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830" codeName="{861861EC-F77C-3E69-5087-FD670AB338C4}"/>
  <workbookPr codeName="ThisWorkbook" autoCompressPictures="0"/>
  <mc:AlternateContent xmlns:mc="http://schemas.openxmlformats.org/markup-compatibility/2006">
    <mc:Choice Requires="x15">
      <x15ac:absPath xmlns:x15ac="http://schemas.microsoft.com/office/spreadsheetml/2010/11/ac" url="C:\Users\Gabo\Desktop\2017\Havas\"/>
    </mc:Choice>
  </mc:AlternateContent>
  <bookViews>
    <workbookView xWindow="0" yWindow="0" windowWidth="20490" windowHeight="7530" tabRatio="822" firstSheet="5" activeTab="9"/>
  </bookViews>
  <sheets>
    <sheet name="Tapa" sheetId="163" r:id="rId1"/>
    <sheet name="1 Texto Legal" sheetId="21" state="hidden" r:id="rId2"/>
    <sheet name="1 Negociaciones Revistas" sheetId="303" state="hidden" r:id="rId3"/>
    <sheet name="1 Reservas Fijas" sheetId="305" state="hidden" r:id="rId4"/>
    <sheet name="1 Resumen Revistas" sheetId="255" state="hidden" r:id="rId5"/>
    <sheet name="1 Panel" sheetId="668" r:id="rId6"/>
    <sheet name="1 auxiliar 3" sheetId="603" state="hidden" r:id="rId7"/>
    <sheet name="1 auxiliar 2" sheetId="486" state="hidden" r:id="rId8"/>
    <sheet name="1 YTD 2017" sheetId="736" r:id="rId9"/>
    <sheet name="1 Distribucion de Presupuestos" sheetId="735" r:id="rId10"/>
    <sheet name="1 BASE2" sheetId="383" state="hidden" r:id="rId11"/>
    <sheet name="1 BASE" sheetId="404" state="hidden" r:id="rId12"/>
    <sheet name="1 lista" sheetId="451" r:id="rId13"/>
    <sheet name="1 auxiliar" sheetId="385" state="hidden" r:id="rId14"/>
    <sheet name="Colors" sheetId="732" r:id="rId15"/>
    <sheet name="Good Girl" sheetId="731" r:id="rId16"/>
  </sheets>
  <functionGroups builtInGroupCount="18"/>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s>
  <definedNames>
    <definedName name="\a" localSheetId="9">'[1]#G.O.'!#REF!</definedName>
    <definedName name="\a" localSheetId="4">'[1]#G.O.'!#REF!</definedName>
    <definedName name="\a" localSheetId="8">'[1]#G.O.'!#REF!</definedName>
    <definedName name="\a" localSheetId="14">'[1]#G.O.'!#REF!</definedName>
    <definedName name="\a" localSheetId="15">'[1]#G.O.'!#REF!</definedName>
    <definedName name="\a">'[1]#G.O.'!#REF!</definedName>
    <definedName name="\b" localSheetId="9">'[1]#G.O.'!#REF!</definedName>
    <definedName name="\b" localSheetId="4">'[1]#G.O.'!#REF!</definedName>
    <definedName name="\b" localSheetId="8">'[1]#G.O.'!#REF!</definedName>
    <definedName name="\b" localSheetId="14">'[1]#G.O.'!#REF!</definedName>
    <definedName name="\b" localSheetId="15">'[1]#G.O.'!#REF!</definedName>
    <definedName name="\b">'[1]#G.O.'!#REF!</definedName>
    <definedName name="\c" localSheetId="9">'[1]#G.O.'!#REF!</definedName>
    <definedName name="\c" localSheetId="4">'[1]#G.O.'!#REF!</definedName>
    <definedName name="\c" localSheetId="8">'[1]#G.O.'!#REF!</definedName>
    <definedName name="\c" localSheetId="14">'[1]#G.O.'!#REF!</definedName>
    <definedName name="\c" localSheetId="15">'[1]#G.O.'!#REF!</definedName>
    <definedName name="\c">'[1]#G.O.'!#REF!</definedName>
    <definedName name="\d" localSheetId="9">'[1]#G.O.'!#REF!</definedName>
    <definedName name="\d" localSheetId="4">'[1]#G.O.'!#REF!</definedName>
    <definedName name="\d" localSheetId="8">'[1]#G.O.'!#REF!</definedName>
    <definedName name="\d" localSheetId="14">'[1]#G.O.'!#REF!</definedName>
    <definedName name="\d" localSheetId="15">'[1]#G.O.'!#REF!</definedName>
    <definedName name="\d">'[1]#G.O.'!#REF!</definedName>
    <definedName name="\e" localSheetId="9">'[1]#G.O.'!#REF!</definedName>
    <definedName name="\e" localSheetId="4">'[1]#G.O.'!#REF!</definedName>
    <definedName name="\e" localSheetId="8">'[1]#G.O.'!#REF!</definedName>
    <definedName name="\e" localSheetId="14">'[1]#G.O.'!#REF!</definedName>
    <definedName name="\e" localSheetId="15">'[1]#G.O.'!#REF!</definedName>
    <definedName name="\e">'[1]#G.O.'!#REF!</definedName>
    <definedName name="\f" localSheetId="9">'[1]#G.O.'!#REF!</definedName>
    <definedName name="\f" localSheetId="4">'[1]#G.O.'!#REF!</definedName>
    <definedName name="\f" localSheetId="8">'[1]#G.O.'!#REF!</definedName>
    <definedName name="\f" localSheetId="14">'[1]#G.O.'!#REF!</definedName>
    <definedName name="\f" localSheetId="15">'[1]#G.O.'!#REF!</definedName>
    <definedName name="\f">'[1]#G.O.'!#REF!</definedName>
    <definedName name="\g" localSheetId="9">'[1]#G.O.'!#REF!</definedName>
    <definedName name="\g" localSheetId="4">'[1]#G.O.'!#REF!</definedName>
    <definedName name="\g" localSheetId="8">'[1]#G.O.'!#REF!</definedName>
    <definedName name="\g" localSheetId="14">'[1]#G.O.'!#REF!</definedName>
    <definedName name="\g" localSheetId="15">'[1]#G.O.'!#REF!</definedName>
    <definedName name="\g">'[1]#G.O.'!#REF!</definedName>
    <definedName name="\h" localSheetId="9">'[1]#G.O.'!#REF!</definedName>
    <definedName name="\h" localSheetId="4">'[1]#G.O.'!#REF!</definedName>
    <definedName name="\h" localSheetId="8">'[1]#G.O.'!#REF!</definedName>
    <definedName name="\h" localSheetId="14">'[1]#G.O.'!#REF!</definedName>
    <definedName name="\h" localSheetId="15">'[1]#G.O.'!#REF!</definedName>
    <definedName name="\h">'[1]#G.O.'!#REF!</definedName>
    <definedName name="\i" localSheetId="9">'[1]#G.O.'!#REF!</definedName>
    <definedName name="\i" localSheetId="4">'[1]#G.O.'!#REF!</definedName>
    <definedName name="\i" localSheetId="8">'[1]#G.O.'!#REF!</definedName>
    <definedName name="\i" localSheetId="14">'[1]#G.O.'!#REF!</definedName>
    <definedName name="\i" localSheetId="15">'[1]#G.O.'!#REF!</definedName>
    <definedName name="\i">'[1]#G.O.'!#REF!</definedName>
    <definedName name="\j" localSheetId="9">'[1]#G.O.'!#REF!</definedName>
    <definedName name="\j" localSheetId="4">'[1]#G.O.'!#REF!</definedName>
    <definedName name="\j" localSheetId="8">'[1]#G.O.'!#REF!</definedName>
    <definedName name="\j" localSheetId="14">'[1]#G.O.'!#REF!</definedName>
    <definedName name="\j" localSheetId="15">'[1]#G.O.'!#REF!</definedName>
    <definedName name="\j">'[1]#G.O.'!#REF!</definedName>
    <definedName name="\k" localSheetId="9">'[1]#G.O.'!#REF!</definedName>
    <definedName name="\k" localSheetId="4">'[1]#G.O.'!#REF!</definedName>
    <definedName name="\k" localSheetId="8">'[1]#G.O.'!#REF!</definedName>
    <definedName name="\k" localSheetId="14">'[1]#G.O.'!#REF!</definedName>
    <definedName name="\k" localSheetId="15">'[1]#G.O.'!#REF!</definedName>
    <definedName name="\k">'[1]#G.O.'!#REF!</definedName>
    <definedName name="\l" localSheetId="9">'[1]#G.O.'!#REF!</definedName>
    <definedName name="\l" localSheetId="4">'[1]#G.O.'!#REF!</definedName>
    <definedName name="\l" localSheetId="8">'[1]#G.O.'!#REF!</definedName>
    <definedName name="\l" localSheetId="14">'[1]#G.O.'!#REF!</definedName>
    <definedName name="\l" localSheetId="15">'[1]#G.O.'!#REF!</definedName>
    <definedName name="\l">'[1]#G.O.'!#REF!</definedName>
    <definedName name="\m" localSheetId="9">'[1]#G.O.'!#REF!</definedName>
    <definedName name="\m" localSheetId="4">'[1]#G.O.'!#REF!</definedName>
    <definedName name="\m" localSheetId="8">'[1]#G.O.'!#REF!</definedName>
    <definedName name="\m" localSheetId="14">'[1]#G.O.'!#REF!</definedName>
    <definedName name="\m" localSheetId="15">'[1]#G.O.'!#REF!</definedName>
    <definedName name="\m">'[1]#G.O.'!#REF!</definedName>
    <definedName name="\n" localSheetId="9">'[1]#G.O.'!#REF!</definedName>
    <definedName name="\n" localSheetId="4">'[1]#G.O.'!#REF!</definedName>
    <definedName name="\n" localSheetId="8">'[1]#G.O.'!#REF!</definedName>
    <definedName name="\n" localSheetId="14">'[1]#G.O.'!#REF!</definedName>
    <definedName name="\n" localSheetId="15">'[1]#G.O.'!#REF!</definedName>
    <definedName name="\n">'[1]#G.O.'!#REF!</definedName>
    <definedName name="\o" localSheetId="9">'[1]#G.O.'!#REF!</definedName>
    <definedName name="\o" localSheetId="4">'[1]#G.O.'!#REF!</definedName>
    <definedName name="\o" localSheetId="8">'[1]#G.O.'!#REF!</definedName>
    <definedName name="\o" localSheetId="14">'[1]#G.O.'!#REF!</definedName>
    <definedName name="\o" localSheetId="15">'[1]#G.O.'!#REF!</definedName>
    <definedName name="\o">'[1]#G.O.'!#REF!</definedName>
    <definedName name="\p" localSheetId="9">'[1]#G.O.'!#REF!</definedName>
    <definedName name="\p" localSheetId="4">'[1]#G.O.'!#REF!</definedName>
    <definedName name="\p" localSheetId="8">'[1]#G.O.'!#REF!</definedName>
    <definedName name="\p" localSheetId="14">'[1]#G.O.'!#REF!</definedName>
    <definedName name="\p" localSheetId="15">'[1]#G.O.'!#REF!</definedName>
    <definedName name="\p">'[1]#G.O.'!#REF!</definedName>
    <definedName name="\q" localSheetId="9">'[1]#G.O.'!#REF!</definedName>
    <definedName name="\q" localSheetId="4">'[1]#G.O.'!#REF!</definedName>
    <definedName name="\q" localSheetId="8">'[1]#G.O.'!#REF!</definedName>
    <definedName name="\q" localSheetId="14">'[1]#G.O.'!#REF!</definedName>
    <definedName name="\q" localSheetId="15">'[1]#G.O.'!#REF!</definedName>
    <definedName name="\q">'[1]#G.O.'!#REF!</definedName>
    <definedName name="\r" localSheetId="9">'[1]#G.O.'!#REF!</definedName>
    <definedName name="\r" localSheetId="4">'[1]#G.O.'!#REF!</definedName>
    <definedName name="\r" localSheetId="8">'[1]#G.O.'!#REF!</definedName>
    <definedName name="\r" localSheetId="14">'[1]#G.O.'!#REF!</definedName>
    <definedName name="\r" localSheetId="15">'[1]#G.O.'!#REF!</definedName>
    <definedName name="\r">'[1]#G.O.'!#REF!</definedName>
    <definedName name="\s" localSheetId="9">'[1]#G.O.'!#REF!</definedName>
    <definedName name="\s" localSheetId="4">'[1]#G.O.'!#REF!</definedName>
    <definedName name="\s" localSheetId="8">'[1]#G.O.'!#REF!</definedName>
    <definedName name="\s" localSheetId="14">'[1]#G.O.'!#REF!</definedName>
    <definedName name="\s" localSheetId="15">'[1]#G.O.'!#REF!</definedName>
    <definedName name="\s">'[1]#G.O.'!#REF!</definedName>
    <definedName name="\t" localSheetId="9">'[1]#G.O.'!#REF!</definedName>
    <definedName name="\t" localSheetId="4">'[1]#G.O.'!#REF!</definedName>
    <definedName name="\t" localSheetId="8">'[1]#G.O.'!#REF!</definedName>
    <definedName name="\t" localSheetId="14">'[1]#G.O.'!#REF!</definedName>
    <definedName name="\t" localSheetId="15">'[1]#G.O.'!#REF!</definedName>
    <definedName name="\t">'[1]#G.O.'!#REF!</definedName>
    <definedName name="\u" localSheetId="9">'[1]#G.O.'!#REF!</definedName>
    <definedName name="\u" localSheetId="4">'[1]#G.O.'!#REF!</definedName>
    <definedName name="\u" localSheetId="8">'[1]#G.O.'!#REF!</definedName>
    <definedName name="\u" localSheetId="14">'[1]#G.O.'!#REF!</definedName>
    <definedName name="\u" localSheetId="15">'[1]#G.O.'!#REF!</definedName>
    <definedName name="\u">'[1]#G.O.'!#REF!</definedName>
    <definedName name="\v" localSheetId="9">'[1]#G.O.'!#REF!</definedName>
    <definedName name="\v" localSheetId="4">'[1]#G.O.'!#REF!</definedName>
    <definedName name="\v" localSheetId="8">'[1]#G.O.'!#REF!</definedName>
    <definedName name="\v" localSheetId="14">'[1]#G.O.'!#REF!</definedName>
    <definedName name="\v" localSheetId="15">'[1]#G.O.'!#REF!</definedName>
    <definedName name="\v">'[1]#G.O.'!#REF!</definedName>
    <definedName name="\w" localSheetId="9">'[1]#G.O.'!#REF!</definedName>
    <definedName name="\w" localSheetId="4">'[1]#G.O.'!#REF!</definedName>
    <definedName name="\w" localSheetId="8">'[1]#G.O.'!#REF!</definedName>
    <definedName name="\w" localSheetId="14">'[1]#G.O.'!#REF!</definedName>
    <definedName name="\w" localSheetId="15">'[1]#G.O.'!#REF!</definedName>
    <definedName name="\w">'[1]#G.O.'!#REF!</definedName>
    <definedName name="\x" localSheetId="9">'[1]#G.O.'!#REF!</definedName>
    <definedName name="\x" localSheetId="4">'[1]#G.O.'!#REF!</definedName>
    <definedName name="\x" localSheetId="8">'[1]#G.O.'!#REF!</definedName>
    <definedName name="\x" localSheetId="14">'[1]#G.O.'!#REF!</definedName>
    <definedName name="\x" localSheetId="15">'[1]#G.O.'!#REF!</definedName>
    <definedName name="\x">'[1]#G.O.'!#REF!</definedName>
    <definedName name="\z" localSheetId="9">'[1]#G.O.'!#REF!</definedName>
    <definedName name="\z" localSheetId="4">'[1]#G.O.'!#REF!</definedName>
    <definedName name="\z" localSheetId="8">'[1]#G.O.'!#REF!</definedName>
    <definedName name="\z" localSheetId="14">'[1]#G.O.'!#REF!</definedName>
    <definedName name="\z" localSheetId="15">'[1]#G.O.'!#REF!</definedName>
    <definedName name="\z">'[1]#G.O.'!#REF!</definedName>
    <definedName name="____ABC1" localSheetId="9">#REF!</definedName>
    <definedName name="____ABC1" localSheetId="2">#REF!</definedName>
    <definedName name="____ABC1" localSheetId="4">#REF!</definedName>
    <definedName name="____ABC1" localSheetId="8">#REF!</definedName>
    <definedName name="____ABC1" localSheetId="14">#REF!</definedName>
    <definedName name="____ABC1" localSheetId="15">#REF!</definedName>
    <definedName name="____ABC1">#REF!</definedName>
    <definedName name="____KEU2" localSheetId="9" hidden="1">#REF!</definedName>
    <definedName name="____KEU2" localSheetId="2" hidden="1">#REF!</definedName>
    <definedName name="____KEU2" localSheetId="4" hidden="1">#REF!</definedName>
    <definedName name="____KEU2" localSheetId="8" hidden="1">#REF!</definedName>
    <definedName name="____KEU2" localSheetId="14" hidden="1">#REF!</definedName>
    <definedName name="____KEU2" localSheetId="15" hidden="1">#REF!</definedName>
    <definedName name="____KEU2" hidden="1">#REF!</definedName>
    <definedName name="___ABC1" localSheetId="9">#REF!</definedName>
    <definedName name="___ABC1" localSheetId="2">#REF!</definedName>
    <definedName name="___ABC1" localSheetId="4">#REF!</definedName>
    <definedName name="___ABC1" localSheetId="8">#REF!</definedName>
    <definedName name="___ABC1" localSheetId="14">#REF!</definedName>
    <definedName name="___ABC1" localSheetId="15">#REF!</definedName>
    <definedName name="___ABC1">#REF!</definedName>
    <definedName name="___KEU2" localSheetId="9" hidden="1">#REF!</definedName>
    <definedName name="___KEU2" localSheetId="2" hidden="1">#REF!</definedName>
    <definedName name="___KEU2" localSheetId="4" hidden="1">#REF!</definedName>
    <definedName name="___KEU2" localSheetId="8" hidden="1">#REF!</definedName>
    <definedName name="___KEU2" localSheetId="14" hidden="1">#REF!</definedName>
    <definedName name="___KEU2" localSheetId="15" hidden="1">#REF!</definedName>
    <definedName name="___KEU2" hidden="1">#REF!</definedName>
    <definedName name="__ABC1" localSheetId="9">#REF!</definedName>
    <definedName name="__ABC1" localSheetId="2">#REF!</definedName>
    <definedName name="__ABC1" localSheetId="4">#REF!</definedName>
    <definedName name="__ABC1" localSheetId="8">#REF!</definedName>
    <definedName name="__ABC1" localSheetId="14">#REF!</definedName>
    <definedName name="__ABC1" localSheetId="15">#REF!</definedName>
    <definedName name="__ABC1">#REF!</definedName>
    <definedName name="__KEU2" localSheetId="9" hidden="1">#REF!</definedName>
    <definedName name="__KEU2" localSheetId="2" hidden="1">#REF!</definedName>
    <definedName name="__KEU2" localSheetId="4" hidden="1">#REF!</definedName>
    <definedName name="__KEU2" localSheetId="8" hidden="1">#REF!</definedName>
    <definedName name="__KEU2" localSheetId="14" hidden="1">#REF!</definedName>
    <definedName name="__KEU2" localSheetId="15" hidden="1">#REF!</definedName>
    <definedName name="__KEU2" hidden="1">#REF!</definedName>
    <definedName name="_1" localSheetId="9">#REF!</definedName>
    <definedName name="_1" localSheetId="2">#REF!</definedName>
    <definedName name="_1" localSheetId="4">#REF!</definedName>
    <definedName name="_1" localSheetId="8">#REF!</definedName>
    <definedName name="_1" localSheetId="14">#REF!</definedName>
    <definedName name="_1" localSheetId="15">#REF!</definedName>
    <definedName name="_1">#REF!</definedName>
    <definedName name="_1_1999">'[2]01_1999'!$B$1:$S$81</definedName>
    <definedName name="_1_2000">'[3]01_2000'!$B$1:$S$81</definedName>
    <definedName name="_100" localSheetId="9">#REF!</definedName>
    <definedName name="_100" localSheetId="2">#REF!</definedName>
    <definedName name="_100" localSheetId="4">#REF!</definedName>
    <definedName name="_100" localSheetId="8">#REF!</definedName>
    <definedName name="_100" localSheetId="14">#REF!</definedName>
    <definedName name="_100" localSheetId="15">#REF!</definedName>
    <definedName name="_100">#REF!</definedName>
    <definedName name="_101" localSheetId="9">#REF!</definedName>
    <definedName name="_101" localSheetId="2">#REF!</definedName>
    <definedName name="_101" localSheetId="4">#REF!</definedName>
    <definedName name="_101" localSheetId="8">#REF!</definedName>
    <definedName name="_101" localSheetId="14">#REF!</definedName>
    <definedName name="_101" localSheetId="15">#REF!</definedName>
    <definedName name="_101">#REF!</definedName>
    <definedName name="_102" localSheetId="9">#REF!</definedName>
    <definedName name="_102" localSheetId="2">#REF!</definedName>
    <definedName name="_102" localSheetId="4">#REF!</definedName>
    <definedName name="_102" localSheetId="8">#REF!</definedName>
    <definedName name="_102" localSheetId="14">#REF!</definedName>
    <definedName name="_102" localSheetId="15">#REF!</definedName>
    <definedName name="_102">#REF!</definedName>
    <definedName name="_103" localSheetId="9">#REF!</definedName>
    <definedName name="_103" localSheetId="2">#REF!</definedName>
    <definedName name="_103" localSheetId="4">#REF!</definedName>
    <definedName name="_103" localSheetId="8">#REF!</definedName>
    <definedName name="_103" localSheetId="14">#REF!</definedName>
    <definedName name="_103" localSheetId="15">#REF!</definedName>
    <definedName name="_103">#REF!</definedName>
    <definedName name="_104" localSheetId="9">#REF!</definedName>
    <definedName name="_104" localSheetId="2">#REF!</definedName>
    <definedName name="_104" localSheetId="4">#REF!</definedName>
    <definedName name="_104" localSheetId="8">#REF!</definedName>
    <definedName name="_104" localSheetId="14">#REF!</definedName>
    <definedName name="_104" localSheetId="15">#REF!</definedName>
    <definedName name="_104">#REF!</definedName>
    <definedName name="_105" localSheetId="9">#REF!</definedName>
    <definedName name="_105" localSheetId="2">#REF!</definedName>
    <definedName name="_105" localSheetId="4">#REF!</definedName>
    <definedName name="_105" localSheetId="8">#REF!</definedName>
    <definedName name="_105" localSheetId="14">#REF!</definedName>
    <definedName name="_105" localSheetId="15">#REF!</definedName>
    <definedName name="_105">#REF!</definedName>
    <definedName name="_106" localSheetId="9">#REF!</definedName>
    <definedName name="_106" localSheetId="2">#REF!</definedName>
    <definedName name="_106" localSheetId="4">#REF!</definedName>
    <definedName name="_106" localSheetId="8">#REF!</definedName>
    <definedName name="_106" localSheetId="14">#REF!</definedName>
    <definedName name="_106" localSheetId="15">#REF!</definedName>
    <definedName name="_106">#REF!</definedName>
    <definedName name="_107" localSheetId="9">#REF!</definedName>
    <definedName name="_107" localSheetId="2">#REF!</definedName>
    <definedName name="_107" localSheetId="4">#REF!</definedName>
    <definedName name="_107" localSheetId="8">#REF!</definedName>
    <definedName name="_107" localSheetId="14">#REF!</definedName>
    <definedName name="_107" localSheetId="15">#REF!</definedName>
    <definedName name="_107">#REF!</definedName>
    <definedName name="_108" localSheetId="9">#REF!</definedName>
    <definedName name="_108" localSheetId="2">#REF!</definedName>
    <definedName name="_108" localSheetId="4">#REF!</definedName>
    <definedName name="_108" localSheetId="8">#REF!</definedName>
    <definedName name="_108" localSheetId="14">#REF!</definedName>
    <definedName name="_108" localSheetId="15">#REF!</definedName>
    <definedName name="_108">#REF!</definedName>
    <definedName name="_109" localSheetId="9">#REF!</definedName>
    <definedName name="_109" localSheetId="2">#REF!</definedName>
    <definedName name="_109" localSheetId="4">#REF!</definedName>
    <definedName name="_109" localSheetId="8">#REF!</definedName>
    <definedName name="_109" localSheetId="14">#REF!</definedName>
    <definedName name="_109" localSheetId="15">#REF!</definedName>
    <definedName name="_109">#REF!</definedName>
    <definedName name="_110" localSheetId="9">#REF!</definedName>
    <definedName name="_110" localSheetId="2">#REF!</definedName>
    <definedName name="_110" localSheetId="4">#REF!</definedName>
    <definedName name="_110" localSheetId="8">#REF!</definedName>
    <definedName name="_110" localSheetId="14">#REF!</definedName>
    <definedName name="_110" localSheetId="15">#REF!</definedName>
    <definedName name="_110">#REF!</definedName>
    <definedName name="_111" localSheetId="9">#REF!</definedName>
    <definedName name="_111" localSheetId="2">#REF!</definedName>
    <definedName name="_111" localSheetId="4">#REF!</definedName>
    <definedName name="_111" localSheetId="8">#REF!</definedName>
    <definedName name="_111" localSheetId="14">#REF!</definedName>
    <definedName name="_111" localSheetId="15">#REF!</definedName>
    <definedName name="_111">#REF!</definedName>
    <definedName name="_112" localSheetId="9">#REF!</definedName>
    <definedName name="_112" localSheetId="2">#REF!</definedName>
    <definedName name="_112" localSheetId="4">#REF!</definedName>
    <definedName name="_112" localSheetId="8">#REF!</definedName>
    <definedName name="_112" localSheetId="14">#REF!</definedName>
    <definedName name="_112" localSheetId="15">#REF!</definedName>
    <definedName name="_112">#REF!</definedName>
    <definedName name="_113" localSheetId="9">#REF!</definedName>
    <definedName name="_113" localSheetId="2">#REF!</definedName>
    <definedName name="_113" localSheetId="4">#REF!</definedName>
    <definedName name="_113" localSheetId="8">#REF!</definedName>
    <definedName name="_113" localSheetId="14">#REF!</definedName>
    <definedName name="_113" localSheetId="15">#REF!</definedName>
    <definedName name="_113">#REF!</definedName>
    <definedName name="_114" localSheetId="9">#REF!</definedName>
    <definedName name="_114" localSheetId="2">#REF!</definedName>
    <definedName name="_114" localSheetId="4">#REF!</definedName>
    <definedName name="_114" localSheetId="8">#REF!</definedName>
    <definedName name="_114" localSheetId="14">#REF!</definedName>
    <definedName name="_114" localSheetId="15">#REF!</definedName>
    <definedName name="_114">#REF!</definedName>
    <definedName name="_115" localSheetId="9">#REF!</definedName>
    <definedName name="_115" localSheetId="2">#REF!</definedName>
    <definedName name="_115" localSheetId="4">#REF!</definedName>
    <definedName name="_115" localSheetId="8">#REF!</definedName>
    <definedName name="_115" localSheetId="14">#REF!</definedName>
    <definedName name="_115" localSheetId="15">#REF!</definedName>
    <definedName name="_115">#REF!</definedName>
    <definedName name="_116" localSheetId="9">#REF!</definedName>
    <definedName name="_116" localSheetId="2">#REF!</definedName>
    <definedName name="_116" localSheetId="4">#REF!</definedName>
    <definedName name="_116" localSheetId="8">#REF!</definedName>
    <definedName name="_116" localSheetId="14">#REF!</definedName>
    <definedName name="_116" localSheetId="15">#REF!</definedName>
    <definedName name="_116">#REF!</definedName>
    <definedName name="_117" localSheetId="9">#REF!</definedName>
    <definedName name="_117" localSheetId="2">#REF!</definedName>
    <definedName name="_117" localSheetId="4">#REF!</definedName>
    <definedName name="_117" localSheetId="8">#REF!</definedName>
    <definedName name="_117" localSheetId="14">#REF!</definedName>
    <definedName name="_117" localSheetId="15">#REF!</definedName>
    <definedName name="_117">#REF!</definedName>
    <definedName name="_118" localSheetId="9">#REF!</definedName>
    <definedName name="_118" localSheetId="2">#REF!</definedName>
    <definedName name="_118" localSheetId="4">#REF!</definedName>
    <definedName name="_118" localSheetId="8">#REF!</definedName>
    <definedName name="_118" localSheetId="14">#REF!</definedName>
    <definedName name="_118" localSheetId="15">#REF!</definedName>
    <definedName name="_118">#REF!</definedName>
    <definedName name="_119" localSheetId="9">#REF!</definedName>
    <definedName name="_119" localSheetId="2">#REF!</definedName>
    <definedName name="_119" localSheetId="4">#REF!</definedName>
    <definedName name="_119" localSheetId="8">#REF!</definedName>
    <definedName name="_119" localSheetId="14">#REF!</definedName>
    <definedName name="_119" localSheetId="15">#REF!</definedName>
    <definedName name="_119">#REF!</definedName>
    <definedName name="_120" localSheetId="9">#REF!</definedName>
    <definedName name="_120" localSheetId="2">#REF!</definedName>
    <definedName name="_120" localSheetId="4">#REF!</definedName>
    <definedName name="_120" localSheetId="8">#REF!</definedName>
    <definedName name="_120" localSheetId="14">#REF!</definedName>
    <definedName name="_120" localSheetId="15">#REF!</definedName>
    <definedName name="_120">#REF!</definedName>
    <definedName name="_121" localSheetId="9">#REF!</definedName>
    <definedName name="_121" localSheetId="2">#REF!</definedName>
    <definedName name="_121" localSheetId="4">#REF!</definedName>
    <definedName name="_121" localSheetId="8">#REF!</definedName>
    <definedName name="_121" localSheetId="14">#REF!</definedName>
    <definedName name="_121" localSheetId="15">#REF!</definedName>
    <definedName name="_121">#REF!</definedName>
    <definedName name="_122" localSheetId="9">#REF!</definedName>
    <definedName name="_122" localSheetId="2">#REF!</definedName>
    <definedName name="_122" localSheetId="4">#REF!</definedName>
    <definedName name="_122" localSheetId="8">#REF!</definedName>
    <definedName name="_122" localSheetId="14">#REF!</definedName>
    <definedName name="_122" localSheetId="15">#REF!</definedName>
    <definedName name="_122">#REF!</definedName>
    <definedName name="_123" localSheetId="9">#REF!</definedName>
    <definedName name="_123" localSheetId="2">#REF!</definedName>
    <definedName name="_123" localSheetId="4">#REF!</definedName>
    <definedName name="_123" localSheetId="8">#REF!</definedName>
    <definedName name="_123" localSheetId="14">#REF!</definedName>
    <definedName name="_123" localSheetId="15">#REF!</definedName>
    <definedName name="_123">#REF!</definedName>
    <definedName name="_124" localSheetId="9">#REF!</definedName>
    <definedName name="_124" localSheetId="2">#REF!</definedName>
    <definedName name="_124" localSheetId="4">#REF!</definedName>
    <definedName name="_124" localSheetId="8">#REF!</definedName>
    <definedName name="_124" localSheetId="14">#REF!</definedName>
    <definedName name="_124" localSheetId="15">#REF!</definedName>
    <definedName name="_124">#REF!</definedName>
    <definedName name="_125" localSheetId="9">#REF!</definedName>
    <definedName name="_125" localSheetId="2">#REF!</definedName>
    <definedName name="_125" localSheetId="4">#REF!</definedName>
    <definedName name="_125" localSheetId="8">#REF!</definedName>
    <definedName name="_125" localSheetId="14">#REF!</definedName>
    <definedName name="_125" localSheetId="15">#REF!</definedName>
    <definedName name="_125">#REF!</definedName>
    <definedName name="_126" localSheetId="9">#REF!</definedName>
    <definedName name="_126" localSheetId="2">#REF!</definedName>
    <definedName name="_126" localSheetId="4">#REF!</definedName>
    <definedName name="_126" localSheetId="8">#REF!</definedName>
    <definedName name="_126" localSheetId="14">#REF!</definedName>
    <definedName name="_126" localSheetId="15">#REF!</definedName>
    <definedName name="_126">#REF!</definedName>
    <definedName name="_127" localSheetId="9">#REF!</definedName>
    <definedName name="_127" localSheetId="2">#REF!</definedName>
    <definedName name="_127" localSheetId="4">#REF!</definedName>
    <definedName name="_127" localSheetId="8">#REF!</definedName>
    <definedName name="_127" localSheetId="14">#REF!</definedName>
    <definedName name="_127" localSheetId="15">#REF!</definedName>
    <definedName name="_127">#REF!</definedName>
    <definedName name="_128" localSheetId="9">#REF!</definedName>
    <definedName name="_128" localSheetId="2">#REF!</definedName>
    <definedName name="_128" localSheetId="4">#REF!</definedName>
    <definedName name="_128" localSheetId="8">#REF!</definedName>
    <definedName name="_128" localSheetId="14">#REF!</definedName>
    <definedName name="_128" localSheetId="15">#REF!</definedName>
    <definedName name="_128">#REF!</definedName>
    <definedName name="_2" localSheetId="9">#REF!</definedName>
    <definedName name="_2" localSheetId="2">#REF!</definedName>
    <definedName name="_2" localSheetId="4">#REF!</definedName>
    <definedName name="_2" localSheetId="8">#REF!</definedName>
    <definedName name="_2" localSheetId="14">#REF!</definedName>
    <definedName name="_2" localSheetId="15">#REF!</definedName>
    <definedName name="_2">#REF!</definedName>
    <definedName name="_3" localSheetId="9">#REF!</definedName>
    <definedName name="_3" localSheetId="2">#REF!</definedName>
    <definedName name="_3" localSheetId="4">#REF!</definedName>
    <definedName name="_3" localSheetId="8">#REF!</definedName>
    <definedName name="_3" localSheetId="14">#REF!</definedName>
    <definedName name="_3" localSheetId="15">#REF!</definedName>
    <definedName name="_3">#REF!</definedName>
    <definedName name="_715" localSheetId="9">#REF!</definedName>
    <definedName name="_715" localSheetId="2">#REF!</definedName>
    <definedName name="_715" localSheetId="4">#REF!</definedName>
    <definedName name="_715" localSheetId="8">#REF!</definedName>
    <definedName name="_715" localSheetId="14">#REF!</definedName>
    <definedName name="_715" localSheetId="15">#REF!</definedName>
    <definedName name="_715">#REF!</definedName>
    <definedName name="_874" localSheetId="9">#REF!</definedName>
    <definedName name="_874" localSheetId="2">#REF!</definedName>
    <definedName name="_874" localSheetId="4">#REF!</definedName>
    <definedName name="_874" localSheetId="8">#REF!</definedName>
    <definedName name="_874" localSheetId="14">#REF!</definedName>
    <definedName name="_874" localSheetId="15">#REF!</definedName>
    <definedName name="_874">#REF!</definedName>
    <definedName name="_ABC1" localSheetId="9">#REF!</definedName>
    <definedName name="_ABC1" localSheetId="2">#REF!</definedName>
    <definedName name="_ABC1" localSheetId="4">#REF!</definedName>
    <definedName name="_ABC1" localSheetId="8">#REF!</definedName>
    <definedName name="_ABC1" localSheetId="14">#REF!</definedName>
    <definedName name="_ABC1" localSheetId="15">#REF!</definedName>
    <definedName name="_ABC1">#REF!</definedName>
    <definedName name="_Fill" localSheetId="9" hidden="1">[4]Tapa!#REF!</definedName>
    <definedName name="_Fill" localSheetId="4" hidden="1">[4]Tapa!#REF!</definedName>
    <definedName name="_Fill" localSheetId="8" hidden="1">[4]Tapa!#REF!</definedName>
    <definedName name="_Fill" localSheetId="14" hidden="1">[4]Tapa!#REF!</definedName>
    <definedName name="_Fill" localSheetId="15" hidden="1">[4]Tapa!#REF!</definedName>
    <definedName name="_Fill" hidden="1">[4]Tapa!#REF!</definedName>
    <definedName name="_xlnm._FilterDatabase" localSheetId="11" hidden="1">'1 BASE'!$A$1:$B$18</definedName>
    <definedName name="_KEU2" localSheetId="9" hidden="1">#REF!</definedName>
    <definedName name="_KEU2" localSheetId="2" hidden="1">#REF!</definedName>
    <definedName name="_KEU2" localSheetId="4" hidden="1">#REF!</definedName>
    <definedName name="_KEU2" localSheetId="8" hidden="1">#REF!</definedName>
    <definedName name="_KEU2" localSheetId="14" hidden="1">#REF!</definedName>
    <definedName name="_KEU2" localSheetId="15" hidden="1">#REF!</definedName>
    <definedName name="_KEU2" hidden="1">#REF!</definedName>
    <definedName name="_Key1" localSheetId="9" hidden="1">#REF!</definedName>
    <definedName name="_Key1" localSheetId="2" hidden="1">#REF!</definedName>
    <definedName name="_Key1" localSheetId="4" hidden="1">#REF!</definedName>
    <definedName name="_Key1" localSheetId="8" hidden="1">#REF!</definedName>
    <definedName name="_Key1" localSheetId="14" hidden="1">#REF!</definedName>
    <definedName name="_Key1" localSheetId="15" hidden="1">#REF!</definedName>
    <definedName name="_Key1" hidden="1">#REF!</definedName>
    <definedName name="_Key2" localSheetId="9" hidden="1">#REF!</definedName>
    <definedName name="_Key2" localSheetId="2" hidden="1">#REF!</definedName>
    <definedName name="_Key2" localSheetId="4" hidden="1">#REF!</definedName>
    <definedName name="_Key2" localSheetId="8" hidden="1">#REF!</definedName>
    <definedName name="_Key2" localSheetId="14" hidden="1">#REF!</definedName>
    <definedName name="_Key2" localSheetId="15" hidden="1">#REF!</definedName>
    <definedName name="_Key2" hidden="1">#REF!</definedName>
    <definedName name="_KEY3" localSheetId="9" hidden="1">#REF!</definedName>
    <definedName name="_KEY3" localSheetId="2" hidden="1">#REF!</definedName>
    <definedName name="_KEY3" localSheetId="4" hidden="1">#REF!</definedName>
    <definedName name="_KEY3" localSheetId="8" hidden="1">#REF!</definedName>
    <definedName name="_KEY3" localSheetId="14" hidden="1">#REF!</definedName>
    <definedName name="_KEY3" localSheetId="15" hidden="1">#REF!</definedName>
    <definedName name="_KEY3" hidden="1">#REF!</definedName>
    <definedName name="_Order1" hidden="1">0</definedName>
    <definedName name="_Order2" hidden="1">0</definedName>
    <definedName name="_Parse_In" localSheetId="9" hidden="1">[4]Tapa!#REF!</definedName>
    <definedName name="_Parse_In" localSheetId="4" hidden="1">[4]Tapa!#REF!</definedName>
    <definedName name="_Parse_In" localSheetId="8" hidden="1">[4]Tapa!#REF!</definedName>
    <definedName name="_Parse_In" localSheetId="14" hidden="1">[4]Tapa!#REF!</definedName>
    <definedName name="_Parse_In" localSheetId="15" hidden="1">[4]Tapa!#REF!</definedName>
    <definedName name="_Parse_In" hidden="1">[4]Tapa!#REF!</definedName>
    <definedName name="_Sort" localSheetId="9" hidden="1">#REF!</definedName>
    <definedName name="_Sort" localSheetId="2" hidden="1">#REF!</definedName>
    <definedName name="_Sort" localSheetId="4" hidden="1">#REF!</definedName>
    <definedName name="_Sort" localSheetId="8" hidden="1">#REF!</definedName>
    <definedName name="_Sort" localSheetId="14" hidden="1">#REF!</definedName>
    <definedName name="_Sort" localSheetId="15" hidden="1">#REF!</definedName>
    <definedName name="_Sort" hidden="1">#REF!</definedName>
    <definedName name="a" localSheetId="1">'1 Texto Legal'!a</definedName>
    <definedName name="a" localSheetId="0">Tapa!a</definedName>
    <definedName name="a">#N/A</definedName>
    <definedName name="A_impresión_IM" localSheetId="9">#REF!</definedName>
    <definedName name="A_impresión_IM" localSheetId="2">#REF!</definedName>
    <definedName name="A_impresión_IM" localSheetId="4">#REF!</definedName>
    <definedName name="A_impresión_IM" localSheetId="8">#REF!</definedName>
    <definedName name="A_impresión_IM" localSheetId="14">#REF!</definedName>
    <definedName name="A_impresión_IM" localSheetId="15">#REF!</definedName>
    <definedName name="A_impresión_IM">#REF!</definedName>
    <definedName name="a1." localSheetId="9">#REF!</definedName>
    <definedName name="a1." localSheetId="2">#REF!</definedName>
    <definedName name="a1." localSheetId="4">#REF!</definedName>
    <definedName name="a1." localSheetId="8">#REF!</definedName>
    <definedName name="a1." localSheetId="14">#REF!</definedName>
    <definedName name="a1." localSheetId="15">#REF!</definedName>
    <definedName name="a1.">#REF!</definedName>
    <definedName name="AA" localSheetId="1">'1 Texto Legal'!AA</definedName>
    <definedName name="AA" localSheetId="0">Tapa!AA</definedName>
    <definedName name="AA">#N/A</definedName>
    <definedName name="aaa" localSheetId="9">#REF!</definedName>
    <definedName name="aaa" localSheetId="2">#REF!</definedName>
    <definedName name="aaa" localSheetId="4">#REF!</definedName>
    <definedName name="aaa" localSheetId="8">#REF!</definedName>
    <definedName name="aaa" localSheetId="14">#REF!</definedName>
    <definedName name="aaa" localSheetId="15">#REF!</definedName>
    <definedName name="aaa">#REF!</definedName>
    <definedName name="ALDIFEOCMW" localSheetId="9">#REF!</definedName>
    <definedName name="ALDIFEOCMW" localSheetId="2">#REF!</definedName>
    <definedName name="ALDIFEOCMW" localSheetId="4">#REF!</definedName>
    <definedName name="ALDIFEOCMW" localSheetId="8">#REF!</definedName>
    <definedName name="ALDIFEOCMW" localSheetId="14">#REF!</definedName>
    <definedName name="ALDIFEOCMW" localSheetId="15">#REF!</definedName>
    <definedName name="ALDIFEOCMW">#REF!</definedName>
    <definedName name="Antofagasta" localSheetId="9">#REF!</definedName>
    <definedName name="Antofagasta" localSheetId="2">#REF!</definedName>
    <definedName name="Antofagasta" localSheetId="4">#REF!</definedName>
    <definedName name="Antofagasta" localSheetId="8">#REF!</definedName>
    <definedName name="Antofagasta" localSheetId="14">#REF!</definedName>
    <definedName name="Antofagasta" localSheetId="15">#REF!</definedName>
    <definedName name="Antofagasta">#REF!</definedName>
    <definedName name="AntofaGSE" localSheetId="9">#REF!</definedName>
    <definedName name="AntofaGSE" localSheetId="2">#REF!</definedName>
    <definedName name="AntofaGSE" localSheetId="4">#REF!</definedName>
    <definedName name="AntofaGSE" localSheetId="8">#REF!</definedName>
    <definedName name="AntofaGSE" localSheetId="14">#REF!</definedName>
    <definedName name="AntofaGSE" localSheetId="15">#REF!</definedName>
    <definedName name="AntofaGSE">#REF!</definedName>
    <definedName name="AraucaGSE" localSheetId="9">#REF!</definedName>
    <definedName name="AraucaGSE" localSheetId="2">#REF!</definedName>
    <definedName name="AraucaGSE" localSheetId="4">#REF!</definedName>
    <definedName name="AraucaGSE" localSheetId="8">#REF!</definedName>
    <definedName name="AraucaGSE" localSheetId="14">#REF!</definedName>
    <definedName name="AraucaGSE" localSheetId="15">#REF!</definedName>
    <definedName name="AraucaGSE">#REF!</definedName>
    <definedName name="Araucanía" localSheetId="9">#REF!</definedName>
    <definedName name="Araucanía" localSheetId="2">#REF!</definedName>
    <definedName name="Araucanía" localSheetId="4">#REF!</definedName>
    <definedName name="Araucanía" localSheetId="8">#REF!</definedName>
    <definedName name="Araucanía" localSheetId="14">#REF!</definedName>
    <definedName name="Araucanía" localSheetId="15">#REF!</definedName>
    <definedName name="Araucanía">#REF!</definedName>
    <definedName name="Arica" localSheetId="9">#REF!</definedName>
    <definedName name="Arica" localSheetId="2">#REF!</definedName>
    <definedName name="Arica" localSheetId="4">#REF!</definedName>
    <definedName name="Arica" localSheetId="8">#REF!</definedName>
    <definedName name="Arica" localSheetId="14">#REF!</definedName>
    <definedName name="Arica" localSheetId="15">#REF!</definedName>
    <definedName name="Arica">#REF!</definedName>
    <definedName name="AricaGSE" localSheetId="9">#REF!</definedName>
    <definedName name="AricaGSE" localSheetId="2">#REF!</definedName>
    <definedName name="AricaGSE" localSheetId="4">#REF!</definedName>
    <definedName name="AricaGSE" localSheetId="8">#REF!</definedName>
    <definedName name="AricaGSE" localSheetId="14">#REF!</definedName>
    <definedName name="AricaGSE" localSheetId="15">#REF!</definedName>
    <definedName name="AricaGSE">#REF!</definedName>
    <definedName name="as" localSheetId="1">'1 Texto Legal'!as</definedName>
    <definedName name="as" localSheetId="0">Tapa!as</definedName>
    <definedName name="as">#N/A</definedName>
    <definedName name="asd" localSheetId="1">'1 Texto Legal'!asd</definedName>
    <definedName name="asd" localSheetId="0">Tapa!asd</definedName>
    <definedName name="asd">#N/A</definedName>
    <definedName name="asdas" localSheetId="1">'1 Texto Legal'!asdas</definedName>
    <definedName name="asdas" localSheetId="0">Tapa!asdas</definedName>
    <definedName name="asdas">#N/A</definedName>
    <definedName name="ASDASAD" localSheetId="1">'1 Texto Legal'!ASDASAD</definedName>
    <definedName name="ASDASAD" localSheetId="0">Tapa!ASDASAD</definedName>
    <definedName name="ASDASAD">#N/A</definedName>
    <definedName name="asdasd" localSheetId="2">'1 Negociaciones Revistas'!asdasd</definedName>
    <definedName name="asdasd" localSheetId="4">#N/A</definedName>
    <definedName name="asdasd">[0]!asdasd</definedName>
    <definedName name="asdasdas" localSheetId="2" hidden="1">{#N/A,#N/A,FALSE,"Pauta Televisión"}</definedName>
    <definedName name="asdasdas" hidden="1">{#N/A,#N/A,FALSE,"Pauta Televisión"}</definedName>
    <definedName name="asdasdasd" localSheetId="1">'1 Texto Legal'!asdasdasd</definedName>
    <definedName name="asdasdasd" localSheetId="0">Tapa!asdasdasd</definedName>
    <definedName name="asdasdasd">#N/A</definedName>
    <definedName name="asdsa" localSheetId="1">'1 Texto Legal'!asdsa</definedName>
    <definedName name="asdsa" localSheetId="0">Tapa!asdsa</definedName>
    <definedName name="asdsa">#N/A</definedName>
    <definedName name="ass" localSheetId="2">'1 Negociaciones Revistas'!ass</definedName>
    <definedName name="ass" localSheetId="4">#N/A</definedName>
    <definedName name="ass">[0]!ass</definedName>
    <definedName name="asxas" localSheetId="1">'1 Texto Legal'!asxas</definedName>
    <definedName name="asxas" localSheetId="0">Tapa!asxas</definedName>
    <definedName name="asxas">#N/A</definedName>
    <definedName name="Atacama" localSheetId="9">#REF!</definedName>
    <definedName name="Atacama" localSheetId="2">#REF!</definedName>
    <definedName name="Atacama" localSheetId="4">#REF!</definedName>
    <definedName name="Atacama" localSheetId="8">#REF!</definedName>
    <definedName name="Atacama" localSheetId="14">#REF!</definedName>
    <definedName name="Atacama" localSheetId="15">#REF!</definedName>
    <definedName name="Atacama">#REF!</definedName>
    <definedName name="AtacamaGSE" localSheetId="9">#REF!</definedName>
    <definedName name="AtacamaGSE" localSheetId="2">#REF!</definedName>
    <definedName name="AtacamaGSE" localSheetId="4">#REF!</definedName>
    <definedName name="AtacamaGSE" localSheetId="8">#REF!</definedName>
    <definedName name="AtacamaGSE" localSheetId="14">#REF!</definedName>
    <definedName name="AtacamaGSE" localSheetId="15">#REF!</definedName>
    <definedName name="AtacamaGSE">#REF!</definedName>
    <definedName name="Austral" localSheetId="9">#REF!</definedName>
    <definedName name="Austral" localSheetId="2">#REF!</definedName>
    <definedName name="Austral" localSheetId="4">#REF!</definedName>
    <definedName name="Austral" localSheetId="8">#REF!</definedName>
    <definedName name="Austral" localSheetId="14">#REF!</definedName>
    <definedName name="Austral" localSheetId="15">#REF!</definedName>
    <definedName name="Austral">#REF!</definedName>
    <definedName name="AustralGSE" localSheetId="9">#REF!</definedName>
    <definedName name="AustralGSE" localSheetId="2">#REF!</definedName>
    <definedName name="AustralGSE" localSheetId="4">#REF!</definedName>
    <definedName name="AustralGSE" localSheetId="8">#REF!</definedName>
    <definedName name="AustralGSE" localSheetId="14">#REF!</definedName>
    <definedName name="AustralGSE" localSheetId="15">#REF!</definedName>
    <definedName name="AustralGSE">#REF!</definedName>
    <definedName name="avds" localSheetId="0">Tapa!avds</definedName>
    <definedName name="avds">#N/A</definedName>
    <definedName name="axc" localSheetId="1">'1 Texto Legal'!axc</definedName>
    <definedName name="axc" localSheetId="0">Tapa!axc</definedName>
    <definedName name="axc">#N/A</definedName>
    <definedName name="Azera" localSheetId="0">Tapa!Azera</definedName>
    <definedName name="Azera">#N/A</definedName>
    <definedName name="b" localSheetId="1">'1 Texto Legal'!b</definedName>
    <definedName name="b" localSheetId="0">Tapa!b</definedName>
    <definedName name="b">#N/A</definedName>
    <definedName name="BASE_95" localSheetId="9">#REF!</definedName>
    <definedName name="BASE_95" localSheetId="2">#REF!</definedName>
    <definedName name="BASE_95" localSheetId="4">#REF!</definedName>
    <definedName name="BASE_95" localSheetId="8">#REF!</definedName>
    <definedName name="BASE_95" localSheetId="14">#REF!</definedName>
    <definedName name="BASE_95" localSheetId="15">#REF!</definedName>
    <definedName name="BASE_95">#REF!</definedName>
    <definedName name="base_96" localSheetId="9">#REF!</definedName>
    <definedName name="base_96" localSheetId="2">#REF!</definedName>
    <definedName name="base_96" localSheetId="4">#REF!</definedName>
    <definedName name="base_96" localSheetId="8">#REF!</definedName>
    <definedName name="base_96" localSheetId="14">#REF!</definedName>
    <definedName name="base_96" localSheetId="15">#REF!</definedName>
    <definedName name="base_96">#REF!</definedName>
    <definedName name="bcbc" localSheetId="1">'1 Texto Legal'!bcbc</definedName>
    <definedName name="bcbc" localSheetId="0">Tapa!bcbc</definedName>
    <definedName name="bcbc">#N/A</definedName>
    <definedName name="BETO" localSheetId="9">#REF!</definedName>
    <definedName name="BETO" localSheetId="2">#REF!</definedName>
    <definedName name="BETO" localSheetId="4">#REF!</definedName>
    <definedName name="BETO" localSheetId="8">#REF!</definedName>
    <definedName name="BETO" localSheetId="14">#REF!</definedName>
    <definedName name="BETO" localSheetId="15">#REF!</definedName>
    <definedName name="BETO">#REF!</definedName>
    <definedName name="BioBío" localSheetId="9">#REF!</definedName>
    <definedName name="BioBío" localSheetId="2">#REF!</definedName>
    <definedName name="BioBío" localSheetId="4">#REF!</definedName>
    <definedName name="BioBío" localSheetId="8">#REF!</definedName>
    <definedName name="BioBío" localSheetId="14">#REF!</definedName>
    <definedName name="BioBío" localSheetId="15">#REF!</definedName>
    <definedName name="BioBío">#REF!</definedName>
    <definedName name="BioGSE" localSheetId="9">#REF!</definedName>
    <definedName name="BioGSE" localSheetId="2">#REF!</definedName>
    <definedName name="BioGSE" localSheetId="4">#REF!</definedName>
    <definedName name="BioGSE" localSheetId="8">#REF!</definedName>
    <definedName name="BioGSE" localSheetId="14">#REF!</definedName>
    <definedName name="BioGSE" localSheetId="15">#REF!</definedName>
    <definedName name="BioGSE">#REF!</definedName>
    <definedName name="Bloque" localSheetId="9">#REF!</definedName>
    <definedName name="Bloque" localSheetId="2">#REF!</definedName>
    <definedName name="Bloque" localSheetId="4">#REF!</definedName>
    <definedName name="Bloque" localSheetId="8">#REF!</definedName>
    <definedName name="Bloque" localSheetId="14">#REF!</definedName>
    <definedName name="Bloque" localSheetId="15">#REF!</definedName>
    <definedName name="Bloque">#REF!</definedName>
    <definedName name="Calama" localSheetId="9">#REF!</definedName>
    <definedName name="Calama" localSheetId="2">#REF!</definedName>
    <definedName name="Calama" localSheetId="4">#REF!</definedName>
    <definedName name="Calama" localSheetId="8">#REF!</definedName>
    <definedName name="Calama" localSheetId="14">#REF!</definedName>
    <definedName name="Calama" localSheetId="15">#REF!</definedName>
    <definedName name="Calama">#REF!</definedName>
    <definedName name="CalamaGSE" localSheetId="9">#REF!</definedName>
    <definedName name="CalamaGSE" localSheetId="2">#REF!</definedName>
    <definedName name="CalamaGSE" localSheetId="4">#REF!</definedName>
    <definedName name="CalamaGSE" localSheetId="8">#REF!</definedName>
    <definedName name="CalamaGSE" localSheetId="14">#REF!</definedName>
    <definedName name="CalamaGSE" localSheetId="15">#REF!</definedName>
    <definedName name="CalamaGSE">#REF!</definedName>
    <definedName name="calcula" localSheetId="9">[5]Module1!calcula</definedName>
    <definedName name="calcula" localSheetId="4">[5]Module1!calcula</definedName>
    <definedName name="calcula" localSheetId="8">[5]Module1!calcula</definedName>
    <definedName name="calcula" localSheetId="14">[5]Module1!calcula</definedName>
    <definedName name="calcula" localSheetId="15">[5]Module1!calcula</definedName>
    <definedName name="calcula">[5]Module1!calcula</definedName>
    <definedName name="Calcular" localSheetId="9">[6]!Calcular</definedName>
    <definedName name="Calcular" localSheetId="4">[6]!Calcular</definedName>
    <definedName name="Calcular" localSheetId="8">[6]!Calcular</definedName>
    <definedName name="Calcular" localSheetId="14">[6]!Calcular</definedName>
    <definedName name="Calcular" localSheetId="15">[6]!Calcular</definedName>
    <definedName name="Calcular">[6]!Calcular</definedName>
    <definedName name="Calcular.Calcular" localSheetId="9">'[7]P_Diarios Santiago'!Calcular.Calcular</definedName>
    <definedName name="Calcular.Calcular" localSheetId="4">'[7]P_Diarios Santiago'!Calcular.Calcular</definedName>
    <definedName name="Calcular.Calcular" localSheetId="8">'[7]P_Diarios Santiago'!Calcular.Calcular</definedName>
    <definedName name="Calcular.Calcular" localSheetId="14">'[7]P_Diarios Santiago'!Calcular.Calcular</definedName>
    <definedName name="Calcular.Calcular" localSheetId="15">'[7]P_Diarios Santiago'!Calcular.Calcular</definedName>
    <definedName name="Calcular.Calcular">'[7]P_Diarios Santiago'!Calcular.Calcular</definedName>
    <definedName name="Cambios" localSheetId="2">'1 Negociaciones Revistas'!Cambios</definedName>
    <definedName name="Cambios" localSheetId="4">#N/A</definedName>
    <definedName name="Cambios">[0]!Cambios</definedName>
    <definedName name="CAMPO" localSheetId="9">#REF!</definedName>
    <definedName name="CAMPO" localSheetId="2">#REF!</definedName>
    <definedName name="CAMPO" localSheetId="4">#REF!</definedName>
    <definedName name="CAMPO" localSheetId="8">#REF!</definedName>
    <definedName name="CAMPO" localSheetId="14">#REF!</definedName>
    <definedName name="CAMPO" localSheetId="15">#REF!</definedName>
    <definedName name="CAMPO">#REF!</definedName>
    <definedName name="Canal" localSheetId="9">#REF!</definedName>
    <definedName name="Canal" localSheetId="2">#REF!</definedName>
    <definedName name="Canal" localSheetId="4">#REF!</definedName>
    <definedName name="Canal" localSheetId="8">#REF!</definedName>
    <definedName name="Canal" localSheetId="14">#REF!</definedName>
    <definedName name="Canal" localSheetId="15">#REF!</definedName>
    <definedName name="Canal">#REF!</definedName>
    <definedName name="CARENF2" localSheetId="9">#REF!</definedName>
    <definedName name="CARENF2" localSheetId="2">#REF!</definedName>
    <definedName name="CARENF2" localSheetId="4">#REF!</definedName>
    <definedName name="CARENF2" localSheetId="8">#REF!</definedName>
    <definedName name="CARENF2" localSheetId="14">#REF!</definedName>
    <definedName name="CARENF2" localSheetId="15">#REF!</definedName>
    <definedName name="CARENF2">#REF!</definedName>
    <definedName name="CARENF21" localSheetId="9">#REF!</definedName>
    <definedName name="CARENF21" localSheetId="2">#REF!</definedName>
    <definedName name="CARENF21" localSheetId="4">#REF!</definedName>
    <definedName name="CARENF21" localSheetId="8">#REF!</definedName>
    <definedName name="CARENF21" localSheetId="14">#REF!</definedName>
    <definedName name="CARENF21" localSheetId="15">#REF!</definedName>
    <definedName name="CARENF21">#REF!</definedName>
    <definedName name="cbcbcbcb" localSheetId="1">'1 Texto Legal'!cbcbcbcb</definedName>
    <definedName name="cbcbcbcb" localSheetId="0">Tapa!cbcbcbcb</definedName>
    <definedName name="cbcbcbcb">#N/A</definedName>
    <definedName name="cc" localSheetId="1">'1 Texto Legal'!cc</definedName>
    <definedName name="cc" localSheetId="0">Tapa!cc</definedName>
    <definedName name="cc">#N/A</definedName>
    <definedName name="CINE" localSheetId="14">Colors!$BK$62</definedName>
    <definedName name="CINE" localSheetId="15">'Good Girl'!$BK$77</definedName>
    <definedName name="CINE">'1 auxiliar'!$BK$62</definedName>
    <definedName name="cmncn" localSheetId="1">'1 Texto Legal'!cmncn</definedName>
    <definedName name="cmncn" localSheetId="0">Tapa!cmncn</definedName>
    <definedName name="cmncn">#N/A</definedName>
    <definedName name="codigo" localSheetId="9">#REF!</definedName>
    <definedName name="codigo" localSheetId="2">#REF!</definedName>
    <definedName name="codigo" localSheetId="4">#REF!</definedName>
    <definedName name="codigo" localSheetId="8">#REF!</definedName>
    <definedName name="codigo" localSheetId="14">#REF!</definedName>
    <definedName name="codigo" localSheetId="15">#REF!</definedName>
    <definedName name="codigo">#REF!</definedName>
    <definedName name="codigos" localSheetId="9">#REF!</definedName>
    <definedName name="codigos" localSheetId="2">#REF!</definedName>
    <definedName name="codigos" localSheetId="4">#REF!</definedName>
    <definedName name="codigos" localSheetId="8">#REF!</definedName>
    <definedName name="codigos" localSheetId="14">#REF!</definedName>
    <definedName name="codigos" localSheetId="15">#REF!</definedName>
    <definedName name="codigos">#REF!</definedName>
    <definedName name="comision" localSheetId="14">Colors!$BK$99</definedName>
    <definedName name="comision" localSheetId="15">'Good Girl'!$BK$110</definedName>
    <definedName name="comision">'1 auxiliar'!$BK$95</definedName>
    <definedName name="COMPARTIDOS" localSheetId="14">Colors!$BK$80</definedName>
    <definedName name="COMPARTIDOS" localSheetId="15">'Good Girl'!$BK$91</definedName>
    <definedName name="COMPARTIDOS">'1 auxiliar'!$BK$76</definedName>
    <definedName name="consu" localSheetId="1">'1 Texto Legal'!consu</definedName>
    <definedName name="consu" localSheetId="0">Tapa!consu</definedName>
    <definedName name="consu">#N/A</definedName>
    <definedName name="coquiGSE" localSheetId="9">#REF!</definedName>
    <definedName name="coquiGSE" localSheetId="2">#REF!</definedName>
    <definedName name="coquiGSE" localSheetId="4">#REF!</definedName>
    <definedName name="coquiGSE" localSheetId="8">#REF!</definedName>
    <definedName name="coquiGSE" localSheetId="14">#REF!</definedName>
    <definedName name="coquiGSE" localSheetId="15">#REF!</definedName>
    <definedName name="coquiGSE">#REF!</definedName>
    <definedName name="Coquimbo" localSheetId="9">#REF!</definedName>
    <definedName name="Coquimbo" localSheetId="2">#REF!</definedName>
    <definedName name="Coquimbo" localSheetId="4">#REF!</definedName>
    <definedName name="Coquimbo" localSheetId="8">#REF!</definedName>
    <definedName name="Coquimbo" localSheetId="14">#REF!</definedName>
    <definedName name="Coquimbo" localSheetId="15">#REF!</definedName>
    <definedName name="Coquimbo">#REF!</definedName>
    <definedName name="Critères_1" localSheetId="9">#REF!</definedName>
    <definedName name="Critères_1" localSheetId="2">#REF!</definedName>
    <definedName name="Critères_1" localSheetId="4">#REF!</definedName>
    <definedName name="Critères_1" localSheetId="8">#REF!</definedName>
    <definedName name="Critères_1" localSheetId="14">#REF!</definedName>
    <definedName name="Critères_1" localSheetId="15">#REF!</definedName>
    <definedName name="Critères_1">#REF!</definedName>
    <definedName name="Critères_2" localSheetId="9">#REF!</definedName>
    <definedName name="Critères_2" localSheetId="2">#REF!</definedName>
    <definedName name="Critères_2" localSheetId="4">#REF!</definedName>
    <definedName name="Critères_2" localSheetId="8">#REF!</definedName>
    <definedName name="Critères_2" localSheetId="14">#REF!</definedName>
    <definedName name="Critères_2" localSheetId="15">#REF!</definedName>
    <definedName name="Critères_2">#REF!</definedName>
    <definedName name="Critères_3" localSheetId="9">#REF!</definedName>
    <definedName name="Critères_3" localSheetId="2">#REF!</definedName>
    <definedName name="Critères_3" localSheetId="4">#REF!</definedName>
    <definedName name="Critères_3" localSheetId="8">#REF!</definedName>
    <definedName name="Critères_3" localSheetId="14">#REF!</definedName>
    <definedName name="Critères_3" localSheetId="15">#REF!</definedName>
    <definedName name="Critères_3">#REF!</definedName>
    <definedName name="CRON" localSheetId="9">#REF!</definedName>
    <definedName name="CRON" localSheetId="2">#REF!</definedName>
    <definedName name="CRON" localSheetId="4">#REF!</definedName>
    <definedName name="CRON" localSheetId="8">#REF!</definedName>
    <definedName name="CRON" localSheetId="14">#REF!</definedName>
    <definedName name="CRON" localSheetId="15">#REF!</definedName>
    <definedName name="CRON">#REF!</definedName>
    <definedName name="csds" localSheetId="1">'1 Texto Legal'!csds</definedName>
    <definedName name="csds" localSheetId="0">Tapa!csds</definedName>
    <definedName name="csds">#N/A</definedName>
    <definedName name="cuant1" localSheetId="9">[8]Module1!calcula</definedName>
    <definedName name="cuant1" localSheetId="4">[8]Module1!calcula</definedName>
    <definedName name="cuant1" localSheetId="8">[8]Module1!calcula</definedName>
    <definedName name="cuant1" localSheetId="14">[8]Module1!calcula</definedName>
    <definedName name="cuant1" localSheetId="15">[8]Module1!calcula</definedName>
    <definedName name="cuant1">[8]Module1!calcula</definedName>
    <definedName name="cxcvcxcxv" localSheetId="1">'1 Texto Legal'!cxcvcxcxv</definedName>
    <definedName name="cxcvcxcxv" localSheetId="0">Tapa!cxcvcxcxv</definedName>
    <definedName name="cxcvcxcxv">#N/A</definedName>
    <definedName name="czxc" localSheetId="1">'1 Texto Legal'!czxc</definedName>
    <definedName name="czxc" localSheetId="0">Tapa!czxc</definedName>
    <definedName name="czxc">#N/A</definedName>
    <definedName name="d">#N/A</definedName>
    <definedName name="_xlnm.Database" localSheetId="9">#REF!</definedName>
    <definedName name="_xlnm.Database" localSheetId="2">#REF!</definedName>
    <definedName name="_xlnm.Database" localSheetId="4">#REF!</definedName>
    <definedName name="_xlnm.Database" localSheetId="8">#REF!</definedName>
    <definedName name="_xlnm.Database" localSheetId="14">#REF!</definedName>
    <definedName name="_xlnm.Database" localSheetId="15">#REF!</definedName>
    <definedName name="_xlnm.Database">#REF!</definedName>
    <definedName name="dd" localSheetId="9" hidden="1">#REF!</definedName>
    <definedName name="dd" localSheetId="2" hidden="1">#REF!</definedName>
    <definedName name="dd" localSheetId="4" hidden="1">#REF!</definedName>
    <definedName name="dd" localSheetId="8" hidden="1">#REF!</definedName>
    <definedName name="dd" localSheetId="14" hidden="1">#REF!</definedName>
    <definedName name="dd" localSheetId="15" hidden="1">#REF!</definedName>
    <definedName name="dd" hidden="1">#REF!</definedName>
    <definedName name="DDD" localSheetId="9" hidden="1">#REF!</definedName>
    <definedName name="DDD" localSheetId="2" hidden="1">#REF!</definedName>
    <definedName name="DDD" localSheetId="4" hidden="1">#REF!</definedName>
    <definedName name="DDD" localSheetId="8" hidden="1">#REF!</definedName>
    <definedName name="DDD" localSheetId="14" hidden="1">#REF!</definedName>
    <definedName name="DDD" localSheetId="15" hidden="1">#REF!</definedName>
    <definedName name="DDD" hidden="1">#REF!</definedName>
    <definedName name="DE" localSheetId="9">#REF!</definedName>
    <definedName name="DE" localSheetId="2">#REF!</definedName>
    <definedName name="DE" localSheetId="4">#REF!</definedName>
    <definedName name="DE" localSheetId="8">#REF!</definedName>
    <definedName name="DE" localSheetId="14">#REF!</definedName>
    <definedName name="DE" localSheetId="15">#REF!</definedName>
    <definedName name="DE">#REF!</definedName>
    <definedName name="Define_target" localSheetId="9">[9]!Define_target</definedName>
    <definedName name="Define_target" localSheetId="4">[9]!Define_target</definedName>
    <definedName name="Define_target" localSheetId="8">[9]!Define_target</definedName>
    <definedName name="Define_target" localSheetId="14">[9]!Define_target</definedName>
    <definedName name="Define_target" localSheetId="15">[9]!Define_target</definedName>
    <definedName name="Define_target">[9]!Define_target</definedName>
    <definedName name="dfdsdfd">#N/A</definedName>
    <definedName name="dfdsf" localSheetId="2">'1 Negociaciones Revistas'!dfdsf</definedName>
    <definedName name="dfdsf" localSheetId="4">#N/A</definedName>
    <definedName name="dfdsf">[0]!dfdsf</definedName>
    <definedName name="dffdfdfdfdf" localSheetId="1">'1 Texto Legal'!dffdfdfdfdf</definedName>
    <definedName name="dffdfdfdfdf" localSheetId="0">Tapa!dffdfdfdfdf</definedName>
    <definedName name="dffdfdfdfdf">#N/A</definedName>
    <definedName name="dfs" localSheetId="9" hidden="1">#REF!</definedName>
    <definedName name="dfs" localSheetId="2" hidden="1">#REF!</definedName>
    <definedName name="dfs" localSheetId="4" hidden="1">#REF!</definedName>
    <definedName name="dfs" localSheetId="8" hidden="1">#REF!</definedName>
    <definedName name="dfs" localSheetId="14" hidden="1">#REF!</definedName>
    <definedName name="dfs" localSheetId="15" hidden="1">#REF!</definedName>
    <definedName name="dfs" hidden="1">#REF!</definedName>
    <definedName name="Dias" localSheetId="9">#REF!</definedName>
    <definedName name="Dias" localSheetId="2">#REF!</definedName>
    <definedName name="Dias" localSheetId="4">#REF!</definedName>
    <definedName name="Dias" localSheetId="8">#REF!</definedName>
    <definedName name="Dias" localSheetId="14">#REF!</definedName>
    <definedName name="Dias" localSheetId="15">#REF!</definedName>
    <definedName name="Dias">#REF!</definedName>
    <definedName name="diferencia" localSheetId="14">Colors!$BK$101</definedName>
    <definedName name="diferencia" localSheetId="15">'Good Girl'!$BK$112</definedName>
    <definedName name="diferencia">'1 auxiliar'!$BK$97</definedName>
    <definedName name="DIGITAL" localSheetId="14">Colors!$BK$73</definedName>
    <definedName name="DIGITAL" localSheetId="15">'Good Girl'!$BK$84</definedName>
    <definedName name="DIGITAL">'1 auxiliar'!$BK$69</definedName>
    <definedName name="dsad" localSheetId="2">'1 Negociaciones Revistas'!dsad</definedName>
    <definedName name="dsad" localSheetId="4">#N/A</definedName>
    <definedName name="dsad">[0]!dsad</definedName>
    <definedName name="dsc" localSheetId="1">'1 Texto Legal'!dsc</definedName>
    <definedName name="dsc" localSheetId="0">Tapa!dsc</definedName>
    <definedName name="dsc">#N/A</definedName>
    <definedName name="dsds" localSheetId="1">'1 Texto Legal'!dsds</definedName>
    <definedName name="dsds" localSheetId="0">Tapa!dsds</definedName>
    <definedName name="dsds">#N/A</definedName>
    <definedName name="dsdsdddd" localSheetId="1">'1 Texto Legal'!dsdsdddd</definedName>
    <definedName name="dsdsdddd" localSheetId="0">Tapa!dsdsdddd</definedName>
    <definedName name="dsdsdddd">#N/A</definedName>
    <definedName name="ed" localSheetId="9">#REF!</definedName>
    <definedName name="ed" localSheetId="2">#REF!</definedName>
    <definedName name="ed" localSheetId="4">#REF!</definedName>
    <definedName name="ed" localSheetId="8">#REF!</definedName>
    <definedName name="ed" localSheetId="14">#REF!</definedName>
    <definedName name="ed" localSheetId="15">#REF!</definedName>
    <definedName name="ed">#REF!</definedName>
    <definedName name="edad" localSheetId="9">#REF!</definedName>
    <definedName name="edad" localSheetId="2">#REF!</definedName>
    <definedName name="edad" localSheetId="4">#REF!</definedName>
    <definedName name="edad" localSheetId="8">#REF!</definedName>
    <definedName name="edad" localSheetId="14">#REF!</definedName>
    <definedName name="edad" localSheetId="15">#REF!</definedName>
    <definedName name="edad">#REF!</definedName>
    <definedName name="EF" localSheetId="1">'1 Texto Legal'!EF</definedName>
    <definedName name="EF" localSheetId="0">Tapa!EF</definedName>
    <definedName name="EF">#N/A</definedName>
    <definedName name="es" localSheetId="9">#REF!</definedName>
    <definedName name="es" localSheetId="2">#REF!</definedName>
    <definedName name="es" localSheetId="4">#REF!</definedName>
    <definedName name="es" localSheetId="8">#REF!</definedName>
    <definedName name="es" localSheetId="14">#REF!</definedName>
    <definedName name="es" localSheetId="15">#REF!</definedName>
    <definedName name="es">#REF!</definedName>
    <definedName name="ESS" localSheetId="9">#REF!</definedName>
    <definedName name="ESS" localSheetId="2">#REF!</definedName>
    <definedName name="ESS" localSheetId="4">#REF!</definedName>
    <definedName name="ESS" localSheetId="8">#REF!</definedName>
    <definedName name="ESS" localSheetId="14">#REF!</definedName>
    <definedName name="ESS" localSheetId="15">#REF!</definedName>
    <definedName name="ESS">#REF!</definedName>
    <definedName name="_xlnm.Extract" localSheetId="11">'1 BASE'!$BK$1:$BL$18</definedName>
    <definedName name="FETR" localSheetId="1">'1 Texto Legal'!FETR</definedName>
    <definedName name="FETR" localSheetId="0">Tapa!FETR</definedName>
    <definedName name="FETR">#N/A</definedName>
    <definedName name="FFF" localSheetId="9">#REF!</definedName>
    <definedName name="FFF" localSheetId="2">#REF!</definedName>
    <definedName name="FFF" localSheetId="4">#REF!</definedName>
    <definedName name="FFF" localSheetId="8">#REF!</definedName>
    <definedName name="FFF" localSheetId="14">#REF!</definedName>
    <definedName name="FFF" localSheetId="15">#REF!</definedName>
    <definedName name="FFF">#REF!</definedName>
    <definedName name="FFFF" localSheetId="9">#REF!</definedName>
    <definedName name="FFFF" localSheetId="2">#REF!</definedName>
    <definedName name="FFFF" localSheetId="4">#REF!</definedName>
    <definedName name="FFFF" localSheetId="8">#REF!</definedName>
    <definedName name="FFFF" localSheetId="14">#REF!</definedName>
    <definedName name="FFFF" localSheetId="15">#REF!</definedName>
    <definedName name="FFFF">#REF!</definedName>
    <definedName name="fgg" localSheetId="9">#REF!</definedName>
    <definedName name="fgg" localSheetId="2">#REF!</definedName>
    <definedName name="fgg" localSheetId="4">#REF!</definedName>
    <definedName name="fgg" localSheetId="8">#REF!</definedName>
    <definedName name="fgg" localSheetId="14">#REF!</definedName>
    <definedName name="fgg" localSheetId="15">#REF!</definedName>
    <definedName name="fgg">#REF!</definedName>
    <definedName name="fggh" localSheetId="9">#REF!</definedName>
    <definedName name="fggh" localSheetId="2">#REF!</definedName>
    <definedName name="fggh" localSheetId="4">#REF!</definedName>
    <definedName name="fggh" localSheetId="8">#REF!</definedName>
    <definedName name="fggh" localSheetId="14">#REF!</definedName>
    <definedName name="fggh" localSheetId="15">#REF!</definedName>
    <definedName name="fggh">#REF!</definedName>
    <definedName name="fh" localSheetId="9">#REF!</definedName>
    <definedName name="fh" localSheetId="2">#REF!</definedName>
    <definedName name="fh" localSheetId="4">#REF!</definedName>
    <definedName name="fh" localSheetId="8">#REF!</definedName>
    <definedName name="fh" localSheetId="14">#REF!</definedName>
    <definedName name="fh" localSheetId="15">#REF!</definedName>
    <definedName name="fh">#REF!</definedName>
    <definedName name="fi" localSheetId="8">'1 YTD 2017'!$B$59</definedName>
    <definedName name="fi">'1 auxiliar 3'!$B$50</definedName>
    <definedName name="fin" localSheetId="14">Colors!$BK$95</definedName>
    <definedName name="fin" localSheetId="15">'Good Girl'!$BK$106</definedName>
    <definedName name="fin">'1 auxiliar'!$BK$91</definedName>
    <definedName name="fin_otro" localSheetId="14">Colors!$C$96</definedName>
    <definedName name="fin_otro" localSheetId="15">'Good Girl'!$C$107</definedName>
    <definedName name="fin_otro">'1 auxiliar'!$C$92</definedName>
    <definedName name="fin_ytd" localSheetId="9">'1 auxiliar 3'!#REF!</definedName>
    <definedName name="fin_ytd" localSheetId="8">'1 YTD 2017'!#REF!</definedName>
    <definedName name="fin_ytd" localSheetId="14">'1 auxiliar 3'!#REF!</definedName>
    <definedName name="fin_ytd" localSheetId="15">'1 auxiliar 3'!#REF!</definedName>
    <definedName name="fin_ytd">'1 auxiliar 3'!#REF!</definedName>
    <definedName name="FIN02TV" localSheetId="9">#REF!</definedName>
    <definedName name="FIN02TV" localSheetId="2">#REF!</definedName>
    <definedName name="FIN02TV" localSheetId="4">#REF!</definedName>
    <definedName name="FIN02TV" localSheetId="8">#REF!</definedName>
    <definedName name="FIN02TV" localSheetId="14">#REF!</definedName>
    <definedName name="FIN02TV" localSheetId="15">#REF!</definedName>
    <definedName name="FIN02TV">#REF!</definedName>
    <definedName name="fina" localSheetId="14">Colors!$BK$95</definedName>
    <definedName name="fina" localSheetId="15">'Good Girl'!$BK$106</definedName>
    <definedName name="fina">'1 auxiliar'!$BK$91</definedName>
    <definedName name="final" localSheetId="14">Colors!$BK$95</definedName>
    <definedName name="final" localSheetId="15">'Good Girl'!$BK$106</definedName>
    <definedName name="final">'1 auxiliar'!$BK$91</definedName>
    <definedName name="Final_dis" localSheetId="9">#REF!</definedName>
    <definedName name="Final_dis" localSheetId="8">#REF!</definedName>
    <definedName name="Final_dis" localSheetId="14">#REF!</definedName>
    <definedName name="Final_dis" localSheetId="15">#REF!</definedName>
    <definedName name="Final_dis">#REF!</definedName>
    <definedName name="Final_distri" localSheetId="9">'1 Distribucion de Presupuestos'!$B$16</definedName>
    <definedName name="Final_distri">'1 auxiliar 2'!$B$14</definedName>
    <definedName name="fulbito" localSheetId="9">#REF!</definedName>
    <definedName name="fulbito" localSheetId="8">#REF!</definedName>
    <definedName name="fulbito" localSheetId="14">#REF!</definedName>
    <definedName name="fulbito" localSheetId="15">#REF!</definedName>
    <definedName name="fulbito">#REF!</definedName>
    <definedName name="g.o." localSheetId="9" hidden="1">[4]Tapa!#REF!</definedName>
    <definedName name="g.o." localSheetId="4" hidden="1">[4]Tapa!#REF!</definedName>
    <definedName name="g.o." localSheetId="8" hidden="1">[4]Tapa!#REF!</definedName>
    <definedName name="g.o." localSheetId="14" hidden="1">[4]Tapa!#REF!</definedName>
    <definedName name="g.o." localSheetId="15" hidden="1">[4]Tapa!#REF!</definedName>
    <definedName name="g.o." hidden="1">[4]Tapa!#REF!</definedName>
    <definedName name="gABC1" localSheetId="9">#REF!</definedName>
    <definedName name="gABC1" localSheetId="2">#REF!</definedName>
    <definedName name="gABC1" localSheetId="4">#REF!</definedName>
    <definedName name="gABC1" localSheetId="8">#REF!</definedName>
    <definedName name="gABC1" localSheetId="14">#REF!</definedName>
    <definedName name="gABC1" localSheetId="15">#REF!</definedName>
    <definedName name="gABC1">#REF!</definedName>
    <definedName name="gC2_" localSheetId="9">#REF!</definedName>
    <definedName name="gC2_" localSheetId="2">#REF!</definedName>
    <definedName name="gC2_" localSheetId="4">#REF!</definedName>
    <definedName name="gC2_" localSheetId="8">#REF!</definedName>
    <definedName name="gC2_" localSheetId="14">#REF!</definedName>
    <definedName name="gC2_" localSheetId="15">#REF!</definedName>
    <definedName name="gC2_">#REF!</definedName>
    <definedName name="gC3_" localSheetId="9">#REF!</definedName>
    <definedName name="gC3_" localSheetId="2">#REF!</definedName>
    <definedName name="gC3_" localSheetId="4">#REF!</definedName>
    <definedName name="gC3_" localSheetId="8">#REF!</definedName>
    <definedName name="gC3_" localSheetId="14">#REF!</definedName>
    <definedName name="gC3_" localSheetId="15">#REF!</definedName>
    <definedName name="gC3_">#REF!</definedName>
    <definedName name="gDE" localSheetId="9">#REF!</definedName>
    <definedName name="gDE" localSheetId="2">#REF!</definedName>
    <definedName name="gDE" localSheetId="4">#REF!</definedName>
    <definedName name="gDE" localSheetId="8">#REF!</definedName>
    <definedName name="gDE" localSheetId="14">#REF!</definedName>
    <definedName name="gDE" localSheetId="15">#REF!</definedName>
    <definedName name="gDE">#REF!</definedName>
    <definedName name="ghj" localSheetId="9">#REF!</definedName>
    <definedName name="ghj" localSheetId="2">#REF!</definedName>
    <definedName name="ghj" localSheetId="4">#REF!</definedName>
    <definedName name="ghj" localSheetId="8">#REF!</definedName>
    <definedName name="ghj" localSheetId="14">#REF!</definedName>
    <definedName name="ghj" localSheetId="15">#REF!</definedName>
    <definedName name="ghj">#REF!</definedName>
    <definedName name="ghk" localSheetId="9" hidden="1">#REF!</definedName>
    <definedName name="ghk" localSheetId="2" hidden="1">#REF!</definedName>
    <definedName name="ghk" localSheetId="4" hidden="1">#REF!</definedName>
    <definedName name="ghk" localSheetId="8" hidden="1">#REF!</definedName>
    <definedName name="ghk" localSheetId="14" hidden="1">#REF!</definedName>
    <definedName name="ghk" localSheetId="15" hidden="1">#REF!</definedName>
    <definedName name="ghk" hidden="1">#REF!</definedName>
    <definedName name="graf" localSheetId="9">#REF!</definedName>
    <definedName name="graf" localSheetId="2">#REF!</definedName>
    <definedName name="graf" localSheetId="4">#REF!</definedName>
    <definedName name="graf" localSheetId="8">#REF!</definedName>
    <definedName name="graf" localSheetId="14">#REF!</definedName>
    <definedName name="graf" localSheetId="15">#REF!</definedName>
    <definedName name="graf">#REF!</definedName>
    <definedName name="gse" localSheetId="9">#REF!</definedName>
    <definedName name="gse" localSheetId="2">#REF!</definedName>
    <definedName name="gse" localSheetId="4">#REF!</definedName>
    <definedName name="gse" localSheetId="8">#REF!</definedName>
    <definedName name="gse" localSheetId="14">#REF!</definedName>
    <definedName name="gse" localSheetId="15">#REF!</definedName>
    <definedName name="gse">#REF!</definedName>
    <definedName name="GSEArica" localSheetId="9">#REF!</definedName>
    <definedName name="GSEArica" localSheetId="2">#REF!</definedName>
    <definedName name="GSEArica" localSheetId="4">#REF!</definedName>
    <definedName name="GSEArica" localSheetId="8">#REF!</definedName>
    <definedName name="GSEArica" localSheetId="14">#REF!</definedName>
    <definedName name="GSEArica" localSheetId="15">#REF!</definedName>
    <definedName name="GSEArica">#REF!</definedName>
    <definedName name="Header">#N/A</definedName>
    <definedName name="HELIX" localSheetId="9">#REF!</definedName>
    <definedName name="HELIX" localSheetId="2">#REF!</definedName>
    <definedName name="HELIX" localSheetId="4">#REF!</definedName>
    <definedName name="HELIX" localSheetId="8">#REF!</definedName>
    <definedName name="HELIX" localSheetId="14">#REF!</definedName>
    <definedName name="HELIX" localSheetId="15">#REF!</definedName>
    <definedName name="HELIX">#REF!</definedName>
    <definedName name="HELIX97" localSheetId="9">#REF!</definedName>
    <definedName name="HELIX97" localSheetId="2">#REF!</definedName>
    <definedName name="HELIX97" localSheetId="4">#REF!</definedName>
    <definedName name="HELIX97" localSheetId="8">#REF!</definedName>
    <definedName name="HELIX97" localSheetId="14">#REF!</definedName>
    <definedName name="HELIX97" localSheetId="15">#REF!</definedName>
    <definedName name="HELIX97">#REF!</definedName>
    <definedName name="HOHA" localSheetId="2" hidden="1">{#N/A,#N/A,FALSE,"Pauta Prensa"}</definedName>
    <definedName name="HOHA" hidden="1">{#N/A,#N/A,FALSE,"Pauta Prensa"}</definedName>
    <definedName name="ini_ci" localSheetId="14">Colors!$C$56</definedName>
    <definedName name="ini_ci" localSheetId="15">'Good Girl'!$C$71</definedName>
    <definedName name="ini_ci">'1 auxiliar'!$C$56</definedName>
    <definedName name="ini_com" localSheetId="14">Colors!$C$74</definedName>
    <definedName name="ini_com" localSheetId="15">'Good Girl'!$C$85</definedName>
    <definedName name="ini_com">'1 auxiliar'!$C$70</definedName>
    <definedName name="ini_dig" localSheetId="14">Colors!$C$63</definedName>
    <definedName name="ini_dig" localSheetId="15">'Good Girl'!$C$78</definedName>
    <definedName name="ini_dig">'1 auxiliar'!$C$63</definedName>
    <definedName name="ini_otro" localSheetId="14">Colors!$C$88</definedName>
    <definedName name="ini_otro" localSheetId="15">'Good Girl'!$C$99</definedName>
    <definedName name="ini_otro">'1 auxiliar'!$C$84</definedName>
    <definedName name="ini_pre" localSheetId="14">Colors!$C$42</definedName>
    <definedName name="ini_pre" localSheetId="15">'Good Girl'!$C$57</definedName>
    <definedName name="ini_pre">'1 auxiliar'!$C$42</definedName>
    <definedName name="ini_ra" localSheetId="14">Colors!$C$21</definedName>
    <definedName name="ini_ra" localSheetId="15">'Good Girl'!$C$36</definedName>
    <definedName name="ini_ra">'1 auxiliar'!$C$21</definedName>
    <definedName name="ini_reg" localSheetId="14">Colors!$C$81</definedName>
    <definedName name="ini_reg" localSheetId="15">'Good Girl'!$C$92</definedName>
    <definedName name="ini_reg">'1 auxiliar'!$C$77</definedName>
    <definedName name="ini_rev" localSheetId="14">Colors!$C$28</definedName>
    <definedName name="ini_rev" localSheetId="15">'Good Girl'!$C$43</definedName>
    <definedName name="ini_rev">'1 auxiliar'!$C$28</definedName>
    <definedName name="ini_sup" localSheetId="14">Colors!$C$35</definedName>
    <definedName name="ini_sup" localSheetId="15">'Good Girl'!$C$50</definedName>
    <definedName name="ini_sup">'1 auxiliar'!$C$35</definedName>
    <definedName name="ini_tv" localSheetId="14">Colors!$C$14</definedName>
    <definedName name="ini_tv" localSheetId="15">'Good Girl'!$C$14</definedName>
    <definedName name="ini_tv">'1 auxiliar'!$C$14</definedName>
    <definedName name="ini_vp" localSheetId="14">Colors!$C$49</definedName>
    <definedName name="ini_vp" localSheetId="15">'Good Girl'!$C$64</definedName>
    <definedName name="ini_vp">'1 auxiliar'!$C$49</definedName>
    <definedName name="inicio" localSheetId="14">Colors!$BK$89</definedName>
    <definedName name="inicio" localSheetId="15">'Good Girl'!$BK$100</definedName>
    <definedName name="inicio">'1 auxiliar'!$BK$85</definedName>
    <definedName name="Iquique" localSheetId="9">#REF!</definedName>
    <definedName name="Iquique" localSheetId="2">#REF!</definedName>
    <definedName name="Iquique" localSheetId="4">#REF!</definedName>
    <definedName name="Iquique" localSheetId="8">#REF!</definedName>
    <definedName name="Iquique" localSheetId="14">#REF!</definedName>
    <definedName name="Iquique" localSheetId="15">#REF!</definedName>
    <definedName name="Iquique">#REF!</definedName>
    <definedName name="IquiqueGSE" localSheetId="9">#REF!</definedName>
    <definedName name="IquiqueGSE" localSheetId="2">#REF!</definedName>
    <definedName name="IquiqueGSE" localSheetId="4">#REF!</definedName>
    <definedName name="IquiqueGSE" localSheetId="8">#REF!</definedName>
    <definedName name="IquiqueGSE" localSheetId="14">#REF!</definedName>
    <definedName name="IquiqueGSE" localSheetId="15">#REF!</definedName>
    <definedName name="IquiqueGSE">#REF!</definedName>
    <definedName name="IV" localSheetId="9">#REF!</definedName>
    <definedName name="IV" localSheetId="2">#REF!</definedName>
    <definedName name="IV" localSheetId="4">#REF!</definedName>
    <definedName name="IV" localSheetId="8">#REF!</definedName>
    <definedName name="IV" localSheetId="14">#REF!</definedName>
    <definedName name="IV" localSheetId="15">#REF!</definedName>
    <definedName name="IV">#REF!</definedName>
    <definedName name="jkdfhdf" localSheetId="1">'1 Texto Legal'!jkdfhdf</definedName>
    <definedName name="jkdfhdf" localSheetId="0">Tapa!jkdfhdf</definedName>
    <definedName name="jkdfhdf">#N/A</definedName>
    <definedName name="joe" localSheetId="9" hidden="1">#REF!</definedName>
    <definedName name="joe" localSheetId="2" hidden="1">#REF!</definedName>
    <definedName name="joe" localSheetId="4" hidden="1">#REF!</definedName>
    <definedName name="joe" localSheetId="8" hidden="1">#REF!</definedName>
    <definedName name="joe" localSheetId="14" hidden="1">#REF!</definedName>
    <definedName name="joe" localSheetId="15" hidden="1">#REF!</definedName>
    <definedName name="joe" hidden="1">#REF!</definedName>
    <definedName name="JUJUJ" localSheetId="9">#REF!</definedName>
    <definedName name="JUJUJ" localSheetId="2">#REF!</definedName>
    <definedName name="JUJUJ" localSheetId="4">#REF!</definedName>
    <definedName name="JUJUJ" localSheetId="8">#REF!</definedName>
    <definedName name="JUJUJ" localSheetId="14">#REF!</definedName>
    <definedName name="JUJUJ" localSheetId="15">#REF!</definedName>
    <definedName name="JUJUJ">#REF!</definedName>
    <definedName name="jyjuj" localSheetId="9">[9]!Ordena</definedName>
    <definedName name="jyjuj" localSheetId="4">[9]!Ordena</definedName>
    <definedName name="jyjuj" localSheetId="8">[9]!Ordena</definedName>
    <definedName name="jyjuj" localSheetId="14">[9]!Ordena</definedName>
    <definedName name="jyjuj" localSheetId="15">[9]!Ordena</definedName>
    <definedName name="jyjuj">[9]!Ordena</definedName>
    <definedName name="kkk" localSheetId="9">#REF!</definedName>
    <definedName name="kkk" localSheetId="2">#REF!</definedName>
    <definedName name="kkk" localSheetId="4">#REF!</definedName>
    <definedName name="kkk" localSheetId="8">#REF!</definedName>
    <definedName name="kkk" localSheetId="14">#REF!</definedName>
    <definedName name="kkk" localSheetId="15">#REF!</definedName>
    <definedName name="kkk">#REF!</definedName>
    <definedName name="LL" localSheetId="9">#REF!</definedName>
    <definedName name="LL" localSheetId="2">#REF!</definedName>
    <definedName name="LL" localSheetId="4">#REF!</definedName>
    <definedName name="LL" localSheetId="8">#REF!</definedName>
    <definedName name="LL" localSheetId="14">#REF!</definedName>
    <definedName name="LL" localSheetId="15">#REF!</definedName>
    <definedName name="LL">#REF!</definedName>
    <definedName name="LOLY">#N/A</definedName>
    <definedName name="LOLY\S" localSheetId="9">#REF!</definedName>
    <definedName name="LOLY\S" localSheetId="2">#REF!</definedName>
    <definedName name="LOLY\S" localSheetId="4">#REF!</definedName>
    <definedName name="LOLY\S" localSheetId="8">#REF!</definedName>
    <definedName name="LOLY\S" localSheetId="14">#REF!</definedName>
    <definedName name="LOLY\S" localSheetId="15">#REF!</definedName>
    <definedName name="LOLY\S">#REF!</definedName>
    <definedName name="LosHéroes" localSheetId="0">Tapa!LosHéroes</definedName>
    <definedName name="LosHéroes">#N/A</definedName>
    <definedName name="mall" localSheetId="9" hidden="1">[4]Tapa!#REF!</definedName>
    <definedName name="mall" localSheetId="4" hidden="1">[4]Tapa!#REF!</definedName>
    <definedName name="mall" localSheetId="8" hidden="1">[4]Tapa!#REF!</definedName>
    <definedName name="mall" localSheetId="14" hidden="1">[4]Tapa!#REF!</definedName>
    <definedName name="mall" localSheetId="15" hidden="1">[4]Tapa!#REF!</definedName>
    <definedName name="mall" hidden="1">[4]Tapa!#REF!</definedName>
    <definedName name="MANTEN22" localSheetId="9" hidden="1">#REF!</definedName>
    <definedName name="MANTEN22" localSheetId="2" hidden="1">#REF!</definedName>
    <definedName name="MANTEN22" localSheetId="4" hidden="1">#REF!</definedName>
    <definedName name="MANTEN22" localSheetId="8" hidden="1">#REF!</definedName>
    <definedName name="MANTEN22" localSheetId="14" hidden="1">#REF!</definedName>
    <definedName name="MANTEN22" localSheetId="15" hidden="1">#REF!</definedName>
    <definedName name="MANTEN22" hidden="1">#REF!</definedName>
    <definedName name="Mantencion" localSheetId="1">'1 Texto Legal'!Mantencion</definedName>
    <definedName name="Mantencion" localSheetId="0">Tapa!Mantencion</definedName>
    <definedName name="Mantencion">#N/A</definedName>
    <definedName name="Mantención" localSheetId="1">'1 Texto Legal'!Mantención</definedName>
    <definedName name="Mantención" localSheetId="0">Tapa!Mantención</definedName>
    <definedName name="Mantención">#N/A</definedName>
    <definedName name="marl1" localSheetId="9">#REF!</definedName>
    <definedName name="marl1" localSheetId="2">#REF!</definedName>
    <definedName name="marl1" localSheetId="4">#REF!</definedName>
    <definedName name="marl1" localSheetId="8">#REF!</definedName>
    <definedName name="marl1" localSheetId="14">#REF!</definedName>
    <definedName name="marl1" localSheetId="15">#REF!</definedName>
    <definedName name="marl1">#REF!</definedName>
    <definedName name="marlboro" localSheetId="9">#REF!</definedName>
    <definedName name="marlboro" localSheetId="2">#REF!</definedName>
    <definedName name="marlboro" localSheetId="4">#REF!</definedName>
    <definedName name="marlboro" localSheetId="8">#REF!</definedName>
    <definedName name="marlboro" localSheetId="14">#REF!</definedName>
    <definedName name="marlboro" localSheetId="15">#REF!</definedName>
    <definedName name="marlboro">#REF!</definedName>
    <definedName name="Maule" localSheetId="9">#REF!</definedName>
    <definedName name="Maule" localSheetId="2">#REF!</definedName>
    <definedName name="Maule" localSheetId="4">#REF!</definedName>
    <definedName name="Maule" localSheetId="8">#REF!</definedName>
    <definedName name="Maule" localSheetId="14">#REF!</definedName>
    <definedName name="Maule" localSheetId="15">#REF!</definedName>
    <definedName name="Maule">#REF!</definedName>
    <definedName name="MauleGSE" localSheetId="9">#REF!</definedName>
    <definedName name="MauleGSE" localSheetId="2">#REF!</definedName>
    <definedName name="MauleGSE" localSheetId="4">#REF!</definedName>
    <definedName name="MauleGSE" localSheetId="8">#REF!</definedName>
    <definedName name="MauleGSE" localSheetId="14">#REF!</definedName>
    <definedName name="MauleGSE" localSheetId="15">#REF!</definedName>
    <definedName name="MauleGSE">#REF!</definedName>
    <definedName name="mavika" localSheetId="0">Tapa!mavika</definedName>
    <definedName name="mavika">#N/A</definedName>
    <definedName name="mbmbmb1" localSheetId="1">'1 Texto Legal'!mbmbmb1</definedName>
    <definedName name="mbmbmb1" localSheetId="0">Tapa!mbmbmb1</definedName>
    <definedName name="mbmbmb1">#N/A</definedName>
    <definedName name="MEDIOS_REGIONALES" localSheetId="14">Colors!$BK$87</definedName>
    <definedName name="MEDIOS_REGIONALES" localSheetId="15">'Good Girl'!$BK$98</definedName>
    <definedName name="MEDIOS_REGIONALES">'1 auxiliar'!$BK$83</definedName>
    <definedName name="mj" localSheetId="9">[10]PLAN!#REF!</definedName>
    <definedName name="mj" localSheetId="4">[10]PLAN!#REF!</definedName>
    <definedName name="mj" localSheetId="8">[10]PLAN!#REF!</definedName>
    <definedName name="mj" localSheetId="14">[10]PLAN!#REF!</definedName>
    <definedName name="mj" localSheetId="15">[10]PLAN!#REF!</definedName>
    <definedName name="mj">[10]PLAN!#REF!</definedName>
    <definedName name="mm" localSheetId="1">'1 Texto Legal'!mm</definedName>
    <definedName name="mm" localSheetId="0">Tapa!mm</definedName>
    <definedName name="mm">#N/A</definedName>
    <definedName name="Modificaciones" localSheetId="2">'1 Negociaciones Revistas'!Modificaciones</definedName>
    <definedName name="Modificaciones" localSheetId="4">#N/A</definedName>
    <definedName name="Modificaciones">[0]!Modificaciones</definedName>
    <definedName name="mvcnc" localSheetId="1">'1 Texto Legal'!mvcnc</definedName>
    <definedName name="mvcnc" localSheetId="0">Tapa!mvcnc</definedName>
    <definedName name="mvcnc">#N/A</definedName>
    <definedName name="nh" localSheetId="9" hidden="1">[4]Tapa!#REF!</definedName>
    <definedName name="nh" localSheetId="4" hidden="1">[4]Tapa!#REF!</definedName>
    <definedName name="nh" localSheetId="8" hidden="1">[4]Tapa!#REF!</definedName>
    <definedName name="nh" localSheetId="14" hidden="1">[4]Tapa!#REF!</definedName>
    <definedName name="nh" localSheetId="15" hidden="1">[4]Tapa!#REF!</definedName>
    <definedName name="nh" hidden="1">[4]Tapa!#REF!</definedName>
    <definedName name="nj" localSheetId="9">#REF!</definedName>
    <definedName name="nj" localSheetId="2">#REF!</definedName>
    <definedName name="nj" localSheetId="4">#REF!</definedName>
    <definedName name="nj" localSheetId="8">#REF!</definedName>
    <definedName name="nj" localSheetId="14">#REF!</definedName>
    <definedName name="nj" localSheetId="15">#REF!</definedName>
    <definedName name="nj">#REF!</definedName>
    <definedName name="nnvnvnv" localSheetId="1">'1 Texto Legal'!nnvnvnv</definedName>
    <definedName name="nnvnvnv" localSheetId="0">Tapa!nnvnvnv</definedName>
    <definedName name="nnvnvnv">#N/A</definedName>
    <definedName name="notita" localSheetId="9">[11]Notas!notita</definedName>
    <definedName name="notita" localSheetId="4">[11]Notas!notita</definedName>
    <definedName name="notita" localSheetId="8">[11]Notas!notita</definedName>
    <definedName name="notita" localSheetId="14">[11]Notas!notita</definedName>
    <definedName name="notita" localSheetId="15">[11]Notas!notita</definedName>
    <definedName name="notita">[11]Notas!notita</definedName>
    <definedName name="OHiggins" localSheetId="9">#REF!</definedName>
    <definedName name="OHiggins" localSheetId="2">#REF!</definedName>
    <definedName name="OHiggins" localSheetId="4">#REF!</definedName>
    <definedName name="OHiggins" localSheetId="8">#REF!</definedName>
    <definedName name="OHiggins" localSheetId="14">#REF!</definedName>
    <definedName name="OHiggins" localSheetId="15">#REF!</definedName>
    <definedName name="OHiggins">#REF!</definedName>
    <definedName name="okj" localSheetId="9">#REF!</definedName>
    <definedName name="okj" localSheetId="2">#REF!</definedName>
    <definedName name="okj" localSheetId="4">#REF!</definedName>
    <definedName name="okj" localSheetId="1">#REF!</definedName>
    <definedName name="okj" localSheetId="8">#REF!</definedName>
    <definedName name="okj" localSheetId="14">#REF!</definedName>
    <definedName name="okj" localSheetId="15">#REF!</definedName>
    <definedName name="okj">#REF!</definedName>
    <definedName name="OO" localSheetId="2" hidden="1">{#N/A,#N/A,FALSE,"Pauta Prensa"}</definedName>
    <definedName name="OO" hidden="1">{#N/A,#N/A,FALSE,"Pauta Prensa"}</definedName>
    <definedName name="Ordena" localSheetId="9">[9]!Ordena</definedName>
    <definedName name="Ordena" localSheetId="4">[9]!Ordena</definedName>
    <definedName name="Ordena" localSheetId="8">[9]!Ordena</definedName>
    <definedName name="Ordena" localSheetId="14">[9]!Ordena</definedName>
    <definedName name="Ordena" localSheetId="15">[9]!Ordena</definedName>
    <definedName name="Ordena">[9]!Ordena</definedName>
    <definedName name="Osorno" localSheetId="9">#REF!</definedName>
    <definedName name="Osorno" localSheetId="2">#REF!</definedName>
    <definedName name="Osorno" localSheetId="4">#REF!</definedName>
    <definedName name="Osorno" localSheetId="8">#REF!</definedName>
    <definedName name="Osorno" localSheetId="14">#REF!</definedName>
    <definedName name="Osorno" localSheetId="15">#REF!</definedName>
    <definedName name="Osorno">#REF!</definedName>
    <definedName name="OsornoGSE" localSheetId="9">#REF!</definedName>
    <definedName name="OsornoGSE" localSheetId="2">#REF!</definedName>
    <definedName name="OsornoGSE" localSheetId="4">#REF!</definedName>
    <definedName name="OsornoGSE" localSheetId="8">#REF!</definedName>
    <definedName name="OsornoGSE" localSheetId="14">#REF!</definedName>
    <definedName name="OsornoGSE" localSheetId="15">#REF!</definedName>
    <definedName name="OsornoGSE">#REF!</definedName>
    <definedName name="otro_fin" localSheetId="9">#REF!</definedName>
    <definedName name="otro_fin" localSheetId="8">#REF!</definedName>
    <definedName name="otro_fin" localSheetId="14">#REF!</definedName>
    <definedName name="otro_fin" localSheetId="15">#REF!</definedName>
    <definedName name="otro_fin">#REF!</definedName>
    <definedName name="otro_i" localSheetId="9">#REF!</definedName>
    <definedName name="otro_i" localSheetId="8">#REF!</definedName>
    <definedName name="otro_i" localSheetId="14">#REF!</definedName>
    <definedName name="otro_i" localSheetId="15">#REF!</definedName>
    <definedName name="otro_i">#REF!</definedName>
    <definedName name="OTROS" localSheetId="14">Colors!$BK$96</definedName>
    <definedName name="OTROS" localSheetId="15">'Good Girl'!$BK$107</definedName>
    <definedName name="OTROS">'1 auxiliar'!$BK$92</definedName>
    <definedName name="Otros_Lista">'1 lista'!$D$1:$D$3</definedName>
    <definedName name="Otros_Lsita">'1 lista'!$D$1:$D$3</definedName>
    <definedName name="p" localSheetId="9">'[12]#G.O.'!#REF!</definedName>
    <definedName name="p" localSheetId="4">'[12]#G.O.'!#REF!</definedName>
    <definedName name="p" localSheetId="8">'[12]#G.O.'!#REF!</definedName>
    <definedName name="p" localSheetId="14">'[12]#G.O.'!#REF!</definedName>
    <definedName name="p" localSheetId="15">'[12]#G.O.'!#REF!</definedName>
    <definedName name="p">'[12]#G.O.'!#REF!</definedName>
    <definedName name="pago">'[13]Tarifa Preferencial (2)'!$A$10:$N$84</definedName>
    <definedName name="PARIS">[14]Rk!$A$1:$Q$231</definedName>
    <definedName name="pauta" localSheetId="9">#REF!</definedName>
    <definedName name="pauta" localSheetId="2">#REF!</definedName>
    <definedName name="pauta" localSheetId="4">#REF!</definedName>
    <definedName name="pauta" localSheetId="8">#REF!</definedName>
    <definedName name="pauta" localSheetId="14">#REF!</definedName>
    <definedName name="pauta" localSheetId="15">#REF!</definedName>
    <definedName name="pauta">#REF!</definedName>
    <definedName name="PCHIN963" localSheetId="9">#REF!</definedName>
    <definedName name="PCHIN963" localSheetId="2">#REF!</definedName>
    <definedName name="PCHIN963" localSheetId="4">#REF!</definedName>
    <definedName name="PCHIN963" localSheetId="8">#REF!</definedName>
    <definedName name="PCHIN963" localSheetId="14">#REF!</definedName>
    <definedName name="PCHIN963" localSheetId="15">#REF!</definedName>
    <definedName name="PCHIN963">#REF!</definedName>
    <definedName name="PEPSI" localSheetId="9">#REF!</definedName>
    <definedName name="PEPSI" localSheetId="2">#REF!</definedName>
    <definedName name="PEPSI" localSheetId="4">#REF!</definedName>
    <definedName name="PEPSI" localSheetId="8">#REF!</definedName>
    <definedName name="PEPSI" localSheetId="14">#REF!</definedName>
    <definedName name="PEPSI" localSheetId="15">#REF!</definedName>
    <definedName name="PEPSI">#REF!</definedName>
    <definedName name="PERFIL" localSheetId="9">#REF!</definedName>
    <definedName name="PERFIL" localSheetId="2">#REF!</definedName>
    <definedName name="PERFIL" localSheetId="4">#REF!</definedName>
    <definedName name="PERFIL" localSheetId="8">#REF!</definedName>
    <definedName name="PERFIL" localSheetId="14">#REF!</definedName>
    <definedName name="PERFIL" localSheetId="15">#REF!</definedName>
    <definedName name="PERFIL">#REF!</definedName>
    <definedName name="PLAN" localSheetId="9">#REF!</definedName>
    <definedName name="PLAN" localSheetId="2">#REF!</definedName>
    <definedName name="PLAN" localSheetId="4">#REF!</definedName>
    <definedName name="PLAN" localSheetId="8">#REF!</definedName>
    <definedName name="PLAN" localSheetId="14">#REF!</definedName>
    <definedName name="PLAN" localSheetId="15">#REF!</definedName>
    <definedName name="PLAN">#REF!</definedName>
    <definedName name="PP" localSheetId="2" hidden="1">{#N/A,#N/A,FALSE,"Pauta Real Publicado"}</definedName>
    <definedName name="PP" hidden="1">{#N/A,#N/A,FALSE,"Pauta Real Publicado"}</definedName>
    <definedName name="prensa" localSheetId="4">'[12]#G.O.'!#REF!</definedName>
    <definedName name="PRENSA" localSheetId="14">Colors!$BK$48</definedName>
    <definedName name="PRENSA" localSheetId="15">'Good Girl'!$BK$63</definedName>
    <definedName name="PRENSA">'1 auxiliar'!$BK$48</definedName>
    <definedName name="presupuesto" localSheetId="14">Colors!$BK$100</definedName>
    <definedName name="presupuesto" localSheetId="15">'Good Girl'!$BK$111</definedName>
    <definedName name="presupuesto">'1 auxiliar'!$BK$96</definedName>
    <definedName name="_xlnm.Print_Area" localSheetId="2">'1 Negociaciones Revistas'!$A$1:$A$95</definedName>
    <definedName name="_xlnm.Print_Area" localSheetId="1">'1 Texto Legal'!$A$1:$N$37</definedName>
    <definedName name="_xlnm.Print_Area" localSheetId="0">Tapa!$A$2:$N$19</definedName>
    <definedName name="_xlnm.Print_Area">#N/A</definedName>
    <definedName name="Print_Area_MI" localSheetId="9">[10]PLAN!#REF!</definedName>
    <definedName name="Print_Area_MI" localSheetId="4">[10]PLAN!#REF!</definedName>
    <definedName name="Print_Area_MI" localSheetId="8">[10]PLAN!#REF!</definedName>
    <definedName name="Print_Area_MI" localSheetId="14">[10]PLAN!#REF!</definedName>
    <definedName name="Print_Area_MI" localSheetId="15">[10]PLAN!#REF!</definedName>
    <definedName name="Print_Area_MI">[10]PLAN!#REF!</definedName>
    <definedName name="Promocion" localSheetId="0">Tapa!Promocion</definedName>
    <definedName name="Promocion">#N/A</definedName>
    <definedName name="PtoMGSE" localSheetId="9">#REF!</definedName>
    <definedName name="PtoMGSE" localSheetId="2">#REF!</definedName>
    <definedName name="PtoMGSE" localSheetId="4">#REF!</definedName>
    <definedName name="PtoMGSE" localSheetId="8">#REF!</definedName>
    <definedName name="PtoMGSE" localSheetId="14">#REF!</definedName>
    <definedName name="PtoMGSE" localSheetId="15">#REF!</definedName>
    <definedName name="PtoMGSE">#REF!</definedName>
    <definedName name="PU" localSheetId="9">#REF!</definedName>
    <definedName name="PU" localSheetId="2">#REF!</definedName>
    <definedName name="PU" localSheetId="4">#REF!</definedName>
    <definedName name="PU" localSheetId="8">#REF!</definedName>
    <definedName name="PU" localSheetId="14">#REF!</definedName>
    <definedName name="PU" localSheetId="15">#REF!</definedName>
    <definedName name="PU">#REF!</definedName>
    <definedName name="PuertoMontt" localSheetId="9">#REF!</definedName>
    <definedName name="PuertoMontt" localSheetId="2">#REF!</definedName>
    <definedName name="PuertoMontt" localSheetId="4">#REF!</definedName>
    <definedName name="PuertoMontt" localSheetId="8">#REF!</definedName>
    <definedName name="PuertoMontt" localSheetId="14">#REF!</definedName>
    <definedName name="PuertoMontt" localSheetId="15">#REF!</definedName>
    <definedName name="PuertoMontt">#REF!</definedName>
    <definedName name="radio" localSheetId="2">#REF!</definedName>
    <definedName name="radio" localSheetId="4">#REF!</definedName>
    <definedName name="RADIO" localSheetId="14">Colors!$BK$27</definedName>
    <definedName name="RADIO" localSheetId="15">'Good Girl'!$BK$42</definedName>
    <definedName name="RADIO">'1 auxiliar'!$BK$27</definedName>
    <definedName name="radio1" localSheetId="9">'[15]an-r'!#REF!</definedName>
    <definedName name="radio1" localSheetId="4">'[15]an-r'!#REF!</definedName>
    <definedName name="radio1" localSheetId="8">'[15]an-r'!#REF!</definedName>
    <definedName name="radio1" localSheetId="14">'[15]an-r'!#REF!</definedName>
    <definedName name="radio1" localSheetId="15">'[15]an-r'!#REF!</definedName>
    <definedName name="radio1">'[15]an-r'!#REF!</definedName>
    <definedName name="Radios" localSheetId="0">Tapa!Radios</definedName>
    <definedName name="Radios">#N/A</definedName>
    <definedName name="rancaGSE" localSheetId="9">#REF!</definedName>
    <definedName name="rancaGSE" localSheetId="2">#REF!</definedName>
    <definedName name="rancaGSE" localSheetId="4">#REF!</definedName>
    <definedName name="rancaGSE" localSheetId="8">#REF!</definedName>
    <definedName name="rancaGSE" localSheetId="14">#REF!</definedName>
    <definedName name="rancaGSE" localSheetId="15">#REF!</definedName>
    <definedName name="rancaGSE">#REF!</definedName>
    <definedName name="Rating" localSheetId="9">#REF!</definedName>
    <definedName name="Rating" localSheetId="2">#REF!</definedName>
    <definedName name="Rating" localSheetId="4">#REF!</definedName>
    <definedName name="Rating" localSheetId="8">#REF!</definedName>
    <definedName name="Rating" localSheetId="14">#REF!</definedName>
    <definedName name="Rating" localSheetId="15">#REF!</definedName>
    <definedName name="Rating">#REF!</definedName>
    <definedName name="RDIO" localSheetId="9">#REF!</definedName>
    <definedName name="RDIO" localSheetId="2">#REF!</definedName>
    <definedName name="RDIO" localSheetId="4">#REF!</definedName>
    <definedName name="RDIO" localSheetId="8">#REF!</definedName>
    <definedName name="RDIO" localSheetId="14">#REF!</definedName>
    <definedName name="RDIO" localSheetId="15">#REF!</definedName>
    <definedName name="RDIO">#REF!</definedName>
    <definedName name="REGIONALES" localSheetId="14">Colors!$BK$87</definedName>
    <definedName name="REGIONALES" localSheetId="15">'Good Girl'!$BK$98</definedName>
    <definedName name="REGIONALES">'1 auxiliar'!$BK$83</definedName>
    <definedName name="regiones" localSheetId="9">#REF!</definedName>
    <definedName name="regiones" localSheetId="2">#REF!</definedName>
    <definedName name="regiones" localSheetId="4">#REF!</definedName>
    <definedName name="regiones" localSheetId="8">#REF!</definedName>
    <definedName name="regiones" localSheetId="14">#REF!</definedName>
    <definedName name="regiones" localSheetId="15">#REF!</definedName>
    <definedName name="regiones">#REF!</definedName>
    <definedName name="regmet">[16]DatosTP!$C$5:$K$27</definedName>
    <definedName name="REGMETGSE">[16]DatosTP!$D$32:$E$41</definedName>
    <definedName name="Renglon">#N/A</definedName>
    <definedName name="REV" localSheetId="9">#REF!</definedName>
    <definedName name="REV" localSheetId="2">#REF!</definedName>
    <definedName name="REV" localSheetId="4">#REF!</definedName>
    <definedName name="REV" localSheetId="8">#REF!</definedName>
    <definedName name="REV" localSheetId="14">#REF!</definedName>
    <definedName name="REV" localSheetId="15">#REF!</definedName>
    <definedName name="REV">#REF!</definedName>
    <definedName name="REVISTA" localSheetId="2" hidden="1">{#N/A,#N/A,FALSE,"Pauta Real Publicado"}</definedName>
    <definedName name="REVISTA" hidden="1">{#N/A,#N/A,FALSE,"Pauta Real Publicado"}</definedName>
    <definedName name="REVISTAS" localSheetId="14">Colors!$BK$34</definedName>
    <definedName name="REVISTAS" localSheetId="15">'Good Girl'!$BK$49</definedName>
    <definedName name="REVISTAS">'1 auxiliar'!$BK$34</definedName>
    <definedName name="ri" localSheetId="9">#REF!</definedName>
    <definedName name="ri" localSheetId="2">#REF!</definedName>
    <definedName name="ri" localSheetId="4">#REF!</definedName>
    <definedName name="ri" localSheetId="8">#REF!</definedName>
    <definedName name="ri" localSheetId="14">#REF!</definedName>
    <definedName name="ri" localSheetId="15">#REF!</definedName>
    <definedName name="ri">#REF!</definedName>
    <definedName name="Rotación" localSheetId="9">#REF!</definedName>
    <definedName name="Rotación" localSheetId="2">#REF!</definedName>
    <definedName name="Rotación" localSheetId="4">#REF!</definedName>
    <definedName name="Rotación" localSheetId="8">#REF!</definedName>
    <definedName name="Rotación" localSheetId="14">#REF!</definedName>
    <definedName name="Rotación" localSheetId="15">#REF!</definedName>
    <definedName name="Rotación">#REF!</definedName>
    <definedName name="s" localSheetId="1">'1 Texto Legal'!s</definedName>
    <definedName name="s" localSheetId="0">Tapa!s</definedName>
    <definedName name="s">#N/A</definedName>
    <definedName name="sa" localSheetId="1">'1 Texto Legal'!sa</definedName>
    <definedName name="sa" localSheetId="0">Tapa!sa</definedName>
    <definedName name="sa">#N/A</definedName>
    <definedName name="saassa" localSheetId="1">'1 Texto Legal'!saassa</definedName>
    <definedName name="saassa" localSheetId="0">Tapa!saassa</definedName>
    <definedName name="saassa">#N/A</definedName>
    <definedName name="sadas" localSheetId="1">'1 Texto Legal'!sadas</definedName>
    <definedName name="sadas" localSheetId="0">Tapa!sadas</definedName>
    <definedName name="sadas">#N/A</definedName>
    <definedName name="sadasdasd" localSheetId="1">'1 Texto Legal'!sadasdasd</definedName>
    <definedName name="sadasdasd" localSheetId="0">Tapa!sadasdasd</definedName>
    <definedName name="sadasdasd">#N/A</definedName>
    <definedName name="sadasdasdxas" localSheetId="1">'1 Texto Legal'!sadasdasdxas</definedName>
    <definedName name="sadasdasdxas" localSheetId="0">Tapa!sadasdasdxas</definedName>
    <definedName name="sadasdasdxas">#N/A</definedName>
    <definedName name="sadsdsds" localSheetId="1">'1 Texto Legal'!sadsdsds</definedName>
    <definedName name="sadsdsds" localSheetId="0">Tapa!sadsdsds</definedName>
    <definedName name="sadsdsds">#N/A</definedName>
    <definedName name="safd" localSheetId="2">'1 Negociaciones Revistas'!safd</definedName>
    <definedName name="safd" localSheetId="4">#N/A</definedName>
    <definedName name="safd">[0]!safd</definedName>
    <definedName name="sasa" localSheetId="1">'1 Texto Legal'!sasa</definedName>
    <definedName name="sasa" localSheetId="0">Tapa!sasa</definedName>
    <definedName name="sasa">#N/A</definedName>
    <definedName name="sdasdsa" localSheetId="2">'1 Negociaciones Revistas'!sdasdsa</definedName>
    <definedName name="sdasdsa" localSheetId="4">#N/A</definedName>
    <definedName name="sdasdsa">[0]!sdasdsa</definedName>
    <definedName name="sdd" localSheetId="1">'1 Texto Legal'!sdd</definedName>
    <definedName name="sdd" localSheetId="0">Tapa!sdd</definedName>
    <definedName name="sdd">#N/A</definedName>
    <definedName name="sdds" localSheetId="1">'1 Texto Legal'!sdds</definedName>
    <definedName name="sdds" localSheetId="0">Tapa!sdds</definedName>
    <definedName name="sdds">#N/A</definedName>
    <definedName name="sdfdsdfsdsd" localSheetId="1">'1 Texto Legal'!sdfdsdfsdsd</definedName>
    <definedName name="sdfdsdfsdsd" localSheetId="0">Tapa!sdfdsdfsdsd</definedName>
    <definedName name="sdfdsdfsdsd">#N/A</definedName>
    <definedName name="sdsdd" localSheetId="1">'1 Texto Legal'!sdsdd</definedName>
    <definedName name="sdsdd" localSheetId="0">Tapa!sdsdd</definedName>
    <definedName name="sdsdd">#N/A</definedName>
    <definedName name="sdsdsd" localSheetId="1">'1 Texto Legal'!sdsdsd</definedName>
    <definedName name="sdsdsd" localSheetId="0">Tapa!sdsdsd</definedName>
    <definedName name="sdsdsd">#N/A</definedName>
    <definedName name="Segundaje" localSheetId="9">#REF!</definedName>
    <definedName name="Segundaje" localSheetId="2">#REF!</definedName>
    <definedName name="Segundaje" localSheetId="4">#REF!</definedName>
    <definedName name="Segundaje" localSheetId="8">#REF!</definedName>
    <definedName name="Segundaje" localSheetId="14">#REF!</definedName>
    <definedName name="Segundaje" localSheetId="15">#REF!</definedName>
    <definedName name="Segundaje">#REF!</definedName>
    <definedName name="sexo" localSheetId="9">#REF!</definedName>
    <definedName name="sexo" localSheetId="2">#REF!</definedName>
    <definedName name="sexo" localSheetId="4">#REF!</definedName>
    <definedName name="sexo" localSheetId="8">#REF!</definedName>
    <definedName name="sexo" localSheetId="14">#REF!</definedName>
    <definedName name="sexo" localSheetId="15">#REF!</definedName>
    <definedName name="sexo">#REF!</definedName>
    <definedName name="ssa" localSheetId="1">'1 Texto Legal'!ssa</definedName>
    <definedName name="ssa" localSheetId="0">Tapa!ssa</definedName>
    <definedName name="ssa">#N/A</definedName>
    <definedName name="sss" localSheetId="1">'1 Texto Legal'!sss</definedName>
    <definedName name="sss" localSheetId="0">Tapa!sss</definedName>
    <definedName name="sss">#N/A</definedName>
    <definedName name="STG" localSheetId="9">#REF!</definedName>
    <definedName name="STG" localSheetId="2">#REF!</definedName>
    <definedName name="STG" localSheetId="4">#REF!</definedName>
    <definedName name="STG" localSheetId="8">#REF!</definedName>
    <definedName name="STG" localSheetId="14">#REF!</definedName>
    <definedName name="STG" localSheetId="15">#REF!</definedName>
    <definedName name="STG">#REF!</definedName>
    <definedName name="SUM" localSheetId="9">#REF!</definedName>
    <definedName name="SUM" localSheetId="2">#REF!</definedName>
    <definedName name="SUM" localSheetId="4">#REF!</definedName>
    <definedName name="SUM" localSheetId="8">#REF!</definedName>
    <definedName name="SUM" localSheetId="14">#REF!</definedName>
    <definedName name="SUM" localSheetId="15">#REF!</definedName>
    <definedName name="SUM">#REF!</definedName>
    <definedName name="SUPERED" localSheetId="9">#REF!</definedName>
    <definedName name="SUPERED" localSheetId="2">#REF!</definedName>
    <definedName name="SUPERED" localSheetId="4">#REF!</definedName>
    <definedName name="SUPERED" localSheetId="8">#REF!</definedName>
    <definedName name="SUPERED" localSheetId="14">#REF!</definedName>
    <definedName name="SUPERED" localSheetId="15">#REF!</definedName>
    <definedName name="SUPERED">#REF!</definedName>
    <definedName name="SUPLEMENTOS" localSheetId="14">Colors!$BK$41</definedName>
    <definedName name="SUPLEMENTOS" localSheetId="15">'Good Girl'!$BK$56</definedName>
    <definedName name="SUPLEMENTOS">'1 auxiliar'!$BK$41</definedName>
    <definedName name="tapita" localSheetId="9">'[1]#G.O.'!#REF!</definedName>
    <definedName name="tapita" localSheetId="4">'[1]#G.O.'!#REF!</definedName>
    <definedName name="tapita" localSheetId="8">'[1]#G.O.'!#REF!</definedName>
    <definedName name="tapita" localSheetId="14">'[1]#G.O.'!#REF!</definedName>
    <definedName name="tapita" localSheetId="15">'[1]#G.O.'!#REF!</definedName>
    <definedName name="tapita">'[1]#G.O.'!#REF!</definedName>
    <definedName name="Target" localSheetId="1">'1 Texto Legal'!Target</definedName>
    <definedName name="Target" localSheetId="0">Tapa!Target</definedName>
    <definedName name="Target">#N/A</definedName>
    <definedName name="Títulos_a_imprimir_IM" localSheetId="9">#REF!</definedName>
    <definedName name="Títulos_a_imprimir_IM" localSheetId="2">#REF!</definedName>
    <definedName name="Títulos_a_imprimir_IM" localSheetId="4">#REF!</definedName>
    <definedName name="Títulos_a_imprimir_IM" localSheetId="8">#REF!</definedName>
    <definedName name="Títulos_a_imprimir_IM" localSheetId="14">#REF!</definedName>
    <definedName name="Títulos_a_imprimir_IM" localSheetId="15">#REF!</definedName>
    <definedName name="Títulos_a_imprimir_IM">#REF!</definedName>
    <definedName name="todas" localSheetId="9">#REF!</definedName>
    <definedName name="todas" localSheetId="2">#REF!</definedName>
    <definedName name="todas" localSheetId="4">#REF!</definedName>
    <definedName name="todas" localSheetId="8">#REF!</definedName>
    <definedName name="todas" localSheetId="14">#REF!</definedName>
    <definedName name="todas" localSheetId="15">#REF!</definedName>
    <definedName name="todas">#REF!</definedName>
    <definedName name="Tot">#N/A</definedName>
    <definedName name="Total" localSheetId="14">Colors!$BK$97</definedName>
    <definedName name="Total" localSheetId="15">'Good Girl'!$BK$108</definedName>
    <definedName name="Total">'1 auxiliar'!$BK$93</definedName>
    <definedName name="tula" localSheetId="9">[9]!Define_target</definedName>
    <definedName name="tula" localSheetId="4">[9]!Define_target</definedName>
    <definedName name="tula" localSheetId="8">[9]!Define_target</definedName>
    <definedName name="tula" localSheetId="14">[9]!Define_target</definedName>
    <definedName name="tula" localSheetId="15">[9]!Define_target</definedName>
    <definedName name="tula">[9]!Define_target</definedName>
    <definedName name="TV" localSheetId="14">Colors!$BK$20</definedName>
    <definedName name="TV" localSheetId="15">'Good Girl'!$BK$35</definedName>
    <definedName name="TV">'1 auxiliar'!$BK$20</definedName>
    <definedName name="Ubic" localSheetId="1">'1 Texto Legal'!Ubic</definedName>
    <definedName name="Ubic" localSheetId="0">Tapa!Ubic</definedName>
    <definedName name="Ubic">#N/A</definedName>
    <definedName name="UNO" localSheetId="2" hidden="1">{#N/A,#N/A,FALSE,"Pauta Prensa"}</definedName>
    <definedName name="UNO" hidden="1">{#N/A,#N/A,FALSE,"Pauta Prensa"}</definedName>
    <definedName name="ValdiGSE" localSheetId="9">#REF!</definedName>
    <definedName name="ValdiGSE" localSheetId="2">#REF!</definedName>
    <definedName name="ValdiGSE" localSheetId="4">#REF!</definedName>
    <definedName name="ValdiGSE" localSheetId="8">#REF!</definedName>
    <definedName name="ValdiGSE" localSheetId="14">#REF!</definedName>
    <definedName name="ValdiGSE" localSheetId="15">#REF!</definedName>
    <definedName name="ValdiGSE">#REF!</definedName>
    <definedName name="Valdivia" localSheetId="9">#REF!</definedName>
    <definedName name="Valdivia" localSheetId="2">#REF!</definedName>
    <definedName name="Valdivia" localSheetId="4">#REF!</definedName>
    <definedName name="Valdivia" localSheetId="8">#REF!</definedName>
    <definedName name="Valdivia" localSheetId="14">#REF!</definedName>
    <definedName name="Valdivia" localSheetId="15">#REF!</definedName>
    <definedName name="Valdivia">#REF!</definedName>
    <definedName name="Valparaíso" localSheetId="9">#REF!</definedName>
    <definedName name="Valparaíso" localSheetId="2">#REF!</definedName>
    <definedName name="Valparaíso" localSheetId="4">#REF!</definedName>
    <definedName name="Valparaíso" localSheetId="8">#REF!</definedName>
    <definedName name="Valparaíso" localSheetId="14">#REF!</definedName>
    <definedName name="Valparaíso" localSheetId="15">#REF!</definedName>
    <definedName name="Valparaíso">#REF!</definedName>
    <definedName name="ValpoGSE" localSheetId="9">#REF!</definedName>
    <definedName name="ValpoGSE" localSheetId="2">#REF!</definedName>
    <definedName name="ValpoGSE" localSheetId="4">#REF!</definedName>
    <definedName name="ValpoGSE" localSheetId="8">#REF!</definedName>
    <definedName name="ValpoGSE" localSheetId="14">#REF!</definedName>
    <definedName name="ValpoGSE" localSheetId="15">#REF!</definedName>
    <definedName name="ValpoGSE">#REF!</definedName>
    <definedName name="vbbvb" localSheetId="1">'1 Texto Legal'!vbbvb</definedName>
    <definedName name="vbbvb" localSheetId="0">Tapa!vbbvb</definedName>
    <definedName name="vbbvb">#N/A</definedName>
    <definedName name="vcvcb" localSheetId="1">'1 Texto Legal'!vcvcb</definedName>
    <definedName name="vcvcb" localSheetId="0">Tapa!vcvcb</definedName>
    <definedName name="vcvcb">#N/A</definedName>
    <definedName name="vcvcv11" localSheetId="1">'1 Texto Legal'!vcvcv11</definedName>
    <definedName name="vcvcv11" localSheetId="0">Tapa!vcvcv11</definedName>
    <definedName name="vcvcv11">#N/A</definedName>
    <definedName name="vcvvv" localSheetId="1">'1 Texto Legal'!vcvvv</definedName>
    <definedName name="vcvvv" localSheetId="0">Tapa!vcvvv</definedName>
    <definedName name="vcvvv">#N/A</definedName>
    <definedName name="VHS" localSheetId="1">'1 Texto Legal'!VHS</definedName>
    <definedName name="VHS" localSheetId="0">Tapa!VHS</definedName>
    <definedName name="VHS">#N/A</definedName>
    <definedName name="VIA_PUBLICA" localSheetId="14">Colors!$BK$55</definedName>
    <definedName name="VIA_PUBLICA" localSheetId="15">'Good Girl'!$BK$70</definedName>
    <definedName name="VIA_PUBLICA">'1 auxiliar'!$BK$55</definedName>
    <definedName name="VIENES2" localSheetId="9">#REF!</definedName>
    <definedName name="VIENES2" localSheetId="2">#REF!</definedName>
    <definedName name="VIENES2" localSheetId="4">#REF!</definedName>
    <definedName name="VIENES2" localSheetId="8">#REF!</definedName>
    <definedName name="VIENES2" localSheetId="14">#REF!</definedName>
    <definedName name="VIENES2" localSheetId="15">#REF!</definedName>
    <definedName name="VIENES2">#REF!</definedName>
    <definedName name="VIERNES" localSheetId="9">#REF!</definedName>
    <definedName name="VIERNES" localSheetId="2">#REF!</definedName>
    <definedName name="VIERNES" localSheetId="4">#REF!</definedName>
    <definedName name="VIERNES" localSheetId="8">#REF!</definedName>
    <definedName name="VIERNES" localSheetId="14">#REF!</definedName>
    <definedName name="VIERNES" localSheetId="15">#REF!</definedName>
    <definedName name="VIERNES">#REF!</definedName>
    <definedName name="vmnbmbm" localSheetId="1">'1 Texto Legal'!vmnbmbm</definedName>
    <definedName name="vmnbmbm" localSheetId="0">Tapa!vmnbmbm</definedName>
    <definedName name="vmnbmbm">#N/A</definedName>
    <definedName name="vp" localSheetId="0">Tapa!vp</definedName>
    <definedName name="vp">#N/A</definedName>
    <definedName name="vvv" localSheetId="1">'1 Texto Legal'!vvv</definedName>
    <definedName name="vvv" localSheetId="0">Tapa!vvv</definedName>
    <definedName name="vvv">#N/A</definedName>
    <definedName name="wed" localSheetId="9">#REF!</definedName>
    <definedName name="wed" localSheetId="2">#REF!</definedName>
    <definedName name="wed" localSheetId="4">#REF!</definedName>
    <definedName name="wed" localSheetId="8">#REF!</definedName>
    <definedName name="wed" localSheetId="14">#REF!</definedName>
    <definedName name="wed" localSheetId="15">#REF!</definedName>
    <definedName name="wed">#REF!</definedName>
    <definedName name="wrn.Pauta._.Prensa." localSheetId="2" hidden="1">{#N/A,#N/A,FALSE,"Pauta Prensa"}</definedName>
    <definedName name="wrn.Pauta._.Prensa." hidden="1">{#N/A,#N/A,FALSE,"Pauta Prensa"}</definedName>
    <definedName name="wrn.Pauta._.Prensa._.Real._.Publicado." localSheetId="2" hidden="1">{#N/A,#N/A,FALSE,"Pauta Real Publicado"}</definedName>
    <definedName name="wrn.Pauta._.Prensa._.Real._.Publicado." hidden="1">{#N/A,#N/A,FALSE,"Pauta Real Publicado"}</definedName>
    <definedName name="wrn.Pauta._.Televisión." localSheetId="2" hidden="1">{#N/A,#N/A,FALSE,"Pauta Televisión"}</definedName>
    <definedName name="wrn.Pauta._.Televisión." hidden="1">{#N/A,#N/A,FALSE,"Pauta Televisión"}</definedName>
    <definedName name="wrn.Pauta._.Televisión._.Real._.Exhibido." localSheetId="2" hidden="1">{#N/A,#N/A,FALSE,"Pauta Real Exhibido"}</definedName>
    <definedName name="wrn.Pauta._.Televisión._.Real._.Exhibido." hidden="1">{#N/A,#N/A,FALSE,"Pauta Real Exhibido"}</definedName>
    <definedName name="x" localSheetId="1" hidden="1">'1 Texto Legal'!x</definedName>
    <definedName name="x" localSheetId="0" hidden="1">Tapa!x</definedName>
    <definedName name="x" hidden="1">#N/A</definedName>
    <definedName name="xa" localSheetId="9">#REF!</definedName>
    <definedName name="xa" localSheetId="2">#REF!</definedName>
    <definedName name="xa" localSheetId="4">#REF!</definedName>
    <definedName name="xa" localSheetId="8">#REF!</definedName>
    <definedName name="xa" localSheetId="14">#REF!</definedName>
    <definedName name="xa" localSheetId="15">#REF!</definedName>
    <definedName name="xa">#REF!</definedName>
    <definedName name="xx" localSheetId="1">'1 Texto Legal'!xx</definedName>
    <definedName name="xx" localSheetId="0">Tapa!xx</definedName>
    <definedName name="xx">#N/A</definedName>
    <definedName name="xxx" localSheetId="1">'1 Texto Legal'!xxx</definedName>
    <definedName name="xxx" localSheetId="0">Tapa!xxx</definedName>
    <definedName name="xxx">#N/A</definedName>
    <definedName name="xxxx" localSheetId="1">'1 Texto Legal'!xxxx</definedName>
    <definedName name="xxxx" localSheetId="0">Tapa!xxxx</definedName>
    <definedName name="xxxx">#N/A</definedName>
    <definedName name="xzxx" localSheetId="1">'1 Texto Legal'!xzxx</definedName>
    <definedName name="xzxx" localSheetId="0">Tapa!xzxx</definedName>
    <definedName name="xzxx">#N/A</definedName>
    <definedName name="Y" localSheetId="9">#REF!</definedName>
    <definedName name="Y" localSheetId="2">#REF!</definedName>
    <definedName name="Y" localSheetId="4">#REF!</definedName>
    <definedName name="Y" localSheetId="8">#REF!</definedName>
    <definedName name="Y" localSheetId="14">#REF!</definedName>
    <definedName name="Y" localSheetId="15">#REF!</definedName>
    <definedName name="Y">#REF!</definedName>
    <definedName name="zxdzc" localSheetId="1">'1 Texto Legal'!zxdzc</definedName>
    <definedName name="zxdzc" localSheetId="0">Tapa!zxdzc</definedName>
    <definedName name="zxdzc">#N/A</definedName>
    <definedName name="ZZZ" localSheetId="1">'1 Texto Legal'!ZZZ</definedName>
    <definedName name="ZZZ" localSheetId="0">Tapa!ZZZ</definedName>
    <definedName name="ZZZ">#N/A</definedName>
  </definedNames>
  <calcPr calcId="171027"/>
</workbook>
</file>

<file path=xl/calcChain.xml><?xml version="1.0" encoding="utf-8"?>
<calcChain xmlns="http://schemas.openxmlformats.org/spreadsheetml/2006/main">
  <c r="D35" i="736" l="1"/>
  <c r="Q25" i="736"/>
  <c r="P25" i="736"/>
  <c r="O25" i="736"/>
  <c r="N25" i="736"/>
  <c r="M25" i="736"/>
  <c r="L25" i="736"/>
  <c r="K25" i="736"/>
  <c r="J25" i="736"/>
  <c r="I25" i="736"/>
  <c r="H25" i="736"/>
  <c r="G25" i="736"/>
  <c r="F25" i="736"/>
  <c r="D47" i="736"/>
  <c r="Q37" i="736"/>
  <c r="P37" i="736"/>
  <c r="O37" i="736"/>
  <c r="N37" i="736"/>
  <c r="M37" i="736"/>
  <c r="L37" i="736"/>
  <c r="K37" i="736"/>
  <c r="J37" i="736"/>
  <c r="I37" i="736"/>
  <c r="H37" i="736"/>
  <c r="G37" i="736"/>
  <c r="F37" i="736"/>
  <c r="D59" i="736"/>
  <c r="Q49" i="736"/>
  <c r="P49" i="736"/>
  <c r="O49" i="736"/>
  <c r="N49" i="736"/>
  <c r="M49" i="736"/>
  <c r="L49" i="736"/>
  <c r="K49" i="736"/>
  <c r="J49" i="736"/>
  <c r="I49" i="736"/>
  <c r="H49" i="736"/>
  <c r="G49" i="736"/>
  <c r="F49" i="736"/>
  <c r="Q15" i="736"/>
  <c r="P15" i="736"/>
  <c r="O15" i="736"/>
  <c r="N15" i="736"/>
  <c r="M15" i="736"/>
  <c r="L15" i="736"/>
  <c r="K15" i="736"/>
  <c r="J15" i="736"/>
  <c r="I15" i="736"/>
  <c r="H15" i="736"/>
  <c r="G15" i="736"/>
  <c r="F15" i="736"/>
  <c r="Q13" i="736"/>
  <c r="P13" i="736"/>
  <c r="O13" i="736"/>
  <c r="N13" i="736"/>
  <c r="M13" i="736"/>
  <c r="L13" i="736"/>
  <c r="K13" i="736"/>
  <c r="J13" i="736"/>
  <c r="I13" i="736"/>
  <c r="H13" i="736"/>
  <c r="G13" i="736"/>
  <c r="F13" i="736"/>
  <c r="E13" i="736"/>
  <c r="X4" i="732"/>
  <c r="W4" i="732"/>
  <c r="V4" i="732"/>
  <c r="X3" i="732"/>
  <c r="W3" i="732"/>
  <c r="V3" i="732"/>
  <c r="X2" i="732"/>
  <c r="W2" i="732"/>
  <c r="V2" i="732"/>
  <c r="X1" i="732"/>
  <c r="W1" i="732"/>
  <c r="V1" i="732"/>
  <c r="D25" i="736" l="1"/>
  <c r="D37" i="736"/>
  <c r="D49" i="736"/>
  <c r="D15" i="736"/>
  <c r="D13" i="736"/>
  <c r="BK97" i="732"/>
  <c r="BK101" i="732" s="1"/>
  <c r="BK87" i="732"/>
  <c r="BK80" i="732"/>
  <c r="BK73" i="732"/>
  <c r="BK62" i="732"/>
  <c r="BK55" i="732"/>
  <c r="BK48" i="732"/>
  <c r="BK41" i="732"/>
  <c r="BK34" i="732"/>
  <c r="BK27" i="732"/>
  <c r="BK20" i="732"/>
  <c r="BK96" i="732"/>
  <c r="I13" i="732"/>
  <c r="J13" i="732" s="1"/>
  <c r="K13" i="732" s="1"/>
  <c r="L13" i="732" s="1"/>
  <c r="M13" i="732" s="1"/>
  <c r="N13" i="732" s="1"/>
  <c r="O13" i="732" s="1"/>
  <c r="P13" i="732" s="1"/>
  <c r="Q13" i="732" s="1"/>
  <c r="R13" i="732" s="1"/>
  <c r="S13" i="732" s="1"/>
  <c r="T13" i="732" s="1"/>
  <c r="U13" i="732" s="1"/>
  <c r="V13" i="732" s="1"/>
  <c r="W13" i="732" s="1"/>
  <c r="X13" i="732" s="1"/>
  <c r="Y13" i="732" s="1"/>
  <c r="Z13" i="732" s="1"/>
  <c r="AA13" i="732" s="1"/>
  <c r="AB13" i="732" s="1"/>
  <c r="AC13" i="732" s="1"/>
  <c r="AD13" i="732" s="1"/>
  <c r="AE13" i="732" s="1"/>
  <c r="AF13" i="732" l="1"/>
  <c r="AG13" i="732" s="1"/>
  <c r="AH13" i="732" s="1"/>
  <c r="AI13" i="732" s="1"/>
  <c r="AJ13" i="732" s="1"/>
  <c r="AK13" i="732" s="1"/>
  <c r="AL13" i="732" s="1"/>
  <c r="AM13" i="732" s="1"/>
  <c r="AN13" i="732" s="1"/>
  <c r="AO13" i="732" s="1"/>
  <c r="AP13" i="732" s="1"/>
  <c r="AQ13" i="732" s="1"/>
  <c r="AR13" i="732" s="1"/>
  <c r="AS13" i="732" s="1"/>
  <c r="AT13" i="732" s="1"/>
  <c r="AU13" i="732" s="1"/>
  <c r="AV13" i="732" s="1"/>
  <c r="AW13" i="732" s="1"/>
  <c r="AX13" i="732" s="1"/>
  <c r="AY13" i="732" s="1"/>
  <c r="AZ13" i="732" s="1"/>
  <c r="BA13" i="732" s="1"/>
  <c r="BB13" i="732" s="1"/>
  <c r="BC13" i="732" s="1"/>
  <c r="BD13" i="732" s="1"/>
  <c r="BE13" i="732" s="1"/>
  <c r="BF13" i="732" s="1"/>
  <c r="BG13" i="732" s="1"/>
  <c r="BH13" i="732" s="1"/>
  <c r="H9" i="732"/>
  <c r="BK108" i="731"/>
  <c r="BK112" i="731" s="1"/>
  <c r="BK98" i="731"/>
  <c r="BK91" i="731"/>
  <c r="BK84" i="731"/>
  <c r="BK77" i="731"/>
  <c r="BK70" i="731"/>
  <c r="BK63" i="731"/>
  <c r="BK56" i="731"/>
  <c r="BK49" i="731"/>
  <c r="BK42" i="731"/>
  <c r="BK35" i="731"/>
  <c r="BK107" i="731"/>
  <c r="J13" i="731"/>
  <c r="K13" i="731" s="1"/>
  <c r="L13" i="731" s="1"/>
  <c r="M13" i="731" s="1"/>
  <c r="N13" i="731" s="1"/>
  <c r="O13" i="731" s="1"/>
  <c r="P13" i="731" s="1"/>
  <c r="Q13" i="731" s="1"/>
  <c r="R13" i="731" s="1"/>
  <c r="S13" i="731" s="1"/>
  <c r="T13" i="731" s="1"/>
  <c r="U13" i="731" s="1"/>
  <c r="V13" i="731" s="1"/>
  <c r="W13" i="731" s="1"/>
  <c r="X13" i="731" s="1"/>
  <c r="Y13" i="731" s="1"/>
  <c r="Z13" i="731" s="1"/>
  <c r="AA13" i="731" s="1"/>
  <c r="AB13" i="731" s="1"/>
  <c r="AC13" i="731" s="1"/>
  <c r="AD13" i="731" s="1"/>
  <c r="AE13" i="731" s="1"/>
  <c r="I13" i="731"/>
  <c r="AF13" i="731" l="1"/>
  <c r="AG13" i="731" s="1"/>
  <c r="AH13" i="731" s="1"/>
  <c r="AI13" i="731" s="1"/>
  <c r="AJ13" i="731" s="1"/>
  <c r="AK13" i="731" s="1"/>
  <c r="AL13" i="731" s="1"/>
  <c r="AM13" i="731" s="1"/>
  <c r="AN13" i="731" s="1"/>
  <c r="AO13" i="731" s="1"/>
  <c r="AP13" i="731" s="1"/>
  <c r="AQ13" i="731" s="1"/>
  <c r="AR13" i="731" s="1"/>
  <c r="AS13" i="731" s="1"/>
  <c r="AT13" i="731" s="1"/>
  <c r="AU13" i="731" s="1"/>
  <c r="AV13" i="731" s="1"/>
  <c r="AW13" i="731" s="1"/>
  <c r="AX13" i="731" s="1"/>
  <c r="AY13" i="731" s="1"/>
  <c r="AZ13" i="731" s="1"/>
  <c r="BA13" i="731" s="1"/>
  <c r="BB13" i="731" s="1"/>
  <c r="BC13" i="731" s="1"/>
  <c r="BD13" i="731" s="1"/>
  <c r="BE13" i="731" s="1"/>
  <c r="BF13" i="731" s="1"/>
  <c r="BG13" i="731" s="1"/>
  <c r="BH13" i="731" s="1"/>
  <c r="H9" i="731"/>
  <c r="J3" i="163" l="1"/>
  <c r="R35" i="736" l="1"/>
  <c r="R34" i="736"/>
  <c r="R32" i="736"/>
  <c r="R31" i="736"/>
  <c r="R30" i="736"/>
  <c r="R29" i="736"/>
  <c r="R28" i="736"/>
  <c r="R27" i="736"/>
  <c r="R26" i="736"/>
  <c r="R33" i="736"/>
  <c r="R47" i="736"/>
  <c r="R46" i="736"/>
  <c r="R45" i="736"/>
  <c r="R44" i="736"/>
  <c r="R43" i="736"/>
  <c r="R42" i="736"/>
  <c r="R41" i="736"/>
  <c r="R40" i="736"/>
  <c r="R39" i="736"/>
  <c r="R38" i="736"/>
  <c r="R59" i="736"/>
  <c r="R58" i="736"/>
  <c r="R57" i="736"/>
  <c r="R55" i="736"/>
  <c r="R54" i="736"/>
  <c r="R53" i="736"/>
  <c r="R52" i="736"/>
  <c r="R51" i="736"/>
  <c r="R50" i="736"/>
  <c r="R56" i="736"/>
  <c r="R24" i="736"/>
  <c r="R23" i="736"/>
  <c r="R21" i="736"/>
  <c r="R19" i="736"/>
  <c r="R18" i="736"/>
  <c r="R16" i="736"/>
  <c r="R22" i="736"/>
  <c r="R20" i="736"/>
  <c r="R17" i="736"/>
  <c r="R12" i="736"/>
  <c r="R11" i="736"/>
  <c r="R10" i="736"/>
  <c r="R9" i="736"/>
  <c r="R8" i="736"/>
  <c r="R7" i="736"/>
  <c r="R6" i="736"/>
  <c r="R5" i="736"/>
  <c r="R4" i="736"/>
  <c r="BK92" i="385"/>
  <c r="S27" i="736" l="1"/>
  <c r="T27" i="736" s="1"/>
  <c r="S31" i="736"/>
  <c r="T31" i="736" s="1"/>
  <c r="S28" i="736"/>
  <c r="T28" i="736" s="1"/>
  <c r="S32" i="736"/>
  <c r="T32" i="736" s="1"/>
  <c r="S33" i="736"/>
  <c r="T33" i="736" s="1"/>
  <c r="S29" i="736"/>
  <c r="T29" i="736" s="1"/>
  <c r="S34" i="736"/>
  <c r="T34" i="736" s="1"/>
  <c r="R25" i="736"/>
  <c r="S26" i="736"/>
  <c r="S30" i="736"/>
  <c r="T30" i="736" s="1"/>
  <c r="S35" i="736"/>
  <c r="T35" i="736" s="1"/>
  <c r="S40" i="736"/>
  <c r="T40" i="736" s="1"/>
  <c r="S44" i="736"/>
  <c r="T44" i="736" s="1"/>
  <c r="S41" i="736"/>
  <c r="T41" i="736" s="1"/>
  <c r="S45" i="736"/>
  <c r="T45" i="736" s="1"/>
  <c r="R37" i="736"/>
  <c r="S38" i="736"/>
  <c r="S42" i="736"/>
  <c r="T42" i="736" s="1"/>
  <c r="S46" i="736"/>
  <c r="T46" i="736" s="1"/>
  <c r="S39" i="736"/>
  <c r="T39" i="736" s="1"/>
  <c r="S43" i="736"/>
  <c r="T43" i="736" s="1"/>
  <c r="S47" i="736"/>
  <c r="T47" i="736" s="1"/>
  <c r="S51" i="736"/>
  <c r="T51" i="736" s="1"/>
  <c r="S55" i="736"/>
  <c r="T55" i="736" s="1"/>
  <c r="S52" i="736"/>
  <c r="T52" i="736" s="1"/>
  <c r="S57" i="736"/>
  <c r="T57" i="736" s="1"/>
  <c r="S56" i="736"/>
  <c r="T56" i="736" s="1"/>
  <c r="S53" i="736"/>
  <c r="T53" i="736" s="1"/>
  <c r="S58" i="736"/>
  <c r="T58" i="736" s="1"/>
  <c r="R49" i="736"/>
  <c r="S50" i="736"/>
  <c r="T50" i="736" s="1"/>
  <c r="S54" i="736"/>
  <c r="T54" i="736" s="1"/>
  <c r="S59" i="736"/>
  <c r="T59" i="736" s="1"/>
  <c r="S5" i="736"/>
  <c r="T5" i="736" s="1"/>
  <c r="S9" i="736"/>
  <c r="T9" i="736" s="1"/>
  <c r="S17" i="736"/>
  <c r="T17" i="736" s="1"/>
  <c r="S18" i="736"/>
  <c r="T18" i="736" s="1"/>
  <c r="S24" i="736"/>
  <c r="T24" i="736" s="1"/>
  <c r="S6" i="736"/>
  <c r="T6" i="736" s="1"/>
  <c r="S10" i="736"/>
  <c r="T10" i="736" s="1"/>
  <c r="S20" i="736"/>
  <c r="T20" i="736" s="1"/>
  <c r="S19" i="736"/>
  <c r="T19" i="736" s="1"/>
  <c r="S7" i="736"/>
  <c r="T7" i="736" s="1"/>
  <c r="S11" i="736"/>
  <c r="T11" i="736" s="1"/>
  <c r="S22" i="736"/>
  <c r="T22" i="736" s="1"/>
  <c r="S21" i="736"/>
  <c r="T21" i="736" s="1"/>
  <c r="R13" i="736"/>
  <c r="S4" i="736"/>
  <c r="T4" i="736" s="1"/>
  <c r="S8" i="736"/>
  <c r="T8" i="736" s="1"/>
  <c r="S12" i="736"/>
  <c r="T12" i="736" s="1"/>
  <c r="R15" i="736"/>
  <c r="S16" i="736"/>
  <c r="S23" i="736"/>
  <c r="T23" i="736" s="1"/>
  <c r="D26" i="603"/>
  <c r="D38" i="603"/>
  <c r="S25" i="736" l="1"/>
  <c r="T26" i="736"/>
  <c r="T25" i="736" s="1"/>
  <c r="S37" i="736"/>
  <c r="T38" i="736"/>
  <c r="T37" i="736" s="1"/>
  <c r="T49" i="736"/>
  <c r="S49" i="736"/>
  <c r="S15" i="736"/>
  <c r="T13" i="736"/>
  <c r="S13" i="736"/>
  <c r="T16" i="736"/>
  <c r="T15" i="736" s="1"/>
  <c r="R38" i="603"/>
  <c r="R26" i="603"/>
  <c r="R23" i="603"/>
  <c r="R21" i="603"/>
  <c r="R25" i="603"/>
  <c r="R20" i="603"/>
  <c r="R36" i="603"/>
  <c r="R24" i="603"/>
  <c r="R19" i="603"/>
  <c r="R32" i="603"/>
  <c r="R17" i="603"/>
  <c r="R35" i="603"/>
  <c r="R31" i="603"/>
  <c r="R22" i="603"/>
  <c r="R18" i="603"/>
  <c r="R29" i="603"/>
  <c r="R34" i="603"/>
  <c r="R30" i="603"/>
  <c r="R37" i="603"/>
  <c r="R33" i="603"/>
  <c r="R4" i="603"/>
  <c r="R8" i="603"/>
  <c r="R5" i="603"/>
  <c r="R9" i="603"/>
  <c r="R6" i="603"/>
  <c r="R10" i="603"/>
  <c r="R12" i="603"/>
  <c r="R7" i="603"/>
  <c r="R11" i="603"/>
  <c r="E13" i="603"/>
  <c r="F13" i="603"/>
  <c r="G13" i="603"/>
  <c r="H13" i="603"/>
  <c r="I13" i="603"/>
  <c r="J13" i="603"/>
  <c r="K13" i="603"/>
  <c r="L13" i="603"/>
  <c r="M13" i="603"/>
  <c r="N13" i="603"/>
  <c r="O13" i="603"/>
  <c r="P13" i="603"/>
  <c r="Q13" i="603"/>
  <c r="D5" i="603"/>
  <c r="D6" i="603"/>
  <c r="D7" i="603"/>
  <c r="D8" i="603"/>
  <c r="D9" i="603"/>
  <c r="D10" i="603"/>
  <c r="D11" i="603"/>
  <c r="D12" i="603"/>
  <c r="D4" i="603"/>
  <c r="D18" i="603"/>
  <c r="D19" i="603"/>
  <c r="D20" i="603"/>
  <c r="D21" i="603"/>
  <c r="D22" i="603"/>
  <c r="D23" i="603"/>
  <c r="D24" i="603"/>
  <c r="D25" i="603"/>
  <c r="D17" i="603"/>
  <c r="G16" i="603"/>
  <c r="H16" i="603"/>
  <c r="I16" i="603"/>
  <c r="J16" i="603"/>
  <c r="K16" i="603"/>
  <c r="L16" i="603"/>
  <c r="M16" i="603"/>
  <c r="N16" i="603"/>
  <c r="O16" i="603"/>
  <c r="P16" i="603"/>
  <c r="Q16" i="603"/>
  <c r="F16" i="603"/>
  <c r="G28" i="603"/>
  <c r="H28" i="603"/>
  <c r="I28" i="603"/>
  <c r="J28" i="603"/>
  <c r="K28" i="603"/>
  <c r="L28" i="603"/>
  <c r="M28" i="603"/>
  <c r="N28" i="603"/>
  <c r="O28" i="603"/>
  <c r="P28" i="603"/>
  <c r="Q28" i="603"/>
  <c r="D30" i="603"/>
  <c r="D31" i="603"/>
  <c r="D32" i="603"/>
  <c r="D33" i="603"/>
  <c r="D34" i="603"/>
  <c r="D35" i="603"/>
  <c r="D36" i="603"/>
  <c r="D37" i="603"/>
  <c r="D29" i="603"/>
  <c r="F28" i="603"/>
  <c r="S11" i="603" l="1"/>
  <c r="T11" i="603" s="1"/>
  <c r="S4" i="603"/>
  <c r="T4" i="603" s="1"/>
  <c r="S31" i="603"/>
  <c r="T31" i="603" s="1"/>
  <c r="S19" i="603"/>
  <c r="T19" i="603" s="1"/>
  <c r="S25" i="603"/>
  <c r="T25" i="603" s="1"/>
  <c r="D13" i="603"/>
  <c r="S33" i="603"/>
  <c r="T33" i="603" s="1"/>
  <c r="S29" i="603"/>
  <c r="T29" i="603" s="1"/>
  <c r="S35" i="603"/>
  <c r="T35" i="603" s="1"/>
  <c r="S24" i="603"/>
  <c r="T24" i="603" s="1"/>
  <c r="S21" i="603"/>
  <c r="T21" i="603" s="1"/>
  <c r="S37" i="603"/>
  <c r="T37" i="603" s="1"/>
  <c r="S18" i="603"/>
  <c r="T18" i="603" s="1"/>
  <c r="S17" i="603"/>
  <c r="T17" i="603" s="1"/>
  <c r="S36" i="603"/>
  <c r="T36" i="603" s="1"/>
  <c r="S23" i="603"/>
  <c r="T23" i="603" s="1"/>
  <c r="S34" i="603"/>
  <c r="T34" i="603" s="1"/>
  <c r="D16" i="603"/>
  <c r="S22" i="603"/>
  <c r="T22" i="603" s="1"/>
  <c r="S32" i="603"/>
  <c r="T32" i="603" s="1"/>
  <c r="S20" i="603"/>
  <c r="T20" i="603" s="1"/>
  <c r="S38" i="603"/>
  <c r="T38" i="603" s="1"/>
  <c r="S26" i="603"/>
  <c r="T26" i="603" s="1"/>
  <c r="R16" i="603"/>
  <c r="R28" i="603"/>
  <c r="S30" i="603"/>
  <c r="S6" i="603"/>
  <c r="T6" i="603" s="1"/>
  <c r="S12" i="603"/>
  <c r="T12" i="603" s="1"/>
  <c r="S9" i="603"/>
  <c r="T9" i="603" s="1"/>
  <c r="S8" i="603"/>
  <c r="T8" i="603" s="1"/>
  <c r="R13" i="603"/>
  <c r="S5" i="603"/>
  <c r="T5" i="603" s="1"/>
  <c r="S7" i="603"/>
  <c r="T7" i="603" s="1"/>
  <c r="S10" i="603"/>
  <c r="T10" i="603" s="1"/>
  <c r="D28" i="603"/>
  <c r="S28" i="603" l="1"/>
  <c r="S16" i="603"/>
  <c r="T16" i="603"/>
  <c r="T13" i="603"/>
  <c r="T30" i="603"/>
  <c r="T28" i="603" s="1"/>
  <c r="S13" i="603"/>
  <c r="H14" i="486" l="1"/>
  <c r="BK97" i="385" l="1"/>
  <c r="I13" i="385" l="1"/>
  <c r="J13" i="385" s="1"/>
  <c r="K13" i="385" s="1"/>
  <c r="L13" i="385" s="1"/>
  <c r="M13" i="385" s="1"/>
  <c r="N13" i="385" s="1"/>
  <c r="O13" i="385" s="1"/>
  <c r="P13" i="385" s="1"/>
  <c r="Q13" i="385" s="1"/>
  <c r="R13" i="385" s="1"/>
  <c r="S13" i="385" s="1"/>
  <c r="T13" i="385" s="1"/>
  <c r="U13" i="385" s="1"/>
  <c r="V13" i="385" s="1"/>
  <c r="W13" i="385" s="1"/>
  <c r="X13" i="385" s="1"/>
  <c r="Y13" i="385" s="1"/>
  <c r="Z13" i="385" s="1"/>
  <c r="AA13" i="385" s="1"/>
  <c r="AB13" i="385" s="1"/>
  <c r="AC13" i="385" s="1"/>
  <c r="AD13" i="385" s="1"/>
  <c r="AE13" i="385" s="1"/>
  <c r="H9" i="385" l="1"/>
  <c r="AF13" i="385"/>
  <c r="AG13" i="385" s="1"/>
  <c r="AH13" i="385" s="1"/>
  <c r="AI13" i="385" s="1"/>
  <c r="AJ13" i="385" s="1"/>
  <c r="AK13" i="385" s="1"/>
  <c r="AL13" i="385" s="1"/>
  <c r="AM13" i="385" s="1"/>
  <c r="AN13" i="385" s="1"/>
  <c r="AO13" i="385" s="1"/>
  <c r="AP13" i="385" s="1"/>
  <c r="AQ13" i="385" s="1"/>
  <c r="AR13" i="385" s="1"/>
  <c r="AS13" i="385" s="1"/>
  <c r="AT13" i="385" s="1"/>
  <c r="AU13" i="385" s="1"/>
  <c r="AV13" i="385" s="1"/>
  <c r="AW13" i="385" s="1"/>
  <c r="AX13" i="385" s="1"/>
  <c r="AY13" i="385" s="1"/>
  <c r="AZ13" i="385" s="1"/>
  <c r="BA13" i="385" s="1"/>
  <c r="BB13" i="385" s="1"/>
  <c r="BC13" i="385" s="1"/>
  <c r="BD13" i="385" s="1"/>
  <c r="BE13" i="385" s="1"/>
  <c r="BF13" i="385" s="1"/>
  <c r="BG13" i="385" s="1"/>
  <c r="BH13" i="385" s="1"/>
  <c r="BP34" i="255" l="1"/>
  <c r="BP40" i="255" s="1"/>
  <c r="BK6" i="255"/>
  <c r="AS10" i="255"/>
  <c r="AJ34" i="255"/>
  <c r="AL34" i="255"/>
  <c r="AJ9" i="255"/>
  <c r="AG20" i="255"/>
  <c r="AG34" i="255"/>
  <c r="BY41" i="255"/>
  <c r="AD41" i="255"/>
  <c r="BZ39" i="255"/>
  <c r="BY39" i="255"/>
  <c r="BX39" i="255"/>
  <c r="BZ38" i="255"/>
  <c r="BY38" i="255"/>
  <c r="BX38" i="255"/>
  <c r="BR37" i="255"/>
  <c r="BQ37" i="255"/>
  <c r="AL37" i="255"/>
  <c r="AK37" i="255"/>
  <c r="BZ36" i="255"/>
  <c r="Z36" i="255" s="1"/>
  <c r="AA36" i="255" s="1"/>
  <c r="BY36" i="255"/>
  <c r="BX36" i="255"/>
  <c r="Y36" i="255" s="1"/>
  <c r="BZ35" i="255"/>
  <c r="BY35" i="255"/>
  <c r="BX35" i="255"/>
  <c r="BU34" i="255"/>
  <c r="BU40" i="255" s="1"/>
  <c r="BR34" i="255"/>
  <c r="BO34" i="255"/>
  <c r="BO40" i="255" s="1"/>
  <c r="BL34" i="255"/>
  <c r="BJ34" i="255"/>
  <c r="BJ40" i="255" s="1"/>
  <c r="BI34" i="255"/>
  <c r="BI40" i="255" s="1"/>
  <c r="BG34" i="255"/>
  <c r="BF34" i="255"/>
  <c r="BE34" i="255"/>
  <c r="AQ34" i="255"/>
  <c r="AK34" i="255"/>
  <c r="AI34" i="255"/>
  <c r="AH34" i="255"/>
  <c r="AF34" i="255"/>
  <c r="AE34" i="255"/>
  <c r="AD34" i="255"/>
  <c r="S34" i="255"/>
  <c r="BZ33" i="255"/>
  <c r="BY33" i="255"/>
  <c r="BX33" i="255"/>
  <c r="BZ32" i="255"/>
  <c r="BY32" i="255"/>
  <c r="BX32" i="255"/>
  <c r="BZ31" i="255"/>
  <c r="BY31" i="255"/>
  <c r="BX31" i="255"/>
  <c r="BZ30" i="255"/>
  <c r="BY30" i="255"/>
  <c r="BX30" i="255"/>
  <c r="BZ29" i="255"/>
  <c r="BY29" i="255"/>
  <c r="BX29" i="255"/>
  <c r="BZ28" i="255"/>
  <c r="BY28" i="255"/>
  <c r="BX28" i="255"/>
  <c r="BZ27" i="255"/>
  <c r="BY27" i="255"/>
  <c r="BX27" i="255"/>
  <c r="S27" i="255"/>
  <c r="BZ26" i="255"/>
  <c r="Z26" i="255" s="1"/>
  <c r="BY26" i="255"/>
  <c r="BX26" i="255"/>
  <c r="Y26" i="255" s="1"/>
  <c r="BZ25" i="255"/>
  <c r="BY25" i="255"/>
  <c r="BX25" i="255"/>
  <c r="S25" i="255"/>
  <c r="BZ24" i="255"/>
  <c r="BY24" i="255"/>
  <c r="BX24" i="255"/>
  <c r="BZ23" i="255"/>
  <c r="BY23" i="255"/>
  <c r="BX23" i="255"/>
  <c r="BZ22" i="255"/>
  <c r="BY22" i="255"/>
  <c r="BX22" i="255"/>
  <c r="AZ21" i="255"/>
  <c r="BY21" i="255" s="1"/>
  <c r="BR20" i="255"/>
  <c r="BF20" i="255"/>
  <c r="AZ20" i="255"/>
  <c r="AX20" i="255"/>
  <c r="AW20" i="255"/>
  <c r="AU20" i="255"/>
  <c r="AT20" i="255"/>
  <c r="AS20" i="255"/>
  <c r="AN20" i="255"/>
  <c r="AK20" i="255"/>
  <c r="AH20" i="255"/>
  <c r="AF20" i="255"/>
  <c r="AE20" i="255"/>
  <c r="AD20" i="255"/>
  <c r="S20" i="255"/>
  <c r="BZ19" i="255"/>
  <c r="Z19" i="255" s="1"/>
  <c r="AA19" i="255" s="1"/>
  <c r="BY19" i="255"/>
  <c r="BX19" i="255"/>
  <c r="Y19" i="255" s="1"/>
  <c r="S19" i="255"/>
  <c r="BR18" i="255"/>
  <c r="BF18" i="255"/>
  <c r="AW18" i="255"/>
  <c r="AT18" i="255"/>
  <c r="AQ18" i="255"/>
  <c r="AN18" i="255"/>
  <c r="AM18" i="255"/>
  <c r="S18" i="255"/>
  <c r="BG17" i="255"/>
  <c r="BZ17" i="255" s="1"/>
  <c r="Z17" i="255" s="1"/>
  <c r="AA17" i="255" s="1"/>
  <c r="BF17" i="255"/>
  <c r="BY17" i="255" s="1"/>
  <c r="BE17" i="255"/>
  <c r="BX17" i="255" s="1"/>
  <c r="Y17" i="255" s="1"/>
  <c r="S17" i="255"/>
  <c r="BZ16" i="255"/>
  <c r="Z16" i="255" s="1"/>
  <c r="AA16" i="255" s="1"/>
  <c r="BY16" i="255"/>
  <c r="BX16" i="255"/>
  <c r="Y16" i="255" s="1"/>
  <c r="BZ15" i="255"/>
  <c r="Z15" i="255" s="1"/>
  <c r="AA15" i="255" s="1"/>
  <c r="BY15" i="255"/>
  <c r="BX15" i="255"/>
  <c r="Y15" i="255" s="1"/>
  <c r="BZ14" i="255"/>
  <c r="BY14" i="255"/>
  <c r="BX14" i="255"/>
  <c r="BZ13" i="255"/>
  <c r="BY13" i="255"/>
  <c r="BX13" i="255"/>
  <c r="BD12" i="255"/>
  <c r="BD40" i="255" s="1"/>
  <c r="BC12" i="255"/>
  <c r="BC40" i="255" s="1"/>
  <c r="AX12" i="255"/>
  <c r="AW12" i="255"/>
  <c r="AV12" i="255"/>
  <c r="AT12" i="255"/>
  <c r="AL12" i="255"/>
  <c r="AK12" i="255"/>
  <c r="AJ12" i="255"/>
  <c r="S12" i="255"/>
  <c r="BZ11" i="255"/>
  <c r="Z11" i="255" s="1"/>
  <c r="AA11" i="255" s="1"/>
  <c r="BY11" i="255"/>
  <c r="BX11" i="255"/>
  <c r="Y11" i="255" s="1"/>
  <c r="S11" i="255"/>
  <c r="AT10" i="255"/>
  <c r="AL10" i="255"/>
  <c r="AK10" i="255"/>
  <c r="AJ10" i="255"/>
  <c r="AF10" i="255"/>
  <c r="AE10" i="255"/>
  <c r="AD10" i="255"/>
  <c r="S10" i="255"/>
  <c r="BR9" i="255"/>
  <c r="AW9" i="255"/>
  <c r="AR9" i="255"/>
  <c r="AQ9" i="255"/>
  <c r="AN9" i="255"/>
  <c r="AK9" i="255"/>
  <c r="S9" i="255"/>
  <c r="BZ8" i="255"/>
  <c r="Z8" i="255" s="1"/>
  <c r="AA8" i="255" s="1"/>
  <c r="BY8" i="255"/>
  <c r="BX8" i="255"/>
  <c r="Y8" i="255" s="1"/>
  <c r="S8" i="255"/>
  <c r="BR7" i="255"/>
  <c r="AL7" i="255"/>
  <c r="AK7" i="255"/>
  <c r="AJ7" i="255"/>
  <c r="S7" i="255"/>
  <c r="BR6" i="255"/>
  <c r="BL6" i="255"/>
  <c r="BF6" i="255"/>
  <c r="AW6" i="255"/>
  <c r="AU6" i="255"/>
  <c r="AU40" i="255" s="1"/>
  <c r="AT6" i="255"/>
  <c r="AT40" i="255" s="1"/>
  <c r="AS6" i="255"/>
  <c r="AS40" i="255" s="1"/>
  <c r="AQ6" i="255"/>
  <c r="AK6" i="255"/>
  <c r="AH6" i="255"/>
  <c r="AF6" i="255"/>
  <c r="AF40" i="255" s="1"/>
  <c r="AE6" i="255"/>
  <c r="AE40" i="255" s="1"/>
  <c r="AD6" i="255"/>
  <c r="AD40" i="255" s="1"/>
  <c r="S6" i="255"/>
  <c r="H30" i="305"/>
  <c r="H15" i="305"/>
  <c r="H20" i="305"/>
  <c r="H4" i="305"/>
  <c r="H5" i="305" s="1"/>
  <c r="AJ37" i="255"/>
  <c r="BY10" i="255" l="1"/>
  <c r="AX6" i="255"/>
  <c r="AD42" i="255"/>
  <c r="AV20" i="255"/>
  <c r="AP9" i="255"/>
  <c r="AP18" i="255"/>
  <c r="BQ6" i="255"/>
  <c r="AV6" i="255"/>
  <c r="AR34" i="255"/>
  <c r="AP34" i="255"/>
  <c r="BS37" i="255"/>
  <c r="BZ37" i="255" s="1"/>
  <c r="Z37" i="255" s="1"/>
  <c r="BS7" i="255"/>
  <c r="BZ7" i="255" s="1"/>
  <c r="Z7" i="255" s="1"/>
  <c r="AA7" i="255" s="1"/>
  <c r="AI20" i="255"/>
  <c r="AG6" i="255"/>
  <c r="AG40" i="255" s="1"/>
  <c r="BK41" i="255"/>
  <c r="BX37" i="255"/>
  <c r="Y37" i="255" s="1"/>
  <c r="AH40" i="255"/>
  <c r="AM9" i="255"/>
  <c r="AS12" i="255"/>
  <c r="AM20" i="255"/>
  <c r="AG41" i="255"/>
  <c r="BQ7" i="255"/>
  <c r="BX7" i="255" s="1"/>
  <c r="Y7" i="255" s="1"/>
  <c r="BT34" i="255"/>
  <c r="BT40" i="255" s="1"/>
  <c r="AW40" i="255"/>
  <c r="BA20" i="255"/>
  <c r="BH34" i="255"/>
  <c r="BH40" i="255" s="1"/>
  <c r="BL40" i="255"/>
  <c r="BK34" i="255"/>
  <c r="BK40" i="255" s="1"/>
  <c r="BT41" i="255"/>
  <c r="AJ41" i="255"/>
  <c r="AJ6" i="255"/>
  <c r="AJ40" i="255" s="1"/>
  <c r="AJ20" i="255"/>
  <c r="BD41" i="255"/>
  <c r="BD42" i="255" s="1"/>
  <c r="AZ40" i="255"/>
  <c r="BQ20" i="255"/>
  <c r="BH41" i="255"/>
  <c r="BY6" i="255"/>
  <c r="BS34" i="255"/>
  <c r="AY41" i="255"/>
  <c r="AM41" i="255"/>
  <c r="BE6" i="255"/>
  <c r="BE40" i="255" s="1"/>
  <c r="AY20" i="255"/>
  <c r="AP41" i="255"/>
  <c r="AP6" i="255"/>
  <c r="AP40" i="255" s="1"/>
  <c r="AR18" i="255"/>
  <c r="BA21" i="255"/>
  <c r="BB12" i="255"/>
  <c r="BB40" i="255" s="1"/>
  <c r="BB41" i="255"/>
  <c r="BM34" i="255"/>
  <c r="AI6" i="255"/>
  <c r="AR6" i="255"/>
  <c r="BE20" i="255"/>
  <c r="BN41" i="255"/>
  <c r="BN34" i="255"/>
  <c r="BN40" i="255" s="1"/>
  <c r="AV18" i="255"/>
  <c r="AY21" i="255"/>
  <c r="BX21" i="255" s="1"/>
  <c r="Y21" i="255" s="1"/>
  <c r="BM6" i="255"/>
  <c r="AV41" i="255"/>
  <c r="AV9" i="255"/>
  <c r="BJ41" i="255"/>
  <c r="BJ42" i="255" s="1"/>
  <c r="AQ40" i="255"/>
  <c r="AN40" i="255"/>
  <c r="BQ9" i="255"/>
  <c r="BQ34" i="255"/>
  <c r="AF41" i="255"/>
  <c r="AF42" i="255" s="1"/>
  <c r="AS41" i="255"/>
  <c r="AS42" i="255" s="1"/>
  <c r="BG6" i="255"/>
  <c r="BG40" i="255" s="1"/>
  <c r="BE41" i="255"/>
  <c r="BE18" i="255"/>
  <c r="BG18" i="255"/>
  <c r="AO18" i="255"/>
  <c r="AO9" i="255"/>
  <c r="AO20" i="255"/>
  <c r="BY12" i="255"/>
  <c r="BX10" i="255"/>
  <c r="Y10" i="255" s="1"/>
  <c r="AS18" i="255"/>
  <c r="BY18" i="255"/>
  <c r="H32" i="305"/>
  <c r="BY34" i="255"/>
  <c r="BY37" i="255"/>
  <c r="BY9" i="255"/>
  <c r="BS20" i="255"/>
  <c r="BQ41" i="255"/>
  <c r="BS18" i="255"/>
  <c r="BQ18" i="255"/>
  <c r="BY7" i="255"/>
  <c r="BR40" i="255"/>
  <c r="BS6" i="255"/>
  <c r="BF40" i="255"/>
  <c r="AK40" i="255"/>
  <c r="AL6" i="255"/>
  <c r="AL20" i="255"/>
  <c r="BY20" i="255"/>
  <c r="BV34" i="255"/>
  <c r="AU10" i="255"/>
  <c r="BZ10" i="255" s="1"/>
  <c r="Z10" i="255" s="1"/>
  <c r="AA10" i="255" s="1"/>
  <c r="AU18" i="255"/>
  <c r="AU12" i="255"/>
  <c r="BZ12" i="255" s="1"/>
  <c r="Z12" i="255" s="1"/>
  <c r="AA12" i="255" s="1"/>
  <c r="BK42" i="255" l="1"/>
  <c r="BH42" i="255"/>
  <c r="BE42" i="255"/>
  <c r="AG42" i="255"/>
  <c r="AV40" i="255"/>
  <c r="AV42" i="255" s="1"/>
  <c r="AM40" i="255"/>
  <c r="AM42" i="255" s="1"/>
  <c r="AI40" i="255"/>
  <c r="BX9" i="255"/>
  <c r="Y9" i="255" s="1"/>
  <c r="BV41" i="255"/>
  <c r="AI41" i="255"/>
  <c r="BT42" i="255"/>
  <c r="AY40" i="255"/>
  <c r="AY42" i="255" s="1"/>
  <c r="BX20" i="255"/>
  <c r="Y20" i="255" s="1"/>
  <c r="BX34" i="255"/>
  <c r="Y34" i="255" s="1"/>
  <c r="BM40" i="255"/>
  <c r="BX6" i="255"/>
  <c r="Y6" i="255" s="1"/>
  <c r="AJ42" i="255"/>
  <c r="BB42" i="255"/>
  <c r="BP41" i="255"/>
  <c r="BP42" i="255" s="1"/>
  <c r="BZ21" i="255"/>
  <c r="Z21" i="255" s="1"/>
  <c r="BA40" i="255"/>
  <c r="BX12" i="255"/>
  <c r="Y12" i="255" s="1"/>
  <c r="BQ40" i="255"/>
  <c r="BQ42" i="255" s="1"/>
  <c r="AX18" i="255"/>
  <c r="BZ18" i="255" s="1"/>
  <c r="Z18" i="255" s="1"/>
  <c r="AA18" i="255" s="1"/>
  <c r="BG20" i="255"/>
  <c r="AR40" i="255"/>
  <c r="AX9" i="255"/>
  <c r="BN42" i="255"/>
  <c r="AP42" i="255"/>
  <c r="BM41" i="255"/>
  <c r="AR41" i="255"/>
  <c r="BS9" i="255"/>
  <c r="BS40" i="255" s="1"/>
  <c r="AL9" i="255"/>
  <c r="BA41" i="255"/>
  <c r="BX41" i="255"/>
  <c r="BG41" i="255"/>
  <c r="BG42" i="255" s="1"/>
  <c r="AO41" i="255"/>
  <c r="AO40" i="255"/>
  <c r="BY40" i="255"/>
  <c r="BX18" i="255"/>
  <c r="Y18" i="255" s="1"/>
  <c r="BZ20" i="255"/>
  <c r="Z20" i="255" s="1"/>
  <c r="AA20" i="255" s="1"/>
  <c r="BS41" i="255"/>
  <c r="BZ6" i="255"/>
  <c r="Z6" i="255" s="1"/>
  <c r="AA6" i="255" s="1"/>
  <c r="AL40" i="255"/>
  <c r="AL41" i="255"/>
  <c r="BV40" i="255"/>
  <c r="BZ34" i="255"/>
  <c r="Z34" i="255" s="1"/>
  <c r="AA34" i="255" s="1"/>
  <c r="AU41" i="255"/>
  <c r="AR42" i="255" l="1"/>
  <c r="BM42" i="255"/>
  <c r="AI42" i="255"/>
  <c r="BX40" i="255"/>
  <c r="BX42" i="255" s="1"/>
  <c r="BA42" i="255"/>
  <c r="AX40" i="255"/>
  <c r="BZ40" i="255" s="1"/>
  <c r="AX41" i="255"/>
  <c r="BZ9" i="255"/>
  <c r="Z9" i="255" s="1"/>
  <c r="AA9" i="255" s="1"/>
  <c r="AO42" i="255"/>
  <c r="BS42" i="255"/>
  <c r="AL42" i="255"/>
  <c r="BV42" i="255"/>
  <c r="AU42" i="255"/>
  <c r="AX42" i="255" l="1"/>
  <c r="BZ41" i="255"/>
  <c r="BZ42" i="255" s="1"/>
  <c r="BZ44" i="255" s="1"/>
</calcChain>
</file>

<file path=xl/comments1.xml><?xml version="1.0" encoding="utf-8"?>
<comments xmlns="http://schemas.openxmlformats.org/spreadsheetml/2006/main">
  <authors>
    <author>Mariela Duarte</author>
    <author>German Guttner</author>
  </authors>
  <commentList>
    <comment ref="P6" authorId="0" shapeId="0">
      <text>
        <r>
          <rPr>
            <b/>
            <sz val="9"/>
            <color indexed="81"/>
            <rFont val="Tahoma"/>
            <family val="2"/>
          </rPr>
          <t>Mariela Duarte:</t>
        </r>
        <r>
          <rPr>
            <sz val="9"/>
            <color indexed="81"/>
            <rFont val="Tahoma"/>
            <family val="2"/>
          </rPr>
          <t xml:space="preserve">
PREMIUM
IMPAR PRIMER TERCIO $ 2.422.500</t>
        </r>
      </text>
    </comment>
    <comment ref="U6" authorId="1" shapeId="0">
      <text>
        <r>
          <rPr>
            <sz val="9"/>
            <color indexed="81"/>
            <rFont val="Tahoma"/>
            <family val="2"/>
          </rPr>
          <t>VIP
$ 1,742,500</t>
        </r>
        <r>
          <rPr>
            <sz val="9"/>
            <color indexed="81"/>
            <rFont val="Tahoma"/>
            <family val="2"/>
          </rPr>
          <t xml:space="preserve">
</t>
        </r>
      </text>
    </comment>
    <comment ref="V6" authorId="0" shapeId="0">
      <text>
        <r>
          <rPr>
            <sz val="9"/>
            <color indexed="81"/>
            <rFont val="Tahoma"/>
            <family val="2"/>
          </rPr>
          <t xml:space="preserve">PREMIUM
$ 2.507.500
</t>
        </r>
      </text>
    </comment>
    <comment ref="O10" authorId="0" shapeId="0">
      <text>
        <r>
          <rPr>
            <b/>
            <sz val="9"/>
            <color indexed="81"/>
            <rFont val="Tahoma"/>
            <family val="2"/>
          </rPr>
          <t>Mariela Duarte:</t>
        </r>
        <r>
          <rPr>
            <sz val="9"/>
            <color indexed="81"/>
            <rFont val="Tahoma"/>
            <family val="2"/>
          </rPr>
          <t xml:space="preserve">
FRENTE A CONTENIDO
</t>
        </r>
      </text>
    </comment>
    <comment ref="U10" authorId="0" shapeId="0">
      <text>
        <r>
          <rPr>
            <sz val="9"/>
            <color indexed="81"/>
            <rFont val="Tahoma"/>
            <family val="2"/>
          </rPr>
          <t xml:space="preserve">FRENTE A CONTENIDO
</t>
        </r>
      </text>
    </comment>
    <comment ref="U18" authorId="1" shapeId="0">
      <text>
        <r>
          <rPr>
            <b/>
            <sz val="9"/>
            <color indexed="81"/>
            <rFont val="Tahoma"/>
            <family val="2"/>
          </rPr>
          <t>IMPAR PRIMER TERCIO / ED LUJO $900.000</t>
        </r>
      </text>
    </comment>
    <comment ref="V18" authorId="1" shapeId="0">
      <text>
        <r>
          <rPr>
            <b/>
            <sz val="9"/>
            <color indexed="81"/>
            <rFont val="Tahoma"/>
            <family val="2"/>
          </rPr>
          <t>P. DOBLE PRIMER TERCIO / ED LUJO $1.850.000</t>
        </r>
      </text>
    </comment>
    <comment ref="W19" authorId="1" shapeId="0">
      <text>
        <r>
          <rPr>
            <b/>
            <sz val="9"/>
            <color indexed="81"/>
            <rFont val="Tahoma"/>
            <family val="2"/>
          </rPr>
          <t>Portada Inglesa</t>
        </r>
      </text>
    </comment>
  </commentList>
</comments>
</file>

<file path=xl/sharedStrings.xml><?xml version="1.0" encoding="utf-8"?>
<sst xmlns="http://schemas.openxmlformats.org/spreadsheetml/2006/main" count="1552" uniqueCount="299">
  <si>
    <t>Soporte</t>
  </si>
  <si>
    <t>Formato</t>
  </si>
  <si>
    <t>REVISTAS</t>
  </si>
  <si>
    <t xml:space="preserve"> </t>
  </si>
  <si>
    <t>DIFERENCIA</t>
  </si>
  <si>
    <t>Especial</t>
  </si>
  <si>
    <t>Cliente:</t>
  </si>
  <si>
    <t>Ubicación</t>
  </si>
  <si>
    <t>Casa:</t>
  </si>
  <si>
    <t>PAULA</t>
  </si>
  <si>
    <t>CARAS</t>
  </si>
  <si>
    <t>MARCA</t>
  </si>
  <si>
    <t>COSAS</t>
  </si>
  <si>
    <t>QUE PASA</t>
  </si>
  <si>
    <t>VANIDADES</t>
  </si>
  <si>
    <t>HOLA</t>
  </si>
  <si>
    <t>CAPITAL</t>
  </si>
  <si>
    <t>COSMOPOLITAN</t>
  </si>
  <si>
    <t>LÍNEAS</t>
  </si>
  <si>
    <t>MEDIOS</t>
  </si>
  <si>
    <t>L</t>
  </si>
  <si>
    <t>Abril</t>
  </si>
  <si>
    <t>Mayo</t>
  </si>
  <si>
    <t>N° Avisos</t>
  </si>
  <si>
    <t>SUPLEMENTOS</t>
  </si>
  <si>
    <t>Noviembre</t>
  </si>
  <si>
    <t>Septiembre</t>
  </si>
  <si>
    <t>Octubre</t>
  </si>
  <si>
    <t>Marzo</t>
  </si>
  <si>
    <t>Diciembre</t>
  </si>
  <si>
    <t>VIP</t>
  </si>
  <si>
    <t>Junio</t>
  </si>
  <si>
    <t>Julio</t>
  </si>
  <si>
    <t>Agosto</t>
  </si>
  <si>
    <t>TV</t>
  </si>
  <si>
    <t>Radio</t>
  </si>
  <si>
    <t>Report</t>
  </si>
  <si>
    <t>ED</t>
  </si>
  <si>
    <t>GQ</t>
  </si>
  <si>
    <t>Rockaxis</t>
  </si>
  <si>
    <t>Closer</t>
  </si>
  <si>
    <t>Antilope</t>
  </si>
  <si>
    <t>The Clinic</t>
  </si>
  <si>
    <t>Mosso</t>
  </si>
  <si>
    <t>Invictus</t>
  </si>
  <si>
    <t>M ABC1C2 18-35</t>
  </si>
  <si>
    <t>PRENSA</t>
  </si>
  <si>
    <t>RADIO</t>
  </si>
  <si>
    <t>Tarifa</t>
  </si>
  <si>
    <t>Inversión</t>
  </si>
  <si>
    <t>Lectoría Target</t>
  </si>
  <si>
    <t>Perfil</t>
  </si>
  <si>
    <t>Pág Simple</t>
  </si>
  <si>
    <t>OBJETIVO</t>
  </si>
  <si>
    <t>Circulación</t>
  </si>
  <si>
    <t>Lectoría Total</t>
  </si>
  <si>
    <t>M ABC1C2 25-59</t>
  </si>
  <si>
    <t>H ABC1C2 25-59</t>
  </si>
  <si>
    <t>Sexo</t>
  </si>
  <si>
    <t>Edad</t>
  </si>
  <si>
    <t>GSE</t>
  </si>
  <si>
    <t>Impar 1er Tercio</t>
  </si>
  <si>
    <t>P. Doble</t>
  </si>
  <si>
    <t>2da Tapa + 1ra</t>
  </si>
  <si>
    <t>4° Tapa</t>
  </si>
  <si>
    <t>Uni</t>
  </si>
  <si>
    <t>$</t>
  </si>
  <si>
    <t>Comentarios</t>
  </si>
  <si>
    <t>A</t>
  </si>
  <si>
    <t>Construir Marca</t>
  </si>
  <si>
    <t>M</t>
  </si>
  <si>
    <t>25-54</t>
  </si>
  <si>
    <t>ABC1C2</t>
  </si>
  <si>
    <t>C2C3</t>
  </si>
  <si>
    <t>B</t>
  </si>
  <si>
    <t>Difusión</t>
  </si>
  <si>
    <t>40-54</t>
  </si>
  <si>
    <t>HM</t>
  </si>
  <si>
    <t>25-75</t>
  </si>
  <si>
    <t>25-39</t>
  </si>
  <si>
    <t>H</t>
  </si>
  <si>
    <t>TÚ</t>
  </si>
  <si>
    <t>12-24</t>
  </si>
  <si>
    <t>C3D</t>
  </si>
  <si>
    <t>SEVENTEEN</t>
  </si>
  <si>
    <t>C2-D</t>
  </si>
  <si>
    <t>Call to action</t>
  </si>
  <si>
    <t>Sábado/El Mercurio (S)</t>
  </si>
  <si>
    <t>Mujer/La Tercera (D)</t>
  </si>
  <si>
    <t>YA/El Mercurio (M)</t>
  </si>
  <si>
    <t>Wikén/El Mercurio</t>
  </si>
  <si>
    <t>40-75</t>
  </si>
  <si>
    <t>Revista M/Lun</t>
  </si>
  <si>
    <t>La Hora Mujeres</t>
  </si>
  <si>
    <t>12-39</t>
  </si>
  <si>
    <t>NICHO</t>
  </si>
  <si>
    <t>Llegar a públicos específicos</t>
  </si>
  <si>
    <t xml:space="preserve">Vogue </t>
  </si>
  <si>
    <t>X</t>
  </si>
  <si>
    <t>CIRCULACIÓN ENTREGADA POR EL MEDIO, NO AUDITADA</t>
  </si>
  <si>
    <t>NO EXISTE MEDICIÓN</t>
  </si>
  <si>
    <t>Monsieur</t>
  </si>
  <si>
    <t>MT/La Tercera</t>
  </si>
  <si>
    <t>Mujer Publimetro</t>
  </si>
  <si>
    <t>Issue</t>
  </si>
  <si>
    <t>SML</t>
  </si>
  <si>
    <t>Digital</t>
  </si>
  <si>
    <t>Prensa</t>
  </si>
  <si>
    <t>Black XS</t>
  </si>
  <si>
    <t>Quincenal</t>
  </si>
  <si>
    <t>Semanal</t>
  </si>
  <si>
    <t>Mensual</t>
  </si>
  <si>
    <t>Febrero</t>
  </si>
  <si>
    <t>Diario</t>
  </si>
  <si>
    <t>CH MB</t>
  </si>
  <si>
    <t>Harper's Bazaar</t>
  </si>
  <si>
    <t>ABC1</t>
  </si>
  <si>
    <t>25-55</t>
  </si>
  <si>
    <t>28-45</t>
  </si>
  <si>
    <t>Management Society</t>
  </si>
  <si>
    <t>35-65</t>
  </si>
  <si>
    <t>Fuente Circulación (Valida)</t>
  </si>
  <si>
    <t>Enero-Diciembre Revistas</t>
  </si>
  <si>
    <t>Julio-Diciembre Suplementos</t>
  </si>
  <si>
    <t>TOTALES</t>
  </si>
  <si>
    <t>% Variación</t>
  </si>
  <si>
    <t>Periodicidad</t>
  </si>
  <si>
    <t>Trimestral</t>
  </si>
  <si>
    <t>Bimestral</t>
  </si>
  <si>
    <t>MEDIOS REGIONALES</t>
  </si>
  <si>
    <t>212 Vip Rose</t>
  </si>
  <si>
    <t>212 Vip Men</t>
  </si>
  <si>
    <t>TOTAL</t>
  </si>
  <si>
    <t>Deportes/El Mercurio</t>
  </si>
  <si>
    <t>VIA PUBLICA</t>
  </si>
  <si>
    <t>DIGITAL</t>
  </si>
  <si>
    <t>OTROS</t>
  </si>
  <si>
    <t>Otros</t>
  </si>
  <si>
    <t>Suplementos</t>
  </si>
  <si>
    <t>Cine</t>
  </si>
  <si>
    <t>CINE</t>
  </si>
  <si>
    <t>Revistas</t>
  </si>
  <si>
    <t>Comision</t>
  </si>
  <si>
    <t>PUIG</t>
  </si>
  <si>
    <t>HAVAS</t>
  </si>
  <si>
    <t>Presupuesto</t>
  </si>
  <si>
    <t>Campaña</t>
  </si>
  <si>
    <t>Marca</t>
  </si>
  <si>
    <t>Enero</t>
  </si>
  <si>
    <t>Live Irresistible EDT</t>
  </si>
  <si>
    <t>SALDO</t>
  </si>
  <si>
    <t>COMPARTIDOS</t>
  </si>
  <si>
    <t>Good Girl</t>
  </si>
  <si>
    <t>L'Extase EDP</t>
  </si>
  <si>
    <t>Nina Luna</t>
  </si>
  <si>
    <t>Olympea</t>
  </si>
  <si>
    <t>JPG MB</t>
  </si>
  <si>
    <t>MEDIO</t>
  </si>
  <si>
    <t>SOPORTE</t>
  </si>
  <si>
    <t>UBICACIÓN</t>
  </si>
  <si>
    <t>FORMATO</t>
  </si>
  <si>
    <t>VALOR PUIG</t>
  </si>
  <si>
    <t>REVISTA</t>
  </si>
  <si>
    <t>Impar primer tercio</t>
  </si>
  <si>
    <t>Doble página</t>
  </si>
  <si>
    <t>Página simple</t>
  </si>
  <si>
    <t>Contraportada</t>
  </si>
  <si>
    <t>4ta tapa</t>
  </si>
  <si>
    <t>2da tapa + 1ra impar</t>
  </si>
  <si>
    <t>HARPER'S</t>
  </si>
  <si>
    <t>Página Simple</t>
  </si>
  <si>
    <t>Doble Página</t>
  </si>
  <si>
    <t>Doble página Premium</t>
  </si>
  <si>
    <t>Página simple VIP</t>
  </si>
  <si>
    <t>MT</t>
  </si>
  <si>
    <t>REPORT</t>
  </si>
  <si>
    <t>SUPLEMENTO</t>
  </si>
  <si>
    <t>YA</t>
  </si>
  <si>
    <t>YA COLECCIÓN</t>
  </si>
  <si>
    <t>MUJER LA TERCERA</t>
  </si>
  <si>
    <t>Doble página / Ed Lujo</t>
  </si>
  <si>
    <t>Página simple / Ed Lujo</t>
  </si>
  <si>
    <t>SÁBADO</t>
  </si>
  <si>
    <t>Madres</t>
  </si>
  <si>
    <t>Doble Página Premium</t>
  </si>
  <si>
    <t>Día de la Madre</t>
  </si>
  <si>
    <t>4ta Tapa</t>
  </si>
  <si>
    <t>Extra Hombres</t>
  </si>
  <si>
    <t>Red Issue</t>
  </si>
  <si>
    <t>Primera Doble</t>
  </si>
  <si>
    <t>Extra Estilo &amp; Lujo</t>
  </si>
  <si>
    <t>Navidad</t>
  </si>
  <si>
    <t>Moda y Belleza para el Papá</t>
  </si>
  <si>
    <t>Guía de Regalos Express</t>
  </si>
  <si>
    <t xml:space="preserve">Verano: Moda y Cuidados de la Piel </t>
  </si>
  <si>
    <t>FECHA</t>
  </si>
  <si>
    <t>ESPECIAL</t>
  </si>
  <si>
    <t>MARCA ASIGNADA</t>
  </si>
  <si>
    <t>VALOR</t>
  </si>
  <si>
    <t>STATUS</t>
  </si>
  <si>
    <t>HARPER'S BAZAAR</t>
  </si>
  <si>
    <t>Reserva ok</t>
  </si>
  <si>
    <t>Mamá</t>
  </si>
  <si>
    <t>Segunda Doble</t>
  </si>
  <si>
    <t>Guía de Compras</t>
  </si>
  <si>
    <t>Lujo</t>
  </si>
  <si>
    <t xml:space="preserve"> Navidad </t>
  </si>
  <si>
    <t>COMPROMETIDO 2016 REVISTAS Y SUPLEMENTOS</t>
  </si>
  <si>
    <t>Estos valores corresponden si se aumenta la inversión del 2015</t>
  </si>
  <si>
    <t>CH Christmas</t>
  </si>
  <si>
    <t>Classique</t>
  </si>
  <si>
    <t>Le Male</t>
  </si>
  <si>
    <t>212 Vip Rosé</t>
  </si>
  <si>
    <t>Tercera Doble</t>
  </si>
  <si>
    <t>Million Privé MB</t>
  </si>
  <si>
    <t>Million Prive MB</t>
  </si>
  <si>
    <t xml:space="preserve">Reserva ok </t>
  </si>
  <si>
    <t>Ene</t>
  </si>
  <si>
    <t>Feb</t>
  </si>
  <si>
    <t>Mar</t>
  </si>
  <si>
    <t>Abr</t>
  </si>
  <si>
    <t>May</t>
  </si>
  <si>
    <t>Jun</t>
  </si>
  <si>
    <t>Jul</t>
  </si>
  <si>
    <t>Ago</t>
  </si>
  <si>
    <t>Oct</t>
  </si>
  <si>
    <t>Nov</t>
  </si>
  <si>
    <t>Dic</t>
  </si>
  <si>
    <t>YTD</t>
  </si>
  <si>
    <t>YTG</t>
  </si>
  <si>
    <t>RESUMEN POR MEDIOS</t>
  </si>
  <si>
    <t>Tv</t>
  </si>
  <si>
    <t>VP</t>
  </si>
  <si>
    <t>RESUMEN POR MARCA Y MEDIO</t>
  </si>
  <si>
    <t>Dada de baja</t>
  </si>
  <si>
    <t>COMISION AGENCIA</t>
  </si>
  <si>
    <t>Marca:</t>
  </si>
  <si>
    <t>Producto:</t>
  </si>
  <si>
    <t>Target:</t>
  </si>
  <si>
    <t>Campaña:</t>
  </si>
  <si>
    <t>Valor Neto Total</t>
  </si>
  <si>
    <t>Valor Negociado Neto</t>
  </si>
  <si>
    <t>TOTAL INVERSION 2017</t>
  </si>
  <si>
    <t>PRESUPUESTO 2017</t>
  </si>
  <si>
    <t>Comision digital</t>
  </si>
  <si>
    <t>Comision otros medios</t>
  </si>
  <si>
    <t>SI</t>
  </si>
  <si>
    <t>NO</t>
  </si>
  <si>
    <t>Casilla1</t>
  </si>
  <si>
    <t>Casilla2</t>
  </si>
  <si>
    <t>PRODUCCION</t>
  </si>
  <si>
    <t>PPTO Anual</t>
  </si>
  <si>
    <t>PPTO Recortado</t>
  </si>
  <si>
    <t>Sept</t>
  </si>
  <si>
    <t>EXTERNO</t>
  </si>
  <si>
    <t>Palabra Original</t>
  </si>
  <si>
    <t>Palabra Modificacion</t>
  </si>
  <si>
    <t>TOTAL PPTO 2017</t>
  </si>
  <si>
    <t>fecha inicio</t>
  </si>
  <si>
    <t>fecha fin</t>
  </si>
  <si>
    <t>ejemplo : DD-MM-AAAA</t>
  </si>
  <si>
    <t>CANAL 13</t>
  </si>
  <si>
    <t>Pauta Libre</t>
  </si>
  <si>
    <t>Spot 30''</t>
  </si>
  <si>
    <t>MEGAVISION</t>
  </si>
  <si>
    <t>HUINCHA</t>
  </si>
  <si>
    <t>MENCION</t>
  </si>
  <si>
    <t>ROS</t>
  </si>
  <si>
    <t>YOUTUBE</t>
  </si>
  <si>
    <t>Puig</t>
  </si>
  <si>
    <t>Auspicio TELETRECE A.M.</t>
  </si>
  <si>
    <t>PRESENTACION</t>
  </si>
  <si>
    <t>CIERRE</t>
  </si>
  <si>
    <t>Auspicio EL TIEMPO TARDE</t>
  </si>
  <si>
    <t>Auspicio TIEMPO, EL</t>
  </si>
  <si>
    <t>Spot 20''</t>
  </si>
  <si>
    <t>Auspicio VERTIGO</t>
  </si>
  <si>
    <t>CORTINA</t>
  </si>
  <si>
    <t>Auspicio AHORA NOTICIAS ED. MATINAL</t>
  </si>
  <si>
    <t>Carolina Herrera</t>
  </si>
  <si>
    <t>M 25-49 Abc1c2</t>
  </si>
  <si>
    <t>17 al 12</t>
  </si>
  <si>
    <t>24 al 12</t>
  </si>
  <si>
    <t>17 al 14</t>
  </si>
  <si>
    <t>27 al 11</t>
  </si>
  <si>
    <t>24 al 28</t>
  </si>
  <si>
    <t>Video Masthead</t>
  </si>
  <si>
    <t>Home</t>
  </si>
  <si>
    <t>FIX</t>
  </si>
  <si>
    <t>Masthead mobile</t>
  </si>
  <si>
    <t>True-view spot</t>
  </si>
  <si>
    <t>CPV</t>
  </si>
  <si>
    <t>Colors versions (4) - True-view</t>
  </si>
  <si>
    <t>Colors</t>
  </si>
  <si>
    <t>Puig Havas Cl</t>
  </si>
  <si>
    <t>Benetton</t>
  </si>
  <si>
    <t xml:space="preserve">F 18-35 </t>
  </si>
  <si>
    <t>Colors Maintenance Md</t>
  </si>
  <si>
    <t>10 al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</si>
</sst>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8">
    <numFmt numFmtId="6" formatCode="&quot;$&quot;\ #,##0;[Red]\-&quot;$&quot;\ #,##0"/>
    <numFmt numFmtId="7" formatCode="&quot;$&quot;\ #,##0.00;\-&quot;$&quot;\ #,##0.00"/>
    <numFmt numFmtId="42" formatCode="_-&quot;$&quot;\ * #,##0_-;\-&quot;$&quot;\ * #,##0_-;_-&quot;$&quot;\ * &quot;-&quot;_-;_-@_-"/>
    <numFmt numFmtId="41" formatCode="_-* #,##0_-;\-* #,##0_-;_-* &quot;-&quot;_-;_-@_-"/>
    <numFmt numFmtId="44" formatCode="_-&quot;$&quot;\ * #,##0.00_-;\-&quot;$&quot;\ * #,##0.00_-;_-&quot;$&quot;\ * &quot;-&quot;??_-;_-@_-"/>
    <numFmt numFmtId="43" formatCode="_-* #,##0.00_-;\-* #,##0.00_-;_-* &quot;-&quot;??_-;_-@_-"/>
    <numFmt numFmtId="164" formatCode="&quot;$&quot;#,##0;[Red]\-&quot;$&quot;#,##0"/>
    <numFmt numFmtId="165" formatCode="&quot;$&quot;#,##0.00;\-&quot;$&quot;#,##0.00"/>
    <numFmt numFmtId="166" formatCode="&quot;$&quot;#,##0.00;&quot;$&quot;\-#,##0.00"/>
    <numFmt numFmtId="167" formatCode="_ * #,##0.00_ ;_ * \-#,##0.00_ ;_ * &quot;-&quot;??_ ;_ @_ "/>
    <numFmt numFmtId="168" formatCode="_-&quot;$&quot;\ * #,##0_-;\-&quot;$&quot;\ * #,##0_-;_-&quot;$&quot;\ * &quot;-&quot;??_-;_-@_-"/>
    <numFmt numFmtId="169" formatCode="0.0"/>
    <numFmt numFmtId="170" formatCode="&quot;$&quot;#,##0_);[Red]\(&quot;$&quot;#,##0\)"/>
    <numFmt numFmtId="171" formatCode="_-* #,##0.00\ [$€]_-;\-* #,##0.00\ [$€]_-;_-* &quot;-&quot;??\ [$€]_-;_-@_-"/>
    <numFmt numFmtId="172" formatCode="_-* #,##0_-;\-* #,##0_-;_-* &quot;-&quot;??_-;_-@_-"/>
    <numFmt numFmtId="173" formatCode="0.0%"/>
    <numFmt numFmtId="174" formatCode="0.0000000"/>
    <numFmt numFmtId="175" formatCode="_-* #,##0.00\ &quot;€&quot;_-;\-* #,##0.00\ &quot;€&quot;_-;_-* &quot;-&quot;??\ &quot;€&quot;_-;_-@_-"/>
    <numFmt numFmtId="176" formatCode="&quot;Activado&quot;;&quot;Activado&quot;;&quot;Desactivado&quot;"/>
    <numFmt numFmtId="177" formatCode="_-* #,##0.00\ _€_-;\-* #,##0.00\ _€_-;_-* &quot;-&quot;??\ _€_-;_-@_-"/>
    <numFmt numFmtId="178" formatCode="_(* #,##0.00_);_(* \(#,##0.00\);_(* &quot;-&quot;??_);_(@_)"/>
    <numFmt numFmtId="179" formatCode="[$-F800]dddd\,\ mmmm\ dd\,\ yyyy"/>
    <numFmt numFmtId="180" formatCode="#,##0.0"/>
    <numFmt numFmtId="181" formatCode="[$-F400]h:mm:ss\ AM/PM"/>
    <numFmt numFmtId="182" formatCode="ddd"/>
    <numFmt numFmtId="183" formatCode="_-* #,##0.0_-;\-* #,##0.0_-;_-* &quot;-&quot;??_-;_-@_-"/>
    <numFmt numFmtId="184" formatCode="_-&quot;R$ &quot;* #,##0.00_-;\-&quot;R$ &quot;* #,##0.00_-;_-&quot;R$ &quot;* &quot;-&quot;??_-;_-@_-"/>
    <numFmt numFmtId="185" formatCode="0.00_)"/>
    <numFmt numFmtId="186" formatCode="_-* #,##0\ _B_F_-;\-* #,##0\ _B_F_-;_-* &quot;-&quot;\ _B_F_-;_-@_-"/>
    <numFmt numFmtId="187" formatCode="_-* #,##0\ _P_t_s_-;\-* #,##0\ _P_t_s_-;_-* &quot;-&quot;\ _P_t_s_-;_-@_-"/>
    <numFmt numFmtId="188" formatCode="_-[$€-2]\ * #,##0.00_-;\-[$€-2]\ * #,##0.00_-;_-[$€-2]\ * &quot;-&quot;??_-"/>
    <numFmt numFmtId="189" formatCode="_-&quot;$&quot;\ * #,##0.0_-;\-&quot;$&quot;\ * #,##0.0_-;_-&quot;$&quot;\ * &quot;-&quot;?_-;_-@_-"/>
    <numFmt numFmtId="190" formatCode="_([$€]* #,##0.00_);_([$€]* \(#,##0.00\);_([$€]* &quot;-&quot;??_);_(@_)"/>
    <numFmt numFmtId="191" formatCode="_-[$$-340A]\ * #,##0_-;\-[$$-340A]\ * #,##0_-;_-[$$-340A]\ * &quot;-&quot;??_-;_-@_-"/>
    <numFmt numFmtId="192" formatCode="_ * #,##0_ ;_ * &quot;\&quot;&quot;\&quot;&quot;\&quot;\-#,##0_ ;_ * &quot;-&quot;_ ;_ @_ "/>
    <numFmt numFmtId="193" formatCode="&quot;R$ &quot;#,##0;\-&quot;R$ &quot;#,##0"/>
    <numFmt numFmtId="194" formatCode="#,##0.00\ &quot;F&quot;;[Red]\-#,##0.00\ &quot;F&quot;"/>
    <numFmt numFmtId="195" formatCode="_-&quot;IR£&quot;* #,##0.00_-;\-&quot;IR£&quot;* #,##0.00_-;_-&quot;IR£&quot;* &quot;-&quot;??_-;_-@_-"/>
    <numFmt numFmtId="196" formatCode="_-* #,##0.0000_-;\-* #,##0.0000_-;_-* &quot;-&quot;????_-;_-@_-"/>
    <numFmt numFmtId="197" formatCode="#,##0,_);\(#,##0,\)"/>
    <numFmt numFmtId="198" formatCode="_-&quot;IR£&quot;* #,##0_-;\-&quot;IR£&quot;* #,##0_-;_-&quot;IR£&quot;* &quot;-&quot;_-;_-@_-"/>
    <numFmt numFmtId="199" formatCode="&quot;$&quot;#,##0_);\(&quot;$&quot;#,##0\)"/>
    <numFmt numFmtId="200" formatCode="_(&quot;R$ &quot;* #,##0.00_);_(&quot;R$ &quot;* &quot;\&quot;&quot;\&quot;&quot;\&quot;&quot;\&quot;\(#,##0.00&quot;\&quot;&quot;\&quot;&quot;\&quot;&quot;\&quot;\);_(&quot;R$ &quot;* &quot;-&quot;??_);_(@_)"/>
    <numFmt numFmtId="201" formatCode="0_&quot;*&quot;"/>
    <numFmt numFmtId="202" formatCode="&quot;R$ &quot;#,##0.00_);[Red]&quot;\&quot;&quot;\&quot;&quot;\&quot;\(&quot;R$ &quot;#,##0.00&quot;\&quot;&quot;\&quot;&quot;\&quot;\)"/>
    <numFmt numFmtId="203" formatCode="_-&quot;N$&quot;* #,##0.00_-;\-&quot;N$&quot;* #,##0.00_-;_-&quot;N$&quot;* &quot;-&quot;??_-;_-@_-"/>
    <numFmt numFmtId="204" formatCode="#,##0;[Red]&quot;(&quot;#,##0&quot;)&quot;"/>
    <numFmt numFmtId="205" formatCode="_-* #,##0\ _F_-;\-* #,##0\ _F_-;_-* &quot;-&quot;\ _F_-;_-@_-"/>
    <numFmt numFmtId="206" formatCode="_-* #,##0.00\ _F_-;\-* #,##0.00\ _F_-;_-* &quot;-&quot;??\ _F_-;_-@_-"/>
    <numFmt numFmtId="207" formatCode="_(* #,##0_);_(* &quot;\&quot;&quot;\&quot;&quot;\&quot;\(#,##0&quot;\&quot;&quot;\&quot;&quot;\&quot;\);_(* &quot;-&quot;_);_(@_)"/>
    <numFmt numFmtId="208" formatCode="_-* #,##0.00\ _z_ł_-;\-* #,##0.00\ _z_ł_-;_-* &quot;-&quot;??\ _z_ł_-;_-@_-"/>
    <numFmt numFmtId="209" formatCode="##,##0"/>
    <numFmt numFmtId="210" formatCode="_-[$€]\ * #,##0.00_-;\-[$€]\ * #,##0.00_-;_-[$€]\ * &quot;-&quot;??_-;_-@_-"/>
    <numFmt numFmtId="211" formatCode="&quot;R$ &quot;#,##0_);&quot;\&quot;&quot;\&quot;&quot;\&quot;&quot;\&quot;\(&quot;R$ &quot;#,##0&quot;\&quot;&quot;\&quot;&quot;\&quot;&quot;\&quot;\)"/>
    <numFmt numFmtId="212" formatCode="####0.0000"/>
    <numFmt numFmtId="213" formatCode="_-* #,##0\ _p_t_a_-;\-* #,##0\ _p_t_a_-;_-* &quot;-&quot;\ _p_t_a_-;_-@_-"/>
    <numFmt numFmtId="214" formatCode="mmmm\ d\,\ yyyy"/>
    <numFmt numFmtId="215" formatCode="_-* #,##0.00\ _P_t_s_-;\-* #,##0.00\ _P_t_s_-;_-* &quot;-&quot;??\ _P_t_s_-;_-@_-"/>
    <numFmt numFmtId="216" formatCode="mmmm\ d\,\ \y\y\y\y"/>
    <numFmt numFmtId="217" formatCode="#,##0;[Red]#,##0"/>
    <numFmt numFmtId="218" formatCode="_-* #,##0.00\ _$_-;\-* #,##0.00\ _$_-;_-* &quot;-&quot;??\ _$_-;_-@_-"/>
    <numFmt numFmtId="219" formatCode="&quot;L.&quot;\ #,##0.00;[Red]\-&quot;L.&quot;\ #,##0.00"/>
    <numFmt numFmtId="220" formatCode="mmm\ dd\.\ yyyy"/>
    <numFmt numFmtId="221" formatCode="_-&quot;£&quot;* #,##0_-;\-&quot;£&quot;* #,##0_-;_-&quot;£&quot;* &quot;-&quot;_-;_-@_-"/>
    <numFmt numFmtId="222" formatCode="_-&quot;£&quot;* #,##0.00_-;\-&quot;£&quot;* #,##0.00_-;_-&quot;£&quot;* &quot;-&quot;??_-;_-@_-"/>
    <numFmt numFmtId="223" formatCode="_-&quot;Rs.&quot;* #,##0_-;\-&quot;Rs.&quot;* #,##0_-;_-&quot;Rs.&quot;* &quot;-&quot;_-;_-@_-"/>
    <numFmt numFmtId="224" formatCode="_-&quot;Rs.&quot;* #,##0.00_-;\-&quot;Rs.&quot;* #,##0.00_-;_-&quot;Rs.&quot;* &quot;-&quot;??_-;_-@_-"/>
    <numFmt numFmtId="225" formatCode="_(&quot;$&quot;\ * #,##0_);_(&quot;$&quot;\ * \(#,##0\);_(&quot;$&quot;\ * &quot;-&quot;_);_(@_)"/>
    <numFmt numFmtId="226" formatCode="_-* #,##0.00\ &quot;pta&quot;_-;\-* #,##0.00\ &quot;pta&quot;_-;_-* &quot;-&quot;??\ &quot;pta&quot;_-;_-@_-"/>
    <numFmt numFmtId="227" formatCode="_-* #,##0.00\ &quot;Pts&quot;_-;\-* #,##0.00\ &quot;Pts&quot;_-;_-* &quot;-&quot;??\ &quot;Pts&quot;_-;_-@_-"/>
    <numFmt numFmtId="228" formatCode="_ &quot;$&quot;\ * #,##0.00_ ;_ &quot;$&quot;\ * \-#,##0.00_ ;_ &quot;$&quot;\ * &quot;-&quot;??_ ;_ @_ "/>
    <numFmt numFmtId="229" formatCode="_(&quot;R$&quot;* #,##0.00_);_(&quot;R$&quot;* \(#,##0.00\);_(&quot;R$&quot;* &quot;-&quot;??_);_(@_)"/>
    <numFmt numFmtId="230" formatCode="&quot;L.&quot;\ #,##0.00;\-&quot;L.&quot;\ #,##0.00"/>
    <numFmt numFmtId="231" formatCode="mmm"/>
    <numFmt numFmtId="232" formatCode="mmm\.yy"/>
    <numFmt numFmtId="233" formatCode="&quot;$&quot;\ #,##0"/>
    <numFmt numFmtId="234" formatCode="[$$-340A]\ #,##0.0"/>
    <numFmt numFmtId="235" formatCode="_ * #,##0.00_)&quot;£&quot;_ ;_ * \(#,##0.00\)&quot;£&quot;_ ;_ * &quot;-&quot;??_)&quot;£&quot;_ ;_ @_ "/>
    <numFmt numFmtId="236" formatCode="_-* #,##0_ _k_r_-;\-* #,##0_ _k_r_-;_-* &quot;-&quot;_ _k_r_-;_-@_-"/>
    <numFmt numFmtId="237" formatCode="_-* #,##0&quot; kr&quot;_-;\-* #,##0&quot; kr&quot;_-;_-* &quot;-&quot;&quot; kr&quot;_-;_-@_-"/>
    <numFmt numFmtId="238" formatCode="_-&quot;€&quot;\ * #,##0.00_-;\-&quot;€&quot;\ * #,##0.00_-;_-&quot;€&quot;\ * &quot;-&quot;??_-;_-@_-"/>
    <numFmt numFmtId="239" formatCode="&quot;N$&quot;#,##0.00_);\(&quot;N$&quot;#,##0.00\)"/>
    <numFmt numFmtId="240" formatCode="&quot;N$&quot;#,##0_);\(&quot;N$&quot;#,##0\)"/>
    <numFmt numFmtId="241" formatCode="#,##0.00\ &quot;€&quot;"/>
    <numFmt numFmtId="242" formatCode="[Black]#,##0;[Black]\-#,##0;"/>
    <numFmt numFmtId="243" formatCode="[Black]#,##0.0;[Black]\-#,##0.0;"/>
    <numFmt numFmtId="244" formatCode="[Black]#,##0.00;[Black]\-#,##0.00;"/>
    <numFmt numFmtId="245" formatCode="[White]#,##0;[White]\-#,##0;"/>
    <numFmt numFmtId="246" formatCode="[Black]0%;[Black]\-0%;"/>
    <numFmt numFmtId="247" formatCode="0000"/>
    <numFmt numFmtId="248" formatCode="#\ ##0.00"/>
    <numFmt numFmtId="249" formatCode="[$-407]General"/>
    <numFmt numFmtId="250" formatCode="\-\&gt;@\&lt;\-"/>
    <numFmt numFmtId="251" formatCode="[Black]#.#%;[Black]\-#.#%;"/>
    <numFmt numFmtId="252" formatCode="&quot;$&quot;#,##0.00_);\(&quot;$&quot;#,##0.00\)"/>
    <numFmt numFmtId="253" formatCode="####"/>
    <numFmt numFmtId="254" formatCode="[Red]#;[White]0;"/>
    <numFmt numFmtId="255" formatCode="[Black]\+#.#%;[Black]\-#.#%;"/>
    <numFmt numFmtId="256" formatCode="General_)"/>
    <numFmt numFmtId="257" formatCode="#,##0.00&quot; &quot;[$€-407];[Red]&quot;-&quot;#,##0.00&quot; &quot;[$€-407]"/>
    <numFmt numFmtId="258" formatCode="#,##0\ "/>
    <numFmt numFmtId="259" formatCode="#,##0.0\ "/>
    <numFmt numFmtId="260" formatCode="#,##0.00\ "/>
    <numFmt numFmtId="261" formatCode="#\ ##0"/>
    <numFmt numFmtId="262" formatCode="_-* #,##0.00\ &quot;DM&quot;_-;\-* #,##0.00\ &quot;DM&quot;_-;_-* &quot;-&quot;??\ &quot;DM&quot;_-;_-@_-"/>
    <numFmt numFmtId="263" formatCode="dd"/>
    <numFmt numFmtId="264" formatCode="yyyy"/>
    <numFmt numFmtId="265" formatCode="&quot;$&quot;#,##0"/>
  </numFmts>
  <fonts count="23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Courier"/>
      <family val="3"/>
    </font>
    <font>
      <sz val="16"/>
      <name val="Tms Rmn"/>
    </font>
    <font>
      <sz val="10"/>
      <name val="Geneva"/>
    </font>
    <font>
      <sz val="8"/>
      <name val="Arial"/>
      <family val="2"/>
    </font>
    <font>
      <sz val="16"/>
      <name val="Arial"/>
      <family val="2"/>
    </font>
    <font>
      <sz val="14"/>
      <name val="Arial"/>
      <family val="2"/>
    </font>
    <font>
      <sz val="48"/>
      <name val="Arial"/>
      <family val="2"/>
    </font>
    <font>
      <sz val="24"/>
      <name val="Arial"/>
      <family val="2"/>
    </font>
    <font>
      <b/>
      <sz val="24"/>
      <name val="Arial"/>
      <family val="2"/>
    </font>
    <font>
      <b/>
      <sz val="16"/>
      <name val="Arial"/>
      <family val="2"/>
    </font>
    <font>
      <sz val="16"/>
      <color indexed="63"/>
      <name val="Arial"/>
      <family val="2"/>
    </font>
    <font>
      <sz val="24"/>
      <color indexed="63"/>
      <name val="Arial"/>
      <family val="2"/>
    </font>
    <font>
      <b/>
      <sz val="24"/>
      <color indexed="63"/>
      <name val="Arial"/>
      <family val="2"/>
    </font>
    <font>
      <b/>
      <sz val="16"/>
      <color indexed="63"/>
      <name val="Arial"/>
      <family val="2"/>
    </font>
    <font>
      <sz val="20"/>
      <name val="Arial"/>
      <family val="2"/>
    </font>
    <font>
      <b/>
      <sz val="20"/>
      <name val="Arial"/>
      <family val="2"/>
    </font>
    <font>
      <b/>
      <u/>
      <sz val="16"/>
      <name val="Arial"/>
      <family val="2"/>
    </font>
    <font>
      <b/>
      <sz val="11"/>
      <color indexed="63"/>
      <name val="Arial"/>
      <family val="2"/>
    </font>
    <font>
      <sz val="10"/>
      <color indexed="63"/>
      <name val="Arial"/>
      <family val="2"/>
    </font>
    <font>
      <b/>
      <i/>
      <sz val="24"/>
      <name val="Arial"/>
      <family val="2"/>
    </font>
    <font>
      <b/>
      <i/>
      <sz val="14"/>
      <name val="Arial"/>
      <family val="2"/>
    </font>
    <font>
      <b/>
      <i/>
      <sz val="16"/>
      <name val="Arial"/>
      <family val="2"/>
    </font>
    <font>
      <sz val="10"/>
      <name val="Arial"/>
      <family val="2"/>
    </font>
    <font>
      <sz val="10"/>
      <color indexed="9"/>
      <name val="Arial"/>
      <family val="2"/>
    </font>
    <font>
      <sz val="16"/>
      <color indexed="9"/>
      <name val="Arial"/>
      <family val="2"/>
    </font>
    <font>
      <sz val="9"/>
      <color indexed="10"/>
      <name val="Geneva"/>
    </font>
    <font>
      <sz val="10"/>
      <name val="Arial"/>
      <family val="2"/>
    </font>
    <font>
      <b/>
      <sz val="10"/>
      <name val="Frutiger 47LightCn"/>
    </font>
    <font>
      <sz val="11"/>
      <color indexed="8"/>
      <name val="Calibri"/>
      <family val="2"/>
    </font>
    <font>
      <sz val="10"/>
      <color indexed="8"/>
      <name val="MS Sans Serif"/>
      <family val="2"/>
    </font>
    <font>
      <b/>
      <sz val="9"/>
      <color indexed="81"/>
      <name val="Tahoma"/>
      <family val="2"/>
    </font>
    <font>
      <sz val="11"/>
      <color theme="1"/>
      <name val="Calibri"/>
      <family val="2"/>
      <scheme val="minor"/>
    </font>
    <font>
      <sz val="9"/>
      <color indexed="81"/>
      <name val="Tahoma"/>
      <family val="2"/>
    </font>
    <font>
      <sz val="9"/>
      <color theme="1"/>
      <name val="Calibri"/>
      <family val="2"/>
      <scheme val="minor"/>
    </font>
    <font>
      <b/>
      <sz val="9"/>
      <color theme="1"/>
      <name val="Calibri"/>
      <family val="2"/>
      <scheme val="minor"/>
    </font>
    <font>
      <sz val="9"/>
      <color rgb="FFFF0000"/>
      <name val="Calibri"/>
      <family val="2"/>
      <scheme val="minor"/>
    </font>
    <font>
      <sz val="10"/>
      <name val="Calibri"/>
      <family val="2"/>
      <scheme val="minor"/>
    </font>
    <font>
      <i/>
      <sz val="9"/>
      <color theme="1"/>
      <name val="Calibri"/>
      <family val="2"/>
      <scheme val="minor"/>
    </font>
    <font>
      <b/>
      <sz val="10"/>
      <name val="Calibri"/>
      <family val="2"/>
      <scheme val="minor"/>
    </font>
    <font>
      <sz val="10"/>
      <color theme="0"/>
      <name val="Calibri"/>
      <family val="2"/>
      <scheme val="minor"/>
    </font>
    <font>
      <sz val="10"/>
      <name val="Verdana"/>
      <family val="2"/>
    </font>
    <font>
      <b/>
      <i/>
      <sz val="9"/>
      <color theme="1"/>
      <name val="Calibri"/>
      <family val="2"/>
      <scheme val="minor"/>
    </font>
    <font>
      <b/>
      <sz val="9"/>
      <color theme="0"/>
      <name val="Calibri"/>
      <family val="2"/>
      <scheme val="minor"/>
    </font>
    <font>
      <b/>
      <sz val="8"/>
      <color theme="0"/>
      <name val="Arial"/>
      <family val="2"/>
    </font>
    <font>
      <sz val="9"/>
      <color theme="0"/>
      <name val="Calibri"/>
      <family val="2"/>
      <scheme val="minor"/>
    </font>
    <font>
      <sz val="9"/>
      <color theme="1" tint="0.499984740745262"/>
      <name val="Calibri"/>
      <family val="2"/>
      <scheme val="minor"/>
    </font>
    <font>
      <sz val="11"/>
      <color rgb="FF000000"/>
      <name val="Calibri"/>
      <family val="2"/>
    </font>
    <font>
      <b/>
      <sz val="8"/>
      <color theme="0"/>
      <name val="Calibri"/>
      <family val="2"/>
      <scheme val="minor"/>
    </font>
    <font>
      <sz val="8"/>
      <name val="Calibri"/>
      <family val="2"/>
      <scheme val="minor"/>
    </font>
    <font>
      <sz val="8"/>
      <color theme="0"/>
      <name val="Calibri"/>
      <family val="2"/>
      <scheme val="minor"/>
    </font>
    <font>
      <b/>
      <sz val="8"/>
      <name val="Calibri"/>
      <family val="2"/>
      <scheme val="minor"/>
    </font>
    <font>
      <b/>
      <sz val="8"/>
      <color indexed="9"/>
      <name val="Calibri"/>
      <family val="2"/>
      <scheme val="minor"/>
    </font>
    <font>
      <sz val="8"/>
      <color indexed="9"/>
      <name val="Calibri"/>
      <family val="2"/>
      <scheme val="minor"/>
    </font>
    <font>
      <sz val="8"/>
      <name val="Calibri"/>
      <family val="2"/>
    </font>
    <font>
      <sz val="8"/>
      <color theme="1"/>
      <name val="Calibri"/>
      <family val="2"/>
      <scheme val="minor"/>
    </font>
    <font>
      <b/>
      <sz val="10"/>
      <name val="Verdana"/>
      <family val="2"/>
    </font>
    <font>
      <b/>
      <sz val="9"/>
      <name val="Calibri"/>
      <family val="2"/>
      <scheme val="minor"/>
    </font>
    <font>
      <sz val="9"/>
      <name val="Calibri"/>
      <family val="2"/>
      <scheme val="minor"/>
    </font>
    <font>
      <b/>
      <sz val="9"/>
      <color indexed="9"/>
      <name val="Calibri"/>
      <family val="2"/>
      <scheme val="minor"/>
    </font>
    <font>
      <i/>
      <sz val="9"/>
      <name val="Calibri"/>
      <family val="2"/>
      <scheme val="minor"/>
    </font>
    <font>
      <sz val="11"/>
      <color rgb="FF9C6500"/>
      <name val="Calibri"/>
      <family val="2"/>
      <scheme val="minor"/>
    </font>
    <font>
      <b/>
      <sz val="11"/>
      <color theme="1"/>
      <name val="Calibri"/>
      <family val="2"/>
      <scheme val="minor"/>
    </font>
    <font>
      <sz val="12"/>
      <name val="???"/>
      <family val="1"/>
      <charset val="129"/>
    </font>
    <font>
      <sz val="8"/>
      <color indexed="8"/>
      <name val="Arial"/>
      <family val="2"/>
    </font>
    <font>
      <sz val="11"/>
      <color indexed="9"/>
      <name val="Calibri"/>
      <family val="2"/>
    </font>
    <font>
      <sz val="12"/>
      <name val="Arial MT"/>
    </font>
    <font>
      <sz val="10"/>
      <name val="Helv"/>
    </font>
    <font>
      <sz val="8"/>
      <name val="Times New Roman"/>
      <family val="1"/>
    </font>
    <font>
      <b/>
      <sz val="11"/>
      <color indexed="63"/>
      <name val="Calibri"/>
      <family val="2"/>
    </font>
    <font>
      <sz val="11"/>
      <color indexed="20"/>
      <name val="Calibri"/>
      <family val="2"/>
    </font>
    <font>
      <b/>
      <sz val="9"/>
      <color indexed="0"/>
      <name val="Arial"/>
      <family val="2"/>
    </font>
    <font>
      <sz val="10"/>
      <name val="Tahoma"/>
      <family val="2"/>
    </font>
    <font>
      <sz val="9"/>
      <name val="Arial"/>
      <family val="2"/>
    </font>
    <font>
      <sz val="9"/>
      <color indexed="0"/>
      <name val="Arial"/>
      <family val="2"/>
    </font>
    <font>
      <b/>
      <sz val="11"/>
      <color indexed="52"/>
      <name val="Calibri"/>
      <family val="2"/>
    </font>
    <font>
      <sz val="10"/>
      <name val="Frutiger 47LightCn"/>
      <family val="2"/>
    </font>
    <font>
      <sz val="10"/>
      <name val="Frutiger 47LightCn"/>
    </font>
    <font>
      <sz val="11"/>
      <color indexed="17"/>
      <name val="Calibri"/>
      <family val="2"/>
    </font>
    <font>
      <b/>
      <sz val="10"/>
      <name val="MS Sans Serif"/>
      <family val="2"/>
    </font>
    <font>
      <b/>
      <sz val="10"/>
      <name val="Helv"/>
      <family val="2"/>
    </font>
    <font>
      <b/>
      <sz val="11"/>
      <color indexed="9"/>
      <name val="Calibri"/>
      <family val="2"/>
    </font>
    <font>
      <sz val="11"/>
      <color indexed="52"/>
      <name val="Calibri"/>
      <family val="2"/>
    </font>
    <font>
      <sz val="8"/>
      <color indexed="24"/>
      <name val="Modern"/>
      <family val="3"/>
      <charset val="255"/>
    </font>
    <font>
      <sz val="10"/>
      <name val="MS Serif"/>
      <family val="1"/>
    </font>
    <font>
      <sz val="10"/>
      <name val="MS Sans Serif"/>
      <family val="2"/>
    </font>
    <font>
      <sz val="8"/>
      <name val="MS Sans Serif"/>
      <family val="2"/>
    </font>
    <font>
      <b/>
      <sz val="9"/>
      <color indexed="2"/>
      <name val="Arial"/>
      <family val="2"/>
    </font>
    <font>
      <sz val="9"/>
      <color indexed="2"/>
      <name val="Arial"/>
      <family val="2"/>
    </font>
    <font>
      <sz val="10"/>
      <color indexed="8"/>
      <name val="Arial"/>
      <family val="2"/>
    </font>
    <font>
      <sz val="11"/>
      <color indexed="8"/>
      <name val="Czcionka tekstu podstawowego"/>
      <family val="2"/>
    </font>
    <font>
      <sz val="11"/>
      <color indexed="62"/>
      <name val="Calibri"/>
      <family val="2"/>
    </font>
    <font>
      <b/>
      <sz val="11"/>
      <color indexed="56"/>
      <name val="Calibri"/>
      <family val="2"/>
    </font>
    <font>
      <b/>
      <sz val="11"/>
      <color indexed="62"/>
      <name val="Calibri"/>
      <family val="2"/>
    </font>
    <font>
      <b/>
      <sz val="11"/>
      <color indexed="8"/>
      <name val="Calibri"/>
      <family val="2"/>
    </font>
    <font>
      <sz val="10"/>
      <color indexed="16"/>
      <name val="MS Serif"/>
      <family val="1"/>
    </font>
    <font>
      <i/>
      <sz val="11"/>
      <color indexed="23"/>
      <name val="Calibri"/>
      <family val="2"/>
    </font>
    <font>
      <u/>
      <sz val="10"/>
      <color indexed="36"/>
      <name val="Arial"/>
      <family val="2"/>
    </font>
    <font>
      <b/>
      <u/>
      <sz val="11"/>
      <color indexed="37"/>
      <name val="Arial"/>
      <family val="2"/>
    </font>
    <font>
      <b/>
      <sz val="12"/>
      <name val="Arial"/>
      <family val="2"/>
    </font>
    <font>
      <b/>
      <sz val="15"/>
      <color indexed="56"/>
      <name val="Calibri"/>
      <family val="2"/>
    </font>
    <font>
      <b/>
      <sz val="13"/>
      <color indexed="56"/>
      <name val="Calibri"/>
      <family val="2"/>
    </font>
    <font>
      <b/>
      <sz val="8"/>
      <name val="MS Sans Serif"/>
      <family val="2"/>
    </font>
    <font>
      <sz val="10"/>
      <color indexed="12"/>
      <name val="Arial"/>
      <family val="2"/>
    </font>
    <font>
      <u/>
      <sz val="10"/>
      <color theme="10"/>
      <name val="Arial"/>
      <family val="2"/>
    </font>
    <font>
      <u/>
      <sz val="11"/>
      <color theme="10"/>
      <name val="Calibri"/>
      <family val="2"/>
    </font>
    <font>
      <u/>
      <sz val="4.05"/>
      <color theme="10"/>
      <name val="Calibri"/>
      <family val="2"/>
    </font>
    <font>
      <u/>
      <sz val="10"/>
      <color indexed="12"/>
      <name val="Arial"/>
      <family val="2"/>
    </font>
    <font>
      <u/>
      <sz val="12"/>
      <color indexed="12"/>
      <name val="Arial Narrow"/>
      <family val="2"/>
    </font>
    <font>
      <sz val="7"/>
      <name val="Palatino"/>
      <family val="1"/>
    </font>
    <font>
      <sz val="9"/>
      <name val="Times New Roman"/>
      <family val="1"/>
    </font>
    <font>
      <sz val="10"/>
      <name val="Trebuchet MS"/>
      <family val="2"/>
    </font>
    <font>
      <sz val="11"/>
      <color indexed="60"/>
      <name val="Calibri"/>
      <family val="2"/>
    </font>
    <font>
      <sz val="10"/>
      <name val="Times New Roman"/>
      <family val="1"/>
    </font>
    <font>
      <sz val="7"/>
      <name val="Small Fonts"/>
      <family val="2"/>
    </font>
    <font>
      <sz val="8"/>
      <name val="Frutiger 67BoldCn"/>
    </font>
    <font>
      <sz val="10"/>
      <color theme="1"/>
      <name val="Calibri"/>
      <family val="2"/>
    </font>
    <font>
      <sz val="9"/>
      <color theme="1"/>
      <name val="Arial"/>
      <family val="2"/>
    </font>
    <font>
      <sz val="9"/>
      <name val="Geneva"/>
    </font>
    <font>
      <sz val="7"/>
      <color indexed="10"/>
      <name val="MS Sans Serif"/>
      <family val="2"/>
    </font>
    <font>
      <sz val="10"/>
      <name val="Tms Rmn"/>
    </font>
    <font>
      <b/>
      <sz val="10"/>
      <name val="Arial"/>
      <family val="2"/>
    </font>
    <font>
      <sz val="8"/>
      <name val="Helv"/>
    </font>
    <font>
      <b/>
      <sz val="10"/>
      <color indexed="8"/>
      <name val="Arial"/>
      <family val="2"/>
    </font>
    <font>
      <b/>
      <sz val="10"/>
      <color indexed="39"/>
      <name val="Arial"/>
      <family val="2"/>
    </font>
    <font>
      <b/>
      <sz val="12"/>
      <color indexed="8"/>
      <name val="Arial"/>
      <family val="2"/>
    </font>
    <font>
      <sz val="10"/>
      <color indexed="39"/>
      <name val="Arial"/>
      <family val="2"/>
    </font>
    <font>
      <sz val="19"/>
      <color indexed="48"/>
      <name val="Arial"/>
      <family val="2"/>
    </font>
    <font>
      <sz val="10"/>
      <color indexed="10"/>
      <name val="Arial"/>
      <family val="2"/>
    </font>
    <font>
      <b/>
      <sz val="8"/>
      <color indexed="8"/>
      <name val="Helv"/>
    </font>
    <font>
      <sz val="8"/>
      <name val="Comic Sans MS"/>
      <family val="4"/>
    </font>
    <font>
      <sz val="11"/>
      <color indexed="10"/>
      <name val="Calibri"/>
      <family val="2"/>
    </font>
    <font>
      <b/>
      <sz val="18"/>
      <color indexed="56"/>
      <name val="Cambria"/>
      <family val="2"/>
    </font>
    <font>
      <b/>
      <sz val="15"/>
      <color indexed="62"/>
      <name val="Calibri"/>
      <family val="2"/>
    </font>
    <font>
      <b/>
      <sz val="13"/>
      <color indexed="62"/>
      <name val="Calibri"/>
      <family val="2"/>
    </font>
    <font>
      <b/>
      <sz val="18"/>
      <color indexed="62"/>
      <name val="Cambria"/>
      <family val="2"/>
    </font>
    <font>
      <b/>
      <sz val="10"/>
      <name val="Frutiger 47LightCn"/>
      <family val="2"/>
    </font>
    <font>
      <sz val="10"/>
      <name val="Arial"/>
      <family val="2"/>
      <charset val="204"/>
    </font>
    <font>
      <sz val="12"/>
      <name val="Times New Roman"/>
      <family val="1"/>
    </font>
    <font>
      <sz val="11"/>
      <color indexed="8"/>
      <name val="Czcionka tekstu podstawowego"/>
      <family val="2"/>
      <charset val="238"/>
    </font>
    <font>
      <sz val="12"/>
      <color indexed="8"/>
      <name val="宋体"/>
      <charset val="134"/>
    </font>
    <font>
      <sz val="11"/>
      <color indexed="9"/>
      <name val="Czcionka tekstu podstawowego"/>
      <family val="2"/>
      <charset val="238"/>
    </font>
    <font>
      <sz val="12"/>
      <color indexed="9"/>
      <name val="宋体"/>
      <charset val="134"/>
    </font>
    <font>
      <b/>
      <sz val="9"/>
      <color rgb="FFCE001A"/>
      <name val="Verdana"/>
      <family val="2"/>
    </font>
    <font>
      <sz val="10"/>
      <color indexed="63"/>
      <name val="Verdana"/>
      <family val="2"/>
    </font>
    <font>
      <sz val="10"/>
      <color indexed="8"/>
      <name val="Impact"/>
      <family val="2"/>
    </font>
    <font>
      <b/>
      <sz val="11"/>
      <name val="Arial"/>
      <family val="2"/>
    </font>
    <font>
      <b/>
      <i/>
      <sz val="10"/>
      <name val="Verdana"/>
      <family val="2"/>
    </font>
    <font>
      <i/>
      <sz val="10"/>
      <name val="Verdana"/>
      <family val="2"/>
    </font>
    <font>
      <sz val="10"/>
      <color indexed="9"/>
      <name val="Verdana"/>
      <family val="2"/>
    </font>
    <font>
      <b/>
      <sz val="10"/>
      <color indexed="9"/>
      <name val="Verdana"/>
      <family val="2"/>
    </font>
    <font>
      <b/>
      <i/>
      <sz val="10"/>
      <color indexed="9"/>
      <name val="Verdana"/>
      <family val="2"/>
    </font>
    <font>
      <sz val="11"/>
      <color indexed="62"/>
      <name val="Czcionka tekstu podstawowego"/>
      <family val="2"/>
      <charset val="238"/>
    </font>
    <font>
      <b/>
      <sz val="11"/>
      <color indexed="63"/>
      <name val="Czcionka tekstu podstawowego"/>
      <family val="2"/>
      <charset val="238"/>
    </font>
    <font>
      <i/>
      <sz val="10"/>
      <color indexed="9"/>
      <name val="Verdana"/>
      <family val="2"/>
    </font>
    <font>
      <sz val="10"/>
      <color indexed="56"/>
      <name val="Verdana"/>
      <family val="2"/>
    </font>
    <font>
      <b/>
      <sz val="11"/>
      <color indexed="0"/>
      <name val="Verdana"/>
      <family val="2"/>
    </font>
    <font>
      <sz val="11"/>
      <color indexed="17"/>
      <name val="Czcionka tekstu podstawowego"/>
      <family val="2"/>
      <charset val="238"/>
    </font>
    <font>
      <b/>
      <sz val="12"/>
      <color indexed="0"/>
      <name val="Verdana"/>
      <family val="2"/>
    </font>
    <font>
      <b/>
      <sz val="9"/>
      <color indexed="56"/>
      <name val="Verdana"/>
      <family val="2"/>
    </font>
    <font>
      <u/>
      <sz val="10"/>
      <color rgb="FF0000FF"/>
      <name val="Arial"/>
      <family val="2"/>
    </font>
    <font>
      <sz val="12"/>
      <color indexed="8"/>
      <name val="Calibri"/>
      <family val="2"/>
    </font>
    <font>
      <u/>
      <sz val="7.5"/>
      <color indexed="36"/>
      <name val="Arial"/>
      <family val="2"/>
    </font>
    <font>
      <b/>
      <sz val="10"/>
      <color indexed="41"/>
      <name val="Arial"/>
      <family val="2"/>
    </font>
    <font>
      <b/>
      <i/>
      <sz val="16"/>
      <color theme="1"/>
      <name val="Arial"/>
      <family val="2"/>
    </font>
    <font>
      <sz val="9"/>
      <name val="Tahoma"/>
      <family val="2"/>
    </font>
    <font>
      <sz val="11"/>
      <color indexed="52"/>
      <name val="Czcionka tekstu podstawowego"/>
      <family val="2"/>
      <charset val="238"/>
    </font>
    <font>
      <b/>
      <sz val="11"/>
      <color indexed="9"/>
      <name val="Czcionka tekstu podstawowego"/>
      <family val="2"/>
      <charset val="238"/>
    </font>
    <font>
      <u/>
      <sz val="12"/>
      <color theme="10"/>
      <name val="Calibri"/>
      <family val="2"/>
      <scheme val="minor"/>
    </font>
    <font>
      <b/>
      <sz val="15"/>
      <color indexed="56"/>
      <name val="Czcionka tekstu podstawowego"/>
      <family val="2"/>
      <charset val="238"/>
    </font>
    <font>
      <b/>
      <sz val="13"/>
      <color indexed="56"/>
      <name val="Czcionka tekstu podstawowego"/>
      <family val="2"/>
      <charset val="238"/>
    </font>
    <font>
      <b/>
      <sz val="11"/>
      <color indexed="56"/>
      <name val="Czcionka tekstu podstawowego"/>
      <family val="2"/>
      <charset val="238"/>
    </font>
    <font>
      <sz val="11"/>
      <color indexed="60"/>
      <name val="Czcionka tekstu podstawowego"/>
      <family val="2"/>
      <charset val="238"/>
    </font>
    <font>
      <sz val="12"/>
      <color rgb="FF9C6500"/>
      <name val="Calibri"/>
      <family val="2"/>
      <scheme val="minor"/>
    </font>
    <font>
      <i/>
      <sz val="9"/>
      <name val="Tahoma"/>
      <family val="2"/>
    </font>
    <font>
      <b/>
      <sz val="11"/>
      <color indexed="52"/>
      <name val="Czcionka tekstu podstawowego"/>
      <family val="2"/>
      <charset val="238"/>
    </font>
    <font>
      <b/>
      <sz val="12"/>
      <color indexed="8"/>
      <name val="Verdana"/>
      <family val="2"/>
    </font>
    <font>
      <sz val="30"/>
      <name val="Tms Rmn"/>
      <family val="1"/>
    </font>
    <font>
      <sz val="9"/>
      <color indexed="8"/>
      <name val="Arial"/>
      <family val="2"/>
    </font>
    <font>
      <b/>
      <sz val="11"/>
      <color rgb="FF000000"/>
      <name val="Verdana"/>
      <family val="2"/>
    </font>
    <font>
      <b/>
      <i/>
      <u/>
      <sz val="11"/>
      <color theme="1"/>
      <name val="Arial"/>
      <family val="2"/>
    </font>
    <font>
      <sz val="12"/>
      <color rgb="FF006100"/>
      <name val="Calibri"/>
      <family val="2"/>
      <scheme val="minor"/>
    </font>
    <font>
      <sz val="11"/>
      <color theme="1"/>
      <name val="Arial"/>
      <family val="2"/>
    </font>
    <font>
      <sz val="11"/>
      <color rgb="FF000000"/>
      <name val="Calibri"/>
      <family val="2"/>
      <charset val="162"/>
    </font>
    <font>
      <b/>
      <sz val="11"/>
      <color indexed="8"/>
      <name val="Czcionka tekstu podstawowego"/>
      <family val="2"/>
      <charset val="238"/>
    </font>
    <font>
      <b/>
      <sz val="9"/>
      <color indexed="8"/>
      <name val="Arial"/>
      <family val="2"/>
    </font>
    <font>
      <i/>
      <sz val="11"/>
      <color indexed="23"/>
      <name val="Czcionka tekstu podstawowego"/>
      <family val="2"/>
      <charset val="238"/>
    </font>
    <font>
      <sz val="11"/>
      <color indexed="10"/>
      <name val="Czcionka tekstu podstawowego"/>
      <family val="2"/>
      <charset val="238"/>
    </font>
    <font>
      <sz val="20"/>
      <color indexed="56"/>
      <name val="Verdana"/>
      <family val="2"/>
    </font>
    <font>
      <sz val="11"/>
      <name val="Verdana"/>
      <family val="2"/>
    </font>
    <font>
      <b/>
      <sz val="9"/>
      <color rgb="FFFFFFFF"/>
      <name val="Verdana"/>
      <family val="2"/>
    </font>
    <font>
      <sz val="20"/>
      <color indexed="24"/>
      <name val="Verdana"/>
      <family val="2"/>
    </font>
    <font>
      <b/>
      <sz val="10"/>
      <color indexed="8"/>
      <name val="Verdana"/>
      <family val="2"/>
    </font>
    <font>
      <b/>
      <sz val="18"/>
      <color indexed="56"/>
      <name val="Cambria"/>
      <family val="2"/>
      <charset val="238"/>
    </font>
    <font>
      <sz val="11"/>
      <color indexed="20"/>
      <name val="Czcionka tekstu podstawowego"/>
      <family val="2"/>
      <charset val="238"/>
    </font>
    <font>
      <sz val="12"/>
      <name val="宋体"/>
      <family val="3"/>
      <charset val="134"/>
    </font>
    <font>
      <sz val="12"/>
      <name val="宋体"/>
      <charset val="134"/>
    </font>
    <font>
      <sz val="12"/>
      <color indexed="17"/>
      <name val="宋体"/>
      <charset val="134"/>
    </font>
    <font>
      <sz val="12"/>
      <color indexed="20"/>
      <name val="宋体"/>
      <charset val="134"/>
    </font>
    <font>
      <sz val="8"/>
      <name val="Weiss"/>
      <family val="1"/>
    </font>
    <font>
      <b/>
      <sz val="18"/>
      <color indexed="56"/>
      <name val="宋体"/>
      <charset val="134"/>
    </font>
    <font>
      <b/>
      <sz val="15"/>
      <color indexed="56"/>
      <name val="宋体"/>
      <charset val="134"/>
    </font>
    <font>
      <b/>
      <sz val="13"/>
      <color indexed="56"/>
      <name val="宋体"/>
      <charset val="134"/>
    </font>
    <font>
      <b/>
      <sz val="11"/>
      <color indexed="56"/>
      <name val="宋体"/>
      <charset val="134"/>
    </font>
    <font>
      <b/>
      <sz val="12"/>
      <color indexed="9"/>
      <name val="宋体"/>
      <charset val="134"/>
    </font>
    <font>
      <b/>
      <sz val="12"/>
      <color indexed="8"/>
      <name val="宋体"/>
      <charset val="134"/>
    </font>
    <font>
      <sz val="10"/>
      <name val="Helv"/>
      <family val="2"/>
    </font>
    <font>
      <i/>
      <sz val="12"/>
      <color indexed="23"/>
      <name val="宋体"/>
      <charset val="134"/>
    </font>
    <font>
      <sz val="12"/>
      <color indexed="10"/>
      <name val="宋体"/>
      <charset val="134"/>
    </font>
    <font>
      <b/>
      <sz val="12"/>
      <color indexed="52"/>
      <name val="宋体"/>
      <charset val="134"/>
    </font>
    <font>
      <sz val="12"/>
      <color indexed="62"/>
      <name val="宋体"/>
      <charset val="134"/>
    </font>
    <font>
      <b/>
      <sz val="12"/>
      <color indexed="63"/>
      <name val="宋体"/>
      <charset val="134"/>
    </font>
    <font>
      <sz val="12"/>
      <color indexed="60"/>
      <name val="宋体"/>
      <charset val="134"/>
    </font>
    <font>
      <sz val="12"/>
      <color indexed="52"/>
      <name val="宋体"/>
      <charset val="134"/>
    </font>
    <font>
      <b/>
      <sz val="12"/>
      <color theme="0"/>
      <name val="Calibri"/>
      <family val="2"/>
      <scheme val="minor"/>
    </font>
    <font>
      <sz val="14"/>
      <name val="Calibri"/>
      <family val="2"/>
      <scheme val="minor"/>
    </font>
    <font>
      <u/>
      <sz val="10"/>
      <name val="Arial"/>
      <family val="2"/>
    </font>
    <font>
      <i/>
      <sz val="9"/>
      <color theme="0"/>
      <name val="Calibri"/>
      <family val="2"/>
      <scheme val="minor"/>
    </font>
    <font>
      <sz val="16"/>
      <color theme="1"/>
      <name val="Arial"/>
      <family val="2"/>
    </font>
    <font>
      <sz val="10"/>
      <color rgb="FF000000"/>
      <name val="Arial"/>
      <family val="2"/>
    </font>
    <font>
      <b/>
      <sz val="10"/>
      <color theme="0"/>
      <name val="Calibri"/>
      <family val="2"/>
      <scheme val="minor"/>
    </font>
  </fonts>
  <fills count="11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rgb="FFFFFFFF"/>
        <bgColor indexed="64"/>
      </patternFill>
    </fill>
    <fill>
      <patternFill patternType="solid">
        <fgColor theme="3"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rgb="FFFFFF00"/>
        <bgColor indexed="64"/>
      </patternFill>
    </fill>
    <fill>
      <patternFill patternType="solid">
        <fgColor rgb="FFFF0000"/>
        <bgColor indexed="64"/>
      </patternFill>
    </fill>
    <fill>
      <patternFill patternType="solid">
        <fgColor indexed="54"/>
        <bgColor indexed="64"/>
      </patternFill>
    </fill>
    <fill>
      <patternFill patternType="solid">
        <fgColor theme="1"/>
        <bgColor indexed="64"/>
      </patternFill>
    </fill>
    <fill>
      <patternFill patternType="solid">
        <fgColor theme="1" tint="0.34998626667073579"/>
        <bgColor indexed="64"/>
      </patternFill>
    </fill>
    <fill>
      <patternFill patternType="solid">
        <fgColor theme="2" tint="-0.499984740745262"/>
        <bgColor indexed="64"/>
      </patternFill>
    </fill>
    <fill>
      <patternFill patternType="solid">
        <fgColor theme="0" tint="-0.499984740745262"/>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C6EFCE"/>
      </patternFill>
    </fill>
    <fill>
      <patternFill patternType="solid">
        <fgColor rgb="FFFFEB9C"/>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indexed="42"/>
        <bgColor indexed="64"/>
      </patternFill>
    </fill>
    <fill>
      <patternFill patternType="solid">
        <fgColor indexed="22"/>
        <bgColor indexed="64"/>
      </patternFill>
    </fill>
    <fill>
      <patternFill patternType="solid">
        <fgColor indexed="3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14"/>
      </patternFill>
    </fill>
    <fill>
      <patternFill patternType="solid">
        <fgColor indexed="22"/>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4"/>
        <bgColor indexed="64"/>
      </patternFill>
    </fill>
    <fill>
      <patternFill patternType="solid">
        <fgColor indexed="55"/>
      </patternFill>
    </fill>
    <fill>
      <patternFill patternType="solid">
        <fgColor indexed="1"/>
      </patternFill>
    </fill>
    <fill>
      <patternFill patternType="solid">
        <fgColor indexed="26"/>
        <bgColor indexed="64"/>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54"/>
      </patternFill>
    </fill>
    <fill>
      <patternFill patternType="solid">
        <fgColor indexed="27"/>
        <bgColor indexed="27"/>
      </patternFill>
    </fill>
    <fill>
      <patternFill patternType="solid">
        <fgColor indexed="47"/>
        <bgColor indexed="47"/>
      </patternFill>
    </fill>
    <fill>
      <patternFill patternType="solid">
        <fgColor indexed="15"/>
      </patternFill>
    </fill>
    <fill>
      <patternFill patternType="solid">
        <fgColor indexed="12"/>
      </patternFill>
    </fill>
    <fill>
      <patternFill patternType="solid">
        <fgColor indexed="43"/>
      </patternFill>
    </fill>
    <fill>
      <patternFill patternType="solid">
        <fgColor indexed="26"/>
      </patternFill>
    </fill>
    <fill>
      <patternFill patternType="mediumGray">
        <fgColor indexed="22"/>
      </patternFill>
    </fill>
    <fill>
      <patternFill patternType="solid">
        <fgColor indexed="43"/>
        <bgColor indexed="64"/>
      </patternFill>
    </fill>
    <fill>
      <patternFill patternType="solid">
        <fgColor indexed="40"/>
        <bgColor indexed="64"/>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40"/>
      </patternFill>
    </fill>
    <fill>
      <patternFill patternType="solid">
        <fgColor indexed="41"/>
        <bgColor indexed="64"/>
      </patternFill>
    </fill>
    <fill>
      <patternFill patternType="solid">
        <fgColor rgb="FF44CCFF"/>
        <bgColor indexed="64"/>
      </patternFill>
    </fill>
    <fill>
      <patternFill patternType="solid">
        <fgColor rgb="FF004466"/>
        <bgColor indexed="64"/>
      </patternFill>
    </fill>
    <fill>
      <patternFill patternType="solid">
        <fgColor rgb="FFFFFFCC"/>
        <bgColor indexed="64"/>
      </patternFill>
    </fill>
    <fill>
      <patternFill patternType="solid">
        <fgColor rgb="FFDDDDDD"/>
      </patternFill>
    </fill>
    <fill>
      <patternFill patternType="solid">
        <fgColor rgb="FFCCCCFF"/>
        <bgColor indexed="64"/>
      </patternFill>
    </fill>
    <fill>
      <patternFill patternType="solid">
        <fgColor rgb="FFCCCCCC"/>
      </patternFill>
    </fill>
    <fill>
      <patternFill patternType="solid">
        <fgColor rgb="FFFFFF88"/>
      </patternFill>
    </fill>
    <fill>
      <patternFill patternType="solid">
        <fgColor rgb="FFCCCCFF"/>
      </patternFill>
    </fill>
    <fill>
      <patternFill patternType="solid">
        <fgColor rgb="FFC0C0C0"/>
      </patternFill>
    </fill>
    <fill>
      <patternFill patternType="solid">
        <fgColor indexed="65"/>
        <bgColor rgb="FFFFFF99"/>
      </patternFill>
    </fill>
    <fill>
      <patternFill patternType="solid">
        <fgColor indexed="22"/>
        <bgColor indexed="55"/>
      </patternFill>
    </fill>
    <fill>
      <patternFill patternType="solid">
        <fgColor indexed="63"/>
        <bgColor indexed="64"/>
      </patternFill>
    </fill>
    <fill>
      <patternFill patternType="solid">
        <fgColor rgb="FFFF4466"/>
        <bgColor indexed="64"/>
      </patternFill>
    </fill>
    <fill>
      <patternFill patternType="solid">
        <fgColor rgb="FFFFCCCC"/>
        <bgColor indexed="64"/>
      </patternFill>
    </fill>
    <fill>
      <patternFill patternType="solid">
        <fgColor rgb="FFCCFFFF"/>
        <bgColor indexed="64"/>
      </patternFill>
    </fill>
    <fill>
      <patternFill patternType="solid">
        <fgColor rgb="FFCCFFCC"/>
        <bgColor indexed="64"/>
      </patternFill>
    </fill>
    <fill>
      <patternFill patternType="solid">
        <fgColor rgb="FF4466FF"/>
        <bgColor indexed="64"/>
      </patternFill>
    </fill>
    <fill>
      <patternFill patternType="solid">
        <fgColor rgb="FF006644"/>
        <bgColor indexed="64"/>
      </patternFill>
    </fill>
    <fill>
      <patternFill patternType="solid">
        <fgColor rgb="FF00CCFF"/>
        <bgColor indexed="64"/>
      </patternFill>
    </fill>
    <fill>
      <patternFill patternType="solid">
        <fgColor rgb="FF808080"/>
      </patternFill>
    </fill>
    <fill>
      <patternFill patternType="solid">
        <fgColor rgb="FFCE001A"/>
      </patternFill>
    </fill>
    <fill>
      <patternFill patternType="solid">
        <fgColor theme="1" tint="0.14996795556505021"/>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theme="4" tint="0.39994506668294322"/>
        <bgColor indexed="64"/>
      </patternFill>
    </fill>
  </fills>
  <borders count="144">
    <border>
      <left/>
      <right/>
      <top/>
      <bottom/>
      <diagonal/>
    </border>
    <border>
      <left/>
      <right/>
      <top/>
      <bottom style="medium">
        <color auto="1"/>
      </bottom>
      <diagonal/>
    </border>
    <border>
      <left/>
      <right/>
      <top style="double">
        <color auto="1"/>
      </top>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top/>
      <bottom style="thin">
        <color auto="1"/>
      </bottom>
      <diagonal/>
    </border>
    <border>
      <left style="thin">
        <color auto="1"/>
      </left>
      <right/>
      <top/>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right style="medium">
        <color indexed="64"/>
      </right>
      <top/>
      <bottom/>
      <diagonal/>
    </border>
    <border>
      <left style="medium">
        <color indexed="64"/>
      </left>
      <right/>
      <top/>
      <bottom/>
      <diagonal/>
    </border>
    <border>
      <left style="hair">
        <color indexed="64"/>
      </left>
      <right style="hair">
        <color indexed="64"/>
      </right>
      <top style="hair">
        <color indexed="64"/>
      </top>
      <bottom style="hair">
        <color indexed="64"/>
      </bottom>
      <diagonal/>
    </border>
    <border>
      <left style="medium">
        <color auto="1"/>
      </left>
      <right style="medium">
        <color indexed="64"/>
      </right>
      <top/>
      <bottom/>
      <diagonal/>
    </border>
    <border>
      <left/>
      <right style="thin">
        <color auto="1"/>
      </right>
      <top style="thin">
        <color auto="1"/>
      </top>
      <bottom style="medium">
        <color indexed="64"/>
      </bottom>
      <diagonal/>
    </border>
    <border>
      <left style="medium">
        <color indexed="64"/>
      </left>
      <right/>
      <top style="medium">
        <color auto="1"/>
      </top>
      <bottom style="medium">
        <color auto="1"/>
      </bottom>
      <diagonal/>
    </border>
    <border>
      <left/>
      <right style="medium">
        <color indexed="64"/>
      </right>
      <top style="medium">
        <color auto="1"/>
      </top>
      <bottom style="medium">
        <color auto="1"/>
      </bottom>
      <diagonal/>
    </border>
    <border>
      <left style="medium">
        <color indexed="64"/>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indexed="64"/>
      </right>
      <top style="medium">
        <color auto="1"/>
      </top>
      <bottom style="thin">
        <color auto="1"/>
      </bottom>
      <diagonal/>
    </border>
    <border>
      <left style="medium">
        <color indexed="64"/>
      </left>
      <right style="medium">
        <color indexed="64"/>
      </right>
      <top style="medium">
        <color indexed="64"/>
      </top>
      <bottom style="medium">
        <color indexed="64"/>
      </bottom>
      <diagonal/>
    </border>
    <border>
      <left/>
      <right/>
      <top style="medium">
        <color auto="1"/>
      </top>
      <bottom style="medium">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auto="1"/>
      </left>
      <right/>
      <top style="thin">
        <color auto="1"/>
      </top>
      <bottom style="medium">
        <color auto="1"/>
      </bottom>
      <diagonal/>
    </border>
    <border>
      <left/>
      <right style="thin">
        <color auto="1"/>
      </right>
      <top/>
      <bottom/>
      <diagonal/>
    </border>
    <border>
      <left style="thin">
        <color rgb="FF000000"/>
      </left>
      <right style="thin">
        <color rgb="FF000000"/>
      </right>
      <top style="thin">
        <color rgb="FF000000"/>
      </top>
      <bottom style="thin">
        <color rgb="FF000000"/>
      </bottom>
      <diagonal/>
    </border>
    <border>
      <left style="medium">
        <color indexed="64"/>
      </left>
      <right style="medium">
        <color indexed="64"/>
      </right>
      <top style="medium">
        <color indexed="64"/>
      </top>
      <bottom/>
      <diagonal/>
    </border>
    <border>
      <left/>
      <right/>
      <top style="medium">
        <color indexed="64"/>
      </top>
      <bottom/>
      <diagonal/>
    </border>
    <border>
      <left style="medium">
        <color auto="1"/>
      </left>
      <right/>
      <top style="medium">
        <color auto="1"/>
      </top>
      <bottom/>
      <diagonal/>
    </border>
    <border>
      <left/>
      <right style="medium">
        <color auto="1"/>
      </right>
      <top style="medium">
        <color auto="1"/>
      </top>
      <bottom/>
      <diagonal/>
    </border>
    <border>
      <left/>
      <right style="medium">
        <color indexed="64"/>
      </right>
      <top style="medium">
        <color auto="1"/>
      </top>
      <bottom style="medium">
        <color auto="1"/>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style="medium">
        <color auto="1"/>
      </bottom>
      <diagonal/>
    </border>
    <border>
      <left style="dotted">
        <color indexed="64"/>
      </left>
      <right style="dotted">
        <color indexed="64"/>
      </right>
      <top style="dotted">
        <color indexed="64"/>
      </top>
      <bottom style="dotted">
        <color indexed="64"/>
      </bottom>
      <diagonal/>
    </border>
    <border>
      <left style="double">
        <color indexed="64"/>
      </left>
      <right/>
      <top/>
      <bottom style="hair">
        <color indexed="64"/>
      </bottom>
      <diagonal/>
    </border>
    <border>
      <left style="thin">
        <color indexed="63"/>
      </left>
      <right style="thin">
        <color indexed="63"/>
      </right>
      <top style="thin">
        <color indexed="63"/>
      </top>
      <bottom style="thin">
        <color indexed="63"/>
      </bottom>
      <diagonal/>
    </border>
    <border diagonalDown="1">
      <left/>
      <right/>
      <top/>
      <bottom/>
      <diagonal/>
    </border>
    <border>
      <left style="thin">
        <color indexed="23"/>
      </left>
      <right style="thin">
        <color indexed="23"/>
      </right>
      <top style="thin">
        <color indexed="23"/>
      </top>
      <bottom style="thin">
        <color indexed="23"/>
      </bottom>
      <diagonal/>
    </border>
    <border>
      <left/>
      <right/>
      <top/>
      <bottom style="thin">
        <color auto="1"/>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n">
        <color indexed="23"/>
      </bottom>
      <diagonal/>
    </border>
    <border>
      <left/>
      <right style="thin">
        <color indexed="64"/>
      </right>
      <top/>
      <bottom style="thin">
        <color indexed="64"/>
      </bottom>
      <diagonal/>
    </border>
    <border>
      <left/>
      <right/>
      <top style="thin">
        <color indexed="62"/>
      </top>
      <bottom style="double">
        <color indexed="62"/>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double">
        <color indexed="64"/>
      </left>
      <right style="double">
        <color indexed="64"/>
      </right>
      <top style="double">
        <color indexed="64"/>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22"/>
      </left>
      <right style="thin">
        <color indexed="22"/>
      </right>
      <top style="thin">
        <color indexed="22"/>
      </top>
      <bottom style="thin">
        <color indexed="22"/>
      </bottom>
      <diagonal/>
    </border>
    <border>
      <left/>
      <right/>
      <top style="thin">
        <color indexed="23"/>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right/>
      <top/>
      <bottom style="thick">
        <color indexed="49"/>
      </bottom>
      <diagonal/>
    </border>
    <border>
      <left/>
      <right/>
      <top/>
      <bottom style="medium">
        <color indexed="49"/>
      </bottom>
      <diagonal/>
    </border>
    <border>
      <left/>
      <right/>
      <top/>
      <bottom style="medium">
        <color indexed="64"/>
      </bottom>
      <diagonal/>
    </border>
    <border>
      <left/>
      <right/>
      <top style="thin">
        <color indexed="64"/>
      </top>
      <bottom style="double">
        <color indexed="64"/>
      </bottom>
      <diagonal/>
    </border>
    <border>
      <left/>
      <right/>
      <top style="thin">
        <color indexed="49"/>
      </top>
      <bottom style="double">
        <color indexed="49"/>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CCCCCC"/>
      </left>
      <right style="thin">
        <color rgb="FFCCCCCC"/>
      </right>
      <top style="thin">
        <color rgb="FFCCCCCC"/>
      </top>
      <bottom style="thin">
        <color rgb="FFCCCCCC"/>
      </bottom>
      <diagonal/>
    </border>
    <border>
      <left style="thin">
        <color indexed="64"/>
      </left>
      <right style="thin">
        <color indexed="64"/>
      </right>
      <top style="thin">
        <color indexed="64"/>
      </top>
      <bottom style="medium">
        <color indexed="64"/>
      </bottom>
      <diagonal/>
    </border>
    <border>
      <left/>
      <right style="thin">
        <color rgb="FF000000"/>
      </right>
      <top/>
      <bottom/>
      <diagonal/>
    </border>
    <border>
      <left style="thin">
        <color rgb="FFCCCCCC"/>
      </left>
      <right/>
      <top/>
      <bottom/>
      <diagonal/>
    </border>
    <border>
      <left style="thin">
        <color rgb="FFCCCCCC"/>
      </left>
      <right/>
      <top/>
      <bottom style="thin">
        <color rgb="FFCCCCCC"/>
      </bottom>
      <diagonal/>
    </border>
    <border>
      <left style="thin">
        <color rgb="FFCCCCCC"/>
      </left>
      <right style="thin">
        <color rgb="FF000000"/>
      </right>
      <top/>
      <bottom style="thin">
        <color rgb="FFCCCCCC"/>
      </bottom>
      <diagonal/>
    </border>
    <border>
      <left style="thin">
        <color rgb="FFCCCCCC"/>
      </left>
      <right style="thin">
        <color rgb="FF000000"/>
      </right>
      <top/>
      <bottom/>
      <diagonal/>
    </border>
    <border>
      <left style="thin">
        <color rgb="FFCCCCCC"/>
      </left>
      <right style="thin">
        <color rgb="FFCCCCCC"/>
      </right>
      <top/>
      <bottom/>
      <diagonal/>
    </border>
    <border>
      <left/>
      <right style="thin">
        <color rgb="FFFFFFFF"/>
      </right>
      <top style="thin">
        <color rgb="FFCCCCCC"/>
      </top>
      <bottom/>
      <diagonal/>
    </border>
    <border>
      <left style="thin">
        <color rgb="FFCCCCCC"/>
      </left>
      <right style="thin">
        <color rgb="FFCCCCCC"/>
      </right>
      <top/>
      <bottom style="thin">
        <color rgb="FFCCCCCC"/>
      </bottom>
      <diagonal/>
    </border>
    <border>
      <left style="thin">
        <color rgb="FFCCCCCC"/>
      </left>
      <right style="thin">
        <color rgb="FFCCCCCC"/>
      </right>
      <top style="thin">
        <color rgb="FFFFFFFF"/>
      </top>
      <bottom style="thin">
        <color rgb="FFCCCCCC"/>
      </bottom>
      <diagonal/>
    </border>
    <border>
      <left style="thin">
        <color rgb="FFCCCCCC"/>
      </left>
      <right/>
      <top style="thin">
        <color rgb="FFCCCCCC"/>
      </top>
      <bottom style="thin">
        <color rgb="FFCCCCCC"/>
      </bottom>
      <diagonal/>
    </border>
    <border>
      <left style="thin">
        <color rgb="FFCCCCCC"/>
      </left>
      <right style="thin">
        <color rgb="FF000000"/>
      </right>
      <top style="thin">
        <color rgb="FFCCCCCC"/>
      </top>
      <bottom style="thin">
        <color rgb="FFCCCCCC"/>
      </bottom>
      <diagonal/>
    </border>
    <border>
      <left style="thin">
        <color rgb="FFCCCCCC"/>
      </left>
      <right style="thin">
        <color rgb="FFCCCCCC"/>
      </right>
      <top style="thin">
        <color rgb="FFCCCCCC"/>
      </top>
      <bottom/>
      <diagonal/>
    </border>
    <border>
      <left style="thin">
        <color rgb="FF000000"/>
      </left>
      <right style="thin">
        <color rgb="FFCCCCCC"/>
      </right>
      <top/>
      <bottom/>
      <diagonal/>
    </border>
    <border>
      <left/>
      <right/>
      <top/>
      <bottom style="thin">
        <color rgb="FFCCCCCC"/>
      </bottom>
      <diagonal/>
    </border>
    <border>
      <left style="thin">
        <color rgb="FFCCCCCC"/>
      </left>
      <right style="thin">
        <color rgb="FF000000"/>
      </right>
      <top style="thin">
        <color rgb="FF004466"/>
      </top>
      <bottom style="thin">
        <color rgb="FF004466"/>
      </bottom>
      <diagonal/>
    </border>
    <border>
      <left style="thin">
        <color rgb="FF000000"/>
      </left>
      <right style="thin">
        <color rgb="FFCCCCCC"/>
      </right>
      <top style="thin">
        <color rgb="FF004466"/>
      </top>
      <bottom style="thin">
        <color rgb="FF004466"/>
      </bottom>
      <diagonal/>
    </border>
    <border>
      <left style="thin">
        <color rgb="FFCCCCCC"/>
      </left>
      <right style="thin">
        <color rgb="FFCCCCCC"/>
      </right>
      <top style="thin">
        <color rgb="FFFFFFFF"/>
      </top>
      <bottom style="thin">
        <color rgb="FFFFFFFF"/>
      </bottom>
      <diagonal/>
    </border>
    <border>
      <left style="thin">
        <color rgb="FFCCCCCC"/>
      </left>
      <right style="thin">
        <color rgb="FFCCCCCC"/>
      </right>
      <top style="thin">
        <color rgb="FF004466"/>
      </top>
      <bottom style="thin">
        <color rgb="FF004466"/>
      </bottom>
      <diagonal/>
    </border>
    <border>
      <left style="thin">
        <color indexed="9"/>
      </left>
      <right style="thin">
        <color indexed="23"/>
      </right>
      <top style="thin">
        <color indexed="9"/>
      </top>
      <bottom style="thin">
        <color indexed="23"/>
      </bottom>
      <diagonal/>
    </border>
    <border>
      <left style="thin">
        <color rgb="FF000000"/>
      </left>
      <right/>
      <top/>
      <bottom/>
      <diagonal/>
    </border>
    <border>
      <left/>
      <right style="thin">
        <color rgb="FF000000"/>
      </right>
      <top style="thin">
        <color rgb="FF000000"/>
      </top>
      <bottom/>
      <diagonal/>
    </border>
    <border>
      <left style="thin">
        <color rgb="FF000000"/>
      </left>
      <right/>
      <top style="thin">
        <color rgb="FF000000"/>
      </top>
      <bottom/>
      <diagonal/>
    </border>
    <border>
      <left style="thin">
        <color indexed="23"/>
      </left>
      <right style="thin">
        <color indexed="9"/>
      </right>
      <top style="thin">
        <color indexed="23"/>
      </top>
      <bottom style="thin">
        <color indexed="9"/>
      </bottom>
      <diagonal/>
    </border>
    <border>
      <left/>
      <right/>
      <top style="thin">
        <color rgb="FF000000"/>
      </top>
      <bottom/>
      <diagonal/>
    </border>
    <border>
      <left style="thin">
        <color indexed="10"/>
      </left>
      <right style="thin">
        <color indexed="10"/>
      </right>
      <top style="thin">
        <color indexed="10"/>
      </top>
      <bottom style="thin">
        <color indexed="10"/>
      </bottom>
      <diagonal/>
    </border>
    <border>
      <left style="thin">
        <color indexed="9"/>
      </left>
      <right style="thin">
        <color indexed="9"/>
      </right>
      <top style="thin">
        <color indexed="9"/>
      </top>
      <bottom style="thin">
        <color indexed="9"/>
      </bottom>
      <diagonal/>
    </border>
    <border>
      <left style="thin">
        <color indexed="22"/>
      </left>
      <right style="thin">
        <color indexed="22"/>
      </right>
      <top/>
      <bottom style="thin">
        <color indexed="22"/>
      </bottom>
      <diagonal/>
    </border>
    <border>
      <left style="thin">
        <color indexed="41"/>
      </left>
      <right style="thin">
        <color indexed="41"/>
      </right>
      <top style="thin">
        <color indexed="41"/>
      </top>
      <bottom style="thin">
        <color indexed="41"/>
      </bottom>
      <diagonal/>
    </border>
    <border>
      <left/>
      <right/>
      <top style="thin">
        <color rgb="FFCCCCCC"/>
      </top>
      <bottom style="thin">
        <color rgb="FFCCCCCC"/>
      </bottom>
      <diagonal/>
    </border>
    <border>
      <left/>
      <right/>
      <top style="thin">
        <color rgb="FF333333"/>
      </top>
      <bottom/>
      <diagonal/>
    </border>
    <border>
      <left/>
      <right/>
      <top/>
      <bottom style="thin">
        <color rgb="FF000000"/>
      </bottom>
      <diagonal/>
    </border>
    <border>
      <left style="medium">
        <color indexed="64"/>
      </left>
      <right style="medium">
        <color indexed="64"/>
      </right>
      <top/>
      <bottom style="medium">
        <color indexed="64"/>
      </bottom>
      <diagonal/>
    </border>
    <border>
      <left style="medium">
        <color indexed="64"/>
      </left>
      <right/>
      <top style="medium">
        <color auto="1"/>
      </top>
      <bottom style="medium">
        <color auto="1"/>
      </bottom>
      <diagonal/>
    </border>
    <border>
      <left/>
      <right/>
      <top style="medium">
        <color auto="1"/>
      </top>
      <bottom style="medium">
        <color auto="1"/>
      </bottom>
      <diagonal/>
    </border>
    <border>
      <left/>
      <right style="medium">
        <color indexed="64"/>
      </right>
      <top style="medium">
        <color auto="1"/>
      </top>
      <bottom style="medium">
        <color auto="1"/>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auto="1"/>
      </top>
      <bottom style="medium">
        <color auto="1"/>
      </bottom>
      <diagonal/>
    </border>
    <border>
      <left style="thin">
        <color auto="1"/>
      </left>
      <right style="thin">
        <color auto="1"/>
      </right>
      <top style="medium">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auto="1"/>
      </top>
      <bottom style="medium">
        <color auto="1"/>
      </bottom>
      <diagonal/>
    </border>
    <border>
      <left/>
      <right style="medium">
        <color indexed="64"/>
      </right>
      <top style="medium">
        <color indexed="64"/>
      </top>
      <bottom/>
      <diagonal/>
    </border>
    <border>
      <left style="medium">
        <color indexed="64"/>
      </left>
      <right/>
      <top style="medium">
        <color auto="1"/>
      </top>
      <bottom/>
      <diagonal/>
    </border>
    <border>
      <left/>
      <right style="medium">
        <color indexed="64"/>
      </right>
      <top style="medium">
        <color auto="1"/>
      </top>
      <bottom style="medium">
        <color indexed="64"/>
      </bottom>
      <diagonal/>
    </border>
    <border>
      <left style="medium">
        <color auto="1"/>
      </left>
      <right style="medium">
        <color indexed="64"/>
      </right>
      <top/>
      <bottom/>
      <diagonal/>
    </border>
    <border>
      <left style="medium">
        <color indexed="64"/>
      </left>
      <right/>
      <top/>
      <bottom/>
      <diagonal/>
    </border>
    <border>
      <left style="thin">
        <color auto="1"/>
      </left>
      <right style="thin">
        <color auto="1"/>
      </right>
      <top style="thin">
        <color auto="1"/>
      </top>
      <bottom/>
      <diagonal/>
    </border>
    <border>
      <left style="thin">
        <color indexed="64"/>
      </left>
      <right style="thin">
        <color indexed="64"/>
      </right>
      <top/>
      <bottom style="thin">
        <color indexed="64"/>
      </bottom>
      <diagonal/>
    </border>
    <border>
      <left style="medium">
        <color indexed="64"/>
      </left>
      <right/>
      <top style="medium">
        <color auto="1"/>
      </top>
      <bottom style="thin">
        <color auto="1"/>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auto="1"/>
      </bottom>
      <diagonal/>
    </border>
    <border>
      <left style="thin">
        <color auto="1"/>
      </left>
      <right style="thin">
        <color indexed="64"/>
      </right>
      <top style="thin">
        <color auto="1"/>
      </top>
      <bottom/>
      <diagonal/>
    </border>
    <border>
      <left style="medium">
        <color auto="1"/>
      </left>
      <right/>
      <top style="thin">
        <color auto="1"/>
      </top>
      <bottom/>
      <diagonal/>
    </border>
  </borders>
  <cellStyleXfs count="54134">
    <xf numFmtId="0" fontId="0" fillId="0" borderId="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Fill="0" applyBorder="0"/>
    <xf numFmtId="0" fontId="10" fillId="0" borderId="0">
      <alignment vertical="center"/>
    </xf>
    <xf numFmtId="0" fontId="36" fillId="0" borderId="0"/>
    <xf numFmtId="171" fontId="10" fillId="0" borderId="0" applyFont="0" applyFill="0" applyBorder="0" applyAlignment="0" applyProtection="0"/>
    <xf numFmtId="43" fontId="10" fillId="0" borderId="0" applyFont="0" applyFill="0" applyBorder="0" applyAlignment="0" applyProtection="0"/>
    <xf numFmtId="43" fontId="39" fillId="0" borderId="0" applyFont="0" applyFill="0" applyBorder="0" applyAlignment="0" applyProtection="0"/>
    <xf numFmtId="42" fontId="10" fillId="0" borderId="0" applyFont="0" applyFill="0" applyBorder="0" applyAlignment="0" applyProtection="0"/>
    <xf numFmtId="44" fontId="10" fillId="0" borderId="0" applyFont="0" applyFill="0" applyBorder="0" applyAlignment="0" applyProtection="0"/>
    <xf numFmtId="44" fontId="37" fillId="0" borderId="0" applyFont="0" applyFill="0" applyBorder="0" applyAlignment="0" applyProtection="0"/>
    <xf numFmtId="43" fontId="10" fillId="0" borderId="0" applyFont="0" applyFill="0" applyBorder="0" applyAlignment="0" applyProtection="0"/>
    <xf numFmtId="44" fontId="33" fillId="0" borderId="0" applyFont="0" applyFill="0" applyBorder="0" applyAlignment="0" applyProtection="0"/>
    <xf numFmtId="44" fontId="10" fillId="0" borderId="0" applyFont="0" applyFill="0" applyBorder="0" applyAlignment="0" applyProtection="0"/>
    <xf numFmtId="0" fontId="11" fillId="0" borderId="0"/>
    <xf numFmtId="0" fontId="10" fillId="0" borderId="0" applyNumberFormat="0" applyFill="0" applyBorder="0" applyAlignment="0" applyProtection="0"/>
    <xf numFmtId="0" fontId="33"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42" fillId="0" borderId="0"/>
    <xf numFmtId="0" fontId="10" fillId="0" borderId="0"/>
    <xf numFmtId="0" fontId="10" fillId="0" borderId="0"/>
    <xf numFmtId="0" fontId="10" fillId="0" borderId="0"/>
    <xf numFmtId="0" fontId="39" fillId="0" borderId="0"/>
    <xf numFmtId="0" fontId="12" fillId="0" borderId="0"/>
    <xf numFmtId="0" fontId="40" fillId="0" borderId="0"/>
    <xf numFmtId="9" fontId="10" fillId="0" borderId="0" applyFont="0" applyFill="0" applyBorder="0" applyAlignment="0" applyProtection="0"/>
    <xf numFmtId="9" fontId="37" fillId="0" borderId="0" applyFont="0" applyFill="0" applyBorder="0" applyAlignment="0" applyProtection="0"/>
    <xf numFmtId="9" fontId="33" fillId="0" borderId="0" applyFont="0" applyFill="0" applyBorder="0" applyAlignment="0" applyProtection="0"/>
    <xf numFmtId="9" fontId="10" fillId="0" borderId="0" applyFont="0" applyFill="0" applyBorder="0" applyAlignment="0" applyProtection="0"/>
    <xf numFmtId="0" fontId="38" fillId="0" borderId="1" applyAlignment="0"/>
    <xf numFmtId="170" fontId="13" fillId="0" borderId="0" applyFont="0" applyFill="0" applyBorder="0" applyAlignment="0" applyProtection="0"/>
    <xf numFmtId="0" fontId="9" fillId="0" borderId="0"/>
    <xf numFmtId="43" fontId="9" fillId="0" borderId="0" applyFont="0" applyFill="0" applyBorder="0" applyAlignment="0" applyProtection="0"/>
    <xf numFmtId="44" fontId="9" fillId="0" borderId="0" applyFont="0" applyFill="0" applyBorder="0" applyAlignment="0" applyProtection="0"/>
    <xf numFmtId="0" fontId="10" fillId="0" borderId="0" applyNumberForma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0" fontId="8" fillId="0" borderId="0"/>
    <xf numFmtId="9" fontId="10" fillId="0" borderId="0" applyFont="0" applyFill="0" applyBorder="0" applyAlignment="0" applyProtection="0"/>
    <xf numFmtId="0" fontId="8" fillId="0" borderId="0"/>
    <xf numFmtId="43" fontId="8" fillId="0" borderId="0" applyFont="0" applyFill="0" applyBorder="0" applyAlignment="0" applyProtection="0"/>
    <xf numFmtId="44" fontId="8" fillId="0" borderId="0" applyFont="0" applyFill="0" applyBorder="0" applyAlignment="0" applyProtection="0"/>
    <xf numFmtId="0" fontId="7" fillId="0" borderId="0"/>
    <xf numFmtId="43" fontId="7" fillId="0" borderId="0" applyFont="0" applyFill="0" applyBorder="0" applyAlignment="0" applyProtection="0"/>
    <xf numFmtId="44" fontId="7" fillId="0" borderId="0" applyFont="0" applyFill="0" applyBorder="0" applyAlignment="0" applyProtection="0"/>
    <xf numFmtId="0" fontId="6" fillId="0" borderId="0"/>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43" fontId="10" fillId="0" borderId="0" applyFont="0" applyFill="0" applyBorder="0" applyAlignment="0" applyProtection="0"/>
    <xf numFmtId="0" fontId="10" fillId="0" borderId="0" applyNumberFormat="0" applyFill="0" applyBorder="0" applyAlignment="0" applyProtection="0"/>
    <xf numFmtId="175" fontId="10" fillId="0" borderId="0" applyFont="0" applyFill="0" applyBorder="0" applyAlignment="0" applyProtection="0"/>
    <xf numFmtId="176" fontId="10" fillId="0" borderId="0" applyFont="0" applyFill="0" applyBorder="0" applyAlignment="0" applyProtection="0"/>
    <xf numFmtId="176" fontId="10" fillId="0" borderId="0" applyFont="0" applyFill="0" applyBorder="0" applyAlignment="0" applyProtection="0"/>
    <xf numFmtId="176" fontId="10" fillId="0" borderId="0" applyFont="0" applyFill="0" applyBorder="0" applyAlignment="0" applyProtection="0"/>
    <xf numFmtId="0" fontId="57" fillId="0" borderId="0"/>
    <xf numFmtId="0" fontId="57" fillId="0" borderId="0"/>
    <xf numFmtId="0" fontId="10" fillId="0" borderId="0"/>
    <xf numFmtId="0" fontId="5" fillId="0" borderId="0"/>
    <xf numFmtId="177" fontId="5" fillId="0" borderId="0" applyFont="0" applyFill="0" applyBorder="0" applyAlignment="0" applyProtection="0"/>
    <xf numFmtId="9" fontId="5" fillId="0" borderId="0" applyFont="0" applyFill="0" applyBorder="0" applyAlignment="0" applyProtection="0"/>
    <xf numFmtId="175" fontId="5" fillId="0" borderId="0" applyFont="0" applyFill="0" applyBorder="0" applyAlignment="0" applyProtection="0"/>
    <xf numFmtId="0" fontId="10" fillId="0" borderId="0"/>
    <xf numFmtId="178" fontId="10" fillId="0" borderId="0" applyFont="0" applyFill="0" applyBorder="0" applyAlignment="0" applyProtection="0"/>
    <xf numFmtId="0" fontId="4" fillId="0" borderId="0"/>
    <xf numFmtId="9" fontId="4" fillId="0" borderId="0" applyFont="0" applyFill="0" applyBorder="0" applyAlignment="0" applyProtection="0"/>
    <xf numFmtId="9"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177" fontId="2" fillId="0" borderId="0" applyFont="0" applyFill="0" applyBorder="0" applyAlignment="0" applyProtection="0"/>
    <xf numFmtId="9" fontId="2" fillId="0" borderId="0" applyFont="0" applyFill="0" applyBorder="0" applyAlignment="0" applyProtection="0"/>
    <xf numFmtId="175" fontId="2"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177" fontId="1" fillId="0" borderId="0" applyFont="0" applyFill="0" applyBorder="0" applyAlignment="0" applyProtection="0"/>
    <xf numFmtId="9" fontId="1" fillId="0" borderId="0" applyFont="0" applyFill="0" applyBorder="0" applyAlignment="0" applyProtection="0"/>
    <xf numFmtId="175"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177" fontId="1" fillId="0" borderId="0" applyFont="0" applyFill="0" applyBorder="0" applyAlignment="0" applyProtection="0"/>
    <xf numFmtId="9" fontId="1" fillId="0" borderId="0" applyFont="0" applyFill="0" applyBorder="0" applyAlignment="0" applyProtection="0"/>
    <xf numFmtId="175"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0" fillId="0" borderId="0"/>
    <xf numFmtId="0" fontId="10" fillId="0" borderId="0" applyNumberForma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184" fontId="10" fillId="0" borderId="0" applyFont="0" applyFill="0" applyBorder="0" applyAlignment="0" applyProtection="0"/>
    <xf numFmtId="167" fontId="10" fillId="0" borderId="0" applyFont="0" applyFill="0" applyBorder="0" applyAlignment="0" applyProtection="0"/>
    <xf numFmtId="184" fontId="10" fillId="0" borderId="0" applyFont="0" applyFill="0" applyBorder="0" applyAlignment="0" applyProtection="0"/>
    <xf numFmtId="184" fontId="10" fillId="0" borderId="0" applyFont="0" applyFill="0" applyBorder="0" applyAlignment="0" applyProtection="0"/>
    <xf numFmtId="184" fontId="10" fillId="0" borderId="0" applyFont="0" applyFill="0" applyBorder="0" applyAlignment="0" applyProtection="0"/>
    <xf numFmtId="0" fontId="73" fillId="0" borderId="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applyNumberFormat="0" applyFill="0" applyBorder="0" applyAlignment="0" applyProtection="0"/>
    <xf numFmtId="0" fontId="10" fillId="0" borderId="0" applyNumberForma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185" fontId="11" fillId="0" borderId="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185" fontId="11" fillId="0" borderId="0"/>
    <xf numFmtId="185" fontId="11" fillId="0" borderId="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9" fontId="10" fillId="33" borderId="0"/>
    <xf numFmtId="9" fontId="10" fillId="33" borderId="0"/>
    <xf numFmtId="0" fontId="10" fillId="0" borderId="0" applyNumberFormat="0" applyFill="0" applyBorder="0" applyAlignment="0" applyProtection="0"/>
    <xf numFmtId="186" fontId="10" fillId="0" borderId="0" applyFont="0" applyFill="0" applyAlignment="0" applyProtection="0"/>
    <xf numFmtId="186" fontId="10" fillId="0" borderId="0" applyFont="0" applyFill="0" applyAlignment="0" applyProtection="0"/>
    <xf numFmtId="186" fontId="10" fillId="0" borderId="0" applyFont="0" applyFill="0" applyAlignment="0" applyProtection="0"/>
    <xf numFmtId="186" fontId="10" fillId="0" borderId="0" applyFont="0" applyFill="0" applyAlignment="0" applyProtection="0"/>
    <xf numFmtId="186" fontId="10" fillId="0" borderId="0" applyFont="0" applyFill="0" applyAlignment="0" applyProtection="0"/>
    <xf numFmtId="186" fontId="10" fillId="0" borderId="0" applyFont="0" applyFill="0" applyAlignment="0" applyProtection="0"/>
    <xf numFmtId="0" fontId="10" fillId="0" borderId="0" applyNumberFormat="0" applyFill="0" applyBorder="0" applyAlignment="0" applyProtection="0"/>
    <xf numFmtId="186" fontId="10" fillId="0" borderId="0" applyFont="0" applyFill="0" applyAlignment="0" applyProtection="0"/>
    <xf numFmtId="187"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9" fontId="10" fillId="0" borderId="0" applyFont="0" applyFill="0" applyAlignment="0" applyProtection="0"/>
    <xf numFmtId="189" fontId="10" fillId="0" borderId="0" applyFont="0" applyFill="0" applyAlignment="0" applyProtection="0"/>
    <xf numFmtId="189" fontId="10" fillId="0" borderId="0" applyFont="0" applyFill="0" applyAlignment="0" applyProtection="0"/>
    <xf numFmtId="189" fontId="10" fillId="0" borderId="0" applyFont="0" applyFill="0" applyAlignment="0" applyProtection="0"/>
    <xf numFmtId="189" fontId="10" fillId="0" borderId="0" applyFont="0" applyFill="0" applyAlignment="0" applyProtection="0"/>
    <xf numFmtId="189" fontId="10" fillId="0" borderId="0" applyFont="0" applyFill="0" applyAlignment="0" applyProtection="0"/>
    <xf numFmtId="186" fontId="10" fillId="0" borderId="0" applyFont="0" applyFill="0" applyAlignment="0" applyProtection="0"/>
    <xf numFmtId="186" fontId="10" fillId="0" borderId="0" applyFont="0" applyFill="0" applyAlignment="0" applyProtection="0"/>
    <xf numFmtId="186" fontId="10" fillId="0" borderId="0" applyFont="0" applyFill="0" applyAlignment="0" applyProtection="0"/>
    <xf numFmtId="186" fontId="10" fillId="0" borderId="0" applyFont="0" applyFill="0" applyAlignment="0" applyProtection="0"/>
    <xf numFmtId="186" fontId="10" fillId="0" borderId="0" applyFont="0" applyFill="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188" fontId="10" fillId="0" borderId="0" applyFont="0" applyFill="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Font="0" applyFill="0" applyAlignment="0" applyProtection="0"/>
    <xf numFmtId="0" fontId="10" fillId="0" borderId="0" applyFont="0" applyFill="0" applyAlignment="0" applyProtection="0"/>
    <xf numFmtId="0" fontId="10" fillId="0" borderId="0" applyFont="0" applyFill="0" applyAlignment="0" applyProtection="0"/>
    <xf numFmtId="0" fontId="10" fillId="0" borderId="0" applyFont="0" applyFill="0" applyAlignment="0" applyProtection="0"/>
    <xf numFmtId="0" fontId="10" fillId="0" borderId="0" applyFont="0" applyFill="0" applyAlignment="0" applyProtection="0"/>
    <xf numFmtId="0" fontId="10" fillId="0" borderId="0" applyFont="0" applyFill="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xf numFmtId="0" fontId="10" fillId="0" borderId="0" applyFill="0" applyBorder="0"/>
    <xf numFmtId="0" fontId="10" fillId="0" borderId="0" applyFill="0" applyBorder="0"/>
    <xf numFmtId="0" fontId="10" fillId="0" borderId="0" applyFill="0" applyBorder="0"/>
    <xf numFmtId="0" fontId="10" fillId="0" borderId="0" applyFill="0" applyBorder="0"/>
    <xf numFmtId="0" fontId="10" fillId="0" borderId="0" applyFill="0" applyBorder="0"/>
    <xf numFmtId="0" fontId="10" fillId="0" borderId="0" applyFill="0" applyBorder="0"/>
    <xf numFmtId="0" fontId="10" fillId="0" borderId="0" applyFill="0" applyBorder="0"/>
    <xf numFmtId="0" fontId="10" fillId="0" borderId="0" applyFill="0" applyBorder="0"/>
    <xf numFmtId="0" fontId="10" fillId="0" borderId="0" applyFill="0" applyBorder="0"/>
    <xf numFmtId="0" fontId="10" fillId="0" borderId="0" applyFill="0" applyBorder="0"/>
    <xf numFmtId="0" fontId="10" fillId="0" borderId="0" applyFill="0" applyBorder="0"/>
    <xf numFmtId="0" fontId="10" fillId="0" borderId="0" applyFill="0" applyBorder="0"/>
    <xf numFmtId="0" fontId="10" fillId="0" borderId="0" applyFill="0" applyBorder="0"/>
    <xf numFmtId="0" fontId="10" fillId="0" borderId="0" applyFill="0" applyBorder="0"/>
    <xf numFmtId="0" fontId="10" fillId="0" borderId="0" applyFill="0" applyBorder="0"/>
    <xf numFmtId="0" fontId="10" fillId="0" borderId="0" applyFill="0" applyBorder="0"/>
    <xf numFmtId="190" fontId="10" fillId="0" borderId="0" applyFill="0" applyBorder="0"/>
    <xf numFmtId="0" fontId="10" fillId="0" borderId="0" applyFill="0" applyBorder="0"/>
    <xf numFmtId="0" fontId="10" fillId="0" borderId="0" applyFill="0" applyBorder="0"/>
    <xf numFmtId="0" fontId="10" fillId="0" borderId="0" applyFill="0" applyBorder="0"/>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9" fontId="74" fillId="34" borderId="17" applyProtection="0">
      <alignment horizontal="center" vertical="top"/>
    </xf>
    <xf numFmtId="4" fontId="74" fillId="2" borderId="52" applyProtection="0">
      <alignment horizontal="right" vertical="top"/>
    </xf>
    <xf numFmtId="4" fontId="74" fillId="35" borderId="52" applyProtection="0">
      <alignment horizontal="right" vertical="top"/>
    </xf>
    <xf numFmtId="49" fontId="74" fillId="35" borderId="52" applyProtection="0">
      <alignment horizontal="right" vertical="top"/>
    </xf>
    <xf numFmtId="49" fontId="74" fillId="2" borderId="52"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17" applyProtection="0">
      <alignment horizontal="righ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191" fontId="39" fillId="36" borderId="0" applyNumberFormat="0" applyBorder="0" applyAlignment="0" applyProtection="0"/>
    <xf numFmtId="0" fontId="39" fillId="36" borderId="0" applyNumberFormat="0" applyBorder="0" applyAlignment="0" applyProtection="0"/>
    <xf numFmtId="191" fontId="39" fillId="36" borderId="0" applyNumberFormat="0" applyBorder="0" applyAlignment="0" applyProtection="0"/>
    <xf numFmtId="191" fontId="39" fillId="36" borderId="0" applyNumberFormat="0" applyBorder="0" applyAlignment="0" applyProtection="0"/>
    <xf numFmtId="191" fontId="39" fillId="36" borderId="0" applyNumberFormat="0" applyBorder="0" applyAlignment="0" applyProtection="0"/>
    <xf numFmtId="191" fontId="39" fillId="36" borderId="0" applyNumberFormat="0" applyBorder="0" applyAlignment="0" applyProtection="0"/>
    <xf numFmtId="191"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191" fontId="39" fillId="36" borderId="0" applyNumberFormat="0" applyBorder="0" applyAlignment="0" applyProtection="0"/>
    <xf numFmtId="0" fontId="39" fillId="36" borderId="0" applyNumberFormat="0" applyBorder="0" applyAlignment="0" applyProtection="0"/>
    <xf numFmtId="191" fontId="39" fillId="36" borderId="0" applyNumberFormat="0" applyBorder="0" applyAlignment="0" applyProtection="0"/>
    <xf numFmtId="191" fontId="39" fillId="36" borderId="0" applyNumberFormat="0" applyBorder="0" applyAlignment="0" applyProtection="0"/>
    <xf numFmtId="191" fontId="39" fillId="36" borderId="0" applyNumberFormat="0" applyBorder="0" applyAlignment="0" applyProtection="0"/>
    <xf numFmtId="191" fontId="39" fillId="36" borderId="0" applyNumberFormat="0" applyBorder="0" applyAlignment="0" applyProtection="0"/>
    <xf numFmtId="191"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191" fontId="39" fillId="36" borderId="0" applyNumberFormat="0" applyBorder="0" applyAlignment="0" applyProtection="0"/>
    <xf numFmtId="0" fontId="39" fillId="36" borderId="0" applyNumberFormat="0" applyBorder="0" applyAlignment="0" applyProtection="0"/>
    <xf numFmtId="191" fontId="39" fillId="36" borderId="0" applyNumberFormat="0" applyBorder="0" applyAlignment="0" applyProtection="0"/>
    <xf numFmtId="191" fontId="39" fillId="36" borderId="0" applyNumberFormat="0" applyBorder="0" applyAlignment="0" applyProtection="0"/>
    <xf numFmtId="191" fontId="39" fillId="36" borderId="0" applyNumberFormat="0" applyBorder="0" applyAlignment="0" applyProtection="0"/>
    <xf numFmtId="191" fontId="39" fillId="36" borderId="0" applyNumberFormat="0" applyBorder="0" applyAlignment="0" applyProtection="0"/>
    <xf numFmtId="191" fontId="39" fillId="36" borderId="0" applyNumberFormat="0" applyBorder="0" applyAlignment="0" applyProtection="0"/>
    <xf numFmtId="0" fontId="39" fillId="36"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191" fontId="39" fillId="37" borderId="0" applyNumberFormat="0" applyBorder="0" applyAlignment="0" applyProtection="0"/>
    <xf numFmtId="0" fontId="39" fillId="37" borderId="0" applyNumberFormat="0" applyBorder="0" applyAlignment="0" applyProtection="0"/>
    <xf numFmtId="191" fontId="39" fillId="37" borderId="0" applyNumberFormat="0" applyBorder="0" applyAlignment="0" applyProtection="0"/>
    <xf numFmtId="191" fontId="39" fillId="37" borderId="0" applyNumberFormat="0" applyBorder="0" applyAlignment="0" applyProtection="0"/>
    <xf numFmtId="191" fontId="39" fillId="37" borderId="0" applyNumberFormat="0" applyBorder="0" applyAlignment="0" applyProtection="0"/>
    <xf numFmtId="191" fontId="39" fillId="37" borderId="0" applyNumberFormat="0" applyBorder="0" applyAlignment="0" applyProtection="0"/>
    <xf numFmtId="191"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191" fontId="39" fillId="37" borderId="0" applyNumberFormat="0" applyBorder="0" applyAlignment="0" applyProtection="0"/>
    <xf numFmtId="0" fontId="39" fillId="37" borderId="0" applyNumberFormat="0" applyBorder="0" applyAlignment="0" applyProtection="0"/>
    <xf numFmtId="191" fontId="39" fillId="37" borderId="0" applyNumberFormat="0" applyBorder="0" applyAlignment="0" applyProtection="0"/>
    <xf numFmtId="191" fontId="39" fillId="37" borderId="0" applyNumberFormat="0" applyBorder="0" applyAlignment="0" applyProtection="0"/>
    <xf numFmtId="191" fontId="39" fillId="37" borderId="0" applyNumberFormat="0" applyBorder="0" applyAlignment="0" applyProtection="0"/>
    <xf numFmtId="191" fontId="39" fillId="37" borderId="0" applyNumberFormat="0" applyBorder="0" applyAlignment="0" applyProtection="0"/>
    <xf numFmtId="191"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191" fontId="39" fillId="37" borderId="0" applyNumberFormat="0" applyBorder="0" applyAlignment="0" applyProtection="0"/>
    <xf numFmtId="0" fontId="39" fillId="37" borderId="0" applyNumberFormat="0" applyBorder="0" applyAlignment="0" applyProtection="0"/>
    <xf numFmtId="191" fontId="39" fillId="37" borderId="0" applyNumberFormat="0" applyBorder="0" applyAlignment="0" applyProtection="0"/>
    <xf numFmtId="191" fontId="39" fillId="37" borderId="0" applyNumberFormat="0" applyBorder="0" applyAlignment="0" applyProtection="0"/>
    <xf numFmtId="191" fontId="39" fillId="37" borderId="0" applyNumberFormat="0" applyBorder="0" applyAlignment="0" applyProtection="0"/>
    <xf numFmtId="191" fontId="39" fillId="37" borderId="0" applyNumberFormat="0" applyBorder="0" applyAlignment="0" applyProtection="0"/>
    <xf numFmtId="191" fontId="39" fillId="37" borderId="0" applyNumberFormat="0" applyBorder="0" applyAlignment="0" applyProtection="0"/>
    <xf numFmtId="0" fontId="39" fillId="37"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191" fontId="39" fillId="38" borderId="0" applyNumberFormat="0" applyBorder="0" applyAlignment="0" applyProtection="0"/>
    <xf numFmtId="0" fontId="39" fillId="38" borderId="0" applyNumberFormat="0" applyBorder="0" applyAlignment="0" applyProtection="0"/>
    <xf numFmtId="191" fontId="39" fillId="38" borderId="0" applyNumberFormat="0" applyBorder="0" applyAlignment="0" applyProtection="0"/>
    <xf numFmtId="191" fontId="39" fillId="38" borderId="0" applyNumberFormat="0" applyBorder="0" applyAlignment="0" applyProtection="0"/>
    <xf numFmtId="191" fontId="39" fillId="38" borderId="0" applyNumberFormat="0" applyBorder="0" applyAlignment="0" applyProtection="0"/>
    <xf numFmtId="191" fontId="39" fillId="38" borderId="0" applyNumberFormat="0" applyBorder="0" applyAlignment="0" applyProtection="0"/>
    <xf numFmtId="191"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191" fontId="39" fillId="38" borderId="0" applyNumberFormat="0" applyBorder="0" applyAlignment="0" applyProtection="0"/>
    <xf numFmtId="0" fontId="39" fillId="38" borderId="0" applyNumberFormat="0" applyBorder="0" applyAlignment="0" applyProtection="0"/>
    <xf numFmtId="191" fontId="39" fillId="38" borderId="0" applyNumberFormat="0" applyBorder="0" applyAlignment="0" applyProtection="0"/>
    <xf numFmtId="191" fontId="39" fillId="38" borderId="0" applyNumberFormat="0" applyBorder="0" applyAlignment="0" applyProtection="0"/>
    <xf numFmtId="191" fontId="39" fillId="38" borderId="0" applyNumberFormat="0" applyBorder="0" applyAlignment="0" applyProtection="0"/>
    <xf numFmtId="191" fontId="39" fillId="38" borderId="0" applyNumberFormat="0" applyBorder="0" applyAlignment="0" applyProtection="0"/>
    <xf numFmtId="191"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191" fontId="39" fillId="38" borderId="0" applyNumberFormat="0" applyBorder="0" applyAlignment="0" applyProtection="0"/>
    <xf numFmtId="0" fontId="39" fillId="38" borderId="0" applyNumberFormat="0" applyBorder="0" applyAlignment="0" applyProtection="0"/>
    <xf numFmtId="191" fontId="39" fillId="38" borderId="0" applyNumberFormat="0" applyBorder="0" applyAlignment="0" applyProtection="0"/>
    <xf numFmtId="191" fontId="39" fillId="38" borderId="0" applyNumberFormat="0" applyBorder="0" applyAlignment="0" applyProtection="0"/>
    <xf numFmtId="191" fontId="39" fillId="38" borderId="0" applyNumberFormat="0" applyBorder="0" applyAlignment="0" applyProtection="0"/>
    <xf numFmtId="191" fontId="39" fillId="38" borderId="0" applyNumberFormat="0" applyBorder="0" applyAlignment="0" applyProtection="0"/>
    <xf numFmtId="191" fontId="39" fillId="38" borderId="0" applyNumberFormat="0" applyBorder="0" applyAlignment="0" applyProtection="0"/>
    <xf numFmtId="0" fontId="39" fillId="38"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191" fontId="39" fillId="39" borderId="0" applyNumberFormat="0" applyBorder="0" applyAlignment="0" applyProtection="0"/>
    <xf numFmtId="0"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191" fontId="39" fillId="39" borderId="0" applyNumberFormat="0" applyBorder="0" applyAlignment="0" applyProtection="0"/>
    <xf numFmtId="0"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191" fontId="39" fillId="39" borderId="0" applyNumberFormat="0" applyBorder="0" applyAlignment="0" applyProtection="0"/>
    <xf numFmtId="0"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0" fontId="39" fillId="39"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191" fontId="39" fillId="40" borderId="0" applyNumberFormat="0" applyBorder="0" applyAlignment="0" applyProtection="0"/>
    <xf numFmtId="0" fontId="39" fillId="40" borderId="0" applyNumberFormat="0" applyBorder="0" applyAlignment="0" applyProtection="0"/>
    <xf numFmtId="191" fontId="39" fillId="40" borderId="0" applyNumberFormat="0" applyBorder="0" applyAlignment="0" applyProtection="0"/>
    <xf numFmtId="191" fontId="39" fillId="40" borderId="0" applyNumberFormat="0" applyBorder="0" applyAlignment="0" applyProtection="0"/>
    <xf numFmtId="191" fontId="39" fillId="40" borderId="0" applyNumberFormat="0" applyBorder="0" applyAlignment="0" applyProtection="0"/>
    <xf numFmtId="191" fontId="39" fillId="40" borderId="0" applyNumberFormat="0" applyBorder="0" applyAlignment="0" applyProtection="0"/>
    <xf numFmtId="191"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191" fontId="39" fillId="40" borderId="0" applyNumberFormat="0" applyBorder="0" applyAlignment="0" applyProtection="0"/>
    <xf numFmtId="0" fontId="39" fillId="40" borderId="0" applyNumberFormat="0" applyBorder="0" applyAlignment="0" applyProtection="0"/>
    <xf numFmtId="191" fontId="39" fillId="40" borderId="0" applyNumberFormat="0" applyBorder="0" applyAlignment="0" applyProtection="0"/>
    <xf numFmtId="191" fontId="39" fillId="40" borderId="0" applyNumberFormat="0" applyBorder="0" applyAlignment="0" applyProtection="0"/>
    <xf numFmtId="191" fontId="39" fillId="40" borderId="0" applyNumberFormat="0" applyBorder="0" applyAlignment="0" applyProtection="0"/>
    <xf numFmtId="191" fontId="39" fillId="40" borderId="0" applyNumberFormat="0" applyBorder="0" applyAlignment="0" applyProtection="0"/>
    <xf numFmtId="191"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191" fontId="39" fillId="40" borderId="0" applyNumberFormat="0" applyBorder="0" applyAlignment="0" applyProtection="0"/>
    <xf numFmtId="0" fontId="39" fillId="40" borderId="0" applyNumberFormat="0" applyBorder="0" applyAlignment="0" applyProtection="0"/>
    <xf numFmtId="191" fontId="39" fillId="40" borderId="0" applyNumberFormat="0" applyBorder="0" applyAlignment="0" applyProtection="0"/>
    <xf numFmtId="191" fontId="39" fillId="40" borderId="0" applyNumberFormat="0" applyBorder="0" applyAlignment="0" applyProtection="0"/>
    <xf numFmtId="191" fontId="39" fillId="40" borderId="0" applyNumberFormat="0" applyBorder="0" applyAlignment="0" applyProtection="0"/>
    <xf numFmtId="191" fontId="39" fillId="40" borderId="0" applyNumberFormat="0" applyBorder="0" applyAlignment="0" applyProtection="0"/>
    <xf numFmtId="191" fontId="39" fillId="40" borderId="0" applyNumberFormat="0" applyBorder="0" applyAlignment="0" applyProtection="0"/>
    <xf numFmtId="0" fontId="39" fillId="40"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191" fontId="39" fillId="41" borderId="0" applyNumberFormat="0" applyBorder="0" applyAlignment="0" applyProtection="0"/>
    <xf numFmtId="0" fontId="39" fillId="41" borderId="0" applyNumberFormat="0" applyBorder="0" applyAlignment="0" applyProtection="0"/>
    <xf numFmtId="191" fontId="39" fillId="41" borderId="0" applyNumberFormat="0" applyBorder="0" applyAlignment="0" applyProtection="0"/>
    <xf numFmtId="191" fontId="39" fillId="41" borderId="0" applyNumberFormat="0" applyBorder="0" applyAlignment="0" applyProtection="0"/>
    <xf numFmtId="191" fontId="39" fillId="41" borderId="0" applyNumberFormat="0" applyBorder="0" applyAlignment="0" applyProtection="0"/>
    <xf numFmtId="191" fontId="39" fillId="41" borderId="0" applyNumberFormat="0" applyBorder="0" applyAlignment="0" applyProtection="0"/>
    <xf numFmtId="191"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191" fontId="39" fillId="41" borderId="0" applyNumberFormat="0" applyBorder="0" applyAlignment="0" applyProtection="0"/>
    <xf numFmtId="0" fontId="39" fillId="41" borderId="0" applyNumberFormat="0" applyBorder="0" applyAlignment="0" applyProtection="0"/>
    <xf numFmtId="191" fontId="39" fillId="41" borderId="0" applyNumberFormat="0" applyBorder="0" applyAlignment="0" applyProtection="0"/>
    <xf numFmtId="191" fontId="39" fillId="41" borderId="0" applyNumberFormat="0" applyBorder="0" applyAlignment="0" applyProtection="0"/>
    <xf numFmtId="191" fontId="39" fillId="41" borderId="0" applyNumberFormat="0" applyBorder="0" applyAlignment="0" applyProtection="0"/>
    <xf numFmtId="191" fontId="39" fillId="41" borderId="0" applyNumberFormat="0" applyBorder="0" applyAlignment="0" applyProtection="0"/>
    <xf numFmtId="191"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191" fontId="39" fillId="41" borderId="0" applyNumberFormat="0" applyBorder="0" applyAlignment="0" applyProtection="0"/>
    <xf numFmtId="0" fontId="39" fillId="41" borderId="0" applyNumberFormat="0" applyBorder="0" applyAlignment="0" applyProtection="0"/>
    <xf numFmtId="191" fontId="39" fillId="41" borderId="0" applyNumberFormat="0" applyBorder="0" applyAlignment="0" applyProtection="0"/>
    <xf numFmtId="191" fontId="39" fillId="41" borderId="0" applyNumberFormat="0" applyBorder="0" applyAlignment="0" applyProtection="0"/>
    <xf numFmtId="191" fontId="39" fillId="41" borderId="0" applyNumberFormat="0" applyBorder="0" applyAlignment="0" applyProtection="0"/>
    <xf numFmtId="191" fontId="39" fillId="41" borderId="0" applyNumberFormat="0" applyBorder="0" applyAlignment="0" applyProtection="0"/>
    <xf numFmtId="191" fontId="39" fillId="41" borderId="0" applyNumberFormat="0" applyBorder="0" applyAlignment="0" applyProtection="0"/>
    <xf numFmtId="0" fontId="39" fillId="41"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39" fillId="42"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9" fillId="43"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1" fillId="23"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1" fillId="25" borderId="0" applyNumberFormat="0" applyBorder="0" applyAlignment="0" applyProtection="0"/>
    <xf numFmtId="0" fontId="39" fillId="38" borderId="0" applyNumberFormat="0" applyBorder="0" applyAlignment="0" applyProtection="0"/>
    <xf numFmtId="0" fontId="39" fillId="43"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9" fillId="42"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1" fillId="29"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4"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1" fillId="3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191" fontId="39" fillId="45" borderId="0" applyNumberFormat="0" applyBorder="0" applyAlignment="0" applyProtection="0"/>
    <xf numFmtId="0"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191" fontId="39" fillId="45" borderId="0" applyNumberFormat="0" applyBorder="0" applyAlignment="0" applyProtection="0"/>
    <xf numFmtId="0"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191" fontId="39" fillId="45" borderId="0" applyNumberFormat="0" applyBorder="0" applyAlignment="0" applyProtection="0"/>
    <xf numFmtId="0"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0" fontId="39" fillId="45"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191" fontId="39" fillId="46" borderId="0" applyNumberFormat="0" applyBorder="0" applyAlignment="0" applyProtection="0"/>
    <xf numFmtId="0" fontId="39" fillId="46" borderId="0" applyNumberFormat="0" applyBorder="0" applyAlignment="0" applyProtection="0"/>
    <xf numFmtId="191" fontId="39" fillId="46" borderId="0" applyNumberFormat="0" applyBorder="0" applyAlignment="0" applyProtection="0"/>
    <xf numFmtId="191" fontId="39" fillId="46" borderId="0" applyNumberFormat="0" applyBorder="0" applyAlignment="0" applyProtection="0"/>
    <xf numFmtId="191" fontId="39" fillId="46" borderId="0" applyNumberFormat="0" applyBorder="0" applyAlignment="0" applyProtection="0"/>
    <xf numFmtId="191" fontId="39" fillId="46" borderId="0" applyNumberFormat="0" applyBorder="0" applyAlignment="0" applyProtection="0"/>
    <xf numFmtId="191"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191" fontId="39" fillId="46" borderId="0" applyNumberFormat="0" applyBorder="0" applyAlignment="0" applyProtection="0"/>
    <xf numFmtId="0" fontId="39" fillId="46" borderId="0" applyNumberFormat="0" applyBorder="0" applyAlignment="0" applyProtection="0"/>
    <xf numFmtId="191" fontId="39" fillId="46" borderId="0" applyNumberFormat="0" applyBorder="0" applyAlignment="0" applyProtection="0"/>
    <xf numFmtId="191" fontId="39" fillId="46" borderId="0" applyNumberFormat="0" applyBorder="0" applyAlignment="0" applyProtection="0"/>
    <xf numFmtId="191" fontId="39" fillId="46" borderId="0" applyNumberFormat="0" applyBorder="0" applyAlignment="0" applyProtection="0"/>
    <xf numFmtId="191" fontId="39" fillId="46" borderId="0" applyNumberFormat="0" applyBorder="0" applyAlignment="0" applyProtection="0"/>
    <xf numFmtId="191"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191" fontId="39" fillId="46" borderId="0" applyNumberFormat="0" applyBorder="0" applyAlignment="0" applyProtection="0"/>
    <xf numFmtId="0" fontId="39" fillId="46" borderId="0" applyNumberFormat="0" applyBorder="0" applyAlignment="0" applyProtection="0"/>
    <xf numFmtId="191" fontId="39" fillId="46" borderId="0" applyNumberFormat="0" applyBorder="0" applyAlignment="0" applyProtection="0"/>
    <xf numFmtId="191" fontId="39" fillId="46" borderId="0" applyNumberFormat="0" applyBorder="0" applyAlignment="0" applyProtection="0"/>
    <xf numFmtId="191" fontId="39" fillId="46" borderId="0" applyNumberFormat="0" applyBorder="0" applyAlignment="0" applyProtection="0"/>
    <xf numFmtId="191" fontId="39" fillId="46" borderId="0" applyNumberFormat="0" applyBorder="0" applyAlignment="0" applyProtection="0"/>
    <xf numFmtId="191" fontId="39" fillId="46" borderId="0" applyNumberFormat="0" applyBorder="0" applyAlignment="0" applyProtection="0"/>
    <xf numFmtId="0" fontId="39" fillId="46"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191" fontId="39" fillId="47" borderId="0" applyNumberFormat="0" applyBorder="0" applyAlignment="0" applyProtection="0"/>
    <xf numFmtId="0" fontId="39" fillId="47" borderId="0" applyNumberFormat="0" applyBorder="0" applyAlignment="0" applyProtection="0"/>
    <xf numFmtId="191" fontId="39" fillId="47" borderId="0" applyNumberFormat="0" applyBorder="0" applyAlignment="0" applyProtection="0"/>
    <xf numFmtId="191" fontId="39" fillId="47" borderId="0" applyNumberFormat="0" applyBorder="0" applyAlignment="0" applyProtection="0"/>
    <xf numFmtId="191" fontId="39" fillId="47" borderId="0" applyNumberFormat="0" applyBorder="0" applyAlignment="0" applyProtection="0"/>
    <xf numFmtId="191" fontId="39" fillId="47" borderId="0" applyNumberFormat="0" applyBorder="0" applyAlignment="0" applyProtection="0"/>
    <xf numFmtId="191"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191" fontId="39" fillId="47" borderId="0" applyNumberFormat="0" applyBorder="0" applyAlignment="0" applyProtection="0"/>
    <xf numFmtId="0" fontId="39" fillId="47" borderId="0" applyNumberFormat="0" applyBorder="0" applyAlignment="0" applyProtection="0"/>
    <xf numFmtId="191" fontId="39" fillId="47" borderId="0" applyNumberFormat="0" applyBorder="0" applyAlignment="0" applyProtection="0"/>
    <xf numFmtId="191" fontId="39" fillId="47" borderId="0" applyNumberFormat="0" applyBorder="0" applyAlignment="0" applyProtection="0"/>
    <xf numFmtId="191" fontId="39" fillId="47" borderId="0" applyNumberFormat="0" applyBorder="0" applyAlignment="0" applyProtection="0"/>
    <xf numFmtId="191" fontId="39" fillId="47" borderId="0" applyNumberFormat="0" applyBorder="0" applyAlignment="0" applyProtection="0"/>
    <xf numFmtId="191"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191" fontId="39" fillId="47" borderId="0" applyNumberFormat="0" applyBorder="0" applyAlignment="0" applyProtection="0"/>
    <xf numFmtId="0" fontId="39" fillId="47" borderId="0" applyNumberFormat="0" applyBorder="0" applyAlignment="0" applyProtection="0"/>
    <xf numFmtId="191" fontId="39" fillId="47" borderId="0" applyNumberFormat="0" applyBorder="0" applyAlignment="0" applyProtection="0"/>
    <xf numFmtId="191" fontId="39" fillId="47" borderId="0" applyNumberFormat="0" applyBorder="0" applyAlignment="0" applyProtection="0"/>
    <xf numFmtId="191" fontId="39" fillId="47" borderId="0" applyNumberFormat="0" applyBorder="0" applyAlignment="0" applyProtection="0"/>
    <xf numFmtId="191" fontId="39" fillId="47" borderId="0" applyNumberFormat="0" applyBorder="0" applyAlignment="0" applyProtection="0"/>
    <xf numFmtId="191" fontId="39" fillId="47" borderId="0" applyNumberFormat="0" applyBorder="0" applyAlignment="0" applyProtection="0"/>
    <xf numFmtId="0" fontId="39" fillId="47"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191" fontId="39" fillId="39" borderId="0" applyNumberFormat="0" applyBorder="0" applyAlignment="0" applyProtection="0"/>
    <xf numFmtId="0"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191" fontId="39" fillId="39" borderId="0" applyNumberFormat="0" applyBorder="0" applyAlignment="0" applyProtection="0"/>
    <xf numFmtId="0"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191" fontId="39" fillId="39" borderId="0" applyNumberFormat="0" applyBorder="0" applyAlignment="0" applyProtection="0"/>
    <xf numFmtId="0"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191" fontId="39" fillId="39" borderId="0" applyNumberFormat="0" applyBorder="0" applyAlignment="0" applyProtection="0"/>
    <xf numFmtId="0" fontId="39" fillId="39"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191" fontId="39" fillId="45" borderId="0" applyNumberFormat="0" applyBorder="0" applyAlignment="0" applyProtection="0"/>
    <xf numFmtId="0"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191" fontId="39" fillId="45" borderId="0" applyNumberFormat="0" applyBorder="0" applyAlignment="0" applyProtection="0"/>
    <xf numFmtId="0"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191" fontId="39" fillId="45" borderId="0" applyNumberFormat="0" applyBorder="0" applyAlignment="0" applyProtection="0"/>
    <xf numFmtId="0"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191" fontId="39" fillId="45" borderId="0" applyNumberFormat="0" applyBorder="0" applyAlignment="0" applyProtection="0"/>
    <xf numFmtId="0" fontId="39" fillId="45"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191" fontId="39" fillId="48" borderId="0" applyNumberFormat="0" applyBorder="0" applyAlignment="0" applyProtection="0"/>
    <xf numFmtId="0" fontId="39" fillId="48" borderId="0" applyNumberFormat="0" applyBorder="0" applyAlignment="0" applyProtection="0"/>
    <xf numFmtId="191" fontId="39" fillId="48" borderId="0" applyNumberFormat="0" applyBorder="0" applyAlignment="0" applyProtection="0"/>
    <xf numFmtId="191" fontId="39" fillId="48" borderId="0" applyNumberFormat="0" applyBorder="0" applyAlignment="0" applyProtection="0"/>
    <xf numFmtId="191" fontId="39" fillId="48" borderId="0" applyNumberFormat="0" applyBorder="0" applyAlignment="0" applyProtection="0"/>
    <xf numFmtId="191" fontId="39" fillId="48" borderId="0" applyNumberFormat="0" applyBorder="0" applyAlignment="0" applyProtection="0"/>
    <xf numFmtId="191"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191" fontId="39" fillId="48" borderId="0" applyNumberFormat="0" applyBorder="0" applyAlignment="0" applyProtection="0"/>
    <xf numFmtId="0" fontId="39" fillId="48" borderId="0" applyNumberFormat="0" applyBorder="0" applyAlignment="0" applyProtection="0"/>
    <xf numFmtId="191" fontId="39" fillId="48" borderId="0" applyNumberFormat="0" applyBorder="0" applyAlignment="0" applyProtection="0"/>
    <xf numFmtId="191" fontId="39" fillId="48" borderId="0" applyNumberFormat="0" applyBorder="0" applyAlignment="0" applyProtection="0"/>
    <xf numFmtId="191" fontId="39" fillId="48" borderId="0" applyNumberFormat="0" applyBorder="0" applyAlignment="0" applyProtection="0"/>
    <xf numFmtId="191" fontId="39" fillId="48" borderId="0" applyNumberFormat="0" applyBorder="0" applyAlignment="0" applyProtection="0"/>
    <xf numFmtId="191"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191" fontId="39" fillId="48" borderId="0" applyNumberFormat="0" applyBorder="0" applyAlignment="0" applyProtection="0"/>
    <xf numFmtId="0" fontId="39" fillId="48" borderId="0" applyNumberFormat="0" applyBorder="0" applyAlignment="0" applyProtection="0"/>
    <xf numFmtId="191" fontId="39" fillId="48" borderId="0" applyNumberFormat="0" applyBorder="0" applyAlignment="0" applyProtection="0"/>
    <xf numFmtId="191" fontId="39" fillId="48" borderId="0" applyNumberFormat="0" applyBorder="0" applyAlignment="0" applyProtection="0"/>
    <xf numFmtId="191" fontId="39" fillId="48" borderId="0" applyNumberFormat="0" applyBorder="0" applyAlignment="0" applyProtection="0"/>
    <xf numFmtId="191" fontId="39" fillId="48" borderId="0" applyNumberFormat="0" applyBorder="0" applyAlignment="0" applyProtection="0"/>
    <xf numFmtId="191" fontId="39" fillId="48" borderId="0" applyNumberFormat="0" applyBorder="0" applyAlignment="0" applyProtection="0"/>
    <xf numFmtId="0" fontId="39" fillId="48"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1" fillId="22" borderId="0" applyNumberFormat="0" applyBorder="0" applyAlignment="0" applyProtection="0"/>
    <xf numFmtId="0" fontId="39" fillId="45" borderId="0" applyNumberFormat="0" applyBorder="0" applyAlignment="0" applyProtection="0"/>
    <xf numFmtId="0" fontId="39" fillId="44"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1" fillId="24" borderId="0" applyNumberFormat="0" applyBorder="0" applyAlignment="0" applyProtection="0"/>
    <xf numFmtId="0" fontId="39" fillId="46" borderId="0" applyNumberFormat="0" applyBorder="0" applyAlignment="0" applyProtection="0"/>
    <xf numFmtId="0" fontId="39" fillId="43"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1" fillId="26" borderId="0" applyNumberFormat="0" applyBorder="0" applyAlignment="0" applyProtection="0"/>
    <xf numFmtId="0" fontId="39" fillId="47" borderId="0" applyNumberFormat="0" applyBorder="0" applyAlignment="0" applyProtection="0"/>
    <xf numFmtId="0" fontId="39" fillId="43"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1" fillId="28" borderId="0" applyNumberFormat="0" applyBorder="0" applyAlignment="0" applyProtection="0"/>
    <xf numFmtId="0" fontId="39" fillId="39" borderId="0" applyNumberFormat="0" applyBorder="0" applyAlignment="0" applyProtection="0"/>
    <xf numFmtId="0" fontId="39" fillId="44"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1" fillId="30"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1" fillId="32" borderId="0" applyNumberFormat="0" applyBorder="0" applyAlignment="0" applyProtection="0"/>
    <xf numFmtId="0" fontId="39" fillId="48" borderId="0" applyNumberFormat="0" applyBorder="0" applyAlignment="0" applyProtection="0"/>
    <xf numFmtId="0" fontId="39" fillId="41"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49" fontId="74" fillId="34" borderId="5" applyProtection="0">
      <alignment horizontal="left" vertical="top"/>
    </xf>
    <xf numFmtId="0" fontId="75" fillId="49" borderId="0" applyNumberFormat="0" applyBorder="0" applyAlignment="0" applyProtection="0"/>
    <xf numFmtId="0" fontId="75" fillId="49" borderId="0" applyNumberFormat="0" applyBorder="0" applyAlignment="0" applyProtection="0"/>
    <xf numFmtId="0" fontId="75" fillId="49" borderId="0" applyNumberFormat="0" applyBorder="0" applyAlignment="0" applyProtection="0"/>
    <xf numFmtId="0" fontId="75" fillId="49" borderId="0" applyNumberFormat="0" applyBorder="0" applyAlignment="0" applyProtection="0"/>
    <xf numFmtId="0" fontId="75" fillId="46" borderId="0" applyNumberFormat="0" applyBorder="0" applyAlignment="0" applyProtection="0"/>
    <xf numFmtId="0" fontId="75" fillId="46" borderId="0" applyNumberFormat="0" applyBorder="0" applyAlignment="0" applyProtection="0"/>
    <xf numFmtId="0" fontId="75" fillId="46" borderId="0" applyNumberFormat="0" applyBorder="0" applyAlignment="0" applyProtection="0"/>
    <xf numFmtId="0" fontId="75" fillId="46" borderId="0" applyNumberFormat="0" applyBorder="0" applyAlignment="0" applyProtection="0"/>
    <xf numFmtId="0" fontId="75" fillId="47" borderId="0" applyNumberFormat="0" applyBorder="0" applyAlignment="0" applyProtection="0"/>
    <xf numFmtId="0" fontId="75" fillId="47" borderId="0" applyNumberFormat="0" applyBorder="0" applyAlignment="0" applyProtection="0"/>
    <xf numFmtId="0" fontId="75" fillId="47" borderId="0" applyNumberFormat="0" applyBorder="0" applyAlignment="0" applyProtection="0"/>
    <xf numFmtId="0" fontId="75" fillId="47"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49" borderId="0" applyNumberFormat="0" applyBorder="0" applyAlignment="0" applyProtection="0"/>
    <xf numFmtId="0" fontId="75" fillId="46" borderId="0" applyNumberFormat="0" applyBorder="0" applyAlignment="0" applyProtection="0"/>
    <xf numFmtId="0" fontId="75" fillId="47" borderId="0" applyNumberFormat="0" applyBorder="0" applyAlignment="0" applyProtection="0"/>
    <xf numFmtId="0" fontId="75" fillId="50" borderId="0" applyNumberFormat="0" applyBorder="0" applyAlignment="0" applyProtection="0"/>
    <xf numFmtId="0" fontId="75" fillId="51" borderId="0" applyNumberFormat="0" applyBorder="0" applyAlignment="0" applyProtection="0"/>
    <xf numFmtId="0" fontId="75" fillId="52" borderId="0" applyNumberFormat="0" applyBorder="0" applyAlignment="0" applyProtection="0"/>
    <xf numFmtId="0" fontId="75" fillId="49" borderId="0" applyNumberFormat="0" applyBorder="0" applyAlignment="0" applyProtection="0"/>
    <xf numFmtId="0" fontId="75" fillId="46" borderId="0" applyNumberFormat="0" applyBorder="0" applyAlignment="0" applyProtection="0"/>
    <xf numFmtId="0" fontId="75" fillId="47" borderId="0" applyNumberFormat="0" applyBorder="0" applyAlignment="0" applyProtection="0"/>
    <xf numFmtId="0" fontId="75" fillId="50" borderId="0" applyNumberFormat="0" applyBorder="0" applyAlignment="0" applyProtection="0"/>
    <xf numFmtId="0" fontId="75" fillId="51" borderId="0" applyNumberFormat="0" applyBorder="0" applyAlignment="0" applyProtection="0"/>
    <xf numFmtId="0" fontId="75" fillId="52" borderId="0" applyNumberFormat="0" applyBorder="0" applyAlignment="0" applyProtection="0"/>
    <xf numFmtId="0" fontId="75" fillId="49" borderId="0" applyNumberFormat="0" applyBorder="0" applyAlignment="0" applyProtection="0"/>
    <xf numFmtId="0" fontId="75" fillId="49" borderId="0" applyNumberFormat="0" applyBorder="0" applyAlignment="0" applyProtection="0"/>
    <xf numFmtId="0" fontId="75" fillId="51" borderId="0" applyNumberFormat="0" applyBorder="0" applyAlignment="0" applyProtection="0"/>
    <xf numFmtId="0" fontId="75" fillId="46" borderId="0" applyNumberFormat="0" applyBorder="0" applyAlignment="0" applyProtection="0"/>
    <xf numFmtId="0" fontId="75" fillId="46" borderId="0" applyNumberFormat="0" applyBorder="0" applyAlignment="0" applyProtection="0"/>
    <xf numFmtId="0" fontId="75" fillId="43" borderId="0" applyNumberFormat="0" applyBorder="0" applyAlignment="0" applyProtection="0"/>
    <xf numFmtId="0" fontId="75" fillId="47" borderId="0" applyNumberFormat="0" applyBorder="0" applyAlignment="0" applyProtection="0"/>
    <xf numFmtId="0" fontId="75" fillId="47" borderId="0" applyNumberFormat="0" applyBorder="0" applyAlignment="0" applyProtection="0"/>
    <xf numFmtId="0" fontId="75" fillId="43"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75" fillId="44"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41" borderId="0" applyNumberFormat="0" applyBorder="0" applyAlignment="0" applyProtection="0"/>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6"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20" applyProtection="0">
      <alignment horizontal="left" vertical="top" wrapText="1"/>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49" fontId="74" fillId="34" borderId="17" applyProtection="0">
      <alignment horizontal="left" vertical="top"/>
    </xf>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4" borderId="0" applyNumberFormat="0" applyBorder="0" applyAlignment="0" applyProtection="0"/>
    <xf numFmtId="0" fontId="75" fillId="54" borderId="0" applyNumberFormat="0" applyBorder="0" applyAlignment="0" applyProtection="0"/>
    <xf numFmtId="0" fontId="75" fillId="54" borderId="0" applyNumberFormat="0" applyBorder="0" applyAlignment="0" applyProtection="0"/>
    <xf numFmtId="0" fontId="75" fillId="54" borderId="0" applyNumberFormat="0" applyBorder="0" applyAlignment="0" applyProtection="0"/>
    <xf numFmtId="0" fontId="75" fillId="55" borderId="0" applyNumberFormat="0" applyBorder="0" applyAlignment="0" applyProtection="0"/>
    <xf numFmtId="0" fontId="75" fillId="55" borderId="0" applyNumberFormat="0" applyBorder="0" applyAlignment="0" applyProtection="0"/>
    <xf numFmtId="0" fontId="75" fillId="55" borderId="0" applyNumberFormat="0" applyBorder="0" applyAlignment="0" applyProtection="0"/>
    <xf numFmtId="0" fontId="75" fillId="55"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192" fontId="76" fillId="57" borderId="53">
      <alignment horizontal="center" vertical="center"/>
    </xf>
    <xf numFmtId="0" fontId="77" fillId="0" borderId="0"/>
    <xf numFmtId="0" fontId="75" fillId="53" borderId="0" applyNumberFormat="0" applyBorder="0" applyAlignment="0" applyProtection="0"/>
    <xf numFmtId="0" fontId="75" fillId="54" borderId="0" applyNumberFormat="0" applyBorder="0" applyAlignment="0" applyProtection="0"/>
    <xf numFmtId="0" fontId="75" fillId="55" borderId="0" applyNumberFormat="0" applyBorder="0" applyAlignment="0" applyProtection="0"/>
    <xf numFmtId="0" fontId="75" fillId="50" borderId="0" applyNumberFormat="0" applyBorder="0" applyAlignment="0" applyProtection="0"/>
    <xf numFmtId="0" fontId="75" fillId="51" borderId="0" applyNumberFormat="0" applyBorder="0" applyAlignment="0" applyProtection="0"/>
    <xf numFmtId="0" fontId="75" fillId="56" borderId="0" applyNumberFormat="0" applyBorder="0" applyAlignment="0" applyProtection="0"/>
    <xf numFmtId="0" fontId="78" fillId="0" borderId="0">
      <alignment horizontal="center" wrapText="1"/>
      <protection locked="0"/>
    </xf>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80" fillId="37" borderId="0" applyNumberFormat="0" applyBorder="0" applyAlignment="0" applyProtection="0"/>
    <xf numFmtId="0" fontId="80" fillId="37" borderId="0" applyNumberFormat="0" applyBorder="0" applyAlignment="0" applyProtection="0"/>
    <xf numFmtId="0" fontId="80" fillId="37" borderId="0" applyNumberFormat="0" applyBorder="0" applyAlignment="0" applyProtection="0"/>
    <xf numFmtId="0" fontId="80" fillId="37" borderId="0" applyNumberFormat="0" applyBorder="0" applyAlignment="0" applyProtection="0"/>
    <xf numFmtId="0" fontId="81" fillId="0" borderId="55">
      <alignment horizontal="left"/>
    </xf>
    <xf numFmtId="0" fontId="82" fillId="0" borderId="0"/>
    <xf numFmtId="0" fontId="82" fillId="0" borderId="0"/>
    <xf numFmtId="0" fontId="83" fillId="0" borderId="0"/>
    <xf numFmtId="0" fontId="82" fillId="0" borderId="0"/>
    <xf numFmtId="0" fontId="83" fillId="0" borderId="0"/>
    <xf numFmtId="0" fontId="83" fillId="0" borderId="0"/>
    <xf numFmtId="0" fontId="83" fillId="0" borderId="0"/>
    <xf numFmtId="0" fontId="82" fillId="0" borderId="0"/>
    <xf numFmtId="0" fontId="82" fillId="0" borderId="0"/>
    <xf numFmtId="0" fontId="82" fillId="0" borderId="0"/>
    <xf numFmtId="0" fontId="82" fillId="0" borderId="0"/>
    <xf numFmtId="0" fontId="82" fillId="0" borderId="0"/>
    <xf numFmtId="0" fontId="81" fillId="0" borderId="55">
      <alignment horizontal="left"/>
    </xf>
    <xf numFmtId="0" fontId="81" fillId="0" borderId="55">
      <alignment horizontal="left"/>
    </xf>
    <xf numFmtId="0" fontId="82" fillId="0" borderId="0"/>
    <xf numFmtId="0" fontId="81" fillId="0" borderId="55">
      <alignment horizontal="left"/>
    </xf>
    <xf numFmtId="0" fontId="81" fillId="0" borderId="55">
      <alignment horizontal="left"/>
    </xf>
    <xf numFmtId="0" fontId="83" fillId="0" borderId="0"/>
    <xf numFmtId="0" fontId="82" fillId="0" borderId="0"/>
    <xf numFmtId="0" fontId="81" fillId="0" borderId="55">
      <alignment horizontal="left"/>
    </xf>
    <xf numFmtId="0" fontId="81" fillId="0" borderId="55">
      <alignment horizontal="left"/>
    </xf>
    <xf numFmtId="0" fontId="81" fillId="0" borderId="55">
      <alignment horizontal="left"/>
    </xf>
    <xf numFmtId="0" fontId="82" fillId="0" borderId="0"/>
    <xf numFmtId="0" fontId="83" fillId="0" borderId="0"/>
    <xf numFmtId="0" fontId="81" fillId="0" borderId="55">
      <alignment horizontal="left"/>
    </xf>
    <xf numFmtId="0" fontId="81" fillId="0" borderId="55">
      <alignment horizontal="left"/>
    </xf>
    <xf numFmtId="0" fontId="82" fillId="0" borderId="0"/>
    <xf numFmtId="0" fontId="83" fillId="0" borderId="0"/>
    <xf numFmtId="0" fontId="81" fillId="0" borderId="55">
      <alignment horizontal="left"/>
    </xf>
    <xf numFmtId="0" fontId="81" fillId="0" borderId="55">
      <alignment horizontal="left"/>
    </xf>
    <xf numFmtId="0" fontId="81" fillId="0" borderId="55">
      <alignment horizontal="left"/>
    </xf>
    <xf numFmtId="0" fontId="83" fillId="0" borderId="0"/>
    <xf numFmtId="0" fontId="81" fillId="0" borderId="55">
      <alignment horizontal="left"/>
    </xf>
    <xf numFmtId="0" fontId="81" fillId="0" borderId="55">
      <alignment horizontal="left"/>
    </xf>
    <xf numFmtId="0" fontId="83" fillId="0" borderId="0"/>
    <xf numFmtId="0" fontId="81" fillId="0" borderId="55">
      <alignment horizontal="left"/>
    </xf>
    <xf numFmtId="0" fontId="81" fillId="0" borderId="55">
      <alignment horizontal="left"/>
    </xf>
    <xf numFmtId="0" fontId="83" fillId="0" borderId="0"/>
    <xf numFmtId="0" fontId="81" fillId="0" borderId="55">
      <alignment horizontal="left"/>
    </xf>
    <xf numFmtId="0" fontId="83" fillId="0" borderId="0"/>
    <xf numFmtId="0" fontId="81" fillId="0" borderId="55">
      <alignment horizontal="left"/>
    </xf>
    <xf numFmtId="0" fontId="81" fillId="0" borderId="55">
      <alignment horizontal="left"/>
    </xf>
    <xf numFmtId="0" fontId="84" fillId="0" borderId="55">
      <alignment horizontal="left" wrapText="1"/>
    </xf>
    <xf numFmtId="0" fontId="82" fillId="0" borderId="0"/>
    <xf numFmtId="0" fontId="82" fillId="0" borderId="0"/>
    <xf numFmtId="0" fontId="83" fillId="0" borderId="0"/>
    <xf numFmtId="0" fontId="82" fillId="0" borderId="0"/>
    <xf numFmtId="0" fontId="83" fillId="0" borderId="0"/>
    <xf numFmtId="0" fontId="83" fillId="0" borderId="0"/>
    <xf numFmtId="0" fontId="83" fillId="0" borderId="0"/>
    <xf numFmtId="0" fontId="82" fillId="0" borderId="0"/>
    <xf numFmtId="0" fontId="82" fillId="0" borderId="0"/>
    <xf numFmtId="0" fontId="82" fillId="0" borderId="0"/>
    <xf numFmtId="0" fontId="82" fillId="0" borderId="0"/>
    <xf numFmtId="0" fontId="82" fillId="0" borderId="0"/>
    <xf numFmtId="0" fontId="84" fillId="0" borderId="55">
      <alignment horizontal="left" wrapText="1"/>
    </xf>
    <xf numFmtId="0" fontId="84" fillId="0" borderId="55">
      <alignment horizontal="left" wrapText="1"/>
    </xf>
    <xf numFmtId="0" fontId="82" fillId="0" borderId="0"/>
    <xf numFmtId="0" fontId="84" fillId="0" borderId="55">
      <alignment horizontal="left" wrapText="1"/>
    </xf>
    <xf numFmtId="0" fontId="84" fillId="0" borderId="55">
      <alignment horizontal="left" wrapText="1"/>
    </xf>
    <xf numFmtId="0" fontId="83" fillId="0" borderId="0"/>
    <xf numFmtId="0" fontId="82" fillId="0" borderId="0"/>
    <xf numFmtId="0" fontId="84" fillId="0" borderId="55">
      <alignment horizontal="left" wrapText="1"/>
    </xf>
    <xf numFmtId="0" fontId="84" fillId="0" borderId="55">
      <alignment horizontal="left" wrapText="1"/>
    </xf>
    <xf numFmtId="0" fontId="84" fillId="0" borderId="55">
      <alignment horizontal="left" wrapText="1"/>
    </xf>
    <xf numFmtId="0" fontId="82" fillId="0" borderId="0"/>
    <xf numFmtId="0" fontId="83" fillId="0" borderId="0"/>
    <xf numFmtId="0" fontId="84" fillId="0" borderId="55">
      <alignment horizontal="left" wrapText="1"/>
    </xf>
    <xf numFmtId="0" fontId="84" fillId="0" borderId="55">
      <alignment horizontal="left" wrapText="1"/>
    </xf>
    <xf numFmtId="0" fontId="82" fillId="0" borderId="0"/>
    <xf numFmtId="0" fontId="83" fillId="0" borderId="0"/>
    <xf numFmtId="0" fontId="84" fillId="0" borderId="55">
      <alignment horizontal="left" wrapText="1"/>
    </xf>
    <xf numFmtId="0" fontId="84" fillId="0" borderId="55">
      <alignment horizontal="left" wrapText="1"/>
    </xf>
    <xf numFmtId="0" fontId="84" fillId="0" borderId="55">
      <alignment horizontal="left" wrapText="1"/>
    </xf>
    <xf numFmtId="0" fontId="83" fillId="0" borderId="0"/>
    <xf numFmtId="0" fontId="84" fillId="0" borderId="55">
      <alignment horizontal="left" wrapText="1"/>
    </xf>
    <xf numFmtId="0" fontId="84" fillId="0" borderId="55">
      <alignment horizontal="left" wrapText="1"/>
    </xf>
    <xf numFmtId="0" fontId="83" fillId="0" borderId="0"/>
    <xf numFmtId="0" fontId="84" fillId="0" borderId="55">
      <alignment horizontal="left" wrapText="1"/>
    </xf>
    <xf numFmtId="0" fontId="83" fillId="0" borderId="0"/>
    <xf numFmtId="0" fontId="84" fillId="0" borderId="55">
      <alignment horizontal="left" wrapText="1"/>
    </xf>
    <xf numFmtId="0" fontId="83" fillId="0" borderId="0"/>
    <xf numFmtId="0" fontId="84" fillId="0" borderId="55">
      <alignment horizontal="left" wrapText="1"/>
    </xf>
    <xf numFmtId="0" fontId="84" fillId="0" borderId="55">
      <alignment horizontal="left" wrapText="1"/>
    </xf>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6" fillId="0" borderId="57" applyProtection="0"/>
    <xf numFmtId="0" fontId="87" fillId="0" borderId="57" applyProtection="0"/>
    <xf numFmtId="0" fontId="88" fillId="38" borderId="0" applyNumberFormat="0" applyBorder="0" applyAlignment="0" applyProtection="0"/>
    <xf numFmtId="193" fontId="89" fillId="0" borderId="7" applyAlignment="0" applyProtection="0"/>
    <xf numFmtId="0" fontId="10" fillId="0" borderId="0">
      <alignment vertical="center"/>
    </xf>
    <xf numFmtId="0" fontId="10" fillId="0" borderId="0">
      <alignment vertical="center"/>
    </xf>
    <xf numFmtId="0" fontId="88" fillId="38" borderId="0" applyNumberFormat="0" applyBorder="0" applyAlignment="0" applyProtection="0"/>
    <xf numFmtId="0" fontId="88" fillId="38" borderId="0" applyNumberFormat="0" applyBorder="0" applyAlignment="0" applyProtection="0"/>
    <xf numFmtId="0" fontId="88" fillId="38" borderId="0" applyNumberFormat="0" applyBorder="0" applyAlignment="0" applyProtection="0"/>
    <xf numFmtId="194" fontId="10" fillId="0" borderId="0" applyFill="0" applyBorder="0" applyAlignment="0"/>
    <xf numFmtId="194" fontId="10" fillId="0" borderId="0" applyFill="0" applyBorder="0" applyAlignment="0"/>
    <xf numFmtId="194" fontId="10" fillId="0" borderId="0" applyFill="0" applyBorder="0" applyAlignment="0"/>
    <xf numFmtId="194" fontId="10" fillId="0" borderId="0" applyFill="0" applyBorder="0" applyAlignment="0"/>
    <xf numFmtId="194" fontId="10" fillId="0" borderId="0" applyFill="0" applyBorder="0" applyAlignment="0"/>
    <xf numFmtId="194" fontId="10" fillId="0" borderId="0" applyFill="0" applyBorder="0" applyAlignment="0"/>
    <xf numFmtId="195" fontId="10" fillId="0" borderId="0" applyFill="0" applyBorder="0" applyAlignment="0"/>
    <xf numFmtId="195" fontId="10" fillId="0" borderId="0" applyFill="0" applyBorder="0" applyAlignment="0"/>
    <xf numFmtId="195" fontId="10" fillId="0" borderId="0" applyFill="0" applyBorder="0" applyAlignment="0"/>
    <xf numFmtId="196" fontId="10" fillId="0" borderId="0" applyFill="0" applyBorder="0" applyAlignment="0"/>
    <xf numFmtId="196" fontId="10" fillId="0" borderId="0" applyFill="0" applyBorder="0" applyAlignment="0"/>
    <xf numFmtId="196" fontId="10" fillId="0" borderId="0" applyFill="0" applyBorder="0" applyAlignment="0"/>
    <xf numFmtId="197" fontId="10" fillId="0" borderId="0" applyFill="0" applyBorder="0" applyAlignment="0"/>
    <xf numFmtId="197" fontId="10" fillId="0" borderId="0" applyFill="0" applyBorder="0" applyAlignment="0"/>
    <xf numFmtId="197" fontId="10" fillId="0" borderId="0" applyFill="0" applyBorder="0" applyAlignment="0"/>
    <xf numFmtId="0" fontId="10" fillId="0" borderId="0" applyFill="0" applyBorder="0" applyAlignment="0"/>
    <xf numFmtId="0" fontId="10" fillId="0" borderId="0" applyFill="0" applyBorder="0" applyAlignment="0"/>
    <xf numFmtId="0" fontId="10" fillId="0" borderId="0" applyFill="0" applyBorder="0" applyAlignment="0"/>
    <xf numFmtId="198" fontId="10" fillId="0" borderId="0" applyFill="0" applyBorder="0" applyAlignment="0"/>
    <xf numFmtId="198" fontId="10" fillId="0" borderId="0" applyFill="0" applyBorder="0" applyAlignment="0"/>
    <xf numFmtId="198" fontId="10" fillId="0" borderId="0" applyFill="0" applyBorder="0" applyAlignment="0"/>
    <xf numFmtId="0" fontId="10" fillId="0" borderId="0" applyFill="0" applyBorder="0" applyAlignment="0"/>
    <xf numFmtId="0" fontId="10" fillId="0" borderId="0" applyFill="0" applyBorder="0" applyAlignment="0"/>
    <xf numFmtId="0" fontId="10" fillId="0" borderId="0" applyFill="0" applyBorder="0" applyAlignment="0"/>
    <xf numFmtId="195" fontId="10" fillId="0" borderId="0" applyFill="0" applyBorder="0" applyAlignment="0"/>
    <xf numFmtId="195" fontId="10" fillId="0" borderId="0" applyFill="0" applyBorder="0" applyAlignment="0"/>
    <xf numFmtId="195" fontId="10" fillId="0" borderId="0" applyFill="0" applyBorder="0" applyAlignment="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85" fillId="42" borderId="56" applyNumberFormat="0" applyAlignment="0" applyProtection="0"/>
    <xf numFmtId="0" fontId="36" fillId="0" borderId="0"/>
    <xf numFmtId="0" fontId="36" fillId="0" borderId="0"/>
    <xf numFmtId="0" fontId="90" fillId="0" borderId="0"/>
    <xf numFmtId="0" fontId="91" fillId="58" borderId="58" applyNumberFormat="0" applyAlignment="0" applyProtection="0"/>
    <xf numFmtId="0" fontId="91" fillId="58" borderId="58" applyNumberFormat="0" applyAlignment="0" applyProtection="0"/>
    <xf numFmtId="0" fontId="91" fillId="58" borderId="58" applyNumberFormat="0" applyAlignment="0" applyProtection="0"/>
    <xf numFmtId="0" fontId="92" fillId="0" borderId="59" applyNumberFormat="0" applyFill="0" applyAlignment="0" applyProtection="0"/>
    <xf numFmtId="0" fontId="92" fillId="0" borderId="59" applyNumberFormat="0" applyFill="0" applyAlignment="0" applyProtection="0"/>
    <xf numFmtId="0" fontId="92" fillId="0" borderId="59" applyNumberFormat="0" applyFill="0" applyAlignment="0" applyProtection="0"/>
    <xf numFmtId="0" fontId="84" fillId="0" borderId="0">
      <alignment horizontal="right" vertical="center"/>
    </xf>
    <xf numFmtId="0" fontId="84" fillId="0" borderId="0">
      <alignment horizontal="right" vertical="center"/>
    </xf>
    <xf numFmtId="0" fontId="84" fillId="0" borderId="0">
      <alignment horizontal="right" vertical="center"/>
    </xf>
    <xf numFmtId="0" fontId="82" fillId="0" borderId="0"/>
    <xf numFmtId="0" fontId="82" fillId="0" borderId="0"/>
    <xf numFmtId="0" fontId="82" fillId="0" borderId="0"/>
    <xf numFmtId="0" fontId="84" fillId="0" borderId="0">
      <alignment horizontal="right" vertical="center"/>
    </xf>
    <xf numFmtId="0" fontId="84" fillId="0" borderId="0">
      <alignment horizontal="right" vertical="center"/>
    </xf>
    <xf numFmtId="0" fontId="84" fillId="0" borderId="0">
      <alignment horizontal="right" vertical="center"/>
    </xf>
    <xf numFmtId="0" fontId="84" fillId="0" borderId="0">
      <alignment horizontal="right" vertical="center"/>
    </xf>
    <xf numFmtId="0" fontId="82" fillId="0" borderId="0"/>
    <xf numFmtId="0" fontId="82" fillId="0" borderId="0"/>
    <xf numFmtId="0" fontId="84" fillId="0" borderId="0">
      <alignment horizontal="right" vertical="center"/>
    </xf>
    <xf numFmtId="0" fontId="84" fillId="0" borderId="0">
      <alignment horizontal="right" vertical="center"/>
    </xf>
    <xf numFmtId="0" fontId="82" fillId="0" borderId="0"/>
    <xf numFmtId="0" fontId="82" fillId="0" borderId="0"/>
    <xf numFmtId="0" fontId="84" fillId="0" borderId="0">
      <alignment horizontal="right" vertical="center"/>
    </xf>
    <xf numFmtId="0" fontId="83" fillId="0" borderId="0"/>
    <xf numFmtId="0" fontId="84" fillId="0" borderId="0">
      <alignment horizontal="right" vertical="center"/>
    </xf>
    <xf numFmtId="0" fontId="84" fillId="0" borderId="0">
      <alignment horizontal="right" vertical="center"/>
    </xf>
    <xf numFmtId="0" fontId="83" fillId="0" borderId="0"/>
    <xf numFmtId="0" fontId="84" fillId="0" borderId="0">
      <alignment horizontal="right" vertical="center"/>
    </xf>
    <xf numFmtId="0" fontId="84" fillId="0" borderId="0">
      <alignment horizontal="right" vertical="center"/>
    </xf>
    <xf numFmtId="0" fontId="84" fillId="0" borderId="0">
      <alignment horizontal="right" vertical="center"/>
    </xf>
    <xf numFmtId="0" fontId="84" fillId="0" borderId="0">
      <alignment horizontal="right" vertical="center"/>
    </xf>
    <xf numFmtId="0" fontId="84" fillId="0" borderId="0">
      <alignment horizontal="right" vertical="center"/>
    </xf>
    <xf numFmtId="0" fontId="84" fillId="0" borderId="0">
      <alignment horizontal="right" vertical="center"/>
    </xf>
    <xf numFmtId="0" fontId="84" fillId="0" borderId="0">
      <alignment horizontal="right" vertical="center"/>
    </xf>
    <xf numFmtId="0" fontId="84" fillId="0" borderId="0">
      <alignment horizontal="right" vertical="center"/>
    </xf>
    <xf numFmtId="0" fontId="84" fillId="0" borderId="60">
      <alignment horizontal="right" vertical="center"/>
    </xf>
    <xf numFmtId="0" fontId="91" fillId="58" borderId="58" applyNumberFormat="0" applyAlignment="0" applyProtection="0"/>
    <xf numFmtId="0" fontId="92" fillId="0" borderId="59" applyNumberFormat="0" applyFill="0" applyAlignment="0" applyProtection="0"/>
    <xf numFmtId="0" fontId="81" fillId="0" borderId="0">
      <alignment horizontal="center" vertical="center" wrapText="1"/>
    </xf>
    <xf numFmtId="0" fontId="81" fillId="0" borderId="0">
      <alignment horizontal="center" vertical="center" wrapText="1"/>
    </xf>
    <xf numFmtId="0" fontId="81" fillId="0" borderId="0">
      <alignment horizontal="center" vertical="center" wrapText="1"/>
    </xf>
    <xf numFmtId="0" fontId="82" fillId="0" borderId="0"/>
    <xf numFmtId="0" fontId="82" fillId="0" borderId="0"/>
    <xf numFmtId="0" fontId="82" fillId="0" borderId="0"/>
    <xf numFmtId="0" fontId="81" fillId="0" borderId="0">
      <alignment horizontal="center" vertical="center" wrapText="1"/>
    </xf>
    <xf numFmtId="0" fontId="81" fillId="0" borderId="0">
      <alignment horizontal="center" vertical="center" wrapText="1"/>
    </xf>
    <xf numFmtId="0" fontId="81" fillId="0" borderId="0">
      <alignment horizontal="center" vertical="center" wrapText="1"/>
    </xf>
    <xf numFmtId="0" fontId="81" fillId="0" borderId="0">
      <alignment horizontal="center" vertical="center" wrapText="1"/>
    </xf>
    <xf numFmtId="0" fontId="82" fillId="0" borderId="0"/>
    <xf numFmtId="0" fontId="82" fillId="0" borderId="0"/>
    <xf numFmtId="0" fontId="81" fillId="0" borderId="0">
      <alignment horizontal="center" vertical="center" wrapText="1"/>
    </xf>
    <xf numFmtId="0" fontId="81" fillId="0" borderId="0">
      <alignment horizontal="center" vertical="center" wrapText="1"/>
    </xf>
    <xf numFmtId="0" fontId="82" fillId="0" borderId="0"/>
    <xf numFmtId="0" fontId="82" fillId="0" borderId="0"/>
    <xf numFmtId="0" fontId="81" fillId="0" borderId="0">
      <alignment horizontal="center" vertical="center" wrapText="1"/>
    </xf>
    <xf numFmtId="0" fontId="83" fillId="0" borderId="0"/>
    <xf numFmtId="0" fontId="81" fillId="0" borderId="0">
      <alignment horizontal="center" vertical="center" wrapText="1"/>
    </xf>
    <xf numFmtId="0" fontId="81" fillId="0" borderId="0">
      <alignment horizontal="center" vertical="center" wrapText="1"/>
    </xf>
    <xf numFmtId="0" fontId="83" fillId="0" borderId="0"/>
    <xf numFmtId="0" fontId="81" fillId="0" borderId="0">
      <alignment horizontal="center" vertical="center" wrapText="1"/>
    </xf>
    <xf numFmtId="0" fontId="81" fillId="0" borderId="0">
      <alignment horizontal="center" vertical="center" wrapText="1"/>
    </xf>
    <xf numFmtId="0" fontId="81" fillId="0" borderId="0">
      <alignment horizontal="center" vertical="center" wrapText="1"/>
    </xf>
    <xf numFmtId="0" fontId="81" fillId="0" borderId="0">
      <alignment horizontal="center" vertical="center" wrapText="1"/>
    </xf>
    <xf numFmtId="0" fontId="81" fillId="0" borderId="0">
      <alignment horizontal="center" vertical="center" wrapText="1"/>
    </xf>
    <xf numFmtId="0" fontId="81" fillId="0" borderId="0">
      <alignment horizontal="center" vertical="center" wrapText="1"/>
    </xf>
    <xf numFmtId="0" fontId="81" fillId="0" borderId="0">
      <alignment horizontal="center" vertical="center" wrapText="1"/>
    </xf>
    <xf numFmtId="0" fontId="81" fillId="0" borderId="0">
      <alignment horizontal="center" vertical="center" wrapText="1"/>
    </xf>
    <xf numFmtId="0" fontId="81" fillId="59" borderId="56">
      <alignment horizontal="center" vertical="center" wrapText="1"/>
    </xf>
    <xf numFmtId="0" fontId="91" fillId="58" borderId="58" applyNumberFormat="0" applyAlignment="0" applyProtection="0"/>
    <xf numFmtId="0" fontId="91" fillId="58" borderId="58" applyNumberFormat="0" applyAlignment="0" applyProtection="0"/>
    <xf numFmtId="0" fontId="91" fillId="58" borderId="58" applyNumberFormat="0" applyAlignment="0" applyProtection="0"/>
    <xf numFmtId="0" fontId="91" fillId="58" borderId="58" applyNumberFormat="0" applyAlignment="0" applyProtection="0"/>
    <xf numFmtId="199" fontId="86" fillId="0" borderId="61"/>
    <xf numFmtId="199" fontId="86" fillId="0" borderId="61"/>
    <xf numFmtId="199" fontId="86" fillId="0" borderId="61"/>
    <xf numFmtId="199" fontId="86" fillId="0" borderId="61"/>
    <xf numFmtId="199" fontId="86" fillId="0" borderId="61"/>
    <xf numFmtId="199" fontId="86" fillId="0" borderId="61"/>
    <xf numFmtId="199" fontId="87" fillId="0" borderId="61"/>
    <xf numFmtId="199" fontId="86" fillId="0" borderId="61"/>
    <xf numFmtId="199" fontId="86" fillId="0" borderId="61"/>
    <xf numFmtId="199" fontId="86" fillId="0" borderId="61"/>
    <xf numFmtId="199" fontId="86" fillId="0" borderId="61"/>
    <xf numFmtId="0" fontId="86" fillId="0" borderId="61">
      <alignment horizontal="right"/>
    </xf>
    <xf numFmtId="0" fontId="86" fillId="0" borderId="61">
      <alignment horizontal="right"/>
    </xf>
    <xf numFmtId="0" fontId="86" fillId="0" borderId="61">
      <alignment horizontal="right"/>
    </xf>
    <xf numFmtId="0" fontId="86" fillId="0" borderId="61">
      <alignment horizontal="right"/>
    </xf>
    <xf numFmtId="0" fontId="86" fillId="0" borderId="61">
      <alignment horizontal="right"/>
    </xf>
    <xf numFmtId="0" fontId="86" fillId="0" borderId="61">
      <alignment horizontal="right"/>
    </xf>
    <xf numFmtId="0" fontId="87" fillId="0" borderId="61">
      <alignment horizontal="right"/>
    </xf>
    <xf numFmtId="0" fontId="86" fillId="0" borderId="61">
      <alignment horizontal="right"/>
    </xf>
    <xf numFmtId="0" fontId="86" fillId="0" borderId="61">
      <alignment horizontal="right"/>
    </xf>
    <xf numFmtId="0" fontId="86" fillId="0" borderId="61">
      <alignment horizontal="right"/>
    </xf>
    <xf numFmtId="0" fontId="86" fillId="0" borderId="61">
      <alignment horizontal="right"/>
    </xf>
    <xf numFmtId="198" fontId="10" fillId="0" borderId="0" applyFont="0" applyFill="0" applyBorder="0" applyAlignment="0" applyProtection="0"/>
    <xf numFmtId="198" fontId="10" fillId="0" borderId="0" applyFont="0" applyFill="0" applyBorder="0" applyAlignment="0" applyProtection="0"/>
    <xf numFmtId="198"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77" fontId="10" fillId="0" borderId="0" applyFont="0" applyFill="0" applyBorder="0" applyAlignment="0" applyProtection="0"/>
    <xf numFmtId="200" fontId="10" fillId="0" borderId="0"/>
    <xf numFmtId="200" fontId="10" fillId="0" borderId="0"/>
    <xf numFmtId="3" fontId="93" fillId="0" borderId="0" applyFont="0" applyFill="0" applyBorder="0" applyAlignment="0" applyProtection="0"/>
    <xf numFmtId="3" fontId="10" fillId="0" borderId="0" applyFont="0" applyFill="0" applyBorder="0" applyAlignment="0" applyProtection="0"/>
    <xf numFmtId="0" fontId="94" fillId="0" borderId="0" applyNumberFormat="0" applyAlignment="0">
      <alignment horizontal="left"/>
    </xf>
    <xf numFmtId="0" fontId="11" fillId="0" borderId="0" applyNumberFormat="0" applyAlignment="0"/>
    <xf numFmtId="0" fontId="11" fillId="0" borderId="0" applyNumberFormat="0" applyAlignment="0"/>
    <xf numFmtId="0" fontId="11" fillId="0" borderId="0" applyNumberFormat="0" applyAlignment="0"/>
    <xf numFmtId="0" fontId="11" fillId="0" borderId="0" applyNumberFormat="0" applyAlignment="0"/>
    <xf numFmtId="0" fontId="11" fillId="0" borderId="0" applyNumberFormat="0" applyAlignment="0"/>
    <xf numFmtId="0" fontId="11" fillId="0" borderId="0" applyNumberFormat="0" applyAlignment="0"/>
    <xf numFmtId="0" fontId="11" fillId="0" borderId="0" applyNumberFormat="0" applyAlignment="0"/>
    <xf numFmtId="0" fontId="11" fillId="0" borderId="0" applyNumberFormat="0" applyAlignment="0"/>
    <xf numFmtId="0" fontId="11" fillId="0" borderId="0" applyNumberFormat="0" applyAlignment="0"/>
    <xf numFmtId="0" fontId="11" fillId="0" borderId="0" applyNumberFormat="0" applyAlignment="0"/>
    <xf numFmtId="0" fontId="11" fillId="0" borderId="0" applyNumberFormat="0" applyAlignment="0"/>
    <xf numFmtId="0" fontId="11" fillId="0" borderId="0" applyNumberFormat="0" applyAlignment="0"/>
    <xf numFmtId="0" fontId="11" fillId="0" borderId="0" applyNumberFormat="0" applyAlignment="0"/>
    <xf numFmtId="0" fontId="11" fillId="0" borderId="0" applyNumberFormat="0" applyAlignment="0"/>
    <xf numFmtId="0" fontId="11" fillId="0" borderId="0" applyNumberFormat="0" applyAlignment="0"/>
    <xf numFmtId="0" fontId="11" fillId="0" borderId="0" applyNumberFormat="0" applyAlignment="0"/>
    <xf numFmtId="0" fontId="11" fillId="0" borderId="0" applyNumberFormat="0" applyAlignment="0"/>
    <xf numFmtId="0" fontId="11" fillId="0" borderId="0" applyNumberFormat="0" applyAlignment="0"/>
    <xf numFmtId="0" fontId="11" fillId="0" borderId="0" applyNumberFormat="0" applyAlignment="0"/>
    <xf numFmtId="0" fontId="11" fillId="0" borderId="0" applyNumberFormat="0" applyAlignment="0"/>
    <xf numFmtId="0" fontId="11" fillId="0" borderId="0" applyNumberFormat="0" applyAlignment="0"/>
    <xf numFmtId="0" fontId="11" fillId="0" borderId="0" applyNumberFormat="0" applyAlignment="0"/>
    <xf numFmtId="0" fontId="11" fillId="0" borderId="0" applyNumberFormat="0" applyAlignment="0"/>
    <xf numFmtId="195" fontId="10" fillId="0" borderId="0" applyFont="0" applyFill="0" applyBorder="0" applyAlignment="0" applyProtection="0"/>
    <xf numFmtId="195" fontId="10" fillId="0" borderId="0" applyFont="0" applyFill="0" applyBorder="0" applyAlignment="0" applyProtection="0"/>
    <xf numFmtId="195"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201" fontId="95" fillId="0" borderId="0" applyFont="0" applyFill="0" applyBorder="0" applyAlignment="0" applyProtection="0"/>
    <xf numFmtId="202" fontId="10" fillId="0" borderId="0"/>
    <xf numFmtId="202" fontId="10" fillId="0" borderId="0"/>
    <xf numFmtId="3" fontId="96" fillId="0" borderId="0"/>
    <xf numFmtId="0" fontId="97" fillId="0" borderId="55">
      <alignment horizontal="left"/>
    </xf>
    <xf numFmtId="0" fontId="83" fillId="0" borderId="0"/>
    <xf numFmtId="0" fontId="82" fillId="0" borderId="0"/>
    <xf numFmtId="0" fontId="97" fillId="0" borderId="55">
      <alignment horizontal="left"/>
    </xf>
    <xf numFmtId="0" fontId="98" fillId="0" borderId="55">
      <alignment horizontal="left" wrapText="1"/>
    </xf>
    <xf numFmtId="0" fontId="83" fillId="0" borderId="0"/>
    <xf numFmtId="0" fontId="82" fillId="0" borderId="0"/>
    <xf numFmtId="0" fontId="98" fillId="0" borderId="55">
      <alignment horizontal="left" wrapText="1"/>
    </xf>
    <xf numFmtId="0" fontId="93" fillId="0" borderId="0" applyFont="0" applyFill="0" applyBorder="0" applyAlignment="0" applyProtection="0"/>
    <xf numFmtId="203" fontId="10" fillId="0" borderId="0">
      <protection locked="0"/>
    </xf>
    <xf numFmtId="14" fontId="99" fillId="0" borderId="0" applyFill="0" applyBorder="0" applyAlignment="0"/>
    <xf numFmtId="15" fontId="95" fillId="0" borderId="0"/>
    <xf numFmtId="204" fontId="10" fillId="60" borderId="0"/>
    <xf numFmtId="204" fontId="10" fillId="60" borderId="0"/>
    <xf numFmtId="204" fontId="10" fillId="60" borderId="0"/>
    <xf numFmtId="205" fontId="10" fillId="0" borderId="0" applyFont="0" applyFill="0" applyBorder="0" applyAlignment="0" applyProtection="0"/>
    <xf numFmtId="206" fontId="10" fillId="0" borderId="0" applyFont="0" applyFill="0" applyBorder="0" applyAlignment="0" applyProtection="0"/>
    <xf numFmtId="0" fontId="10" fillId="0" borderId="0"/>
    <xf numFmtId="0" fontId="14" fillId="0" borderId="0"/>
    <xf numFmtId="0" fontId="14" fillId="0" borderId="0"/>
    <xf numFmtId="0" fontId="14" fillId="0" borderId="0"/>
    <xf numFmtId="0" fontId="10" fillId="0" borderId="0"/>
    <xf numFmtId="0" fontId="10" fillId="0" borderId="0"/>
    <xf numFmtId="0" fontId="14" fillId="0" borderId="0"/>
    <xf numFmtId="0" fontId="14" fillId="0" borderId="0"/>
    <xf numFmtId="0" fontId="14" fillId="0" borderId="0"/>
    <xf numFmtId="0" fontId="14"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4" fillId="0" borderId="0"/>
    <xf numFmtId="0" fontId="14" fillId="0" borderId="0"/>
    <xf numFmtId="0" fontId="14" fillId="0" borderId="0"/>
    <xf numFmtId="0" fontId="14" fillId="0" borderId="0"/>
    <xf numFmtId="0" fontId="10" fillId="0" borderId="0"/>
    <xf numFmtId="207" fontId="10" fillId="0" borderId="0"/>
    <xf numFmtId="207" fontId="10" fillId="0" borderId="0"/>
    <xf numFmtId="208" fontId="100" fillId="0" borderId="0" applyFont="0" applyFill="0" applyBorder="0" applyAlignment="0" applyProtection="0"/>
    <xf numFmtId="208" fontId="100" fillId="0" borderId="0" applyFont="0" applyFill="0" applyBorder="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2" fillId="0" borderId="0" applyNumberFormat="0" applyFill="0" applyBorder="0" applyAlignment="0" applyProtection="0"/>
    <xf numFmtId="0" fontId="102" fillId="0" borderId="0" applyNumberFormat="0" applyFill="0" applyBorder="0" applyAlignment="0" applyProtection="0"/>
    <xf numFmtId="0" fontId="103" fillId="0" borderId="0" applyNumberFormat="0" applyFill="0" applyBorder="0" applyAlignment="0" applyProtection="0"/>
    <xf numFmtId="0" fontId="75" fillId="53" borderId="0" applyNumberFormat="0" applyBorder="0" applyAlignment="0" applyProtection="0"/>
    <xf numFmtId="0" fontId="75" fillId="54" borderId="0" applyNumberFormat="0" applyBorder="0" applyAlignment="0" applyProtection="0"/>
    <xf numFmtId="0" fontId="75" fillId="55" borderId="0" applyNumberFormat="0" applyBorder="0" applyAlignment="0" applyProtection="0"/>
    <xf numFmtId="0" fontId="75" fillId="50" borderId="0" applyNumberFormat="0" applyBorder="0" applyAlignment="0" applyProtection="0"/>
    <xf numFmtId="0" fontId="75" fillId="51" borderId="0" applyNumberFormat="0" applyBorder="0" applyAlignment="0" applyProtection="0"/>
    <xf numFmtId="0" fontId="75" fillId="56" borderId="0" applyNumberFormat="0" applyBorder="0" applyAlignment="0" applyProtection="0"/>
    <xf numFmtId="0" fontId="104" fillId="61" borderId="0" applyNumberFormat="0" applyBorder="0" applyAlignment="0" applyProtection="0"/>
    <xf numFmtId="0" fontId="104" fillId="62" borderId="0" applyNumberFormat="0" applyBorder="0" applyAlignment="0" applyProtection="0"/>
    <xf numFmtId="0" fontId="104" fillId="63" borderId="0" applyNumberFormat="0" applyBorder="0" applyAlignment="0" applyProtection="0"/>
    <xf numFmtId="0" fontId="39" fillId="64" borderId="0" applyNumberFormat="0" applyBorder="0" applyAlignment="0" applyProtection="0"/>
    <xf numFmtId="0" fontId="39" fillId="64" borderId="0" applyNumberFormat="0" applyBorder="0" applyAlignment="0" applyProtection="0"/>
    <xf numFmtId="0" fontId="39" fillId="64" borderId="0" applyNumberFormat="0" applyBorder="0" applyAlignment="0" applyProtection="0"/>
    <xf numFmtId="0" fontId="39" fillId="64" borderId="0" applyNumberFormat="0" applyBorder="0" applyAlignment="0" applyProtection="0"/>
    <xf numFmtId="0" fontId="75" fillId="65"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3"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39" fillId="66" borderId="0" applyNumberFormat="0" applyBorder="0" applyAlignment="0" applyProtection="0"/>
    <xf numFmtId="0" fontId="39" fillId="66" borderId="0" applyNumberFormat="0" applyBorder="0" applyAlignment="0" applyProtection="0"/>
    <xf numFmtId="0" fontId="39" fillId="67" borderId="0" applyNumberFormat="0" applyBorder="0" applyAlignment="0" applyProtection="0"/>
    <xf numFmtId="0" fontId="39" fillId="67" borderId="0" applyNumberFormat="0" applyBorder="0" applyAlignment="0" applyProtection="0"/>
    <xf numFmtId="0" fontId="75" fillId="68" borderId="0" applyNumberFormat="0" applyBorder="0" applyAlignment="0" applyProtection="0"/>
    <xf numFmtId="0" fontId="75" fillId="54" borderId="0" applyNumberFormat="0" applyBorder="0" applyAlignment="0" applyProtection="0"/>
    <xf numFmtId="0" fontId="75" fillId="54" borderId="0" applyNumberFormat="0" applyBorder="0" applyAlignment="0" applyProtection="0"/>
    <xf numFmtId="0" fontId="75" fillId="47" borderId="0" applyNumberFormat="0" applyBorder="0" applyAlignment="0" applyProtection="0"/>
    <xf numFmtId="0" fontId="75" fillId="47" borderId="0" applyNumberFormat="0" applyBorder="0" applyAlignment="0" applyProtection="0"/>
    <xf numFmtId="0" fontId="75" fillId="47" borderId="0" applyNumberFormat="0" applyBorder="0" applyAlignment="0" applyProtection="0"/>
    <xf numFmtId="0" fontId="39" fillId="66" borderId="0" applyNumberFormat="0" applyBorder="0" applyAlignment="0" applyProtection="0"/>
    <xf numFmtId="0" fontId="39" fillId="66" borderId="0" applyNumberFormat="0" applyBorder="0" applyAlignment="0" applyProtection="0"/>
    <xf numFmtId="0" fontId="39" fillId="69" borderId="0" applyNumberFormat="0" applyBorder="0" applyAlignment="0" applyProtection="0"/>
    <xf numFmtId="0" fontId="39" fillId="69" borderId="0" applyNumberFormat="0" applyBorder="0" applyAlignment="0" applyProtection="0"/>
    <xf numFmtId="0" fontId="75" fillId="67" borderId="0" applyNumberFormat="0" applyBorder="0" applyAlignment="0" applyProtection="0"/>
    <xf numFmtId="0" fontId="75" fillId="55" borderId="0" applyNumberFormat="0" applyBorder="0" applyAlignment="0" applyProtection="0"/>
    <xf numFmtId="0" fontId="75" fillId="55" borderId="0" applyNumberFormat="0" applyBorder="0" applyAlignment="0" applyProtection="0"/>
    <xf numFmtId="0" fontId="75" fillId="55" borderId="0" applyNumberFormat="0" applyBorder="0" applyAlignment="0" applyProtection="0"/>
    <xf numFmtId="0" fontId="75" fillId="43" borderId="0" applyNumberFormat="0" applyBorder="0" applyAlignment="0" applyProtection="0"/>
    <xf numFmtId="0" fontId="75" fillId="43" borderId="0" applyNumberFormat="0" applyBorder="0" applyAlignment="0" applyProtection="0"/>
    <xf numFmtId="0" fontId="75" fillId="43" borderId="0" applyNumberFormat="0" applyBorder="0" applyAlignment="0" applyProtection="0"/>
    <xf numFmtId="0" fontId="39" fillId="64" borderId="0" applyNumberFormat="0" applyBorder="0" applyAlignment="0" applyProtection="0"/>
    <xf numFmtId="0" fontId="39" fillId="64" borderId="0" applyNumberFormat="0" applyBorder="0" applyAlignment="0" applyProtection="0"/>
    <xf numFmtId="0" fontId="39" fillId="67" borderId="0" applyNumberFormat="0" applyBorder="0" applyAlignment="0" applyProtection="0"/>
    <xf numFmtId="0" fontId="39" fillId="67" borderId="0" applyNumberFormat="0" applyBorder="0" applyAlignment="0" applyProtection="0"/>
    <xf numFmtId="0" fontId="75" fillId="67"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75" fillId="70" borderId="0" applyNumberFormat="0" applyBorder="0" applyAlignment="0" applyProtection="0"/>
    <xf numFmtId="0" fontId="75" fillId="70" borderId="0" applyNumberFormat="0" applyBorder="0" applyAlignment="0" applyProtection="0"/>
    <xf numFmtId="0" fontId="75" fillId="70" borderId="0" applyNumberFormat="0" applyBorder="0" applyAlignment="0" applyProtection="0"/>
    <xf numFmtId="0" fontId="39" fillId="71" borderId="0" applyNumberFormat="0" applyBorder="0" applyAlignment="0" applyProtection="0"/>
    <xf numFmtId="0" fontId="39" fillId="71" borderId="0" applyNumberFormat="0" applyBorder="0" applyAlignment="0" applyProtection="0"/>
    <xf numFmtId="0" fontId="39" fillId="64" borderId="0" applyNumberFormat="0" applyBorder="0" applyAlignment="0" applyProtection="0"/>
    <xf numFmtId="0" fontId="39" fillId="64" borderId="0" applyNumberFormat="0" applyBorder="0" applyAlignment="0" applyProtection="0"/>
    <xf numFmtId="0" fontId="75" fillId="65"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39" fillId="66" borderId="0" applyNumberFormat="0" applyBorder="0" applyAlignment="0" applyProtection="0"/>
    <xf numFmtId="0" fontId="39" fillId="66" borderId="0" applyNumberFormat="0" applyBorder="0" applyAlignment="0" applyProtection="0"/>
    <xf numFmtId="0" fontId="39" fillId="72" borderId="0" applyNumberFormat="0" applyBorder="0" applyAlignment="0" applyProtection="0"/>
    <xf numFmtId="0" fontId="39" fillId="72" borderId="0" applyNumberFormat="0" applyBorder="0" applyAlignment="0" applyProtection="0"/>
    <xf numFmtId="0" fontId="75" fillId="72"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198" fontId="10" fillId="0" borderId="0" applyFill="0" applyBorder="0" applyAlignment="0"/>
    <xf numFmtId="198" fontId="10" fillId="0" borderId="0" applyFill="0" applyBorder="0" applyAlignment="0"/>
    <xf numFmtId="198" fontId="10" fillId="0" borderId="0" applyFill="0" applyBorder="0" applyAlignment="0"/>
    <xf numFmtId="195" fontId="10" fillId="0" borderId="0" applyFill="0" applyBorder="0" applyAlignment="0"/>
    <xf numFmtId="195" fontId="10" fillId="0" borderId="0" applyFill="0" applyBorder="0" applyAlignment="0"/>
    <xf numFmtId="195" fontId="10" fillId="0" borderId="0" applyFill="0" applyBorder="0" applyAlignment="0"/>
    <xf numFmtId="198" fontId="10" fillId="0" borderId="0" applyFill="0" applyBorder="0" applyAlignment="0"/>
    <xf numFmtId="198" fontId="10" fillId="0" borderId="0" applyFill="0" applyBorder="0" applyAlignment="0"/>
    <xf numFmtId="198" fontId="10" fillId="0" borderId="0" applyFill="0" applyBorder="0" applyAlignment="0"/>
    <xf numFmtId="0" fontId="10" fillId="0" borderId="0" applyFill="0" applyBorder="0" applyAlignment="0"/>
    <xf numFmtId="0" fontId="10" fillId="0" borderId="0" applyFill="0" applyBorder="0" applyAlignment="0"/>
    <xf numFmtId="0" fontId="10" fillId="0" borderId="0" applyFill="0" applyBorder="0" applyAlignment="0"/>
    <xf numFmtId="195" fontId="10" fillId="0" borderId="0" applyFill="0" applyBorder="0" applyAlignment="0"/>
    <xf numFmtId="195" fontId="10" fillId="0" borderId="0" applyFill="0" applyBorder="0" applyAlignment="0"/>
    <xf numFmtId="195" fontId="10" fillId="0" borderId="0" applyFill="0" applyBorder="0" applyAlignment="0"/>
    <xf numFmtId="0" fontId="105" fillId="0" borderId="0" applyNumberFormat="0" applyAlignment="0">
      <alignment horizontal="left"/>
    </xf>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4" borderId="56" applyNumberFormat="0" applyAlignment="0" applyProtection="0"/>
    <xf numFmtId="0" fontId="101" fillId="44" borderId="56" applyNumberFormat="0" applyAlignment="0" applyProtection="0"/>
    <xf numFmtId="0" fontId="101" fillId="44"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4"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6"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209" fontId="10" fillId="0" borderId="0" applyFont="0" applyFill="0" applyBorder="0" applyAlignment="0" applyProtection="0"/>
    <xf numFmtId="171" fontId="10" fillId="0" borderId="0" applyFont="0" applyFill="0" applyBorder="0" applyAlignment="0" applyProtection="0"/>
    <xf numFmtId="171" fontId="10" fillId="0" borderId="0" applyFont="0" applyFill="0" applyBorder="0" applyAlignment="0" applyProtection="0"/>
    <xf numFmtId="171" fontId="10" fillId="0" borderId="0" applyFont="0" applyFill="0" applyBorder="0" applyAlignment="0" applyProtection="0"/>
    <xf numFmtId="171" fontId="10" fillId="0" borderId="0" applyFont="0" applyFill="0" applyBorder="0" applyAlignment="0" applyProtection="0"/>
    <xf numFmtId="171"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210" fontId="10" fillId="0" borderId="0" applyFont="0" applyFill="0" applyBorder="0" applyAlignment="0" applyProtection="0"/>
    <xf numFmtId="190" fontId="10" fillId="0" borderId="0" applyFont="0" applyFill="0" applyBorder="0" applyAlignment="0" applyProtection="0"/>
    <xf numFmtId="171" fontId="10" fillId="0" borderId="0" applyFont="0" applyFill="0" applyBorder="0" applyAlignment="0" applyProtection="0"/>
    <xf numFmtId="171" fontId="10" fillId="0" borderId="0" applyFont="0" applyFill="0" applyBorder="0" applyAlignment="0" applyProtection="0"/>
    <xf numFmtId="171" fontId="10" fillId="0" borderId="0" applyFont="0" applyFill="0" applyBorder="0" applyAlignment="0" applyProtection="0"/>
    <xf numFmtId="171" fontId="10" fillId="0" borderId="0" applyFont="0" applyFill="0" applyBorder="0" applyAlignment="0" applyProtection="0"/>
    <xf numFmtId="171" fontId="10" fillId="0" borderId="0" applyFont="0" applyFill="0" applyBorder="0" applyAlignment="0" applyProtection="0"/>
    <xf numFmtId="181" fontId="10" fillId="0" borderId="0" applyFont="0" applyFill="0" applyBorder="0" applyAlignment="0" applyProtection="0"/>
    <xf numFmtId="181" fontId="10" fillId="0" borderId="0" applyFont="0" applyFill="0" applyBorder="0" applyAlignment="0" applyProtection="0"/>
    <xf numFmtId="188" fontId="10" fillId="0" borderId="0" applyFont="0" applyFill="0" applyBorder="0" applyAlignment="0" applyProtection="0"/>
    <xf numFmtId="181" fontId="10" fillId="0" borderId="0" applyFont="0" applyFill="0" applyBorder="0" applyAlignment="0" applyProtection="0"/>
    <xf numFmtId="181"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88" fontId="10" fillId="0" borderId="0" applyFont="0" applyFill="0" applyBorder="0" applyAlignment="0" applyProtection="0"/>
    <xf numFmtId="190" fontId="10" fillId="0" borderId="0" applyFon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2" fontId="93" fillId="0" borderId="0" applyFont="0" applyFill="0" applyBorder="0" applyAlignment="0" applyProtection="0"/>
    <xf numFmtId="211" fontId="10" fillId="0" borderId="0">
      <protection locked="0"/>
    </xf>
    <xf numFmtId="203" fontId="10" fillId="0" borderId="0">
      <protection locked="0"/>
    </xf>
    <xf numFmtId="0" fontId="10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88" fillId="38" borderId="0" applyNumberFormat="0" applyBorder="0" applyAlignment="0" applyProtection="0"/>
    <xf numFmtId="0" fontId="88" fillId="38" borderId="0" applyNumberFormat="0" applyBorder="0" applyAlignment="0" applyProtection="0"/>
    <xf numFmtId="0" fontId="88" fillId="38" borderId="0" applyNumberFormat="0" applyBorder="0" applyAlignment="0" applyProtection="0"/>
    <xf numFmtId="0" fontId="88" fillId="38" borderId="0" applyNumberFormat="0" applyBorder="0" applyAlignment="0" applyProtection="0"/>
    <xf numFmtId="38" fontId="14" fillId="34" borderId="0" applyNumberFormat="0" applyBorder="0" applyAlignment="0" applyProtection="0"/>
    <xf numFmtId="38" fontId="14" fillId="34" borderId="0" applyNumberFormat="0" applyBorder="0" applyAlignment="0" applyProtection="0"/>
    <xf numFmtId="38" fontId="14" fillId="34" borderId="0" applyNumberFormat="0" applyBorder="0" applyAlignment="0" applyProtection="0"/>
    <xf numFmtId="38" fontId="14" fillId="34" borderId="0" applyNumberFormat="0" applyBorder="0" applyAlignment="0" applyProtection="0"/>
    <xf numFmtId="38" fontId="14" fillId="34" borderId="0" applyNumberFormat="0" applyBorder="0" applyAlignment="0" applyProtection="0"/>
    <xf numFmtId="38" fontId="14" fillId="34" borderId="0" applyNumberFormat="0" applyBorder="0" applyAlignment="0" applyProtection="0"/>
    <xf numFmtId="38" fontId="14" fillId="34" borderId="0" applyNumberFormat="0" applyBorder="0" applyAlignment="0" applyProtection="0"/>
    <xf numFmtId="38" fontId="14" fillId="34" borderId="0" applyNumberFormat="0" applyBorder="0" applyAlignment="0" applyProtection="0"/>
    <xf numFmtId="38" fontId="14" fillId="34" borderId="0" applyNumberFormat="0" applyBorder="0" applyAlignment="0" applyProtection="0"/>
    <xf numFmtId="38" fontId="14" fillId="34" borderId="0" applyNumberFormat="0" applyBorder="0" applyAlignment="0" applyProtection="0"/>
    <xf numFmtId="38" fontId="14" fillId="34" borderId="0" applyNumberFormat="0" applyBorder="0" applyAlignment="0" applyProtection="0"/>
    <xf numFmtId="38" fontId="14" fillId="34" borderId="0" applyNumberFormat="0" applyBorder="0" applyAlignment="0" applyProtection="0"/>
    <xf numFmtId="38" fontId="14" fillId="34" borderId="0" applyNumberFormat="0" applyBorder="0" applyAlignment="0" applyProtection="0"/>
    <xf numFmtId="38" fontId="14" fillId="34" borderId="0" applyNumberFormat="0" applyBorder="0" applyAlignment="0" applyProtection="0"/>
    <xf numFmtId="38" fontId="14" fillId="34" borderId="0" applyNumberFormat="0" applyBorder="0" applyAlignment="0" applyProtection="0"/>
    <xf numFmtId="38" fontId="14" fillId="34" borderId="0" applyNumberFormat="0" applyBorder="0" applyAlignment="0" applyProtection="0"/>
    <xf numFmtId="38" fontId="14" fillId="34" borderId="0" applyNumberFormat="0" applyBorder="0" applyAlignment="0" applyProtection="0"/>
    <xf numFmtId="38" fontId="14" fillId="34" borderId="0" applyNumberFormat="0" applyBorder="0" applyAlignment="0" applyProtection="0"/>
    <xf numFmtId="38" fontId="14" fillId="34" borderId="0" applyNumberFormat="0" applyBorder="0" applyAlignment="0" applyProtection="0"/>
    <xf numFmtId="38" fontId="14" fillId="34" borderId="0" applyNumberFormat="0" applyBorder="0" applyAlignment="0" applyProtection="0"/>
    <xf numFmtId="38" fontId="14" fillId="34" borderId="0" applyNumberFormat="0" applyBorder="0" applyAlignment="0" applyProtection="0"/>
    <xf numFmtId="38" fontId="14" fillId="34" borderId="0" applyNumberFormat="0" applyBorder="0" applyAlignment="0" applyProtection="0"/>
    <xf numFmtId="38" fontId="14" fillId="34" borderId="0" applyNumberFormat="0" applyBorder="0" applyAlignment="0" applyProtection="0"/>
    <xf numFmtId="0" fontId="88" fillId="38" borderId="0" applyNumberFormat="0" applyBorder="0" applyAlignment="0" applyProtection="0"/>
    <xf numFmtId="0" fontId="108" fillId="0" borderId="0" applyNumberFormat="0" applyFill="0" applyBorder="0" applyAlignment="0" applyProtection="0"/>
    <xf numFmtId="0" fontId="109" fillId="0" borderId="51" applyNumberFormat="0" applyAlignment="0" applyProtection="0">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09" fillId="0" borderId="63">
      <alignment horizontal="left" vertical="center"/>
    </xf>
    <xf numFmtId="0" fontId="110" fillId="0" borderId="64" applyNumberFormat="0" applyFill="0" applyAlignment="0" applyProtection="0"/>
    <xf numFmtId="0" fontId="110" fillId="0" borderId="64" applyNumberFormat="0" applyFill="0" applyAlignment="0" applyProtection="0"/>
    <xf numFmtId="0" fontId="110" fillId="0" borderId="64" applyNumberFormat="0" applyFill="0" applyAlignment="0" applyProtection="0"/>
    <xf numFmtId="0" fontId="110" fillId="0" borderId="64" applyNumberFormat="0" applyFill="0" applyAlignment="0" applyProtection="0"/>
    <xf numFmtId="0" fontId="111" fillId="0" borderId="65" applyNumberFormat="0" applyFill="0" applyAlignment="0" applyProtection="0"/>
    <xf numFmtId="0" fontId="111" fillId="0" borderId="65" applyNumberFormat="0" applyFill="0" applyAlignment="0" applyProtection="0"/>
    <xf numFmtId="0" fontId="111" fillId="0" borderId="65" applyNumberFormat="0" applyFill="0" applyAlignment="0" applyProtection="0"/>
    <xf numFmtId="0" fontId="111" fillId="0" borderId="65"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0" applyNumberFormat="0" applyFill="0" applyBorder="0" applyAlignment="0" applyProtection="0"/>
    <xf numFmtId="0" fontId="102" fillId="0" borderId="0" applyNumberFormat="0" applyFill="0" applyBorder="0" applyAlignment="0" applyProtection="0"/>
    <xf numFmtId="0" fontId="102" fillId="0" borderId="0" applyNumberFormat="0" applyFill="0" applyBorder="0" applyAlignment="0" applyProtection="0"/>
    <xf numFmtId="0" fontId="102" fillId="0" borderId="0" applyNumberFormat="0" applyFill="0" applyBorder="0" applyAlignment="0" applyProtection="0"/>
    <xf numFmtId="203" fontId="10" fillId="0" borderId="0">
      <protection locked="0"/>
    </xf>
    <xf numFmtId="203" fontId="10" fillId="0" borderId="0">
      <protection locked="0"/>
    </xf>
    <xf numFmtId="203" fontId="10" fillId="0" borderId="0">
      <protection locked="0"/>
    </xf>
    <xf numFmtId="203" fontId="10" fillId="0" borderId="0">
      <protection locked="0"/>
    </xf>
    <xf numFmtId="203" fontId="10" fillId="0" borderId="0">
      <protection locked="0"/>
    </xf>
    <xf numFmtId="203" fontId="10" fillId="0" borderId="0">
      <protection locked="0"/>
    </xf>
    <xf numFmtId="203" fontId="10" fillId="0" borderId="0">
      <protection locked="0"/>
    </xf>
    <xf numFmtId="203" fontId="10" fillId="0" borderId="0">
      <protection locked="0"/>
    </xf>
    <xf numFmtId="203" fontId="10" fillId="0" borderId="0">
      <protection locked="0"/>
    </xf>
    <xf numFmtId="203" fontId="10" fillId="0" borderId="0">
      <protection locked="0"/>
    </xf>
    <xf numFmtId="203" fontId="10" fillId="0" borderId="0">
      <protection locked="0"/>
    </xf>
    <xf numFmtId="203" fontId="10" fillId="0" borderId="0">
      <protection locked="0"/>
    </xf>
    <xf numFmtId="0" fontId="112" fillId="0" borderId="1">
      <alignment horizontal="center"/>
    </xf>
    <xf numFmtId="0" fontId="112" fillId="0" borderId="1">
      <alignment horizontal="center"/>
    </xf>
    <xf numFmtId="0" fontId="112" fillId="0" borderId="1">
      <alignment horizontal="center"/>
    </xf>
    <xf numFmtId="0" fontId="112" fillId="0" borderId="1">
      <alignment horizontal="center"/>
    </xf>
    <xf numFmtId="0" fontId="112" fillId="0" borderId="1">
      <alignment horizontal="center"/>
    </xf>
    <xf numFmtId="0" fontId="112" fillId="0" borderId="1">
      <alignment horizontal="center"/>
    </xf>
    <xf numFmtId="0" fontId="112" fillId="0" borderId="1">
      <alignment horizontal="center"/>
    </xf>
    <xf numFmtId="0" fontId="112" fillId="0" borderId="1">
      <alignment horizontal="center"/>
    </xf>
    <xf numFmtId="0" fontId="112" fillId="0" borderId="1">
      <alignment horizontal="center"/>
    </xf>
    <xf numFmtId="0" fontId="112" fillId="0" borderId="1">
      <alignment horizontal="center"/>
    </xf>
    <xf numFmtId="0" fontId="112" fillId="0" borderId="1">
      <alignment horizontal="center"/>
    </xf>
    <xf numFmtId="0" fontId="112" fillId="0" borderId="1">
      <alignment horizontal="center"/>
    </xf>
    <xf numFmtId="0" fontId="112" fillId="0" borderId="1">
      <alignment horizontal="center"/>
    </xf>
    <xf numFmtId="0" fontId="112" fillId="0" borderId="1">
      <alignment horizontal="center"/>
    </xf>
    <xf numFmtId="0" fontId="112" fillId="0" borderId="0">
      <alignment horizontal="center"/>
    </xf>
    <xf numFmtId="0" fontId="113" fillId="0" borderId="67" applyNumberFormat="0" applyFill="0" applyAlignment="0" applyProtection="0"/>
    <xf numFmtId="0" fontId="114" fillId="0" borderId="0" applyNumberFormat="0" applyFill="0" applyBorder="0" applyAlignment="0" applyProtection="0">
      <alignment vertical="top"/>
      <protection locked="0"/>
    </xf>
    <xf numFmtId="0" fontId="114" fillId="0" borderId="0" applyNumberFormat="0" applyFill="0" applyBorder="0" applyAlignment="0" applyProtection="0">
      <alignment vertical="top"/>
      <protection locked="0"/>
    </xf>
    <xf numFmtId="0" fontId="115" fillId="0" borderId="0" applyNumberFormat="0" applyFill="0" applyBorder="0" applyAlignment="0" applyProtection="0">
      <alignment vertical="top"/>
      <protection locked="0"/>
    </xf>
    <xf numFmtId="0" fontId="116"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18" fillId="0" borderId="0" applyNumberFormat="0" applyFill="0" applyBorder="0" applyAlignment="0" applyProtection="0">
      <alignment vertical="top"/>
      <protection locked="0"/>
    </xf>
    <xf numFmtId="0" fontId="80" fillId="37" borderId="0" applyNumberFormat="0" applyBorder="0" applyAlignment="0" applyProtection="0"/>
    <xf numFmtId="0" fontId="80" fillId="37" borderId="0" applyNumberFormat="0" applyBorder="0" applyAlignment="0" applyProtection="0"/>
    <xf numFmtId="0" fontId="80" fillId="37" borderId="0" applyNumberFormat="0" applyBorder="0" applyAlignment="0" applyProtection="0"/>
    <xf numFmtId="0" fontId="80" fillId="37" borderId="0" applyNumberFormat="0" applyBorder="0" applyAlignment="0" applyProtection="0"/>
    <xf numFmtId="0" fontId="101" fillId="41" borderId="56" applyNumberFormat="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10" fontId="14" fillId="60" borderId="68" applyNumberFormat="0" applyBorder="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212" fontId="10" fillId="73" borderId="0"/>
    <xf numFmtId="212" fontId="10" fillId="73" borderId="0"/>
    <xf numFmtId="198" fontId="10" fillId="0" borderId="0" applyFill="0" applyBorder="0" applyAlignment="0"/>
    <xf numFmtId="198" fontId="10" fillId="0" borderId="0" applyFill="0" applyBorder="0" applyAlignment="0"/>
    <xf numFmtId="198" fontId="10" fillId="0" borderId="0" applyFill="0" applyBorder="0" applyAlignment="0"/>
    <xf numFmtId="195" fontId="10" fillId="0" borderId="0" applyFill="0" applyBorder="0" applyAlignment="0"/>
    <xf numFmtId="195" fontId="10" fillId="0" borderId="0" applyFill="0" applyBorder="0" applyAlignment="0"/>
    <xf numFmtId="195" fontId="10" fillId="0" borderId="0" applyFill="0" applyBorder="0" applyAlignment="0"/>
    <xf numFmtId="198" fontId="10" fillId="0" borderId="0" applyFill="0" applyBorder="0" applyAlignment="0"/>
    <xf numFmtId="198" fontId="10" fillId="0" borderId="0" applyFill="0" applyBorder="0" applyAlignment="0"/>
    <xf numFmtId="198" fontId="10" fillId="0" borderId="0" applyFill="0" applyBorder="0" applyAlignment="0"/>
    <xf numFmtId="0" fontId="10" fillId="0" borderId="0" applyFill="0" applyBorder="0" applyAlignment="0"/>
    <xf numFmtId="0" fontId="10" fillId="0" borderId="0" applyFill="0" applyBorder="0" applyAlignment="0"/>
    <xf numFmtId="0" fontId="10" fillId="0" borderId="0" applyFill="0" applyBorder="0" applyAlignment="0"/>
    <xf numFmtId="195" fontId="10" fillId="0" borderId="0" applyFill="0" applyBorder="0" applyAlignment="0"/>
    <xf numFmtId="195" fontId="10" fillId="0" borderId="0" applyFill="0" applyBorder="0" applyAlignment="0"/>
    <xf numFmtId="195" fontId="10" fillId="0" borderId="0" applyFill="0" applyBorder="0" applyAlignment="0"/>
    <xf numFmtId="0" fontId="92" fillId="0" borderId="59" applyNumberFormat="0" applyFill="0" applyAlignment="0" applyProtection="0"/>
    <xf numFmtId="0" fontId="92" fillId="0" borderId="59" applyNumberFormat="0" applyFill="0" applyAlignment="0" applyProtection="0"/>
    <xf numFmtId="0" fontId="92" fillId="0" borderId="59" applyNumberFormat="0" applyFill="0" applyAlignment="0" applyProtection="0"/>
    <xf numFmtId="0" fontId="92" fillId="0" borderId="59" applyNumberFormat="0" applyFill="0" applyAlignment="0" applyProtection="0"/>
    <xf numFmtId="212" fontId="10" fillId="74" borderId="0"/>
    <xf numFmtId="212" fontId="10" fillId="74" borderId="0"/>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19" fillId="34" borderId="69" applyNumberFormat="0" applyFont="0" applyBorder="0" applyAlignment="0" applyProtection="0">
      <alignment vertical="top"/>
    </xf>
    <xf numFmtId="0" fontId="120" fillId="0" borderId="0">
      <alignment horizontal="center"/>
    </xf>
    <xf numFmtId="213" fontId="10" fillId="0" borderId="0" applyFont="0" applyFill="0" applyBorder="0" applyAlignment="0" applyProtection="0"/>
    <xf numFmtId="188" fontId="10" fillId="0" borderId="0" applyFont="0" applyFill="0" applyBorder="0" applyAlignment="0" applyProtection="0"/>
    <xf numFmtId="182" fontId="10" fillId="0" borderId="0" applyFont="0" applyFill="0" applyBorder="0" applyAlignment="0" applyProtection="0"/>
    <xf numFmtId="214" fontId="10" fillId="0" borderId="0" applyFont="0" applyFill="0" applyBorder="0" applyAlignment="0" applyProtection="0"/>
    <xf numFmtId="41" fontId="10" fillId="0" borderId="0" applyFont="0" applyFill="0" applyBorder="0" applyAlignment="0" applyProtection="0"/>
    <xf numFmtId="188" fontId="10" fillId="0" borderId="0" applyFont="0" applyFill="0" applyBorder="0" applyAlignment="0" applyProtection="0"/>
    <xf numFmtId="41" fontId="10" fillId="0" borderId="0" applyFont="0" applyFill="0" applyBorder="0" applyAlignment="0" applyProtection="0"/>
    <xf numFmtId="213" fontId="10" fillId="0" borderId="0" applyFont="0" applyFill="0" applyBorder="0" applyAlignment="0" applyProtection="0"/>
    <xf numFmtId="213"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213" fontId="10" fillId="0" borderId="0" applyFont="0" applyFill="0" applyBorder="0" applyAlignment="0" applyProtection="0"/>
    <xf numFmtId="41" fontId="10"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39" fillId="0" borderId="0" applyFont="0" applyFill="0" applyBorder="0" applyAlignment="0" applyProtection="0"/>
    <xf numFmtId="41" fontId="1"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 fillId="0" borderId="0" applyFont="0" applyFill="0" applyBorder="0" applyAlignment="0" applyProtection="0"/>
    <xf numFmtId="41" fontId="1"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91" fontId="10" fillId="0" borderId="0" applyFont="0" applyFill="0" applyBorder="0" applyAlignment="0" applyProtection="0"/>
    <xf numFmtId="43" fontId="39" fillId="0" borderId="0" applyFont="0" applyFill="0" applyBorder="0" applyAlignment="0" applyProtection="0"/>
    <xf numFmtId="43" fontId="39" fillId="0" borderId="0" applyFont="0" applyFill="0" applyBorder="0" applyAlignment="0" applyProtection="0"/>
    <xf numFmtId="43" fontId="39" fillId="0" borderId="0" applyFont="0" applyFill="0" applyBorder="0" applyAlignment="0" applyProtection="0"/>
    <xf numFmtId="215" fontId="10" fillId="0" borderId="0" applyFont="0" applyFill="0" applyBorder="0" applyAlignment="0" applyProtection="0"/>
    <xf numFmtId="191" fontId="10" fillId="0" borderId="0" applyFont="0" applyFill="0" applyBorder="0" applyAlignment="0" applyProtection="0"/>
    <xf numFmtId="43" fontId="10" fillId="0" borderId="0" applyFont="0" applyFill="0" applyBorder="0" applyAlignment="0" applyProtection="0"/>
    <xf numFmtId="215" fontId="10"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0" fillId="0" borderId="0" applyFont="0" applyFill="0" applyBorder="0" applyAlignment="0" applyProtection="0"/>
    <xf numFmtId="215" fontId="10" fillId="0" borderId="0" applyFont="0" applyFill="0" applyBorder="0" applyAlignment="0" applyProtection="0"/>
    <xf numFmtId="177" fontId="10" fillId="0" borderId="0" quotePrefix="1" applyFont="0" applyFill="0" applyBorder="0" applyAlignment="0">
      <protection locked="0"/>
    </xf>
    <xf numFmtId="43" fontId="10" fillId="0" borderId="0" applyFont="0" applyFill="0" applyBorder="0" applyAlignment="0" applyProtection="0"/>
    <xf numFmtId="215" fontId="10" fillId="0" borderId="0" applyFont="0" applyFill="0" applyBorder="0" applyAlignment="0" applyProtection="0"/>
    <xf numFmtId="43" fontId="1" fillId="0" borderId="0" applyFont="0" applyFill="0" applyBorder="0" applyAlignment="0" applyProtection="0"/>
    <xf numFmtId="43" fontId="10" fillId="0" borderId="0" applyFont="0" applyFill="0" applyBorder="0" applyAlignment="0" applyProtection="0"/>
    <xf numFmtId="215" fontId="10"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0" fillId="0" borderId="0" applyFont="0" applyFill="0" applyBorder="0" applyAlignment="0" applyProtection="0"/>
    <xf numFmtId="177" fontId="10" fillId="0" borderId="0" quotePrefix="1" applyFont="0" applyFill="0" applyBorder="0" applyAlignment="0">
      <protection locked="0"/>
    </xf>
    <xf numFmtId="177" fontId="10" fillId="0" borderId="0" quotePrefix="1" applyFont="0" applyFill="0" applyBorder="0" applyAlignment="0">
      <protection locked="0"/>
    </xf>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39" fillId="0" borderId="0" applyFont="0" applyFill="0" applyBorder="0" applyAlignment="0" applyProtection="0"/>
    <xf numFmtId="43" fontId="10" fillId="0" borderId="0" applyFont="0" applyFill="0" applyBorder="0" applyAlignment="0" applyProtection="0"/>
    <xf numFmtId="43" fontId="39" fillId="0" borderId="0" applyFont="0" applyFill="0" applyBorder="0" applyAlignment="0" applyProtection="0"/>
    <xf numFmtId="178"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78" fontId="10" fillId="0" borderId="0" applyFont="0" applyFill="0" applyBorder="0" applyAlignment="0" applyProtection="0"/>
    <xf numFmtId="43" fontId="1" fillId="0" borderId="0" applyFont="0" applyFill="0" applyBorder="0" applyAlignment="0" applyProtection="0"/>
    <xf numFmtId="164" fontId="10" fillId="0" borderId="0" applyFont="0" applyFill="0" applyBorder="0" applyAlignment="0" applyProtection="0"/>
    <xf numFmtId="177" fontId="10" fillId="0" borderId="0" quotePrefix="1" applyFont="0" applyFill="0" applyBorder="0" applyAlignment="0">
      <protection locked="0"/>
    </xf>
    <xf numFmtId="43" fontId="39" fillId="0" borderId="0" applyFont="0" applyFill="0" applyBorder="0" applyAlignment="0" applyProtection="0"/>
    <xf numFmtId="177" fontId="10" fillId="0" borderId="0" quotePrefix="1" applyFont="0" applyFill="0" applyBorder="0" applyAlignment="0">
      <protection locked="0"/>
    </xf>
    <xf numFmtId="43" fontId="39" fillId="0" borderId="0" applyFont="0" applyFill="0" applyBorder="0" applyAlignment="0" applyProtection="0"/>
    <xf numFmtId="177" fontId="10" fillId="0" borderId="0" quotePrefix="1" applyFont="0" applyFill="0" applyBorder="0" applyAlignment="0">
      <protection locked="0"/>
    </xf>
    <xf numFmtId="43" fontId="10" fillId="0" borderId="0" applyFont="0" applyFill="0" applyBorder="0" applyAlignment="0" applyProtection="0"/>
    <xf numFmtId="177" fontId="10" fillId="0" borderId="0" quotePrefix="1" applyFont="0" applyFill="0" applyBorder="0" applyAlignment="0">
      <protection locked="0"/>
    </xf>
    <xf numFmtId="43" fontId="39" fillId="0" borderId="0" applyFont="0" applyFill="0" applyBorder="0" applyAlignment="0" applyProtection="0"/>
    <xf numFmtId="43" fontId="3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0"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0" fillId="0" borderId="0" applyFont="0" applyFill="0" applyBorder="0" applyAlignment="0" applyProtection="0"/>
    <xf numFmtId="168" fontId="10" fillId="0" borderId="0" applyFont="0" applyFill="0" applyBorder="0" applyAlignment="0" applyProtection="0"/>
    <xf numFmtId="191" fontId="10" fillId="0" borderId="0" applyFont="0" applyFill="0" applyBorder="0" applyAlignment="0" applyProtection="0"/>
    <xf numFmtId="178" fontId="10" fillId="0" borderId="0" applyFont="0" applyFill="0" applyBorder="0" applyAlignment="0" applyProtection="0"/>
    <xf numFmtId="216" fontId="10"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8" fontId="10" fillId="0" borderId="0" applyFont="0" applyFill="0" applyBorder="0" applyAlignment="0" applyProtection="0"/>
    <xf numFmtId="217" fontId="10" fillId="0" borderId="0" applyFont="0" applyFill="0" applyBorder="0" applyAlignment="0" applyProtection="0"/>
    <xf numFmtId="178" fontId="10" fillId="0" borderId="0" applyFont="0" applyFill="0" applyBorder="0" applyAlignment="0" applyProtection="0"/>
    <xf numFmtId="216" fontId="10" fillId="0" borderId="0" applyFont="0" applyFill="0" applyBorder="0" applyAlignment="0" applyProtection="0"/>
    <xf numFmtId="186" fontId="10"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8"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86" fontId="10"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68" fontId="10"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83" fontId="10" fillId="0" borderId="0" applyFont="0" applyFill="0" applyBorder="0" applyAlignment="0" applyProtection="0"/>
    <xf numFmtId="218" fontId="10" fillId="0" borderId="0" applyFont="0" applyFill="0" applyBorder="0" applyAlignment="0" applyProtection="0"/>
    <xf numFmtId="183" fontId="10" fillId="0" borderId="0" applyFont="0" applyFill="0" applyBorder="0" applyAlignment="0" applyProtection="0"/>
    <xf numFmtId="43" fontId="39" fillId="0" borderId="0" applyFont="0" applyFill="0" applyBorder="0" applyAlignment="0" applyProtection="0"/>
    <xf numFmtId="177" fontId="1" fillId="0" borderId="0" applyFont="0" applyFill="0" applyBorder="0" applyAlignment="0" applyProtection="0"/>
    <xf numFmtId="43" fontId="10" fillId="0" borderId="0" applyFont="0" applyFill="0" applyBorder="0" applyAlignment="0" applyProtection="0"/>
    <xf numFmtId="43" fontId="39" fillId="0" borderId="0" applyFont="0" applyFill="0" applyBorder="0" applyAlignment="0" applyProtection="0"/>
    <xf numFmtId="219" fontId="10" fillId="0" borderId="0" applyFont="0" applyFill="0" applyBorder="0" applyAlignment="0" applyProtection="0"/>
    <xf numFmtId="220" fontId="10" fillId="0" borderId="0" applyFont="0" applyFill="0" applyBorder="0" applyAlignment="0" applyProtection="0"/>
    <xf numFmtId="0" fontId="121" fillId="0" borderId="0" applyNumberFormat="0" applyFont="0" applyFill="0" applyBorder="0" applyAlignment="0"/>
    <xf numFmtId="221" fontId="99" fillId="0" borderId="0" applyFont="0" applyFill="0" applyBorder="0" applyAlignment="0" applyProtection="0"/>
    <xf numFmtId="222" fontId="99" fillId="0" borderId="0" applyFont="0" applyFill="0" applyBorder="0" applyAlignment="0" applyProtection="0"/>
    <xf numFmtId="223" fontId="10" fillId="0" borderId="0" applyFont="0" applyFill="0" applyBorder="0" applyAlignment="0" applyProtection="0"/>
    <xf numFmtId="224" fontId="10" fillId="0" borderId="0" applyFont="0" applyFill="0" applyBorder="0" applyAlignment="0" applyProtection="0"/>
    <xf numFmtId="225"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 fillId="0" borderId="0" applyFont="0" applyFill="0" applyBorder="0" applyAlignment="0" applyProtection="0"/>
    <xf numFmtId="44" fontId="3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39" fillId="0" borderId="0" applyFont="0" applyFill="0" applyBorder="0" applyAlignment="0" applyProtection="0"/>
    <xf numFmtId="44" fontId="39" fillId="0" borderId="0" applyFont="0" applyFill="0" applyBorder="0" applyAlignment="0" applyProtection="0"/>
    <xf numFmtId="44" fontId="39" fillId="0" borderId="0" applyFont="0" applyFill="0" applyBorder="0" applyAlignment="0" applyProtection="0"/>
    <xf numFmtId="180" fontId="10" fillId="0" borderId="0" applyFont="0" applyFill="0" applyBorder="0" applyAlignment="0" applyProtection="0"/>
    <xf numFmtId="226" fontId="10" fillId="0" borderId="0" applyFont="0" applyFill="0" applyBorder="0" applyAlignment="0" applyProtection="0"/>
    <xf numFmtId="226" fontId="10" fillId="0" borderId="0" applyFont="0" applyFill="0" applyBorder="0" applyAlignment="0" applyProtection="0"/>
    <xf numFmtId="226" fontId="10" fillId="0" borderId="0" applyFont="0" applyFill="0" applyBorder="0" applyAlignment="0" applyProtection="0"/>
    <xf numFmtId="226" fontId="10" fillId="0" borderId="0" applyFont="0" applyFill="0" applyBorder="0" applyAlignment="0" applyProtection="0"/>
    <xf numFmtId="226" fontId="10" fillId="0" borderId="0" applyFont="0" applyFill="0" applyBorder="0" applyAlignment="0" applyProtection="0"/>
    <xf numFmtId="165" fontId="10" fillId="0" borderId="0" applyFont="0" applyFill="0" applyBorder="0" applyAlignment="0" applyProtection="0"/>
    <xf numFmtId="226" fontId="10" fillId="0" borderId="0" applyFont="0" applyFill="0" applyBorder="0" applyAlignment="0" applyProtection="0"/>
    <xf numFmtId="226" fontId="10" fillId="0" borderId="0" applyFont="0" applyFill="0" applyBorder="0" applyAlignment="0" applyProtection="0"/>
    <xf numFmtId="226" fontId="10" fillId="0" borderId="0" applyFont="0" applyFill="0" applyBorder="0" applyAlignment="0" applyProtection="0"/>
    <xf numFmtId="226" fontId="10" fillId="0" borderId="0" applyFont="0" applyFill="0" applyBorder="0" applyAlignment="0" applyProtection="0"/>
    <xf numFmtId="44" fontId="39" fillId="0" borderId="0" applyFont="0" applyFill="0" applyBorder="0" applyAlignment="0" applyProtection="0"/>
    <xf numFmtId="226" fontId="10" fillId="0" borderId="0" applyFont="0" applyFill="0" applyBorder="0" applyAlignment="0" applyProtection="0"/>
    <xf numFmtId="227" fontId="10" fillId="0" borderId="0" applyFont="0" applyFill="0" applyBorder="0" applyAlignment="0" applyProtection="0"/>
    <xf numFmtId="173"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228" fontId="10" fillId="0" borderId="0" applyFont="0" applyFill="0" applyBorder="0" applyAlignment="0" applyProtection="0"/>
    <xf numFmtId="44" fontId="1"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0" fillId="0" borderId="0" applyFont="0" applyFill="0" applyBorder="0" applyAlignment="0" applyProtection="0"/>
    <xf numFmtId="44" fontId="39" fillId="0" borderId="0" applyFont="0" applyFill="0" applyBorder="0" applyAlignment="0" applyProtection="0"/>
    <xf numFmtId="228" fontId="10" fillId="0" borderId="0" applyFont="0" applyFill="0" applyBorder="0" applyAlignment="0" applyProtection="0"/>
    <xf numFmtId="183"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39"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180"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39" fillId="0" borderId="0" applyFont="0" applyFill="0" applyBorder="0" applyAlignment="0" applyProtection="0"/>
    <xf numFmtId="168" fontId="10" fillId="0" borderId="0" applyFont="0" applyFill="0" applyBorder="0" applyAlignment="0" applyProtection="0"/>
    <xf numFmtId="44" fontId="39" fillId="0" borderId="0" applyFont="0" applyFill="0" applyBorder="0" applyAlignment="0" applyProtection="0"/>
    <xf numFmtId="168" fontId="10" fillId="0" borderId="0" applyFont="0" applyFill="0" applyBorder="0" applyAlignment="0" applyProtection="0"/>
    <xf numFmtId="44" fontId="39" fillId="0" borderId="0" applyFont="0" applyFill="0" applyBorder="0" applyAlignment="0" applyProtection="0"/>
    <xf numFmtId="44" fontId="39" fillId="0" borderId="0" applyFont="0" applyFill="0" applyBorder="0" applyAlignment="0" applyProtection="0"/>
    <xf numFmtId="180"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175" fontId="10" fillId="0" borderId="0" applyFont="0" applyFill="0" applyBorder="0" applyAlignment="0" applyProtection="0"/>
    <xf numFmtId="175" fontId="10" fillId="0" borderId="0" applyFont="0" applyFill="0" applyBorder="0" applyAlignment="0" applyProtection="0"/>
    <xf numFmtId="175" fontId="10" fillId="0" borderId="0" applyFont="0" applyFill="0" applyBorder="0" applyAlignment="0" applyProtection="0"/>
    <xf numFmtId="187" fontId="10" fillId="0" borderId="0" applyFont="0" applyFill="0" applyBorder="0" applyAlignment="0" applyProtection="0"/>
    <xf numFmtId="175" fontId="10" fillId="0" borderId="0" applyFont="0" applyFill="0" applyBorder="0" applyAlignment="0" applyProtection="0"/>
    <xf numFmtId="44" fontId="10" fillId="0" borderId="0" applyFont="0" applyFill="0" applyBorder="0" applyAlignment="0" applyProtection="0"/>
    <xf numFmtId="175" fontId="10" fillId="0" borderId="0" applyFont="0" applyFill="0" applyBorder="0" applyAlignment="0" applyProtection="0"/>
    <xf numFmtId="227" fontId="10" fillId="0" borderId="0" applyFont="0" applyFill="0" applyBorder="0" applyAlignment="0" applyProtection="0"/>
    <xf numFmtId="229" fontId="10" fillId="0" borderId="0" applyFont="0" applyFill="0" applyBorder="0" applyAlignment="0" applyProtection="0"/>
    <xf numFmtId="44" fontId="10" fillId="0" borderId="0" applyFont="0" applyFill="0" applyBorder="0" applyAlignment="0" applyProtection="0"/>
    <xf numFmtId="227"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227"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227"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227" fontId="10" fillId="0" borderId="0" applyFont="0" applyFill="0" applyBorder="0" applyAlignment="0" applyProtection="0"/>
    <xf numFmtId="230" fontId="10" fillId="0" borderId="0" applyFont="0" applyFill="0" applyBorder="0" applyAlignment="0" applyProtection="0"/>
    <xf numFmtId="231" fontId="10" fillId="0" borderId="0" applyFont="0" applyFill="0" applyBorder="0" applyAlignment="0" applyProtection="0"/>
    <xf numFmtId="0" fontId="122" fillId="75" borderId="0" applyNumberFormat="0" applyBorder="0" applyAlignment="0" applyProtection="0"/>
    <xf numFmtId="0" fontId="122" fillId="75" borderId="0" applyNumberFormat="0" applyBorder="0" applyAlignment="0" applyProtection="0"/>
    <xf numFmtId="0" fontId="122" fillId="75" borderId="0" applyNumberFormat="0" applyBorder="0" applyAlignment="0" applyProtection="0"/>
    <xf numFmtId="0" fontId="71" fillId="19" borderId="0" applyNumberFormat="0" applyBorder="0" applyAlignment="0" applyProtection="0"/>
    <xf numFmtId="0" fontId="122" fillId="75" borderId="0" applyNumberFormat="0" applyBorder="0" applyAlignment="0" applyProtection="0"/>
    <xf numFmtId="0" fontId="123" fillId="0" borderId="0"/>
    <xf numFmtId="37" fontId="124" fillId="0" borderId="0"/>
    <xf numFmtId="0" fontId="125" fillId="0" borderId="0"/>
    <xf numFmtId="49" fontId="14" fillId="0" borderId="0" applyNumberFormat="0" applyFont="0" applyFill="0" applyBorder="0" applyAlignment="0" applyProtection="0">
      <alignment horizontal="center"/>
      <protection locked="0"/>
    </xf>
    <xf numFmtId="232" fontId="99"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0" fillId="0" borderId="0"/>
    <xf numFmtId="0" fontId="1"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8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0"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10" fillId="0" borderId="0"/>
    <xf numFmtId="214" fontId="1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0" fillId="0" borderId="0"/>
    <xf numFmtId="190" fontId="1" fillId="0" borderId="0"/>
    <xf numFmtId="0" fontId="83" fillId="0" borderId="0"/>
    <xf numFmtId="0" fontId="1" fillId="0" borderId="0"/>
    <xf numFmtId="0" fontId="1" fillId="0" borderId="0"/>
    <xf numFmtId="0" fontId="1" fillId="0" borderId="0"/>
    <xf numFmtId="0" fontId="10"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0" fillId="0" borderId="0"/>
    <xf numFmtId="0" fontId="10"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10" fillId="0" borderId="0"/>
    <xf numFmtId="0" fontId="82"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applyNumberFormat="0" applyFill="0" applyBorder="0" applyAlignment="0" applyProtection="0"/>
    <xf numFmtId="0" fontId="10" fillId="0" borderId="0" applyNumberFormat="0" applyFill="0" applyBorder="0" applyAlignment="0" applyProtection="0"/>
    <xf numFmtId="0" fontId="10" fillId="0" borderId="0"/>
    <xf numFmtId="0" fontId="82" fillId="0" borderId="0"/>
    <xf numFmtId="0" fontId="10" fillId="0" borderId="0"/>
    <xf numFmtId="0" fontId="10" fillId="0" borderId="0"/>
    <xf numFmtId="0" fontId="10" fillId="0" borderId="0"/>
    <xf numFmtId="0" fontId="10" fillId="0" borderId="0"/>
    <xf numFmtId="0" fontId="1" fillId="0" borderId="0"/>
    <xf numFmtId="0" fontId="1" fillId="0" borderId="0"/>
    <xf numFmtId="0" fontId="10" fillId="0" borderId="0"/>
    <xf numFmtId="0" fontId="10" fillId="0" borderId="0"/>
    <xf numFmtId="0" fontId="10" fillId="0" borderId="0"/>
    <xf numFmtId="0" fontId="10" fillId="0" borderId="0"/>
    <xf numFmtId="0" fontId="10" fillId="0" borderId="0"/>
    <xf numFmtId="0" fontId="10" fillId="0" borderId="0"/>
    <xf numFmtId="0" fontId="1" fillId="0" borderId="0"/>
    <xf numFmtId="0" fontId="10" fillId="0" borderId="0"/>
    <xf numFmtId="0" fontId="10" fillId="0" borderId="0"/>
    <xf numFmtId="0" fontId="10" fillId="0" borderId="0"/>
    <xf numFmtId="0" fontId="10" fillId="0" borderId="0"/>
    <xf numFmtId="0" fontId="1" fillId="0" borderId="0"/>
    <xf numFmtId="0" fontId="1" fillId="0" borderId="0"/>
    <xf numFmtId="0" fontId="10" fillId="0" borderId="0"/>
    <xf numFmtId="0" fontId="10" fillId="0" borderId="0"/>
    <xf numFmtId="0" fontId="10" fillId="0" borderId="0"/>
    <xf numFmtId="0" fontId="10" fillId="0" borderId="0"/>
    <xf numFmtId="0" fontId="10" fillId="0" borderId="0"/>
    <xf numFmtId="0" fontId="10" fillId="0" borderId="0"/>
    <xf numFmtId="0" fontId="1" fillId="0" borderId="0"/>
    <xf numFmtId="0" fontId="10" fillId="0" borderId="0"/>
    <xf numFmtId="0" fontId="10" fillId="0" borderId="0"/>
    <xf numFmtId="0" fontId="10" fillId="0" borderId="0"/>
    <xf numFmtId="0" fontId="10" fillId="0" borderId="0"/>
    <xf numFmtId="0" fontId="10" fillId="0" borderId="0"/>
    <xf numFmtId="0" fontId="1"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applyFill="0" applyBorder="0"/>
    <xf numFmtId="0" fontId="10" fillId="0" borderId="0" applyFill="0" applyBorder="0"/>
    <xf numFmtId="0" fontId="10" fillId="0" borderId="0"/>
    <xf numFmtId="0" fontId="10" fillId="0" borderId="0"/>
    <xf numFmtId="0" fontId="10" fillId="0" borderId="0" applyFill="0" applyBorder="0"/>
    <xf numFmtId="0" fontId="83" fillId="0" borderId="0"/>
    <xf numFmtId="0" fontId="10" fillId="0" borderId="0"/>
    <xf numFmtId="214"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2" fillId="0" borderId="0"/>
    <xf numFmtId="0" fontId="82" fillId="0" borderId="0"/>
    <xf numFmtId="0" fontId="10" fillId="0" borderId="0"/>
    <xf numFmtId="0" fontId="82" fillId="0" borderId="0"/>
    <xf numFmtId="0" fontId="82" fillId="0" borderId="0"/>
    <xf numFmtId="0" fontId="10" fillId="0" borderId="0"/>
    <xf numFmtId="0" fontId="10" fillId="0" borderId="0"/>
    <xf numFmtId="0" fontId="10" fillId="0" borderId="0"/>
    <xf numFmtId="0" fontId="10" fillId="0" borderId="0"/>
    <xf numFmtId="233"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4" fillId="0" borderId="0" applyNumberFormat="0" applyFill="0" applyBorder="0" applyAlignment="0" applyProtection="0"/>
    <xf numFmtId="0" fontId="10" fillId="0" borderId="0" applyNumberFormat="0" applyFill="0" applyBorder="0" applyAlignment="0" applyProtection="0"/>
    <xf numFmtId="0" fontId="10" fillId="0" borderId="0"/>
    <xf numFmtId="0" fontId="126"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 fillId="0" borderId="0"/>
    <xf numFmtId="0" fontId="1" fillId="0" borderId="0"/>
    <xf numFmtId="0" fontId="10" fillId="0" borderId="0"/>
    <xf numFmtId="0" fontId="10" fillId="0" borderId="0"/>
    <xf numFmtId="0" fontId="10" fillId="0" borderId="0"/>
    <xf numFmtId="0" fontId="10" fillId="0" borderId="0"/>
    <xf numFmtId="0" fontId="1"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10" fillId="0" borderId="0"/>
    <xf numFmtId="0" fontId="10" fillId="0" borderId="0"/>
    <xf numFmtId="0" fontId="10" fillId="0" borderId="0"/>
    <xf numFmtId="0" fontId="10" fillId="0" borderId="0"/>
    <xf numFmtId="0" fontId="10" fillId="0" borderId="0"/>
    <xf numFmtId="0" fontId="10" fillId="0" borderId="0"/>
    <xf numFmtId="0" fontId="39" fillId="0" borderId="0"/>
    <xf numFmtId="0" fontId="10" fillId="0" borderId="0"/>
    <xf numFmtId="0" fontId="10" fillId="0" borderId="0"/>
    <xf numFmtId="0" fontId="10" fillId="0" borderId="0"/>
    <xf numFmtId="0" fontId="10" fillId="0" borderId="0"/>
    <xf numFmtId="0" fontId="10" fillId="0" borderId="0"/>
    <xf numFmtId="0" fontId="10" fillId="0" borderId="0"/>
    <xf numFmtId="0" fontId="1" fillId="0" borderId="0"/>
    <xf numFmtId="0" fontId="10" fillId="0" borderId="0"/>
    <xf numFmtId="0" fontId="10" fillId="0" borderId="0"/>
    <xf numFmtId="0" fontId="10" fillId="0" borderId="0"/>
    <xf numFmtId="0" fontId="10" fillId="0" borderId="0"/>
    <xf numFmtId="0" fontId="14" fillId="0" borderId="0" applyNumberFormat="0" applyFill="0" applyBorder="0" applyAlignment="0" applyProtection="0"/>
    <xf numFmtId="0" fontId="10" fillId="0" borderId="0" applyNumberFormat="0" applyFill="0" applyBorder="0" applyAlignment="0" applyProtection="0"/>
    <xf numFmtId="190" fontId="10" fillId="0" borderId="0" applyNumberForma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191" fontId="39" fillId="0" borderId="0"/>
    <xf numFmtId="0" fontId="39" fillId="0" borderId="0"/>
    <xf numFmtId="191" fontId="39" fillId="0" borderId="0"/>
    <xf numFmtId="191" fontId="39" fillId="0" borderId="0"/>
    <xf numFmtId="0" fontId="39" fillId="0" borderId="0"/>
    <xf numFmtId="0" fontId="39" fillId="0" borderId="0"/>
    <xf numFmtId="0" fontId="39" fillId="0" borderId="0"/>
    <xf numFmtId="0" fontId="39" fillId="0" borderId="0"/>
    <xf numFmtId="0" fontId="39" fillId="0" borderId="0"/>
    <xf numFmtId="191" fontId="39" fillId="0" borderId="0"/>
    <xf numFmtId="0" fontId="39" fillId="0" borderId="0"/>
    <xf numFmtId="191" fontId="39" fillId="0" borderId="0"/>
    <xf numFmtId="191" fontId="39" fillId="0" borderId="0"/>
    <xf numFmtId="0" fontId="39" fillId="0" borderId="0"/>
    <xf numFmtId="0" fontId="39" fillId="0" borderId="0"/>
    <xf numFmtId="186" fontId="10" fillId="0" borderId="0" applyNumberFormat="0" applyFill="0" applyBorder="0" applyAlignment="0" applyProtection="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191" fontId="39" fillId="0" borderId="0"/>
    <xf numFmtId="0" fontId="39" fillId="0" borderId="0"/>
    <xf numFmtId="191" fontId="39" fillId="0" borderId="0"/>
    <xf numFmtId="191" fontId="39" fillId="0" borderId="0"/>
    <xf numFmtId="191" fontId="39" fillId="0" borderId="0"/>
    <xf numFmtId="191" fontId="39" fillId="0" borderId="0"/>
    <xf numFmtId="191"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191" fontId="39" fillId="0" borderId="0"/>
    <xf numFmtId="0" fontId="39" fillId="0" borderId="0"/>
    <xf numFmtId="191" fontId="39" fillId="0" borderId="0"/>
    <xf numFmtId="191" fontId="39" fillId="0" borderId="0"/>
    <xf numFmtId="191" fontId="39" fillId="0" borderId="0"/>
    <xf numFmtId="191" fontId="39" fillId="0" borderId="0"/>
    <xf numFmtId="191"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191" fontId="39" fillId="0" borderId="0"/>
    <xf numFmtId="0" fontId="39" fillId="0" borderId="0"/>
    <xf numFmtId="191" fontId="39" fillId="0" borderId="0"/>
    <xf numFmtId="191" fontId="39" fillId="0" borderId="0"/>
    <xf numFmtId="191" fontId="39" fillId="0" borderId="0"/>
    <xf numFmtId="191" fontId="39" fillId="0" borderId="0"/>
    <xf numFmtId="191"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191" fontId="39" fillId="0" borderId="0"/>
    <xf numFmtId="0" fontId="39" fillId="0" borderId="0"/>
    <xf numFmtId="191" fontId="39" fillId="0" borderId="0"/>
    <xf numFmtId="191" fontId="39" fillId="0" borderId="0"/>
    <xf numFmtId="191" fontId="39" fillId="0" borderId="0"/>
    <xf numFmtId="191" fontId="39" fillId="0" borderId="0"/>
    <xf numFmtId="191"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191" fontId="39" fillId="0" borderId="0"/>
    <xf numFmtId="0" fontId="39" fillId="0" borderId="0"/>
    <xf numFmtId="0" fontId="39" fillId="0" borderId="0"/>
    <xf numFmtId="0" fontId="39" fillId="0" borderId="0"/>
    <xf numFmtId="191" fontId="39" fillId="0" borderId="0"/>
    <xf numFmtId="0" fontId="39" fillId="0" borderId="0"/>
    <xf numFmtId="191" fontId="39" fillId="0" borderId="0"/>
    <xf numFmtId="191"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191" fontId="39" fillId="0" borderId="0"/>
    <xf numFmtId="0" fontId="39" fillId="0" borderId="0"/>
    <xf numFmtId="191" fontId="39" fillId="0" borderId="0"/>
    <xf numFmtId="191" fontId="39" fillId="0" borderId="0"/>
    <xf numFmtId="191" fontId="39" fillId="0" borderId="0"/>
    <xf numFmtId="191" fontId="39" fillId="0" borderId="0"/>
    <xf numFmtId="191"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191" fontId="39" fillId="0" borderId="0"/>
    <xf numFmtId="0" fontId="39" fillId="0" borderId="0"/>
    <xf numFmtId="191" fontId="39" fillId="0" borderId="0"/>
    <xf numFmtId="191" fontId="39" fillId="0" borderId="0"/>
    <xf numFmtId="191" fontId="39" fillId="0" borderId="0"/>
    <xf numFmtId="191" fontId="39" fillId="0" borderId="0"/>
    <xf numFmtId="191"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191" fontId="39" fillId="0" borderId="0"/>
    <xf numFmtId="0" fontId="39" fillId="0" borderId="0"/>
    <xf numFmtId="191" fontId="39" fillId="0" borderId="0"/>
    <xf numFmtId="191" fontId="39" fillId="0" borderId="0"/>
    <xf numFmtId="191" fontId="39" fillId="0" borderId="0"/>
    <xf numFmtId="191" fontId="39" fillId="0" borderId="0"/>
    <xf numFmtId="191"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191" fontId="39" fillId="0" borderId="0"/>
    <xf numFmtId="0" fontId="39" fillId="0" borderId="0"/>
    <xf numFmtId="191" fontId="39" fillId="0" borderId="0"/>
    <xf numFmtId="191" fontId="39" fillId="0" borderId="0"/>
    <xf numFmtId="191" fontId="39" fillId="0" borderId="0"/>
    <xf numFmtId="191" fontId="39" fillId="0" borderId="0"/>
    <xf numFmtId="191"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191" fontId="39" fillId="0" borderId="0"/>
    <xf numFmtId="0" fontId="1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2" fillId="0" borderId="0"/>
    <xf numFmtId="0" fontId="39" fillId="0" borderId="0"/>
    <xf numFmtId="0" fontId="39" fillId="0" borderId="0"/>
    <xf numFmtId="191" fontId="39" fillId="0" borderId="0"/>
    <xf numFmtId="191" fontId="39" fillId="0" borderId="0"/>
    <xf numFmtId="191" fontId="39" fillId="0" borderId="0"/>
    <xf numFmtId="191" fontId="39" fillId="0" borderId="0"/>
    <xf numFmtId="191" fontId="39" fillId="0" borderId="0"/>
    <xf numFmtId="18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191" fontId="39" fillId="0" borderId="0"/>
    <xf numFmtId="191"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191" fontId="39" fillId="0" borderId="0"/>
    <xf numFmtId="0" fontId="39" fillId="0" borderId="0"/>
    <xf numFmtId="191" fontId="39" fillId="0" borderId="0"/>
    <xf numFmtId="191" fontId="39" fillId="0" borderId="0"/>
    <xf numFmtId="191" fontId="39" fillId="0" borderId="0"/>
    <xf numFmtId="191" fontId="39" fillId="0" borderId="0"/>
    <xf numFmtId="191"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191" fontId="39" fillId="0" borderId="0"/>
    <xf numFmtId="0" fontId="39" fillId="0" borderId="0"/>
    <xf numFmtId="191" fontId="39" fillId="0" borderId="0"/>
    <xf numFmtId="191" fontId="39" fillId="0" borderId="0"/>
    <xf numFmtId="191" fontId="39" fillId="0" borderId="0"/>
    <xf numFmtId="191" fontId="39" fillId="0" borderId="0"/>
    <xf numFmtId="191"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191" fontId="39" fillId="0" borderId="0"/>
    <xf numFmtId="0" fontId="39" fillId="0" borderId="0"/>
    <xf numFmtId="191" fontId="39" fillId="0" borderId="0"/>
    <xf numFmtId="191" fontId="39" fillId="0" borderId="0"/>
    <xf numFmtId="191" fontId="39" fillId="0" borderId="0"/>
    <xf numFmtId="191" fontId="39" fillId="0" borderId="0"/>
    <xf numFmtId="191" fontId="39" fillId="0" borderId="0"/>
    <xf numFmtId="0" fontId="39" fillId="0" borderId="0"/>
    <xf numFmtId="0" fontId="39" fillId="0" borderId="0"/>
    <xf numFmtId="180" fontId="10" fillId="0" borderId="0"/>
    <xf numFmtId="0" fontId="10" fillId="0" borderId="0"/>
    <xf numFmtId="180" fontId="10" fillId="0" borderId="0"/>
    <xf numFmtId="180" fontId="10" fillId="0" borderId="0"/>
    <xf numFmtId="18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3" fillId="0" borderId="0"/>
    <xf numFmtId="191" fontId="39"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191" fontId="39" fillId="0" borderId="0"/>
    <xf numFmtId="0" fontId="39" fillId="0" borderId="0"/>
    <xf numFmtId="191" fontId="39" fillId="0" borderId="0"/>
    <xf numFmtId="191"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191" fontId="39" fillId="0" borderId="0"/>
    <xf numFmtId="0" fontId="39" fillId="0" borderId="0"/>
    <xf numFmtId="191" fontId="39" fillId="0" borderId="0"/>
    <xf numFmtId="191" fontId="39" fillId="0" borderId="0"/>
    <xf numFmtId="0" fontId="39" fillId="0" borderId="0"/>
    <xf numFmtId="0" fontId="39" fillId="0" borderId="0"/>
    <xf numFmtId="0" fontId="10" fillId="0" borderId="0"/>
    <xf numFmtId="0" fontId="10" fillId="0" borderId="0"/>
    <xf numFmtId="0" fontId="10" fillId="0" borderId="0"/>
    <xf numFmtId="0" fontId="10" fillId="0" borderId="0" applyNumberFormat="0" applyFill="0" applyBorder="0" applyAlignment="0" applyProtection="0"/>
    <xf numFmtId="0" fontId="10" fillId="0" borderId="0" applyNumberFormat="0" applyFill="0" applyBorder="0" applyAlignment="0" applyProtection="0"/>
    <xf numFmtId="0" fontId="10" fillId="0" borderId="0"/>
    <xf numFmtId="0" fontId="10" fillId="0" borderId="0" applyNumberFormat="0" applyFill="0" applyBorder="0" applyAlignment="0" applyProtection="0"/>
    <xf numFmtId="0" fontId="39" fillId="0" borderId="0"/>
    <xf numFmtId="0" fontId="39" fillId="0" borderId="0"/>
    <xf numFmtId="0" fontId="83" fillId="0" borderId="0"/>
    <xf numFmtId="0" fontId="39" fillId="0" borderId="0"/>
    <xf numFmtId="0" fontId="39" fillId="0" borderId="0"/>
    <xf numFmtId="0" fontId="1"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191" fontId="39" fillId="0" borderId="0"/>
    <xf numFmtId="0" fontId="39" fillId="0" borderId="0"/>
    <xf numFmtId="191" fontId="39" fillId="0" borderId="0"/>
    <xf numFmtId="191"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191" fontId="39" fillId="0" borderId="0"/>
    <xf numFmtId="0" fontId="39" fillId="0" borderId="0"/>
    <xf numFmtId="191" fontId="39" fillId="0" borderId="0"/>
    <xf numFmtId="191" fontId="39" fillId="0" borderId="0"/>
    <xf numFmtId="191" fontId="39" fillId="0" borderId="0"/>
    <xf numFmtId="191" fontId="39" fillId="0" borderId="0"/>
    <xf numFmtId="191" fontId="39" fillId="0" borderId="0"/>
    <xf numFmtId="0" fontId="83" fillId="0" borderId="0"/>
    <xf numFmtId="0" fontId="82" fillId="0" borderId="0"/>
    <xf numFmtId="0" fontId="82" fillId="0" borderId="0"/>
    <xf numFmtId="0" fontId="10" fillId="0" borderId="0"/>
    <xf numFmtId="0" fontId="10" fillId="0" borderId="0"/>
    <xf numFmtId="0" fontId="10" fillId="0" borderId="0"/>
    <xf numFmtId="191" fontId="10" fillId="0" borderId="0"/>
    <xf numFmtId="0" fontId="83" fillId="0" borderId="0"/>
    <xf numFmtId="0" fontId="83" fillId="0" borderId="0"/>
    <xf numFmtId="0" fontId="10" fillId="0" borderId="0" applyNumberFormat="0" applyFill="0" applyBorder="0" applyAlignment="0" applyProtection="0"/>
    <xf numFmtId="0" fontId="10" fillId="0" borderId="0" applyNumberFormat="0" applyFill="0" applyBorder="0" applyAlignment="0" applyProtection="0"/>
    <xf numFmtId="0" fontId="1" fillId="0" borderId="0"/>
    <xf numFmtId="0" fontId="82" fillId="0" borderId="0"/>
    <xf numFmtId="0" fontId="82" fillId="0" borderId="0"/>
    <xf numFmtId="0" fontId="82" fillId="0" borderId="0"/>
    <xf numFmtId="0" fontId="82" fillId="0" borderId="0"/>
    <xf numFmtId="0" fontId="1" fillId="0" borderId="0"/>
    <xf numFmtId="0" fontId="83" fillId="0" borderId="0"/>
    <xf numFmtId="0" fontId="1" fillId="0" borderId="0"/>
    <xf numFmtId="0" fontId="1" fillId="0" borderId="0"/>
    <xf numFmtId="0" fontId="1" fillId="0" borderId="0"/>
    <xf numFmtId="0" fontId="10" fillId="0" borderId="0"/>
    <xf numFmtId="0" fontId="1" fillId="0" borderId="0"/>
    <xf numFmtId="0" fontId="10" fillId="0" borderId="0"/>
    <xf numFmtId="0" fontId="1" fillId="0" borderId="0"/>
    <xf numFmtId="0" fontId="1" fillId="0" borderId="0"/>
    <xf numFmtId="0" fontId="57" fillId="0" borderId="0"/>
    <xf numFmtId="190" fontId="10" fillId="0" borderId="0" applyNumberFormat="0" applyFill="0" applyBorder="0" applyAlignment="0" applyProtection="0"/>
    <xf numFmtId="0" fontId="10" fillId="0" borderId="0"/>
    <xf numFmtId="0" fontId="57" fillId="0" borderId="0"/>
    <xf numFmtId="0" fontId="82" fillId="0" borderId="0"/>
    <xf numFmtId="0" fontId="82" fillId="0" borderId="0"/>
    <xf numFmtId="0" fontId="1" fillId="0" borderId="0"/>
    <xf numFmtId="0" fontId="10" fillId="0" borderId="0"/>
    <xf numFmtId="0" fontId="10" fillId="0" borderId="0"/>
    <xf numFmtId="0" fontId="1" fillId="0" borderId="0"/>
    <xf numFmtId="0" fontId="10" fillId="0" borderId="0"/>
    <xf numFmtId="0" fontId="1" fillId="0" borderId="0"/>
    <xf numFmtId="0" fontId="10" fillId="0" borderId="0"/>
    <xf numFmtId="0" fontId="10" fillId="0" borderId="0"/>
    <xf numFmtId="0" fontId="10" fillId="0" borderId="0"/>
    <xf numFmtId="0" fontId="10" fillId="0" borderId="0"/>
    <xf numFmtId="0" fontId="1" fillId="0" borderId="0"/>
    <xf numFmtId="0" fontId="1" fillId="0" borderId="0"/>
    <xf numFmtId="0" fontId="1" fillId="0" borderId="0"/>
    <xf numFmtId="0" fontId="1" fillId="0" borderId="0"/>
    <xf numFmtId="0" fontId="1" fillId="0" borderId="0"/>
    <xf numFmtId="234"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applyNumberFormat="0" applyFill="0" applyBorder="0" applyAlignment="0" applyProtection="0"/>
    <xf numFmtId="0" fontId="10" fillId="0" borderId="0" applyNumberFormat="0" applyFill="0" applyBorder="0" applyAlignment="0" applyProtection="0"/>
    <xf numFmtId="173" fontId="10" fillId="0" borderId="0" applyFont="0" applyFill="0" applyAlignment="0" applyProtection="0"/>
    <xf numFmtId="233" fontId="10" fillId="0" borderId="0"/>
    <xf numFmtId="0" fontId="82" fillId="0" borderId="0"/>
    <xf numFmtId="0" fontId="83" fillId="0" borderId="0"/>
    <xf numFmtId="0" fontId="1" fillId="0" borderId="0"/>
    <xf numFmtId="0" fontId="10" fillId="0" borderId="0"/>
    <xf numFmtId="0" fontId="10" fillId="0" borderId="0"/>
    <xf numFmtId="0" fontId="10" fillId="0" borderId="0"/>
    <xf numFmtId="0" fontId="10" fillId="0" borderId="0"/>
    <xf numFmtId="0" fontId="10" fillId="0" borderId="0"/>
    <xf numFmtId="0" fontId="10" fillId="0" borderId="0"/>
    <xf numFmtId="0" fontId="57" fillId="0" borderId="0"/>
    <xf numFmtId="0" fontId="1" fillId="0" borderId="0"/>
    <xf numFmtId="0" fontId="1" fillId="0" borderId="0"/>
    <xf numFmtId="0" fontId="1" fillId="0" borderId="0"/>
    <xf numFmtId="0" fontId="1" fillId="0" borderId="0"/>
    <xf numFmtId="0" fontId="1" fillId="0" borderId="0"/>
    <xf numFmtId="0" fontId="10" fillId="0" borderId="0"/>
    <xf numFmtId="0" fontId="83" fillId="0" borderId="0"/>
    <xf numFmtId="0" fontId="10" fillId="0" borderId="0"/>
    <xf numFmtId="233" fontId="10" fillId="0" borderId="0"/>
    <xf numFmtId="0" fontId="82" fillId="0" borderId="0"/>
    <xf numFmtId="0" fontId="83" fillId="0" borderId="0"/>
    <xf numFmtId="0" fontId="121" fillId="0" borderId="0"/>
    <xf numFmtId="0" fontId="1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xf numFmtId="0" fontId="10" fillId="0" borderId="0"/>
    <xf numFmtId="0" fontId="10" fillId="0" borderId="0"/>
    <xf numFmtId="0" fontId="1" fillId="0" borderId="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27" fillId="0" borderId="0"/>
    <xf numFmtId="0" fontId="127" fillId="0" borderId="0"/>
    <xf numFmtId="0" fontId="1" fillId="0" borderId="0"/>
    <xf numFmtId="0" fontId="10" fillId="0" borderId="0"/>
    <xf numFmtId="0" fontId="10" fillId="0" borderId="0"/>
    <xf numFmtId="0" fontId="10" fillId="0" borderId="0"/>
    <xf numFmtId="0" fontId="10" fillId="0" borderId="0" applyNumberFormat="0" applyFill="0" applyBorder="0" applyAlignment="0" applyProtection="0"/>
    <xf numFmtId="0" fontId="1" fillId="0" borderId="0"/>
    <xf numFmtId="0" fontId="1" fillId="0" borderId="0"/>
    <xf numFmtId="0" fontId="1" fillId="0" borderId="0"/>
    <xf numFmtId="0" fontId="127" fillId="0" borderId="0"/>
    <xf numFmtId="0" fontId="12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0" fillId="0" borderId="0"/>
    <xf numFmtId="0" fontId="100" fillId="0" borderId="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10"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 fillId="20" borderId="49"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191"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39"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0" borderId="0" applyFont="0" applyFill="0" applyBorder="0" applyAlignment="0" applyProtection="0"/>
    <xf numFmtId="0" fontId="10" fillId="0" borderId="0" applyFont="0" applyFill="0" applyBorder="0" applyAlignment="0" applyProtection="0"/>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3" fillId="0" borderId="0"/>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84" fillId="0" borderId="71">
      <alignment horizontal="left" vertical="center" wrapText="1"/>
    </xf>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14" fontId="78" fillId="0" borderId="0">
      <alignment horizontal="center" wrapText="1"/>
      <protection locked="0"/>
    </xf>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96" fontId="10" fillId="0" borderId="0" applyFont="0" applyFill="0" applyBorder="0" applyAlignment="0" applyProtection="0"/>
    <xf numFmtId="196" fontId="10" fillId="0" borderId="0" applyFont="0" applyFill="0" applyBorder="0" applyAlignment="0" applyProtection="0"/>
    <xf numFmtId="196"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 fillId="0" borderId="0" applyFont="0" applyFill="0" applyBorder="0" applyAlignment="0" applyProtection="0"/>
    <xf numFmtId="9" fontId="10" fillId="0" borderId="0" applyFont="0" applyFill="0" applyBorder="0" applyAlignment="0" applyProtection="0"/>
    <xf numFmtId="9" fontId="1" fillId="0" borderId="0" applyFont="0" applyFill="0" applyBorder="0" applyAlignment="0" applyProtection="0"/>
    <xf numFmtId="9" fontId="10" fillId="0" borderId="0" applyFont="0" applyFill="0" applyBorder="0" applyAlignment="0" applyProtection="0"/>
    <xf numFmtId="9" fontId="1" fillId="0" borderId="0" applyFont="0" applyFill="0" applyBorder="0" applyAlignment="0" applyProtection="0"/>
    <xf numFmtId="9" fontId="3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9"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39"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39"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128" fillId="0" borderId="0" applyFont="0" applyFill="0" applyBorder="0" applyAlignment="0" applyProtection="0"/>
    <xf numFmtId="9" fontId="1"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quotePrefix="1" applyFont="0" applyFill="0" applyBorder="0" applyAlignment="0">
      <protection locked="0"/>
    </xf>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quotePrefix="1" applyFont="0" applyFill="0" applyBorder="0" applyAlignment="0">
      <protection locked="0"/>
    </xf>
    <xf numFmtId="9" fontId="10" fillId="0" borderId="0" applyFont="0" applyFill="0" applyBorder="0" applyAlignment="0" applyProtection="0"/>
    <xf numFmtId="9" fontId="10" fillId="0" borderId="0" applyFont="0" applyFill="0" applyBorder="0" applyAlignment="0" applyProtection="0"/>
    <xf numFmtId="9" fontId="10" fillId="0" borderId="0" quotePrefix="1" applyFont="0" applyFill="0" applyBorder="0" applyAlignment="0">
      <protection locked="0"/>
    </xf>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198" fontId="10" fillId="0" borderId="0" applyFill="0" applyBorder="0" applyAlignment="0"/>
    <xf numFmtId="198" fontId="10" fillId="0" borderId="0" applyFill="0" applyBorder="0" applyAlignment="0"/>
    <xf numFmtId="198" fontId="10" fillId="0" borderId="0" applyFill="0" applyBorder="0" applyAlignment="0"/>
    <xf numFmtId="195" fontId="10" fillId="0" borderId="0" applyFill="0" applyBorder="0" applyAlignment="0"/>
    <xf numFmtId="195" fontId="10" fillId="0" borderId="0" applyFill="0" applyBorder="0" applyAlignment="0"/>
    <xf numFmtId="195" fontId="10" fillId="0" borderId="0" applyFill="0" applyBorder="0" applyAlignment="0"/>
    <xf numFmtId="198" fontId="10" fillId="0" borderId="0" applyFill="0" applyBorder="0" applyAlignment="0"/>
    <xf numFmtId="198" fontId="10" fillId="0" borderId="0" applyFill="0" applyBorder="0" applyAlignment="0"/>
    <xf numFmtId="198" fontId="10" fillId="0" borderId="0" applyFill="0" applyBorder="0" applyAlignment="0"/>
    <xf numFmtId="0" fontId="10" fillId="0" borderId="0" applyFill="0" applyBorder="0" applyAlignment="0"/>
    <xf numFmtId="0" fontId="10" fillId="0" borderId="0" applyFill="0" applyBorder="0" applyAlignment="0"/>
    <xf numFmtId="0" fontId="10" fillId="0" borderId="0" applyFill="0" applyBorder="0" applyAlignment="0"/>
    <xf numFmtId="195" fontId="10" fillId="0" borderId="0" applyFill="0" applyBorder="0" applyAlignment="0"/>
    <xf numFmtId="195" fontId="10" fillId="0" borderId="0" applyFill="0" applyBorder="0" applyAlignment="0"/>
    <xf numFmtId="195" fontId="10" fillId="0" borderId="0" applyFill="0" applyBorder="0" applyAlignment="0"/>
    <xf numFmtId="0" fontId="129" fillId="0" borderId="0" applyNumberFormat="0" applyFill="0" applyBorder="0" applyAlignment="0" applyProtection="0"/>
    <xf numFmtId="193" fontId="130" fillId="0" borderId="0"/>
    <xf numFmtId="9" fontId="100" fillId="0" borderId="0" applyFont="0" applyFill="0" applyBorder="0" applyAlignment="0" applyProtection="0"/>
    <xf numFmtId="9" fontId="100" fillId="0" borderId="0" applyFont="0" applyFill="0" applyBorder="0" applyAlignment="0" applyProtection="0"/>
    <xf numFmtId="0" fontId="95" fillId="0" borderId="0" applyNumberFormat="0" applyFont="0" applyFill="0" applyBorder="0" applyAlignment="0" applyProtection="0">
      <alignment horizontal="left"/>
    </xf>
    <xf numFmtId="15" fontId="95" fillId="0" borderId="0" applyFont="0" applyFill="0" applyBorder="0" applyAlignment="0" applyProtection="0"/>
    <xf numFmtId="4" fontId="95" fillId="0" borderId="0" applyFont="0" applyFill="0" applyBorder="0" applyAlignment="0" applyProtection="0"/>
    <xf numFmtId="0" fontId="89" fillId="0" borderId="1">
      <alignment horizontal="center"/>
    </xf>
    <xf numFmtId="0" fontId="89" fillId="0" borderId="1">
      <alignment horizontal="center"/>
    </xf>
    <xf numFmtId="0" fontId="89" fillId="0" borderId="1">
      <alignment horizontal="center"/>
    </xf>
    <xf numFmtId="0" fontId="89" fillId="0" borderId="1">
      <alignment horizontal="center"/>
    </xf>
    <xf numFmtId="0" fontId="89" fillId="0" borderId="1">
      <alignment horizontal="center"/>
    </xf>
    <xf numFmtId="0" fontId="89" fillId="0" borderId="1">
      <alignment horizontal="center"/>
    </xf>
    <xf numFmtId="0" fontId="89" fillId="0" borderId="1">
      <alignment horizontal="center"/>
    </xf>
    <xf numFmtId="0" fontId="89" fillId="0" borderId="1">
      <alignment horizontal="center"/>
    </xf>
    <xf numFmtId="0" fontId="89" fillId="0" borderId="1">
      <alignment horizontal="center"/>
    </xf>
    <xf numFmtId="0" fontId="89" fillId="0" borderId="1">
      <alignment horizontal="center"/>
    </xf>
    <xf numFmtId="0" fontId="89" fillId="0" borderId="1">
      <alignment horizontal="center"/>
    </xf>
    <xf numFmtId="0" fontId="89" fillId="0" borderId="1">
      <alignment horizontal="center"/>
    </xf>
    <xf numFmtId="0" fontId="89" fillId="0" borderId="1">
      <alignment horizontal="center"/>
    </xf>
    <xf numFmtId="0" fontId="89" fillId="0" borderId="1">
      <alignment horizontal="center"/>
    </xf>
    <xf numFmtId="3" fontId="95" fillId="0" borderId="0" applyFont="0" applyFill="0" applyBorder="0" applyAlignment="0" applyProtection="0"/>
    <xf numFmtId="0" fontId="95" fillId="77" borderId="0" applyNumberFormat="0" applyFont="0" applyBorder="0" applyAlignment="0" applyProtection="0"/>
    <xf numFmtId="204" fontId="131" fillId="0" borderId="0"/>
    <xf numFmtId="14" fontId="132" fillId="0" borderId="0" applyNumberFormat="0" applyFill="0" applyBorder="0" applyAlignment="0" applyProtection="0">
      <alignment horizontal="left"/>
    </xf>
    <xf numFmtId="0" fontId="84" fillId="0" borderId="0">
      <alignment horizontal="left" vertical="center" wrapText="1"/>
    </xf>
    <xf numFmtId="0" fontId="84" fillId="0" borderId="0">
      <alignment horizontal="left" vertical="center" wrapText="1"/>
    </xf>
    <xf numFmtId="0" fontId="84" fillId="0" borderId="0">
      <alignment horizontal="left" vertical="center" wrapText="1"/>
    </xf>
    <xf numFmtId="0" fontId="82" fillId="0" borderId="0"/>
    <xf numFmtId="0" fontId="82" fillId="0" borderId="0"/>
    <xf numFmtId="0" fontId="82" fillId="0" borderId="0"/>
    <xf numFmtId="0" fontId="84" fillId="0" borderId="0">
      <alignment horizontal="left" vertical="center" wrapText="1"/>
    </xf>
    <xf numFmtId="0" fontId="84" fillId="0" borderId="0">
      <alignment horizontal="left" vertical="center" wrapText="1"/>
    </xf>
    <xf numFmtId="0" fontId="84" fillId="0" borderId="0">
      <alignment horizontal="left" vertical="center" wrapText="1"/>
    </xf>
    <xf numFmtId="0" fontId="84" fillId="0" borderId="0">
      <alignment horizontal="left" vertical="center" wrapText="1"/>
    </xf>
    <xf numFmtId="0" fontId="82" fillId="0" borderId="0"/>
    <xf numFmtId="0" fontId="82" fillId="0" borderId="0"/>
    <xf numFmtId="0" fontId="84" fillId="0" borderId="0">
      <alignment horizontal="left" vertical="center" wrapText="1"/>
    </xf>
    <xf numFmtId="0" fontId="84" fillId="0" borderId="0">
      <alignment horizontal="left" vertical="center" wrapText="1"/>
    </xf>
    <xf numFmtId="0" fontId="82" fillId="0" borderId="0"/>
    <xf numFmtId="0" fontId="82" fillId="0" borderId="0"/>
    <xf numFmtId="0" fontId="84" fillId="0" borderId="0">
      <alignment horizontal="left" vertical="center" wrapText="1"/>
    </xf>
    <xf numFmtId="0" fontId="83" fillId="0" borderId="0"/>
    <xf numFmtId="0" fontId="84" fillId="0" borderId="0">
      <alignment horizontal="left" vertical="center" wrapText="1"/>
    </xf>
    <xf numFmtId="0" fontId="84" fillId="0" borderId="0">
      <alignment horizontal="left" vertical="center" wrapText="1"/>
    </xf>
    <xf numFmtId="0" fontId="83" fillId="0" borderId="0"/>
    <xf numFmtId="0" fontId="84" fillId="0" borderId="0">
      <alignment horizontal="left" vertical="center" wrapText="1"/>
    </xf>
    <xf numFmtId="0" fontId="84" fillId="0" borderId="0">
      <alignment horizontal="left" vertical="center" wrapText="1"/>
    </xf>
    <xf numFmtId="0" fontId="84" fillId="0" borderId="0">
      <alignment horizontal="left" vertical="center" wrapText="1"/>
    </xf>
    <xf numFmtId="0" fontId="84" fillId="0" borderId="0">
      <alignment horizontal="left" vertical="center" wrapText="1"/>
    </xf>
    <xf numFmtId="0" fontId="84" fillId="0" borderId="0">
      <alignment horizontal="left" vertical="center" wrapText="1"/>
    </xf>
    <xf numFmtId="0" fontId="84" fillId="0" borderId="0">
      <alignment horizontal="left" vertical="center" wrapText="1"/>
    </xf>
    <xf numFmtId="0" fontId="84" fillId="0" borderId="0">
      <alignment horizontal="left" vertical="center" wrapText="1"/>
    </xf>
    <xf numFmtId="0" fontId="84" fillId="0" borderId="0">
      <alignment horizontal="left" vertical="center" wrapText="1"/>
    </xf>
    <xf numFmtId="0" fontId="84" fillId="0" borderId="60">
      <alignment horizontal="left" vertical="center" wrapText="1"/>
    </xf>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0" fontId="79" fillId="42" borderId="54" applyNumberFormat="0" applyAlignment="0" applyProtection="0"/>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3" fillId="75"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4" fillId="78" borderId="72" applyNumberFormat="0" applyProtection="0">
      <alignment vertical="center"/>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4" fontId="133" fillId="78" borderId="72" applyNumberFormat="0" applyProtection="0">
      <alignment horizontal="left" vertical="center"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0" fontId="133" fillId="78" borderId="72" applyNumberFormat="0" applyProtection="0">
      <alignment horizontal="left" vertical="top" indent="1"/>
    </xf>
    <xf numFmtId="4" fontId="133" fillId="79" borderId="0" applyNumberFormat="0" applyProtection="0">
      <alignment horizontal="left" vertical="center" indent="1"/>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37"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46"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54"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48"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2"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6"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55"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80"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99" fillId="47" borderId="72" applyNumberFormat="0" applyProtection="0">
      <alignment horizontal="right" vertical="center"/>
    </xf>
    <xf numFmtId="4" fontId="133" fillId="81" borderId="73" applyNumberFormat="0" applyProtection="0">
      <alignment horizontal="left" vertical="center" indent="1"/>
    </xf>
    <xf numFmtId="4" fontId="99" fillId="82" borderId="0" applyNumberFormat="0" applyProtection="0">
      <alignment horizontal="left" vertical="center" indent="1"/>
    </xf>
    <xf numFmtId="4" fontId="135" fillId="11" borderId="0" applyNumberFormat="0" applyProtection="0">
      <alignment horizontal="left" vertical="center" indent="1"/>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3" borderId="72" applyNumberFormat="0" applyProtection="0">
      <alignment horizontal="right" vertical="center"/>
    </xf>
    <xf numFmtId="4" fontId="99" fillId="82" borderId="0" applyNumberFormat="0" applyProtection="0">
      <alignment horizontal="left" vertical="center" indent="1"/>
    </xf>
    <xf numFmtId="4" fontId="99" fillId="79" borderId="0"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center"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11" borderId="72" applyNumberFormat="0" applyProtection="0">
      <alignment horizontal="left" vertical="top"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center"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79" borderId="72" applyNumberFormat="0" applyProtection="0">
      <alignment horizontal="left" vertical="top"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center"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57" borderId="72" applyNumberFormat="0" applyProtection="0">
      <alignment horizontal="left" vertical="top"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center"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0" fontId="10" fillId="84" borderId="72" applyNumberFormat="0" applyProtection="0">
      <alignment horizontal="left" vertical="top" indent="1"/>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99"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136" fillId="60" borderId="72" applyNumberFormat="0" applyProtection="0">
      <alignment vertical="center"/>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4" fontId="99" fillId="60" borderId="72" applyNumberFormat="0" applyProtection="0">
      <alignment horizontal="left" vertical="center"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0" fontId="99" fillId="60" borderId="72" applyNumberFormat="0" applyProtection="0">
      <alignment horizontal="left" vertical="top" indent="1"/>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99"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136" fillId="82" borderId="72" applyNumberFormat="0" applyProtection="0">
      <alignment horizontal="right" vertical="center"/>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4" fontId="99" fillId="83" borderId="72" applyNumberFormat="0" applyProtection="0">
      <alignment horizontal="left" vertical="center"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0" fontId="99" fillId="79" borderId="72" applyNumberFormat="0" applyProtection="0">
      <alignment horizontal="left" vertical="top" indent="1"/>
    </xf>
    <xf numFmtId="4" fontId="137" fillId="73" borderId="0" applyNumberFormat="0" applyProtection="0">
      <alignment horizontal="left" vertical="center" indent="1"/>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4" fontId="138" fillId="82" borderId="72" applyNumberFormat="0" applyProtection="0">
      <alignment horizontal="right" vertical="center"/>
    </xf>
    <xf numFmtId="0" fontId="80" fillId="37" borderId="0" applyNumberFormat="0" applyBorder="0" applyAlignment="0" applyProtection="0"/>
    <xf numFmtId="41" fontId="99" fillId="0" borderId="0" applyFont="0" applyFill="0" applyBorder="0" applyAlignment="0" applyProtection="0"/>
    <xf numFmtId="214" fontId="10" fillId="0" borderId="0" applyFont="0" applyFill="0" applyBorder="0" applyAlignment="0" applyProtection="0"/>
    <xf numFmtId="43" fontId="99" fillId="0" borderId="0" applyFont="0" applyFill="0" applyBorder="0" applyAlignment="0" applyProtection="0"/>
    <xf numFmtId="0" fontId="81" fillId="0" borderId="0">
      <alignment horizontal="left" vertical="center" wrapText="1"/>
    </xf>
    <xf numFmtId="0" fontId="83" fillId="0" borderId="0"/>
    <xf numFmtId="0" fontId="82" fillId="0" borderId="0"/>
    <xf numFmtId="0" fontId="81" fillId="0" borderId="0">
      <alignment horizontal="left" vertical="center" wrapText="1"/>
    </xf>
    <xf numFmtId="0" fontId="14" fillId="0" borderId="0" applyNumberFormat="0" applyFill="0" applyBorder="0" applyProtection="0">
      <alignment vertical="top" wrapText="1"/>
    </xf>
    <xf numFmtId="0" fontId="14" fillId="0" borderId="0" applyNumberFormat="0" applyFill="0" applyBorder="0" applyProtection="0">
      <alignment vertical="top" wrapText="1"/>
    </xf>
    <xf numFmtId="0" fontId="14" fillId="0" borderId="0" applyNumberFormat="0" applyFill="0" applyBorder="0" applyProtection="0">
      <alignment vertical="top" wrapText="1"/>
    </xf>
    <xf numFmtId="0" fontId="14" fillId="0" borderId="0" applyNumberFormat="0" applyFill="0" applyBorder="0" applyProtection="0">
      <alignment vertical="top" wrapText="1"/>
    </xf>
    <xf numFmtId="0" fontId="14" fillId="0" borderId="0" applyNumberFormat="0" applyFill="0" applyBorder="0" applyProtection="0">
      <alignment horizontal="center" vertical="top" wrapText="1"/>
    </xf>
    <xf numFmtId="0" fontId="14" fillId="0" borderId="0" applyNumberFormat="0" applyFill="0" applyBorder="0" applyProtection="0">
      <alignment horizontal="center" vertical="top" wrapText="1"/>
    </xf>
    <xf numFmtId="40" fontId="139" fillId="0" borderId="0" applyBorder="0">
      <alignment horizontal="right"/>
    </xf>
    <xf numFmtId="49" fontId="140" fillId="0" borderId="0" applyFont="0" applyFill="0" applyBorder="0" applyAlignment="0" applyProtection="0"/>
    <xf numFmtId="49" fontId="99" fillId="0" borderId="0" applyFill="0" applyBorder="0" applyAlignment="0"/>
    <xf numFmtId="0" fontId="10" fillId="0" borderId="0" applyFill="0" applyBorder="0" applyAlignment="0"/>
    <xf numFmtId="0" fontId="10" fillId="0" borderId="0" applyFill="0" applyBorder="0" applyAlignment="0"/>
    <xf numFmtId="0" fontId="10" fillId="0" borderId="0" applyFill="0" applyBorder="0" applyAlignment="0"/>
    <xf numFmtId="0" fontId="99" fillId="0" borderId="0" applyFill="0" applyBorder="0" applyAlignment="0"/>
    <xf numFmtId="235" fontId="10" fillId="0" borderId="0" applyFill="0" applyBorder="0" applyAlignment="0"/>
    <xf numFmtId="0" fontId="83" fillId="0" borderId="0">
      <alignment horizontal="centerContinuous" wrapText="1"/>
    </xf>
    <xf numFmtId="0" fontId="141" fillId="0" borderId="0" applyNumberForma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42" fillId="0" borderId="0" applyNumberFormat="0" applyFill="0" applyBorder="0" applyAlignment="0" applyProtection="0"/>
    <xf numFmtId="0" fontId="142" fillId="0" borderId="0" applyNumberFormat="0" applyFill="0" applyBorder="0" applyAlignment="0" applyProtection="0"/>
    <xf numFmtId="0" fontId="142" fillId="0" borderId="0" applyNumberFormat="0" applyFill="0" applyBorder="0" applyAlignment="0" applyProtection="0"/>
    <xf numFmtId="0" fontId="142" fillId="0" borderId="0" applyNumberFormat="0" applyFill="0" applyBorder="0" applyAlignment="0" applyProtection="0"/>
    <xf numFmtId="0" fontId="110" fillId="0" borderId="64" applyNumberFormat="0" applyFill="0" applyAlignment="0" applyProtection="0"/>
    <xf numFmtId="0" fontId="110" fillId="0" borderId="64" applyNumberFormat="0" applyFill="0" applyAlignment="0" applyProtection="0"/>
    <xf numFmtId="0" fontId="110" fillId="0" borderId="64" applyNumberFormat="0" applyFill="0" applyAlignment="0" applyProtection="0"/>
    <xf numFmtId="0" fontId="143" fillId="0" borderId="74" applyNumberFormat="0" applyFill="0" applyAlignment="0" applyProtection="0"/>
    <xf numFmtId="0" fontId="111" fillId="0" borderId="65" applyNumberFormat="0" applyFill="0" applyAlignment="0" applyProtection="0"/>
    <xf numFmtId="0" fontId="111" fillId="0" borderId="65" applyNumberFormat="0" applyFill="0" applyAlignment="0" applyProtection="0"/>
    <xf numFmtId="0" fontId="144" fillId="0" borderId="65"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3" fillId="0" borderId="75" applyNumberFormat="0" applyFill="0" applyAlignment="0" applyProtection="0"/>
    <xf numFmtId="0" fontId="103" fillId="0" borderId="75" applyNumberFormat="0" applyFill="0" applyAlignment="0" applyProtection="0"/>
    <xf numFmtId="0" fontId="103" fillId="0" borderId="75" applyNumberFormat="0" applyFill="0" applyAlignment="0" applyProtection="0"/>
    <xf numFmtId="0" fontId="103" fillId="0" borderId="75" applyNumberFormat="0" applyFill="0" applyAlignment="0" applyProtection="0"/>
    <xf numFmtId="0" fontId="103" fillId="0" borderId="75" applyNumberFormat="0" applyFill="0" applyAlignment="0" applyProtection="0"/>
    <xf numFmtId="0" fontId="103" fillId="0" borderId="75" applyNumberFormat="0" applyFill="0" applyAlignment="0" applyProtection="0"/>
    <xf numFmtId="0" fontId="103" fillId="0" borderId="75" applyNumberFormat="0" applyFill="0" applyAlignment="0" applyProtection="0"/>
    <xf numFmtId="0" fontId="103" fillId="0" borderId="75" applyNumberFormat="0" applyFill="0" applyAlignment="0" applyProtection="0"/>
    <xf numFmtId="0" fontId="103" fillId="0" borderId="75" applyNumberFormat="0" applyFill="0" applyAlignment="0" applyProtection="0"/>
    <xf numFmtId="0" fontId="103" fillId="0" borderId="75" applyNumberFormat="0" applyFill="0" applyAlignment="0" applyProtection="0"/>
    <xf numFmtId="0" fontId="103" fillId="0" borderId="75" applyNumberFormat="0" applyFill="0" applyAlignment="0" applyProtection="0"/>
    <xf numFmtId="0" fontId="103" fillId="0" borderId="75" applyNumberFormat="0" applyFill="0" applyAlignment="0" applyProtection="0"/>
    <xf numFmtId="0" fontId="103" fillId="0" borderId="75" applyNumberFormat="0" applyFill="0" applyAlignment="0" applyProtection="0"/>
    <xf numFmtId="0" fontId="103" fillId="0" borderId="75" applyNumberFormat="0" applyFill="0" applyAlignment="0" applyProtection="0"/>
    <xf numFmtId="0" fontId="103" fillId="0" borderId="75" applyNumberFormat="0" applyFill="0" applyAlignment="0" applyProtection="0"/>
    <xf numFmtId="0" fontId="103" fillId="0" borderId="75" applyNumberFormat="0" applyFill="0" applyAlignment="0" applyProtection="0"/>
    <xf numFmtId="0" fontId="103" fillId="0" borderId="75" applyNumberFormat="0" applyFill="0" applyAlignment="0" applyProtection="0"/>
    <xf numFmtId="0" fontId="103" fillId="0" borderId="75" applyNumberFormat="0" applyFill="0" applyAlignment="0" applyProtection="0"/>
    <xf numFmtId="0" fontId="103" fillId="0" borderId="75" applyNumberFormat="0" applyFill="0" applyAlignment="0" applyProtection="0"/>
    <xf numFmtId="0" fontId="103" fillId="0" borderId="75" applyNumberFormat="0" applyFill="0" applyAlignment="0" applyProtection="0"/>
    <xf numFmtId="0" fontId="142" fillId="0" borderId="0" applyNumberFormat="0" applyFill="0" applyBorder="0" applyAlignment="0" applyProtection="0"/>
    <xf numFmtId="0" fontId="142" fillId="0" borderId="0" applyNumberFormat="0" applyFill="0" applyBorder="0" applyAlignment="0" applyProtection="0"/>
    <xf numFmtId="0" fontId="145" fillId="0" borderId="0" applyNumberFormat="0" applyFill="0" applyBorder="0" applyAlignment="0" applyProtection="0"/>
    <xf numFmtId="0" fontId="145" fillId="0" borderId="0" applyNumberFormat="0" applyFill="0" applyBorder="0" applyAlignment="0" applyProtection="0"/>
    <xf numFmtId="0" fontId="146" fillId="0" borderId="76" applyAlignment="0"/>
    <xf numFmtId="0" fontId="146" fillId="0" borderId="76" applyAlignment="0"/>
    <xf numFmtId="0" fontId="146" fillId="0" borderId="76" applyAlignment="0"/>
    <xf numFmtId="0" fontId="146" fillId="0" borderId="76" applyAlignment="0"/>
    <xf numFmtId="0" fontId="146" fillId="0" borderId="76" applyAlignment="0"/>
    <xf numFmtId="0" fontId="146" fillId="0" borderId="76" applyAlignment="0"/>
    <xf numFmtId="0" fontId="146" fillId="0" borderId="76" applyAlignment="0"/>
    <xf numFmtId="0" fontId="146" fillId="0" borderId="76" applyAlignment="0"/>
    <xf numFmtId="0" fontId="146" fillId="0" borderId="76" applyAlignment="0"/>
    <xf numFmtId="0" fontId="38" fillId="0" borderId="76" applyAlignment="0"/>
    <xf numFmtId="0" fontId="38" fillId="0" borderId="76" applyAlignment="0"/>
    <xf numFmtId="0" fontId="38" fillId="0" borderId="76" applyAlignment="0"/>
    <xf numFmtId="0" fontId="38" fillId="0" borderId="76" applyAlignment="0"/>
    <xf numFmtId="0" fontId="146" fillId="0" borderId="76" applyAlignment="0"/>
    <xf numFmtId="0" fontId="146" fillId="0" borderId="76" applyAlignment="0"/>
    <xf numFmtId="0" fontId="146" fillId="0" borderId="76" applyAlignment="0"/>
    <xf numFmtId="0" fontId="146" fillId="0" borderId="76" applyAlignment="0"/>
    <xf numFmtId="0" fontId="146" fillId="0" borderId="76" applyAlignment="0"/>
    <xf numFmtId="0" fontId="146" fillId="0" borderId="76" applyAlignment="0"/>
    <xf numFmtId="0" fontId="146" fillId="0" borderId="76" applyAlignment="0"/>
    <xf numFmtId="0" fontId="146" fillId="0" borderId="76" applyAlignment="0"/>
    <xf numFmtId="0" fontId="146" fillId="0" borderId="76" applyAlignment="0"/>
    <xf numFmtId="0" fontId="146" fillId="0" borderId="76" applyAlignment="0"/>
    <xf numFmtId="0" fontId="146" fillId="0" borderId="76" applyAlignment="0"/>
    <xf numFmtId="0" fontId="145" fillId="0" borderId="0" applyNumberFormat="0" applyFill="0" applyBorder="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203" fontId="10" fillId="0" borderId="77">
      <protection locked="0"/>
    </xf>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104" fillId="0" borderId="62" applyNumberFormat="0" applyFill="0" applyAlignment="0" applyProtection="0"/>
    <xf numFmtId="0" fontId="72" fillId="0" borderId="50"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0" fontId="104" fillId="0" borderId="78" applyNumberFormat="0" applyFill="0" applyAlignment="0" applyProtection="0"/>
    <xf numFmtId="236" fontId="13" fillId="0" borderId="0" applyFont="0" applyFill="0" applyBorder="0" applyAlignment="0" applyProtection="0"/>
    <xf numFmtId="0" fontId="142" fillId="0" borderId="0" applyNumberFormat="0" applyFill="0" applyBorder="0" applyAlignment="0" applyProtection="0"/>
    <xf numFmtId="0" fontId="110" fillId="0" borderId="64" applyNumberFormat="0" applyFill="0" applyAlignment="0" applyProtection="0"/>
    <xf numFmtId="0" fontId="111" fillId="0" borderId="65"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0" applyNumberFormat="0" applyFill="0" applyBorder="0" applyAlignment="0" applyProtection="0"/>
    <xf numFmtId="237" fontId="13" fillId="0" borderId="0" applyFont="0" applyFill="0" applyBorder="0" applyAlignment="0" applyProtection="0"/>
    <xf numFmtId="0" fontId="92" fillId="0" borderId="59" applyNumberFormat="0" applyFill="0" applyAlignment="0" applyProtection="0"/>
    <xf numFmtId="238" fontId="10" fillId="0" borderId="0" applyFon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91" fillId="58" borderId="58" applyNumberFormat="0" applyAlignment="0" applyProtection="0"/>
    <xf numFmtId="0" fontId="1" fillId="0" borderId="0"/>
    <xf numFmtId="177" fontId="1" fillId="0" borderId="0" applyFont="0" applyFill="0" applyBorder="0" applyAlignment="0" applyProtection="0"/>
    <xf numFmtId="9" fontId="1" fillId="0" borderId="0" applyFont="0" applyFill="0" applyBorder="0" applyAlignment="0" applyProtection="0"/>
    <xf numFmtId="177" fontId="1" fillId="0" borderId="0" applyFont="0" applyFill="0" applyBorder="0" applyAlignment="0" applyProtection="0"/>
    <xf numFmtId="175" fontId="1" fillId="0" borderId="0" applyFont="0" applyFill="0" applyBorder="0" applyAlignment="0" applyProtection="0"/>
    <xf numFmtId="239" fontId="10" fillId="0" borderId="0" applyFill="0" applyBorder="0" applyAlignment="0" applyProtection="0"/>
    <xf numFmtId="0" fontId="10" fillId="0" borderId="2" applyNumberFormat="0" applyFill="0" applyAlignment="0" applyProtection="0"/>
    <xf numFmtId="240" fontId="10" fillId="0" borderId="0" applyFill="0" applyBorder="0" applyAlignment="0" applyProtection="0"/>
    <xf numFmtId="240" fontId="10" fillId="0" borderId="0" applyFill="0" applyBorder="0" applyAlignment="0" applyProtection="0"/>
    <xf numFmtId="199" fontId="10" fillId="0" borderId="0" applyFill="0"/>
    <xf numFmtId="0" fontId="10" fillId="0" borderId="0" applyNumberFormat="0" applyFill="0" applyBorder="0" applyAlignment="0" applyProtection="0"/>
    <xf numFmtId="0" fontId="10" fillId="0" borderId="0" applyNumberFormat="0" applyFill="0" applyBorder="0" applyAlignment="0" applyProtection="0"/>
    <xf numFmtId="0" fontId="131" fillId="0" borderId="0" applyNumberFormat="0" applyFill="0" applyBorder="0" applyAlignment="0" applyProtection="0"/>
    <xf numFmtId="3" fontId="147" fillId="0" borderId="0">
      <alignment horizontal="center"/>
    </xf>
    <xf numFmtId="0" fontId="10" fillId="0" borderId="0"/>
    <xf numFmtId="0" fontId="10" fillId="0" borderId="0"/>
    <xf numFmtId="0" fontId="10" fillId="0" borderId="0"/>
    <xf numFmtId="0" fontId="10" fillId="0" borderId="0"/>
    <xf numFmtId="0" fontId="10" fillId="0" borderId="0" applyNumberFormat="0" applyFill="0" applyBorder="0" applyAlignment="0" applyProtection="0"/>
    <xf numFmtId="0" fontId="10" fillId="0" borderId="0"/>
    <xf numFmtId="0" fontId="10" fillId="0" borderId="0" applyNumberFormat="0" applyFill="0" applyBorder="0" applyAlignment="0" applyProtection="0"/>
    <xf numFmtId="3" fontId="147" fillId="0" borderId="0">
      <alignment horizontal="center"/>
    </xf>
    <xf numFmtId="0" fontId="10" fillId="0" borderId="0" applyNumberFormat="0" applyFill="0" applyBorder="0" applyAlignment="0" applyProtection="0"/>
    <xf numFmtId="0" fontId="148" fillId="0" borderId="0" applyNumberFormat="0" applyFill="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39" fillId="36" borderId="0" applyNumberFormat="0" applyBorder="0" applyAlignment="0" applyProtection="0"/>
    <xf numFmtId="0" fontId="39" fillId="36" borderId="0" applyNumberFormat="0" applyBorder="0" applyAlignment="0" applyProtection="0"/>
    <xf numFmtId="0" fontId="39" fillId="37" borderId="0" applyNumberFormat="0" applyBorder="0" applyAlignment="0" applyProtection="0"/>
    <xf numFmtId="0" fontId="39" fillId="37" borderId="0" applyNumberFormat="0" applyBorder="0" applyAlignment="0" applyProtection="0"/>
    <xf numFmtId="0" fontId="39" fillId="38" borderId="0" applyNumberFormat="0" applyBorder="0" applyAlignment="0" applyProtection="0"/>
    <xf numFmtId="0" fontId="39" fillId="38"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1" borderId="0" applyNumberFormat="0" applyBorder="0" applyAlignment="0" applyProtection="0"/>
    <xf numFmtId="0" fontId="39" fillId="41" borderId="0" applyNumberFormat="0" applyBorder="0" applyAlignment="0" applyProtection="0"/>
    <xf numFmtId="0" fontId="149" fillId="36" borderId="0" applyNumberFormat="0" applyBorder="0" applyAlignment="0" applyProtection="0"/>
    <xf numFmtId="0" fontId="149" fillId="37" borderId="0" applyNumberFormat="0" applyBorder="0" applyAlignment="0" applyProtection="0"/>
    <xf numFmtId="0" fontId="149" fillId="38" borderId="0" applyNumberFormat="0" applyBorder="0" applyAlignment="0" applyProtection="0"/>
    <xf numFmtId="0" fontId="149" fillId="39" borderId="0" applyNumberFormat="0" applyBorder="0" applyAlignment="0" applyProtection="0"/>
    <xf numFmtId="0" fontId="149" fillId="40" borderId="0" applyNumberFormat="0" applyBorder="0" applyAlignment="0" applyProtection="0"/>
    <xf numFmtId="0" fontId="149" fillId="41" borderId="0" applyNumberFormat="0" applyBorder="0" applyAlignment="0" applyProtection="0"/>
    <xf numFmtId="0" fontId="150" fillId="36" borderId="0" applyNumberFormat="0" applyBorder="0" applyAlignment="0" applyProtection="0">
      <alignment vertical="center"/>
    </xf>
    <xf numFmtId="0" fontId="150" fillId="37" borderId="0" applyNumberFormat="0" applyBorder="0" applyAlignment="0" applyProtection="0">
      <alignment vertical="center"/>
    </xf>
    <xf numFmtId="0" fontId="150" fillId="38" borderId="0" applyNumberFormat="0" applyBorder="0" applyAlignment="0" applyProtection="0">
      <alignment vertical="center"/>
    </xf>
    <xf numFmtId="0" fontId="150" fillId="39" borderId="0" applyNumberFormat="0" applyBorder="0" applyAlignment="0" applyProtection="0">
      <alignment vertical="center"/>
    </xf>
    <xf numFmtId="0" fontId="150" fillId="40" borderId="0" applyNumberFormat="0" applyBorder="0" applyAlignment="0" applyProtection="0">
      <alignment vertical="center"/>
    </xf>
    <xf numFmtId="0" fontId="150" fillId="41" borderId="0" applyNumberFormat="0" applyBorder="0" applyAlignment="0" applyProtection="0">
      <alignment vertical="center"/>
    </xf>
    <xf numFmtId="0" fontId="39" fillId="45" borderId="0" applyNumberFormat="0" applyBorder="0" applyAlignment="0" applyProtection="0"/>
    <xf numFmtId="0" fontId="39" fillId="45"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6" borderId="0" applyNumberFormat="0" applyBorder="0" applyAlignment="0" applyProtection="0"/>
    <xf numFmtId="0" fontId="39" fillId="46" borderId="0" applyNumberFormat="0" applyBorder="0" applyAlignment="0" applyProtection="0"/>
    <xf numFmtId="0" fontId="39" fillId="47" borderId="0" applyNumberFormat="0" applyBorder="0" applyAlignment="0" applyProtection="0"/>
    <xf numFmtId="0" fontId="39" fillId="47" borderId="0" applyNumberFormat="0" applyBorder="0" applyAlignment="0" applyProtection="0"/>
    <xf numFmtId="0" fontId="39" fillId="39" borderId="0" applyNumberFormat="0" applyBorder="0" applyAlignment="0" applyProtection="0"/>
    <xf numFmtId="0" fontId="39" fillId="39" borderId="0" applyNumberFormat="0" applyBorder="0" applyAlignment="0" applyProtection="0"/>
    <xf numFmtId="0" fontId="39" fillId="45" borderId="0" applyNumberFormat="0" applyBorder="0" applyAlignment="0" applyProtection="0"/>
    <xf numFmtId="0" fontId="39" fillId="45" borderId="0" applyNumberFormat="0" applyBorder="0" applyAlignment="0" applyProtection="0"/>
    <xf numFmtId="0" fontId="39" fillId="48" borderId="0" applyNumberFormat="0" applyBorder="0" applyAlignment="0" applyProtection="0"/>
    <xf numFmtId="0" fontId="39" fillId="48" borderId="0" applyNumberFormat="0" applyBorder="0" applyAlignment="0" applyProtection="0"/>
    <xf numFmtId="0" fontId="149" fillId="45" borderId="0" applyNumberFormat="0" applyBorder="0" applyAlignment="0" applyProtection="0"/>
    <xf numFmtId="0" fontId="149" fillId="46" borderId="0" applyNumberFormat="0" applyBorder="0" applyAlignment="0" applyProtection="0"/>
    <xf numFmtId="0" fontId="149" fillId="47" borderId="0" applyNumberFormat="0" applyBorder="0" applyAlignment="0" applyProtection="0"/>
    <xf numFmtId="0" fontId="149" fillId="39" borderId="0" applyNumberFormat="0" applyBorder="0" applyAlignment="0" applyProtection="0"/>
    <xf numFmtId="0" fontId="149" fillId="45" borderId="0" applyNumberFormat="0" applyBorder="0" applyAlignment="0" applyProtection="0"/>
    <xf numFmtId="0" fontId="149" fillId="48" borderId="0" applyNumberFormat="0" applyBorder="0" applyAlignment="0" applyProtection="0"/>
    <xf numFmtId="0" fontId="150" fillId="45" borderId="0" applyNumberFormat="0" applyBorder="0" applyAlignment="0" applyProtection="0">
      <alignment vertical="center"/>
    </xf>
    <xf numFmtId="0" fontId="150" fillId="46" borderId="0" applyNumberFormat="0" applyBorder="0" applyAlignment="0" applyProtection="0">
      <alignment vertical="center"/>
    </xf>
    <xf numFmtId="0" fontId="150" fillId="47" borderId="0" applyNumberFormat="0" applyBorder="0" applyAlignment="0" applyProtection="0">
      <alignment vertical="center"/>
    </xf>
    <xf numFmtId="0" fontId="150" fillId="39" borderId="0" applyNumberFormat="0" applyBorder="0" applyAlignment="0" applyProtection="0">
      <alignment vertical="center"/>
    </xf>
    <xf numFmtId="0" fontId="150" fillId="45" borderId="0" applyNumberFormat="0" applyBorder="0" applyAlignment="0" applyProtection="0">
      <alignment vertical="center"/>
    </xf>
    <xf numFmtId="0" fontId="150" fillId="48" borderId="0" applyNumberFormat="0" applyBorder="0" applyAlignment="0" applyProtection="0">
      <alignment vertical="center"/>
    </xf>
    <xf numFmtId="0" fontId="75" fillId="49" borderId="0" applyNumberFormat="0" applyBorder="0" applyAlignment="0" applyProtection="0"/>
    <xf numFmtId="0" fontId="75" fillId="46" borderId="0" applyNumberFormat="0" applyBorder="0" applyAlignment="0" applyProtection="0"/>
    <xf numFmtId="0" fontId="75" fillId="47" borderId="0" applyNumberFormat="0" applyBorder="0" applyAlignment="0" applyProtection="0"/>
    <xf numFmtId="0" fontId="75" fillId="50" borderId="0" applyNumberFormat="0" applyBorder="0" applyAlignment="0" applyProtection="0"/>
    <xf numFmtId="0" fontId="75" fillId="51" borderId="0" applyNumberFormat="0" applyBorder="0" applyAlignment="0" applyProtection="0"/>
    <xf numFmtId="0" fontId="75" fillId="52" borderId="0" applyNumberFormat="0" applyBorder="0" applyAlignment="0" applyProtection="0"/>
    <xf numFmtId="0" fontId="75" fillId="49" borderId="0" applyNumberFormat="0" applyBorder="0" applyAlignment="0" applyProtection="0"/>
    <xf numFmtId="0" fontId="75" fillId="49" borderId="0" applyNumberFormat="0" applyBorder="0" applyAlignment="0" applyProtection="0"/>
    <xf numFmtId="0" fontId="75" fillId="46" borderId="0" applyNumberFormat="0" applyBorder="0" applyAlignment="0" applyProtection="0"/>
    <xf numFmtId="0" fontId="75" fillId="46" borderId="0" applyNumberFormat="0" applyBorder="0" applyAlignment="0" applyProtection="0"/>
    <xf numFmtId="0" fontId="75" fillId="47" borderId="0" applyNumberFormat="0" applyBorder="0" applyAlignment="0" applyProtection="0"/>
    <xf numFmtId="0" fontId="75" fillId="47" borderId="0" applyNumberFormat="0" applyBorder="0" applyAlignment="0" applyProtection="0"/>
    <xf numFmtId="0" fontId="75" fillId="50" borderId="0" applyNumberFormat="0" applyBorder="0" applyAlignment="0" applyProtection="0"/>
    <xf numFmtId="0" fontId="75" fillId="50" borderId="0" applyNumberFormat="0" applyBorder="0" applyAlignment="0" applyProtection="0"/>
    <xf numFmtId="0" fontId="75" fillId="51" borderId="0" applyNumberFormat="0" applyBorder="0" applyAlignment="0" applyProtection="0"/>
    <xf numFmtId="0" fontId="75" fillId="51"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151" fillId="49" borderId="0" applyNumberFormat="0" applyBorder="0" applyAlignment="0" applyProtection="0"/>
    <xf numFmtId="0" fontId="151" fillId="46" borderId="0" applyNumberFormat="0" applyBorder="0" applyAlignment="0" applyProtection="0"/>
    <xf numFmtId="0" fontId="151" fillId="47" borderId="0" applyNumberFormat="0" applyBorder="0" applyAlignment="0" applyProtection="0"/>
    <xf numFmtId="0" fontId="151" fillId="50" borderId="0" applyNumberFormat="0" applyBorder="0" applyAlignment="0" applyProtection="0"/>
    <xf numFmtId="0" fontId="151" fillId="51" borderId="0" applyNumberFormat="0" applyBorder="0" applyAlignment="0" applyProtection="0"/>
    <xf numFmtId="0" fontId="151" fillId="52" borderId="0" applyNumberFormat="0" applyBorder="0" applyAlignment="0" applyProtection="0"/>
    <xf numFmtId="0" fontId="152" fillId="49" borderId="0" applyNumberFormat="0" applyBorder="0" applyAlignment="0" applyProtection="0">
      <alignment vertical="center"/>
    </xf>
    <xf numFmtId="0" fontId="152" fillId="46" borderId="0" applyNumberFormat="0" applyBorder="0" applyAlignment="0" applyProtection="0">
      <alignment vertical="center"/>
    </xf>
    <xf numFmtId="0" fontId="152" fillId="47" borderId="0" applyNumberFormat="0" applyBorder="0" applyAlignment="0" applyProtection="0">
      <alignment vertical="center"/>
    </xf>
    <xf numFmtId="0" fontId="152" fillId="50" borderId="0" applyNumberFormat="0" applyBorder="0" applyAlignment="0" applyProtection="0">
      <alignment vertical="center"/>
    </xf>
    <xf numFmtId="0" fontId="152" fillId="51" borderId="0" applyNumberFormat="0" applyBorder="0" applyAlignment="0" applyProtection="0">
      <alignment vertical="center"/>
    </xf>
    <xf numFmtId="0" fontId="152" fillId="52" borderId="0" applyNumberFormat="0" applyBorder="0" applyAlignment="0" applyProtection="0">
      <alignment vertical="center"/>
    </xf>
    <xf numFmtId="0" fontId="141" fillId="0" borderId="0" applyNumberFormat="0" applyFill="0" applyBorder="0" applyAlignment="0" applyProtection="0"/>
    <xf numFmtId="0" fontId="151" fillId="53" borderId="0" applyNumberFormat="0" applyBorder="0" applyAlignment="0" applyProtection="0"/>
    <xf numFmtId="0" fontId="151" fillId="54" borderId="0" applyNumberFormat="0" applyBorder="0" applyAlignment="0" applyProtection="0"/>
    <xf numFmtId="0" fontId="151" fillId="55" borderId="0" applyNumberFormat="0" applyBorder="0" applyAlignment="0" applyProtection="0"/>
    <xf numFmtId="0" fontId="151" fillId="50" borderId="0" applyNumberFormat="0" applyBorder="0" applyAlignment="0" applyProtection="0"/>
    <xf numFmtId="0" fontId="151" fillId="51" borderId="0" applyNumberFormat="0" applyBorder="0" applyAlignment="0" applyProtection="0"/>
    <xf numFmtId="0" fontId="151" fillId="56" borderId="0" applyNumberFormat="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1" fillId="0" borderId="79">
      <alignment horizontal="center" vertical="center"/>
    </xf>
    <xf numFmtId="0" fontId="1" fillId="0" borderId="79">
      <alignment horizontal="center" vertical="center"/>
    </xf>
    <xf numFmtId="0" fontId="1" fillId="0" borderId="79">
      <alignment horizontal="center" vertical="center"/>
    </xf>
    <xf numFmtId="241" fontId="1" fillId="0" borderId="79">
      <alignment horizontal="right" vertical="center"/>
    </xf>
    <xf numFmtId="241" fontId="1" fillId="0" borderId="79">
      <alignment horizontal="right" vertical="center"/>
    </xf>
    <xf numFmtId="241" fontId="1" fillId="0" borderId="79">
      <alignment horizontal="right" vertical="center"/>
    </xf>
    <xf numFmtId="241" fontId="1" fillId="0" borderId="80">
      <alignment horizontal="right" vertical="center"/>
    </xf>
    <xf numFmtId="241" fontId="1" fillId="0" borderId="80">
      <alignment horizontal="right" vertical="center"/>
    </xf>
    <xf numFmtId="241" fontId="1" fillId="0" borderId="80">
      <alignment horizontal="right" vertical="center"/>
    </xf>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3" fontId="1" fillId="0" borderId="81">
      <alignment horizontal="center" vertical="center"/>
    </xf>
    <xf numFmtId="3" fontId="1" fillId="0" borderId="81">
      <alignment horizontal="center" vertical="center"/>
    </xf>
    <xf numFmtId="3" fontId="1" fillId="0" borderId="81">
      <alignment horizontal="center" vertical="center"/>
    </xf>
    <xf numFmtId="3" fontId="153" fillId="0" borderId="81">
      <alignment horizontal="center" vertical="center"/>
    </xf>
    <xf numFmtId="3" fontId="153" fillId="0" borderId="81">
      <alignment horizontal="center" vertical="center"/>
    </xf>
    <xf numFmtId="241" fontId="1" fillId="5" borderId="0">
      <alignment horizontal="right" vertical="center"/>
    </xf>
    <xf numFmtId="241" fontId="1" fillId="5" borderId="0">
      <alignment horizontal="right" vertical="center"/>
    </xf>
    <xf numFmtId="241" fontId="1" fillId="5" borderId="0">
      <alignment horizontal="right" vertical="center"/>
    </xf>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85" fillId="44" borderId="56" applyNumberFormat="0" applyAlignment="0" applyProtection="0"/>
    <xf numFmtId="0" fontId="154" fillId="5" borderId="0">
      <alignment horizontal="left" vertical="center"/>
    </xf>
    <xf numFmtId="0" fontId="154" fillId="5" borderId="0">
      <alignment horizontal="left" vertical="center"/>
    </xf>
    <xf numFmtId="0" fontId="154" fillId="5" borderId="0">
      <alignment horizontal="right" vertical="center"/>
    </xf>
    <xf numFmtId="0" fontId="154" fillId="5" borderId="0">
      <alignment horizontal="right" vertical="center"/>
    </xf>
    <xf numFmtId="0" fontId="92" fillId="0" borderId="59" applyNumberFormat="0" applyFill="0" applyAlignment="0" applyProtection="0"/>
    <xf numFmtId="0" fontId="92" fillId="0" borderId="59" applyNumberFormat="0" applyFill="0" applyAlignment="0" applyProtection="0"/>
    <xf numFmtId="0" fontId="155" fillId="60" borderId="82">
      <alignment horizontal="center" wrapText="1"/>
    </xf>
    <xf numFmtId="178" fontId="10" fillId="0" borderId="0" applyFont="0" applyFill="0" applyBorder="0" applyAlignment="0" applyProtection="0"/>
    <xf numFmtId="173" fontId="10" fillId="0" borderId="0" applyFont="0" applyFill="0" applyBorder="0" applyAlignment="0" applyProtection="0"/>
    <xf numFmtId="173" fontId="10" fillId="0" borderId="0" applyFont="0" applyFill="0" applyBorder="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0" fontId="10" fillId="76" borderId="70" applyNumberFormat="0" applyFont="0" applyAlignment="0" applyProtection="0"/>
    <xf numFmtId="3" fontId="51" fillId="0" borderId="0">
      <alignment horizontal="right" vertical="center"/>
    </xf>
    <xf numFmtId="3" fontId="51" fillId="0" borderId="0">
      <alignment horizontal="right" vertical="center"/>
    </xf>
    <xf numFmtId="3" fontId="51" fillId="0" borderId="0">
      <alignment horizontal="right" vertical="center"/>
    </xf>
    <xf numFmtId="3" fontId="51" fillId="0" borderId="0">
      <alignment horizontal="right" vertical="center"/>
    </xf>
    <xf numFmtId="242" fontId="51" fillId="0" borderId="0">
      <alignment horizontal="right" vertical="center"/>
    </xf>
    <xf numFmtId="242" fontId="51" fillId="0" borderId="0">
      <alignment horizontal="right" vertical="center"/>
    </xf>
    <xf numFmtId="0" fontId="51" fillId="85" borderId="0">
      <alignment horizontal="right" vertical="center"/>
    </xf>
    <xf numFmtId="0" fontId="51" fillId="85" borderId="0">
      <alignment horizontal="right" vertical="center"/>
    </xf>
    <xf numFmtId="243" fontId="51" fillId="0" borderId="0">
      <alignment horizontal="right" vertical="center"/>
    </xf>
    <xf numFmtId="243" fontId="51" fillId="0" borderId="0">
      <alignment horizontal="right" vertical="center"/>
    </xf>
    <xf numFmtId="244" fontId="131" fillId="5" borderId="83">
      <alignment horizontal="right" vertical="center"/>
    </xf>
    <xf numFmtId="244" fontId="131" fillId="5" borderId="83">
      <alignment horizontal="right" vertical="center"/>
    </xf>
    <xf numFmtId="242" fontId="51" fillId="0" borderId="0">
      <alignment horizontal="right" vertical="center"/>
    </xf>
    <xf numFmtId="242" fontId="51" fillId="0" borderId="0">
      <alignment horizontal="right" vertical="center"/>
    </xf>
    <xf numFmtId="243" fontId="51" fillId="0" borderId="0">
      <alignment horizontal="right" vertical="center"/>
    </xf>
    <xf numFmtId="243" fontId="51" fillId="0" borderId="0">
      <alignment horizontal="right" vertical="center"/>
    </xf>
    <xf numFmtId="242" fontId="51" fillId="0" borderId="84">
      <alignment horizontal="right" vertical="center"/>
    </xf>
    <xf numFmtId="242" fontId="51" fillId="0" borderId="84">
      <alignment horizontal="right" vertical="center"/>
    </xf>
    <xf numFmtId="242" fontId="51" fillId="0" borderId="0">
      <alignment horizontal="right" vertical="center"/>
    </xf>
    <xf numFmtId="242" fontId="51" fillId="0" borderId="0">
      <alignment horizontal="right" vertical="center"/>
    </xf>
    <xf numFmtId="242" fontId="131" fillId="0" borderId="84">
      <alignment horizontal="right" vertical="center"/>
    </xf>
    <xf numFmtId="242" fontId="131" fillId="0" borderId="84">
      <alignment horizontal="right" vertical="center"/>
    </xf>
    <xf numFmtId="242" fontId="131" fillId="0" borderId="85">
      <alignment horizontal="right" vertical="center"/>
    </xf>
    <xf numFmtId="242" fontId="131" fillId="0" borderId="85">
      <alignment horizontal="right" vertical="center"/>
    </xf>
    <xf numFmtId="244" fontId="131" fillId="0" borderId="86">
      <alignment horizontal="right" vertical="center"/>
    </xf>
    <xf numFmtId="244" fontId="131" fillId="0" borderId="86">
      <alignment horizontal="right" vertical="center"/>
    </xf>
    <xf numFmtId="242" fontId="51" fillId="0" borderId="87">
      <alignment horizontal="right" vertical="center"/>
    </xf>
    <xf numFmtId="242" fontId="51" fillId="0" borderId="87">
      <alignment horizontal="right" vertical="center"/>
    </xf>
    <xf numFmtId="242" fontId="51" fillId="0" borderId="87">
      <alignment horizontal="right" vertical="center"/>
    </xf>
    <xf numFmtId="3" fontId="66" fillId="86" borderId="0">
      <alignment horizontal="right" vertical="center"/>
    </xf>
    <xf numFmtId="3" fontId="66" fillId="86" borderId="0">
      <alignment horizontal="right" vertical="center"/>
    </xf>
    <xf numFmtId="0" fontId="1" fillId="0" borderId="88">
      <alignment horizontal="left" vertical="center"/>
    </xf>
    <xf numFmtId="0" fontId="1" fillId="0" borderId="88">
      <alignment horizontal="left" vertical="center"/>
    </xf>
    <xf numFmtId="0" fontId="1" fillId="0" borderId="88">
      <alignment horizontal="left" vertical="center"/>
    </xf>
    <xf numFmtId="3" fontId="51" fillId="0" borderId="88">
      <alignment horizontal="right" vertical="center"/>
    </xf>
    <xf numFmtId="3" fontId="51" fillId="0" borderId="88">
      <alignment horizontal="right" vertical="center"/>
    </xf>
    <xf numFmtId="3" fontId="51" fillId="0" borderId="88">
      <alignment horizontal="right" vertical="center"/>
    </xf>
    <xf numFmtId="3" fontId="51" fillId="0" borderId="88">
      <alignment horizontal="right" vertical="center"/>
    </xf>
    <xf numFmtId="242" fontId="51" fillId="0" borderId="88">
      <alignment horizontal="right" vertical="center"/>
    </xf>
    <xf numFmtId="242" fontId="51" fillId="0" borderId="88">
      <alignment horizontal="right" vertical="center"/>
    </xf>
    <xf numFmtId="3" fontId="51" fillId="5" borderId="89">
      <alignment vertical="center"/>
    </xf>
    <xf numFmtId="3" fontId="51" fillId="5" borderId="89">
      <alignment vertical="center"/>
    </xf>
    <xf numFmtId="244" fontId="66" fillId="5" borderId="88">
      <alignment vertical="center"/>
    </xf>
    <xf numFmtId="244" fontId="66" fillId="5" borderId="88">
      <alignment vertical="center"/>
    </xf>
    <xf numFmtId="3" fontId="51" fillId="5" borderId="90">
      <alignment vertical="center"/>
    </xf>
    <xf numFmtId="3" fontId="51" fillId="5" borderId="90">
      <alignment vertical="center"/>
    </xf>
    <xf numFmtId="3" fontId="51" fillId="0" borderId="0">
      <alignment horizontal="center" vertical="center"/>
    </xf>
    <xf numFmtId="3" fontId="51" fillId="0" borderId="0">
      <alignment horizontal="center" vertical="center"/>
    </xf>
    <xf numFmtId="242" fontId="51" fillId="87" borderId="0">
      <alignment horizontal="right" vertical="center"/>
    </xf>
    <xf numFmtId="242" fontId="51" fillId="87" borderId="0">
      <alignment horizontal="right" vertical="center"/>
    </xf>
    <xf numFmtId="242" fontId="51" fillId="87" borderId="89">
      <alignment vertical="center"/>
    </xf>
    <xf numFmtId="242" fontId="51" fillId="87" borderId="89">
      <alignment vertical="center"/>
    </xf>
    <xf numFmtId="3" fontId="66" fillId="0" borderId="0">
      <alignment horizontal="right" vertical="center"/>
    </xf>
    <xf numFmtId="3" fontId="66" fillId="0" borderId="0">
      <alignment horizontal="right" vertical="center"/>
    </xf>
    <xf numFmtId="0" fontId="1" fillId="5" borderId="88">
      <alignment horizontal="right" vertical="center"/>
    </xf>
    <xf numFmtId="0" fontId="1" fillId="5" borderId="88">
      <alignment horizontal="right" vertical="center"/>
    </xf>
    <xf numFmtId="0" fontId="1" fillId="5" borderId="88">
      <alignment horizontal="right" vertical="center"/>
    </xf>
    <xf numFmtId="0" fontId="156" fillId="88" borderId="87">
      <alignment horizontal="center" vertical="center"/>
    </xf>
    <xf numFmtId="0" fontId="156" fillId="88" borderId="87">
      <alignment horizontal="center" vertical="center"/>
    </xf>
    <xf numFmtId="3" fontId="157" fillId="0" borderId="0">
      <alignment horizontal="right" vertical="center"/>
    </xf>
    <xf numFmtId="3" fontId="157" fillId="0" borderId="0">
      <alignment horizontal="right" vertical="center"/>
    </xf>
    <xf numFmtId="3" fontId="158" fillId="0" borderId="0">
      <alignment horizontal="right" vertical="center"/>
    </xf>
    <xf numFmtId="3" fontId="158" fillId="0" borderId="0">
      <alignment horizontal="right" vertical="center"/>
    </xf>
    <xf numFmtId="3" fontId="51" fillId="0" borderId="88">
      <alignment horizontal="right" vertical="center"/>
    </xf>
    <xf numFmtId="3" fontId="51" fillId="0" borderId="88">
      <alignment horizontal="right" vertical="center"/>
    </xf>
    <xf numFmtId="3" fontId="159" fillId="86" borderId="81">
      <alignment horizontal="right" vertical="center"/>
    </xf>
    <xf numFmtId="3" fontId="159" fillId="86" borderId="81">
      <alignment horizontal="right" vertical="center"/>
    </xf>
    <xf numFmtId="3" fontId="66" fillId="5" borderId="91">
      <alignment horizontal="right" vertical="center"/>
    </xf>
    <xf numFmtId="3" fontId="66" fillId="5" borderId="91">
      <alignment horizontal="right" vertical="center"/>
    </xf>
    <xf numFmtId="3" fontId="159" fillId="86" borderId="92">
      <alignment horizontal="right" vertical="center"/>
    </xf>
    <xf numFmtId="3" fontId="159" fillId="86" borderId="92">
      <alignment horizontal="right" vertical="center"/>
    </xf>
    <xf numFmtId="245" fontId="159" fillId="86" borderId="92">
      <alignment horizontal="right" vertical="center"/>
    </xf>
    <xf numFmtId="245" fontId="159" fillId="86" borderId="92">
      <alignment horizontal="right" vertical="center"/>
    </xf>
    <xf numFmtId="245" fontId="159" fillId="86" borderId="93">
      <alignment horizontal="right" vertical="center"/>
    </xf>
    <xf numFmtId="245" fontId="159" fillId="86" borderId="93">
      <alignment horizontal="right" vertical="center"/>
    </xf>
    <xf numFmtId="3" fontId="160" fillId="86" borderId="81">
      <alignment horizontal="right" vertical="center"/>
    </xf>
    <xf numFmtId="3" fontId="160" fillId="86" borderId="81">
      <alignment horizontal="right" vertical="center"/>
    </xf>
    <xf numFmtId="3" fontId="161" fillId="86" borderId="81">
      <alignment horizontal="right" vertical="center"/>
    </xf>
    <xf numFmtId="3" fontId="161" fillId="86" borderId="81">
      <alignment horizontal="right" vertical="center"/>
    </xf>
    <xf numFmtId="173" fontId="51" fillId="5" borderId="81">
      <alignment horizontal="right" vertical="center"/>
    </xf>
    <xf numFmtId="173" fontId="51" fillId="5" borderId="81">
      <alignment horizontal="right" vertical="center"/>
    </xf>
    <xf numFmtId="0" fontId="162" fillId="41" borderId="56" applyNumberFormat="0" applyAlignment="0" applyProtection="0"/>
    <xf numFmtId="0" fontId="162" fillId="41" borderId="56" applyNumberFormat="0" applyAlignment="0" applyProtection="0"/>
    <xf numFmtId="0" fontId="162" fillId="41" borderId="56" applyNumberFormat="0" applyAlignment="0" applyProtection="0"/>
    <xf numFmtId="0" fontId="162" fillId="41" borderId="56" applyNumberFormat="0" applyAlignment="0" applyProtection="0"/>
    <xf numFmtId="0" fontId="163" fillId="44" borderId="54" applyNumberFormat="0" applyAlignment="0" applyProtection="0"/>
    <xf numFmtId="0" fontId="163" fillId="44" borderId="54" applyNumberFormat="0" applyAlignment="0" applyProtection="0"/>
    <xf numFmtId="3" fontId="164" fillId="86" borderId="81">
      <alignment horizontal="right" vertical="center"/>
    </xf>
    <xf numFmtId="3" fontId="164" fillId="86" borderId="81">
      <alignment horizontal="right" vertical="center"/>
    </xf>
    <xf numFmtId="0" fontId="165" fillId="5" borderId="0">
      <alignment horizontal="center" vertical="center"/>
    </xf>
    <xf numFmtId="0" fontId="165" fillId="5" borderId="0">
      <alignment horizontal="center" vertical="center"/>
    </xf>
    <xf numFmtId="0" fontId="1" fillId="0" borderId="94">
      <alignment horizontal="right" vertical="center"/>
    </xf>
    <xf numFmtId="0" fontId="1" fillId="0" borderId="94">
      <alignment horizontal="right" vertical="center"/>
    </xf>
    <xf numFmtId="0" fontId="1" fillId="0" borderId="94">
      <alignment horizontal="right" vertical="center"/>
    </xf>
    <xf numFmtId="0" fontId="1" fillId="5" borderId="0">
      <alignment horizontal="right" vertical="center"/>
    </xf>
    <xf numFmtId="0" fontId="1" fillId="5" borderId="0">
      <alignment horizontal="right" vertical="center"/>
    </xf>
    <xf numFmtId="0" fontId="1" fillId="5" borderId="0">
      <alignment horizontal="right" vertical="center"/>
    </xf>
    <xf numFmtId="0" fontId="10" fillId="87" borderId="0">
      <alignment horizontal="center" vertical="center"/>
    </xf>
    <xf numFmtId="0" fontId="10" fillId="87" borderId="0">
      <alignment horizontal="center" vertical="center"/>
    </xf>
    <xf numFmtId="0" fontId="1" fillId="0" borderId="94">
      <alignment horizontal="left" vertical="center"/>
    </xf>
    <xf numFmtId="0" fontId="1" fillId="0" borderId="94">
      <alignment horizontal="left" vertical="center"/>
    </xf>
    <xf numFmtId="0" fontId="1" fillId="0" borderId="94">
      <alignment horizontal="left" vertical="center"/>
    </xf>
    <xf numFmtId="0" fontId="1" fillId="0" borderId="90">
      <alignment horizontal="left" vertical="center"/>
    </xf>
    <xf numFmtId="0" fontId="1" fillId="0" borderId="90">
      <alignment horizontal="left" vertical="center"/>
    </xf>
    <xf numFmtId="0" fontId="1" fillId="0" borderId="90">
      <alignment horizontal="left" vertical="center"/>
    </xf>
    <xf numFmtId="0" fontId="51" fillId="5" borderId="84">
      <alignment vertical="center"/>
    </xf>
    <xf numFmtId="0" fontId="51" fillId="5" borderId="84">
      <alignment vertical="center"/>
    </xf>
    <xf numFmtId="0" fontId="51" fillId="5" borderId="87">
      <alignment vertical="center"/>
    </xf>
    <xf numFmtId="0" fontId="51" fillId="5" borderId="87">
      <alignment vertical="center"/>
    </xf>
    <xf numFmtId="0" fontId="51" fillId="5" borderId="88">
      <alignment vertical="center"/>
    </xf>
    <xf numFmtId="0" fontId="51" fillId="5" borderId="88">
      <alignment vertical="center"/>
    </xf>
    <xf numFmtId="0" fontId="51" fillId="5" borderId="88">
      <alignment vertical="center"/>
    </xf>
    <xf numFmtId="0" fontId="51" fillId="5" borderId="88">
      <alignment vertical="center"/>
    </xf>
    <xf numFmtId="0" fontId="51" fillId="5" borderId="95">
      <alignment vertical="center"/>
    </xf>
    <xf numFmtId="0" fontId="51" fillId="5" borderId="95">
      <alignment vertical="center"/>
    </xf>
    <xf numFmtId="209" fontId="51" fillId="5" borderId="88">
      <alignment vertical="center"/>
    </xf>
    <xf numFmtId="209" fontId="51" fillId="5" borderId="88">
      <alignment vertical="center"/>
    </xf>
    <xf numFmtId="0" fontId="66" fillId="5" borderId="88">
      <alignment vertical="center" wrapText="1"/>
    </xf>
    <xf numFmtId="0" fontId="66" fillId="5" borderId="88">
      <alignment vertical="center" wrapText="1"/>
    </xf>
    <xf numFmtId="0" fontId="66" fillId="5" borderId="90">
      <alignment vertical="center" wrapText="1"/>
    </xf>
    <xf numFmtId="0" fontId="66" fillId="5" borderId="90">
      <alignment vertical="center" wrapText="1"/>
    </xf>
    <xf numFmtId="0" fontId="51" fillId="5" borderId="89">
      <alignment vertical="center"/>
    </xf>
    <xf numFmtId="0" fontId="51" fillId="5" borderId="89">
      <alignment vertical="center"/>
    </xf>
    <xf numFmtId="0" fontId="51" fillId="5" borderId="0">
      <alignment horizontal="center" vertical="center"/>
    </xf>
    <xf numFmtId="0" fontId="51" fillId="5" borderId="0">
      <alignment horizontal="center" vertical="center"/>
    </xf>
    <xf numFmtId="0" fontId="51" fillId="5" borderId="88">
      <alignment horizontal="center" vertical="center"/>
    </xf>
    <xf numFmtId="0" fontId="51" fillId="5" borderId="88">
      <alignment horizontal="center" vertical="center"/>
    </xf>
    <xf numFmtId="242" fontId="1" fillId="5" borderId="83">
      <alignment horizontal="right" vertical="center"/>
    </xf>
    <xf numFmtId="242" fontId="1" fillId="5" borderId="83">
      <alignment horizontal="right" vertical="center"/>
    </xf>
    <xf numFmtId="242" fontId="1" fillId="5" borderId="83">
      <alignment horizontal="right" vertical="center"/>
    </xf>
    <xf numFmtId="0" fontId="51" fillId="5" borderId="0">
      <alignment horizontal="right" vertical="center"/>
    </xf>
    <xf numFmtId="0" fontId="51" fillId="5" borderId="0">
      <alignment horizontal="right" vertical="center"/>
    </xf>
    <xf numFmtId="0" fontId="51" fillId="87" borderId="0">
      <alignment horizontal="center" vertical="center"/>
    </xf>
    <xf numFmtId="0" fontId="51" fillId="87" borderId="0">
      <alignment horizontal="center" vertical="center"/>
    </xf>
    <xf numFmtId="0" fontId="51" fillId="87" borderId="89">
      <alignment horizontal="center" vertical="center"/>
    </xf>
    <xf numFmtId="0" fontId="51" fillId="87" borderId="89">
      <alignment horizontal="center" vertical="center"/>
    </xf>
    <xf numFmtId="0" fontId="51" fillId="89" borderId="0">
      <alignment horizontal="center" vertical="center"/>
    </xf>
    <xf numFmtId="0" fontId="51" fillId="89" borderId="0">
      <alignment horizontal="center" vertical="center"/>
    </xf>
    <xf numFmtId="0" fontId="51" fillId="89" borderId="88">
      <alignment horizontal="center" vertical="center"/>
    </xf>
    <xf numFmtId="0" fontId="51" fillId="89" borderId="88">
      <alignment horizontal="center" vertical="center"/>
    </xf>
    <xf numFmtId="3" fontId="51" fillId="0" borderId="94">
      <alignment vertical="center"/>
    </xf>
    <xf numFmtId="3" fontId="51" fillId="0" borderId="94">
      <alignment vertical="center"/>
    </xf>
    <xf numFmtId="3" fontId="51" fillId="5" borderId="81">
      <alignment horizontal="center" vertical="center"/>
    </xf>
    <xf numFmtId="3" fontId="51" fillId="5" borderId="81">
      <alignment horizontal="center" vertical="center"/>
    </xf>
    <xf numFmtId="244" fontId="166" fillId="90" borderId="96">
      <alignment horizontal="left" vertical="center"/>
    </xf>
    <xf numFmtId="244" fontId="166" fillId="90" borderId="96">
      <alignment horizontal="left" vertical="center"/>
    </xf>
    <xf numFmtId="244" fontId="1" fillId="91" borderId="0">
      <alignment horizontal="right" vertical="center"/>
    </xf>
    <xf numFmtId="244" fontId="1" fillId="91" borderId="0">
      <alignment horizontal="right" vertical="center"/>
    </xf>
    <xf numFmtId="244" fontId="1" fillId="91" borderId="0">
      <alignment horizontal="right" vertical="center"/>
    </xf>
    <xf numFmtId="0" fontId="1" fillId="92" borderId="0">
      <alignment horizontal="center" vertical="center"/>
    </xf>
    <xf numFmtId="0" fontId="1" fillId="92" borderId="0">
      <alignment horizontal="center" vertical="center"/>
    </xf>
    <xf numFmtId="0" fontId="1" fillId="92" borderId="0">
      <alignment horizontal="center" vertical="center"/>
    </xf>
    <xf numFmtId="244" fontId="1" fillId="91" borderId="0">
      <alignment horizontal="center" vertical="center"/>
    </xf>
    <xf numFmtId="244" fontId="1" fillId="91" borderId="0">
      <alignment horizontal="center" vertical="center"/>
    </xf>
    <xf numFmtId="244" fontId="1" fillId="91" borderId="0">
      <alignment horizontal="center" vertical="center"/>
    </xf>
    <xf numFmtId="241" fontId="66" fillId="92" borderId="0">
      <alignment horizontal="left" vertical="center"/>
    </xf>
    <xf numFmtId="241" fontId="66" fillId="92" borderId="0">
      <alignment horizontal="left" vertical="center"/>
    </xf>
    <xf numFmtId="241" fontId="66" fillId="92" borderId="0">
      <alignment horizontal="right" vertical="center"/>
    </xf>
    <xf numFmtId="241" fontId="66" fillId="92" borderId="0">
      <alignment horizontal="right" vertical="center"/>
    </xf>
    <xf numFmtId="177" fontId="10" fillId="0" borderId="0" applyFont="0" applyFill="0" applyBorder="0" applyAlignment="0" applyProtection="0"/>
    <xf numFmtId="177" fontId="51" fillId="0" borderId="0" applyFont="0" applyFill="0" applyBorder="0" applyAlignment="0" applyProtection="0"/>
    <xf numFmtId="177" fontId="10" fillId="0" borderId="0" applyFont="0" applyFill="0" applyBorder="0" applyAlignment="0" applyProtection="0"/>
    <xf numFmtId="0" fontId="167" fillId="38" borderId="0" applyNumberFormat="0" applyBorder="0" applyAlignment="0" applyProtection="0"/>
    <xf numFmtId="244" fontId="1" fillId="5" borderId="83">
      <alignment horizontal="left" vertical="center"/>
    </xf>
    <xf numFmtId="244" fontId="1" fillId="5" borderId="83">
      <alignment horizontal="left" vertical="center"/>
    </xf>
    <xf numFmtId="244" fontId="1" fillId="5" borderId="83">
      <alignment horizontal="left" vertical="center"/>
    </xf>
    <xf numFmtId="241" fontId="1" fillId="5" borderId="83">
      <alignment horizontal="right" vertical="center"/>
    </xf>
    <xf numFmtId="241" fontId="1" fillId="5" borderId="83">
      <alignment horizontal="right" vertical="center"/>
    </xf>
    <xf numFmtId="241" fontId="1" fillId="5" borderId="83">
      <alignment horizontal="right" vertical="center"/>
    </xf>
    <xf numFmtId="0" fontId="66" fillId="5" borderId="0">
      <alignment horizontal="right" vertical="center"/>
    </xf>
    <xf numFmtId="0" fontId="66" fillId="5" borderId="0">
      <alignment horizontal="right" vertical="center"/>
    </xf>
    <xf numFmtId="246" fontId="51" fillId="0" borderId="88">
      <alignment horizontal="center" vertical="center"/>
    </xf>
    <xf numFmtId="0" fontId="51" fillId="0" borderId="88">
      <alignment horizontal="right" vertical="center"/>
    </xf>
    <xf numFmtId="0" fontId="51" fillId="0" borderId="88">
      <alignment horizontal="right" vertical="center"/>
    </xf>
    <xf numFmtId="0" fontId="51" fillId="0" borderId="88">
      <alignment horizontal="right" vertical="center"/>
    </xf>
    <xf numFmtId="0" fontId="51" fillId="0" borderId="88">
      <alignment horizontal="right" vertical="center"/>
    </xf>
    <xf numFmtId="0" fontId="51" fillId="0" borderId="88">
      <alignment horizontal="right" vertical="center"/>
    </xf>
    <xf numFmtId="0" fontId="51" fillId="0" borderId="88">
      <alignment horizontal="right" vertical="center"/>
    </xf>
    <xf numFmtId="0" fontId="51" fillId="0" borderId="88">
      <alignment horizontal="right" vertical="center"/>
    </xf>
    <xf numFmtId="0" fontId="51" fillId="0" borderId="88">
      <alignment horizontal="right" vertical="center"/>
    </xf>
    <xf numFmtId="0" fontId="51" fillId="0" borderId="88">
      <alignment horizontal="right" vertical="center"/>
    </xf>
    <xf numFmtId="0" fontId="51" fillId="0" borderId="88">
      <alignment horizontal="right" vertical="center"/>
    </xf>
    <xf numFmtId="246" fontId="51" fillId="0" borderId="88">
      <alignment horizontal="center" vertical="center"/>
    </xf>
    <xf numFmtId="247" fontId="51" fillId="0" borderId="0">
      <alignment horizontal="center" vertical="center"/>
    </xf>
    <xf numFmtId="247" fontId="51" fillId="0" borderId="0">
      <alignment horizontal="center" vertical="center"/>
    </xf>
    <xf numFmtId="247" fontId="51" fillId="0" borderId="89">
      <alignment horizontal="center" vertical="center"/>
    </xf>
    <xf numFmtId="247" fontId="51" fillId="0" borderId="89">
      <alignment horizontal="center" vertical="center"/>
    </xf>
    <xf numFmtId="0" fontId="156" fillId="88" borderId="96">
      <alignment horizontal="left" vertical="center"/>
    </xf>
    <xf numFmtId="0" fontId="156" fillId="88" borderId="96">
      <alignment horizontal="left" vertical="center"/>
    </xf>
    <xf numFmtId="0" fontId="168" fillId="5" borderId="0">
      <alignment horizontal="left" vertical="center"/>
    </xf>
    <xf numFmtId="0" fontId="168" fillId="5" borderId="0">
      <alignment horizontal="left" vertical="center"/>
    </xf>
    <xf numFmtId="247" fontId="51" fillId="0" borderId="88">
      <alignment horizontal="center" vertical="center"/>
    </xf>
    <xf numFmtId="247" fontId="51" fillId="0" borderId="88">
      <alignment horizontal="center" vertical="center"/>
    </xf>
    <xf numFmtId="0" fontId="169" fillId="5" borderId="97">
      <alignment horizontal="center" vertical="center" wrapText="1"/>
    </xf>
    <xf numFmtId="0" fontId="169" fillId="5" borderId="97">
      <alignment horizontal="center" vertical="center" wrapText="1"/>
    </xf>
    <xf numFmtId="0" fontId="1" fillId="0" borderId="90">
      <alignment horizontal="right" vertical="center"/>
    </xf>
    <xf numFmtId="0" fontId="1" fillId="0" borderId="90">
      <alignment horizontal="right" vertical="center"/>
    </xf>
    <xf numFmtId="0" fontId="1" fillId="0" borderId="90">
      <alignment horizontal="right" vertical="center"/>
    </xf>
    <xf numFmtId="0" fontId="169" fillId="5" borderId="98">
      <alignment horizontal="center" vertical="center" wrapText="1"/>
    </xf>
    <xf numFmtId="0" fontId="169" fillId="5" borderId="98">
      <alignment horizontal="center" vertical="center" wrapText="1"/>
    </xf>
    <xf numFmtId="0" fontId="159" fillId="86" borderId="99">
      <alignment horizontal="center" vertical="center"/>
    </xf>
    <xf numFmtId="0" fontId="159" fillId="86" borderId="99">
      <alignment horizontal="center" vertical="center"/>
    </xf>
    <xf numFmtId="0" fontId="159" fillId="86" borderId="99">
      <alignment horizontal="center" vertical="center" wrapText="1"/>
    </xf>
    <xf numFmtId="0" fontId="159" fillId="86" borderId="99">
      <alignment horizontal="center" vertical="center" wrapText="1"/>
    </xf>
    <xf numFmtId="248" fontId="166" fillId="93" borderId="0">
      <alignment horizontal="left" vertical="center"/>
    </xf>
    <xf numFmtId="248" fontId="166" fillId="93" borderId="0">
      <alignment horizontal="left" vertical="center"/>
    </xf>
    <xf numFmtId="0" fontId="165" fillId="87" borderId="100">
      <alignment horizontal="center" vertical="center"/>
    </xf>
    <xf numFmtId="0" fontId="165" fillId="87" borderId="100">
      <alignment horizontal="center" vertical="center"/>
    </xf>
    <xf numFmtId="0" fontId="168" fillId="5" borderId="0">
      <alignment horizontal="left" vertical="center"/>
    </xf>
    <xf numFmtId="0" fontId="168" fillId="5" borderId="0">
      <alignment horizontal="left" vertical="center"/>
    </xf>
    <xf numFmtId="0" fontId="1" fillId="94" borderId="0"/>
    <xf numFmtId="0" fontId="1" fillId="94" borderId="0"/>
    <xf numFmtId="0" fontId="1" fillId="94" borderId="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0" fontId="101" fillId="41" borderId="56" applyNumberFormat="0" applyAlignment="0" applyProtection="0"/>
    <xf numFmtId="249" fontId="170" fillId="0" borderId="0"/>
    <xf numFmtId="249" fontId="57" fillId="0" borderId="0"/>
    <xf numFmtId="0" fontId="171" fillId="95" borderId="0" applyNumberFormat="0" applyBorder="0" applyAlignment="0" applyProtection="0"/>
    <xf numFmtId="0" fontId="172" fillId="0" borderId="0" applyNumberFormat="0" applyFill="0" applyBorder="0" applyAlignment="0" applyProtection="0">
      <alignment vertical="top"/>
      <protection locked="0"/>
    </xf>
    <xf numFmtId="0" fontId="106" fillId="0" borderId="0" applyNumberFormat="0" applyFill="0" applyBorder="0" applyAlignment="0" applyProtection="0"/>
    <xf numFmtId="3" fontId="147" fillId="0" borderId="0">
      <alignment horizontal="center"/>
    </xf>
    <xf numFmtId="4" fontId="173" fillId="96" borderId="101">
      <alignment vertical="center"/>
    </xf>
    <xf numFmtId="4" fontId="173" fillId="96" borderId="101">
      <alignment vertical="center"/>
    </xf>
    <xf numFmtId="244" fontId="1" fillId="5" borderId="102">
      <alignment horizontal="left" vertical="center"/>
    </xf>
    <xf numFmtId="244" fontId="1" fillId="5" borderId="102">
      <alignment horizontal="left" vertical="center"/>
    </xf>
    <xf numFmtId="244" fontId="1" fillId="5" borderId="102">
      <alignment horizontal="left" vertical="center"/>
    </xf>
    <xf numFmtId="0" fontId="88" fillId="38" borderId="0" applyNumberFormat="0" applyBorder="0" applyAlignment="0" applyProtection="0"/>
    <xf numFmtId="0" fontId="51" fillId="89" borderId="0">
      <alignment horizontal="center" vertical="center"/>
    </xf>
    <xf numFmtId="0" fontId="51" fillId="89" borderId="0">
      <alignment horizontal="center" vertical="center"/>
    </xf>
    <xf numFmtId="0" fontId="51" fillId="0" borderId="88">
      <alignment horizontal="right" vertical="center"/>
    </xf>
    <xf numFmtId="173" fontId="160" fillId="86" borderId="81">
      <alignment horizontal="right" vertical="center"/>
    </xf>
    <xf numFmtId="173" fontId="160" fillId="86" borderId="81">
      <alignment horizontal="right" vertical="center"/>
    </xf>
    <xf numFmtId="246" fontId="51" fillId="0" borderId="88">
      <alignment horizontal="center" vertical="center"/>
    </xf>
    <xf numFmtId="246" fontId="51" fillId="0" borderId="88">
      <alignment horizontal="center" vertical="center"/>
    </xf>
    <xf numFmtId="246" fontId="51" fillId="0" borderId="88">
      <alignment horizontal="center" vertical="center"/>
    </xf>
    <xf numFmtId="246" fontId="51" fillId="0" borderId="88">
      <alignment horizontal="center" vertical="center"/>
    </xf>
    <xf numFmtId="246" fontId="51" fillId="0" borderId="88">
      <alignment horizontal="center" vertical="center"/>
    </xf>
    <xf numFmtId="246" fontId="51" fillId="0" borderId="88">
      <alignment horizontal="center" vertical="center"/>
    </xf>
    <xf numFmtId="246" fontId="51" fillId="0" borderId="88">
      <alignment horizontal="center" vertical="center"/>
    </xf>
    <xf numFmtId="246" fontId="51" fillId="0" borderId="88">
      <alignment horizontal="center" vertical="center"/>
    </xf>
    <xf numFmtId="0" fontId="51" fillId="0" borderId="88">
      <alignment horizontal="right" vertical="center"/>
    </xf>
    <xf numFmtId="169" fontId="51" fillId="0" borderId="0">
      <alignment horizontal="right" vertical="center"/>
    </xf>
    <xf numFmtId="169" fontId="51" fillId="0" borderId="0">
      <alignment horizontal="right" vertical="center"/>
    </xf>
    <xf numFmtId="169" fontId="51" fillId="0" borderId="88">
      <alignment horizontal="right" vertical="center"/>
    </xf>
    <xf numFmtId="169" fontId="51" fillId="0" borderId="88">
      <alignment horizontal="right" vertical="center"/>
    </xf>
    <xf numFmtId="0" fontId="1" fillId="0" borderId="103">
      <alignment horizontal="left" vertical="center"/>
    </xf>
    <xf numFmtId="0" fontId="1" fillId="0" borderId="103">
      <alignment horizontal="left" vertical="center"/>
    </xf>
    <xf numFmtId="0" fontId="1" fillId="0" borderId="103">
      <alignment horizontal="left" vertical="center"/>
    </xf>
    <xf numFmtId="0" fontId="1" fillId="0" borderId="104">
      <alignment horizontal="left" vertical="center"/>
    </xf>
    <xf numFmtId="0" fontId="1" fillId="0" borderId="104">
      <alignment horizontal="left" vertical="center"/>
    </xf>
    <xf numFmtId="0" fontId="1" fillId="0" borderId="104">
      <alignment horizontal="left" vertical="center"/>
    </xf>
    <xf numFmtId="0" fontId="174" fillId="0" borderId="0">
      <alignment horizontal="center"/>
    </xf>
    <xf numFmtId="0" fontId="117" fillId="0" borderId="0" applyNumberFormat="0" applyFill="0" applyBorder="0" applyAlignment="0" applyProtection="0"/>
    <xf numFmtId="250" fontId="175" fillId="0" borderId="23"/>
    <xf numFmtId="0" fontId="101" fillId="41" borderId="56" applyNumberFormat="0" applyAlignment="0" applyProtection="0"/>
    <xf numFmtId="0" fontId="80" fillId="37" borderId="0" applyNumberFormat="0" applyBorder="0" applyAlignment="0" applyProtection="0"/>
    <xf numFmtId="0" fontId="80" fillId="37" borderId="0" applyNumberFormat="0" applyBorder="0" applyAlignment="0" applyProtection="0"/>
    <xf numFmtId="251" fontId="1" fillId="92" borderId="0">
      <alignment horizontal="center" vertical="center"/>
    </xf>
    <xf numFmtId="251" fontId="1" fillId="92" borderId="0">
      <alignment horizontal="center" vertical="center"/>
    </xf>
    <xf numFmtId="251" fontId="1" fillId="92" borderId="0">
      <alignment horizontal="center" vertical="center"/>
    </xf>
    <xf numFmtId="244" fontId="1" fillId="91" borderId="0">
      <alignment horizontal="left" vertical="center"/>
    </xf>
    <xf numFmtId="244" fontId="1" fillId="91" borderId="0">
      <alignment horizontal="left" vertical="center"/>
    </xf>
    <xf numFmtId="244" fontId="1" fillId="91" borderId="0">
      <alignment horizontal="left" vertical="center"/>
    </xf>
    <xf numFmtId="251" fontId="1" fillId="93" borderId="0">
      <alignment horizontal="center" vertical="center"/>
    </xf>
    <xf numFmtId="251" fontId="1" fillId="93" borderId="0">
      <alignment horizontal="center" vertical="center"/>
    </xf>
    <xf numFmtId="251" fontId="1" fillId="93" borderId="0">
      <alignment horizontal="center" vertical="center"/>
    </xf>
    <xf numFmtId="251" fontId="10" fillId="88" borderId="96">
      <alignment horizontal="right" vertical="center"/>
    </xf>
    <xf numFmtId="251" fontId="10" fillId="88" borderId="96">
      <alignment horizontal="right" vertical="center"/>
    </xf>
    <xf numFmtId="169" fontId="160" fillId="86" borderId="81">
      <alignment horizontal="right" vertical="center"/>
    </xf>
    <xf numFmtId="169" fontId="160" fillId="86" borderId="81">
      <alignment horizontal="right" vertical="center"/>
    </xf>
    <xf numFmtId="0" fontId="158" fillId="5" borderId="0">
      <alignment horizontal="left" vertical="center"/>
    </xf>
    <xf numFmtId="0" fontId="158" fillId="5" borderId="0">
      <alignment horizontal="left" vertical="center"/>
    </xf>
    <xf numFmtId="0" fontId="176" fillId="0" borderId="59" applyNumberFormat="0" applyFill="0" applyAlignment="0" applyProtection="0"/>
    <xf numFmtId="0" fontId="177" fillId="58" borderId="58" applyNumberFormat="0" applyAlignment="0" applyProtection="0"/>
    <xf numFmtId="0" fontId="91" fillId="58" borderId="58" applyNumberFormat="0" applyAlignment="0" applyProtection="0"/>
    <xf numFmtId="0" fontId="178" fillId="0" borderId="0" applyNumberFormat="0" applyFill="0" applyBorder="0" applyAlignment="0" applyProtection="0"/>
    <xf numFmtId="0" fontId="75" fillId="53" borderId="0" applyNumberFormat="0" applyBorder="0" applyAlignment="0" applyProtection="0"/>
    <xf numFmtId="0" fontId="75" fillId="54" borderId="0" applyNumberFormat="0" applyBorder="0" applyAlignment="0" applyProtection="0"/>
    <xf numFmtId="0" fontId="75" fillId="55" borderId="0" applyNumberFormat="0" applyBorder="0" applyAlignment="0" applyProtection="0"/>
    <xf numFmtId="0" fontId="75" fillId="50" borderId="0" applyNumberFormat="0" applyBorder="0" applyAlignment="0" applyProtection="0"/>
    <xf numFmtId="0" fontId="75" fillId="51" borderId="0" applyNumberFormat="0" applyBorder="0" applyAlignment="0" applyProtection="0"/>
    <xf numFmtId="0" fontId="75" fillId="56" borderId="0" applyNumberFormat="0" applyBorder="0" applyAlignment="0" applyProtection="0"/>
    <xf numFmtId="187" fontId="10" fillId="0" borderId="0" applyFont="0" applyFill="0" applyBorder="0" applyAlignment="0" applyProtection="0"/>
    <xf numFmtId="177" fontId="10" fillId="0" borderId="0" applyFont="0" applyFill="0" applyBorder="0" applyAlignment="0" applyProtection="0"/>
    <xf numFmtId="215" fontId="10"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0" fillId="0" borderId="0" applyFont="0" applyFill="0" applyBorder="0" applyAlignment="0" applyProtection="0"/>
    <xf numFmtId="177" fontId="10" fillId="0" borderId="0" applyFont="0" applyFill="0" applyBorder="0" applyAlignment="0" applyProtection="0"/>
    <xf numFmtId="177" fontId="10" fillId="0" borderId="0" applyFont="0" applyFill="0" applyBorder="0" applyAlignment="0" applyProtection="0"/>
    <xf numFmtId="252" fontId="10" fillId="0" borderId="0"/>
    <xf numFmtId="175" fontId="10" fillId="0" borderId="0" applyFont="0" applyFill="0" applyBorder="0" applyAlignment="0" applyProtection="0"/>
    <xf numFmtId="0" fontId="179" fillId="0" borderId="64" applyNumberFormat="0" applyFill="0" applyAlignment="0" applyProtection="0"/>
    <xf numFmtId="0" fontId="180" fillId="0" borderId="65"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66" applyNumberFormat="0" applyFill="0" applyAlignment="0" applyProtection="0"/>
    <xf numFmtId="0" fontId="181" fillId="0" borderId="0" applyNumberFormat="0" applyFill="0" applyBorder="0" applyAlignment="0" applyProtection="0"/>
    <xf numFmtId="0" fontId="10" fillId="0" borderId="0"/>
    <xf numFmtId="0" fontId="158" fillId="5" borderId="0">
      <alignment horizontal="right" vertical="center"/>
    </xf>
    <xf numFmtId="0" fontId="158" fillId="5" borderId="0">
      <alignment horizontal="right" vertical="center"/>
    </xf>
    <xf numFmtId="253" fontId="51" fillId="0" borderId="0">
      <alignment horizontal="center" vertical="center"/>
    </xf>
    <xf numFmtId="253" fontId="51" fillId="0" borderId="0">
      <alignment horizontal="center" vertical="center"/>
    </xf>
    <xf numFmtId="4" fontId="10" fillId="0" borderId="105">
      <alignment vertical="center"/>
      <protection locked="0"/>
    </xf>
    <xf numFmtId="4" fontId="10" fillId="0" borderId="105">
      <alignment vertical="center"/>
      <protection locked="0"/>
    </xf>
    <xf numFmtId="0" fontId="182" fillId="75" borderId="0" applyNumberFormat="0" applyBorder="0" applyAlignment="0" applyProtection="0"/>
    <xf numFmtId="0" fontId="122" fillId="75" borderId="0" applyNumberFormat="0" applyBorder="0" applyAlignment="0" applyProtection="0"/>
    <xf numFmtId="0" fontId="122" fillId="75" borderId="0" applyNumberFormat="0" applyBorder="0" applyAlignment="0" applyProtection="0"/>
    <xf numFmtId="0" fontId="183" fillId="19" borderId="0" applyNumberFormat="0" applyBorder="0" applyAlignment="0" applyProtection="0"/>
    <xf numFmtId="0" fontId="1" fillId="0" borderId="0"/>
    <xf numFmtId="0" fontId="1" fillId="0" borderId="0"/>
    <xf numFmtId="0" fontId="1" fillId="0" borderId="0"/>
    <xf numFmtId="0" fontId="169" fillId="5" borderId="88">
      <alignment horizontal="center" vertical="center" wrapText="1"/>
    </xf>
    <xf numFmtId="0" fontId="169" fillId="5" borderId="88">
      <alignment horizontal="center" vertical="center" wrapText="1"/>
    </xf>
    <xf numFmtId="0" fontId="10" fillId="0" borderId="0"/>
    <xf numFmtId="0" fontId="10" fillId="0" borderId="0"/>
    <xf numFmtId="49" fontId="184" fillId="0" borderId="23"/>
    <xf numFmtId="0" fontId="185" fillId="44" borderId="56" applyNumberFormat="0" applyAlignment="0" applyProtection="0"/>
    <xf numFmtId="0" fontId="185" fillId="44" borderId="56" applyNumberFormat="0" applyAlignment="0" applyProtection="0"/>
    <xf numFmtId="0" fontId="185" fillId="44" borderId="56" applyNumberFormat="0" applyAlignment="0" applyProtection="0"/>
    <xf numFmtId="0" fontId="185" fillId="44" borderId="56" applyNumberFormat="0" applyAlignment="0" applyProtection="0"/>
    <xf numFmtId="0" fontId="110" fillId="0" borderId="64" applyNumberFormat="0" applyFill="0" applyAlignment="0" applyProtection="0"/>
    <xf numFmtId="0" fontId="111" fillId="0" borderId="65"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0" applyNumberFormat="0" applyFill="0" applyBorder="0" applyAlignment="0" applyProtection="0"/>
    <xf numFmtId="0" fontId="131" fillId="34" borderId="101">
      <alignment horizontal="right" vertical="center"/>
    </xf>
    <xf numFmtId="0" fontId="131" fillId="34" borderId="101">
      <alignment horizontal="right" vertical="center"/>
    </xf>
    <xf numFmtId="254" fontId="51" fillId="5" borderId="88">
      <alignment horizontal="right" vertical="center"/>
    </xf>
    <xf numFmtId="254" fontId="51" fillId="5" borderId="88">
      <alignment horizontal="right" vertical="center"/>
    </xf>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0" fillId="0" borderId="0" applyFont="0" applyFill="0" applyBorder="0" applyAlignment="0" applyProtection="0"/>
    <xf numFmtId="173" fontId="51" fillId="5" borderId="0">
      <alignment horizontal="right" vertical="center"/>
    </xf>
    <xf numFmtId="173" fontId="51" fillId="5" borderId="0">
      <alignment horizontal="right" vertical="center"/>
    </xf>
    <xf numFmtId="251" fontId="51" fillId="5" borderId="0">
      <alignment horizontal="right" vertical="center"/>
    </xf>
    <xf numFmtId="251" fontId="51" fillId="5" borderId="0">
      <alignment horizontal="right" vertical="center"/>
    </xf>
    <xf numFmtId="251" fontId="51" fillId="5" borderId="88">
      <alignment horizontal="right" vertical="center"/>
    </xf>
    <xf numFmtId="251" fontId="51" fillId="5" borderId="88">
      <alignment horizontal="right" vertical="center"/>
    </xf>
    <xf numFmtId="251" fontId="51" fillId="5" borderId="96">
      <alignment horizontal="right" vertical="center"/>
    </xf>
    <xf numFmtId="251" fontId="51" fillId="5" borderId="96">
      <alignment horizontal="right" vertical="center"/>
    </xf>
    <xf numFmtId="251" fontId="51" fillId="5" borderId="87">
      <alignment horizontal="right" vertical="center"/>
    </xf>
    <xf numFmtId="251" fontId="51" fillId="5" borderId="87">
      <alignment horizontal="right" vertical="center"/>
    </xf>
    <xf numFmtId="255" fontId="51" fillId="5" borderId="87">
      <alignment horizontal="right" vertical="center"/>
    </xf>
    <xf numFmtId="255" fontId="51" fillId="5" borderId="87">
      <alignment horizontal="right" vertical="center"/>
    </xf>
    <xf numFmtId="255" fontId="66" fillId="5" borderId="86">
      <alignment horizontal="right" vertical="center"/>
    </xf>
    <xf numFmtId="255" fontId="66" fillId="5" borderId="86">
      <alignment horizontal="right" vertical="center"/>
    </xf>
    <xf numFmtId="251" fontId="51" fillId="5" borderId="81">
      <alignment horizontal="right" vertical="center"/>
    </xf>
    <xf numFmtId="251" fontId="51" fillId="5" borderId="81">
      <alignment horizontal="right" vertical="center"/>
    </xf>
    <xf numFmtId="251" fontId="51" fillId="5" borderId="81">
      <alignment horizontal="right" vertical="center"/>
    </xf>
    <xf numFmtId="246" fontId="160" fillId="5" borderId="43">
      <alignment horizontal="right" vertical="center"/>
    </xf>
    <xf numFmtId="246" fontId="160" fillId="5" borderId="43">
      <alignment horizontal="right" vertical="center"/>
    </xf>
    <xf numFmtId="173" fontId="51" fillId="5" borderId="88">
      <alignment horizontal="right" vertical="center"/>
    </xf>
    <xf numFmtId="173" fontId="51" fillId="5" borderId="88">
      <alignment horizontal="right" vertical="center"/>
    </xf>
    <xf numFmtId="9" fontId="51" fillId="5" borderId="88">
      <alignment horizontal="right" vertical="center"/>
    </xf>
    <xf numFmtId="9" fontId="51" fillId="5" borderId="88">
      <alignment horizontal="right" vertical="center"/>
    </xf>
    <xf numFmtId="173" fontId="51" fillId="5" borderId="89">
      <alignment horizontal="right" vertical="center"/>
    </xf>
    <xf numFmtId="173" fontId="51" fillId="5" borderId="89">
      <alignment horizontal="right" vertical="center"/>
    </xf>
    <xf numFmtId="3" fontId="186" fillId="5" borderId="81">
      <alignment horizontal="center" vertical="center"/>
    </xf>
    <xf numFmtId="256" fontId="187" fillId="0" borderId="0"/>
    <xf numFmtId="9" fontId="188" fillId="0" borderId="0" applyFont="0" applyFill="0" applyBorder="0" applyAlignment="0" applyProtection="0"/>
    <xf numFmtId="9" fontId="10" fillId="0" borderId="0" applyFill="0" applyBorder="0" applyAlignment="0" applyProtection="0"/>
    <xf numFmtId="9" fontId="10"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ill="0" applyBorder="0" applyAlignment="0" applyProtection="0"/>
    <xf numFmtId="9" fontId="1" fillId="0" borderId="0" applyFont="0" applyFill="0" applyBorder="0" applyAlignment="0" applyProtection="0"/>
    <xf numFmtId="9" fontId="10" fillId="0" borderId="0" applyFill="0" applyBorder="0" applyAlignment="0" applyProtection="0"/>
    <xf numFmtId="9" fontId="1" fillId="0" borderId="0" applyFont="0" applyFill="0" applyBorder="0" applyAlignment="0" applyProtection="0"/>
    <xf numFmtId="9" fontId="10" fillId="0" borderId="0" applyFill="0" applyBorder="0" applyAlignment="0" applyProtection="0"/>
    <xf numFmtId="180" fontId="10" fillId="0" borderId="0" applyFill="0" applyBorder="0" applyAlignment="0" applyProtection="0"/>
    <xf numFmtId="248" fontId="189" fillId="5" borderId="106">
      <alignment horizontal="left" vertical="center"/>
    </xf>
    <xf numFmtId="248" fontId="189" fillId="5" borderId="106">
      <alignment horizontal="left" vertical="center"/>
    </xf>
    <xf numFmtId="248" fontId="189" fillId="5" borderId="106">
      <alignment horizontal="left" vertical="center"/>
    </xf>
    <xf numFmtId="248" fontId="189" fillId="5" borderId="106">
      <alignment horizontal="left" vertical="center"/>
    </xf>
    <xf numFmtId="0" fontId="190" fillId="0" borderId="0"/>
    <xf numFmtId="257" fontId="190" fillId="0" borderId="0"/>
    <xf numFmtId="0" fontId="92" fillId="0" borderId="59" applyNumberFormat="0" applyFill="0" applyAlignment="0" applyProtection="0"/>
    <xf numFmtId="0" fontId="88" fillId="38" borderId="0" applyNumberFormat="0" applyBorder="0" applyAlignment="0" applyProtection="0"/>
    <xf numFmtId="0" fontId="88" fillId="38" borderId="0" applyNumberFormat="0" applyBorder="0" applyAlignment="0" applyProtection="0"/>
    <xf numFmtId="0" fontId="191" fillId="18" borderId="0" applyNumberFormat="0" applyBorder="0" applyAlignment="0" applyProtection="0"/>
    <xf numFmtId="0" fontId="79" fillId="44" borderId="54" applyNumberFormat="0" applyAlignment="0" applyProtection="0"/>
    <xf numFmtId="0" fontId="79" fillId="44" borderId="54" applyNumberFormat="0" applyAlignment="0" applyProtection="0"/>
    <xf numFmtId="0" fontId="79" fillId="44" borderId="54" applyNumberFormat="0" applyAlignment="0" applyProtection="0"/>
    <xf numFmtId="173" fontId="160" fillId="86" borderId="81">
      <alignment horizontal="right" vertical="center"/>
    </xf>
    <xf numFmtId="173" fontId="160" fillId="86" borderId="81">
      <alignment horizontal="right" vertical="center"/>
    </xf>
    <xf numFmtId="0" fontId="186" fillId="5" borderId="0">
      <alignment horizontal="center" vertical="center"/>
    </xf>
    <xf numFmtId="0" fontId="10" fillId="0" borderId="0"/>
    <xf numFmtId="0" fontId="51" fillId="0" borderId="0"/>
    <xf numFmtId="0" fontId="1" fillId="0" borderId="0"/>
    <xf numFmtId="0" fontId="1" fillId="0" borderId="0"/>
    <xf numFmtId="0" fontId="1" fillId="0" borderId="0"/>
    <xf numFmtId="0" fontId="10" fillId="0" borderId="0"/>
    <xf numFmtId="0" fontId="1" fillId="0" borderId="0"/>
    <xf numFmtId="0" fontId="1" fillId="0" borderId="0"/>
    <xf numFmtId="0" fontId="1" fillId="0" borderId="0"/>
    <xf numFmtId="0" fontId="19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0" fillId="0" borderId="0"/>
    <xf numFmtId="0" fontId="39" fillId="0" borderId="0"/>
    <xf numFmtId="0" fontId="10" fillId="0" borderId="0"/>
    <xf numFmtId="0" fontId="77" fillId="0" borderId="0" applyNumberFormat="0" applyFill="0" applyBorder="0" applyAlignment="0" applyProtection="0"/>
    <xf numFmtId="3" fontId="7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 fillId="0" borderId="0"/>
    <xf numFmtId="0" fontId="39"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27" fillId="0" borderId="0"/>
    <xf numFmtId="0" fontId="193" fillId="0" borderId="0"/>
    <xf numFmtId="0" fontId="1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95" fillId="0" borderId="0"/>
    <xf numFmtId="0" fontId="10" fillId="0" borderId="0" applyNumberFormat="0" applyFill="0" applyBorder="0" applyAlignment="0" applyProtection="0"/>
    <xf numFmtId="0" fontId="10" fillId="0" borderId="0"/>
    <xf numFmtId="3" fontId="147" fillId="0" borderId="0">
      <alignment horizontal="center"/>
    </xf>
    <xf numFmtId="0" fontId="51" fillId="0" borderId="81">
      <alignment horizontal="center" vertical="center"/>
    </xf>
    <xf numFmtId="3" fontId="147" fillId="0" borderId="0">
      <alignment horizontal="center"/>
    </xf>
    <xf numFmtId="0" fontId="51" fillId="0" borderId="81">
      <alignment horizontal="center" vertical="center"/>
    </xf>
    <xf numFmtId="0" fontId="51" fillId="87" borderId="0">
      <alignment horizontal="center" vertical="center"/>
    </xf>
    <xf numFmtId="0" fontId="51" fillId="87" borderId="0">
      <alignment horizontal="center" vertical="center"/>
    </xf>
    <xf numFmtId="0" fontId="51" fillId="85" borderId="0">
      <alignment horizontal="left" vertical="center"/>
    </xf>
    <xf numFmtId="0" fontId="51" fillId="85" borderId="0">
      <alignment horizontal="left" vertical="center"/>
    </xf>
    <xf numFmtId="246" fontId="51" fillId="0" borderId="88">
      <alignment horizontal="center" vertical="center"/>
    </xf>
    <xf numFmtId="246" fontId="51" fillId="0" borderId="88">
      <alignment horizontal="center" vertical="center"/>
    </xf>
    <xf numFmtId="0" fontId="51" fillId="87" borderId="0">
      <alignment horizontal="center" vertical="center"/>
    </xf>
    <xf numFmtId="0" fontId="51" fillId="87" borderId="0">
      <alignment horizontal="center" vertical="center"/>
    </xf>
    <xf numFmtId="0" fontId="51" fillId="87" borderId="0">
      <alignment horizontal="right" vertical="center"/>
    </xf>
    <xf numFmtId="0" fontId="51" fillId="87" borderId="0">
      <alignment horizontal="right" vertical="center"/>
    </xf>
    <xf numFmtId="0" fontId="51" fillId="87" borderId="0">
      <alignment horizontal="left" vertical="center"/>
    </xf>
    <xf numFmtId="0" fontId="51" fillId="87" borderId="0">
      <alignment horizontal="left" vertical="center"/>
    </xf>
    <xf numFmtId="0" fontId="51" fillId="89" borderId="0">
      <alignment horizontal="center" vertical="center"/>
    </xf>
    <xf numFmtId="0" fontId="51" fillId="89" borderId="0">
      <alignment horizontal="center" vertical="center"/>
    </xf>
    <xf numFmtId="0" fontId="51" fillId="89" borderId="0">
      <alignment horizontal="right" vertical="center"/>
    </xf>
    <xf numFmtId="0" fontId="51" fillId="89" borderId="0">
      <alignment horizontal="right" vertical="center"/>
    </xf>
    <xf numFmtId="0" fontId="51" fillId="89" borderId="0">
      <alignment horizontal="left" vertical="center"/>
    </xf>
    <xf numFmtId="0" fontId="51" fillId="89" borderId="0">
      <alignment horizontal="left" vertical="center"/>
    </xf>
    <xf numFmtId="0" fontId="51" fillId="97" borderId="0">
      <alignment horizontal="center" vertical="center"/>
    </xf>
    <xf numFmtId="0" fontId="51" fillId="97" borderId="0">
      <alignment horizontal="center" vertical="center"/>
    </xf>
    <xf numFmtId="0" fontId="51" fillId="97" borderId="0">
      <alignment horizontal="right" vertical="center"/>
    </xf>
    <xf numFmtId="0" fontId="51" fillId="97" borderId="0">
      <alignment horizontal="right" vertical="center"/>
    </xf>
    <xf numFmtId="0" fontId="51" fillId="97" borderId="0">
      <alignment horizontal="left" vertical="center"/>
    </xf>
    <xf numFmtId="0" fontId="51" fillId="97" borderId="0">
      <alignment horizontal="left" vertical="center"/>
    </xf>
    <xf numFmtId="0" fontId="51" fillId="98" borderId="0">
      <alignment horizontal="center" vertical="center"/>
    </xf>
    <xf numFmtId="0" fontId="51" fillId="98" borderId="0">
      <alignment horizontal="center" vertical="center"/>
    </xf>
    <xf numFmtId="0" fontId="51" fillId="98" borderId="0">
      <alignment horizontal="right" vertical="center"/>
    </xf>
    <xf numFmtId="0" fontId="51" fillId="98" borderId="0">
      <alignment horizontal="right" vertical="center"/>
    </xf>
    <xf numFmtId="0" fontId="51" fillId="98" borderId="0">
      <alignment horizontal="left" vertical="center"/>
    </xf>
    <xf numFmtId="0" fontId="51" fillId="98" borderId="0">
      <alignment horizontal="left" vertical="center"/>
    </xf>
    <xf numFmtId="0" fontId="51" fillId="99" borderId="0">
      <alignment horizontal="center" vertical="center"/>
    </xf>
    <xf numFmtId="0" fontId="51" fillId="99" borderId="0">
      <alignment horizontal="center" vertical="center"/>
    </xf>
    <xf numFmtId="0" fontId="51" fillId="99" borderId="0">
      <alignment horizontal="right" vertical="center"/>
    </xf>
    <xf numFmtId="0" fontId="51" fillId="99" borderId="0">
      <alignment horizontal="right" vertical="center"/>
    </xf>
    <xf numFmtId="0" fontId="51" fillId="99" borderId="0">
      <alignment horizontal="left" vertical="center"/>
    </xf>
    <xf numFmtId="0" fontId="51" fillId="99" borderId="0">
      <alignment horizontal="left" vertical="center"/>
    </xf>
    <xf numFmtId="0" fontId="51" fillId="100" borderId="0">
      <alignment horizontal="center" vertical="center"/>
    </xf>
    <xf numFmtId="0" fontId="51" fillId="100" borderId="0">
      <alignment horizontal="center" vertical="center"/>
    </xf>
    <xf numFmtId="0" fontId="51" fillId="100" borderId="0">
      <alignment horizontal="right" vertical="center"/>
    </xf>
    <xf numFmtId="0" fontId="51" fillId="100" borderId="0">
      <alignment horizontal="right" vertical="center"/>
    </xf>
    <xf numFmtId="0" fontId="51" fillId="100" borderId="0">
      <alignment horizontal="left" vertical="center"/>
    </xf>
    <xf numFmtId="0" fontId="51" fillId="100" borderId="0">
      <alignment horizontal="left" vertical="center"/>
    </xf>
    <xf numFmtId="0" fontId="51" fillId="101" borderId="0">
      <alignment horizontal="center" vertical="center"/>
    </xf>
    <xf numFmtId="0" fontId="51" fillId="101" borderId="0">
      <alignment horizontal="center" vertical="center"/>
    </xf>
    <xf numFmtId="0" fontId="51" fillId="101" borderId="0">
      <alignment horizontal="right" vertical="center"/>
    </xf>
    <xf numFmtId="0" fontId="51" fillId="101" borderId="0">
      <alignment horizontal="right" vertical="center"/>
    </xf>
    <xf numFmtId="0" fontId="51" fillId="101" borderId="0">
      <alignment horizontal="left" vertical="center"/>
    </xf>
    <xf numFmtId="0" fontId="51" fillId="101" borderId="0">
      <alignment horizontal="left" vertical="center"/>
    </xf>
    <xf numFmtId="0" fontId="51" fillId="102" borderId="0">
      <alignment horizontal="center" vertical="center"/>
    </xf>
    <xf numFmtId="0" fontId="51" fillId="102" borderId="0">
      <alignment horizontal="center" vertical="center"/>
    </xf>
    <xf numFmtId="0" fontId="51" fillId="102" borderId="0">
      <alignment horizontal="right" vertical="center"/>
    </xf>
    <xf numFmtId="0" fontId="51" fillId="102" borderId="0">
      <alignment horizontal="right" vertical="center"/>
    </xf>
    <xf numFmtId="0" fontId="51" fillId="102" borderId="0">
      <alignment horizontal="left" vertical="center"/>
    </xf>
    <xf numFmtId="0" fontId="51" fillId="102" borderId="0">
      <alignment horizontal="left" vertical="center"/>
    </xf>
    <xf numFmtId="0" fontId="51" fillId="103" borderId="0">
      <alignment horizontal="center" vertical="center"/>
    </xf>
    <xf numFmtId="0" fontId="51" fillId="103" borderId="0">
      <alignment horizontal="center" vertical="center"/>
    </xf>
    <xf numFmtId="0" fontId="51" fillId="103" borderId="0">
      <alignment horizontal="right" vertical="center"/>
    </xf>
    <xf numFmtId="0" fontId="51" fillId="103" borderId="0">
      <alignment horizontal="right" vertical="center"/>
    </xf>
    <xf numFmtId="0" fontId="51" fillId="103" borderId="0">
      <alignment horizontal="left" vertical="center"/>
    </xf>
    <xf numFmtId="0" fontId="51" fillId="103" borderId="0">
      <alignment horizontal="left" vertical="center"/>
    </xf>
    <xf numFmtId="0" fontId="194" fillId="0" borderId="62" applyNumberFormat="0" applyFill="0" applyAlignment="0" applyProtection="0"/>
    <xf numFmtId="0" fontId="194" fillId="0" borderId="62" applyNumberFormat="0" applyFill="0" applyAlignment="0" applyProtection="0"/>
    <xf numFmtId="49" fontId="175" fillId="0" borderId="23"/>
    <xf numFmtId="0" fontId="195" fillId="84" borderId="70">
      <alignment horizontal="center" vertical="top"/>
    </xf>
    <xf numFmtId="0" fontId="195" fillId="84" borderId="70">
      <alignment horizontal="center" vertical="top"/>
    </xf>
    <xf numFmtId="258" fontId="188" fillId="2" borderId="107">
      <alignment horizontal="center"/>
    </xf>
    <xf numFmtId="258" fontId="188" fillId="2" borderId="107">
      <alignment horizontal="center"/>
    </xf>
    <xf numFmtId="258" fontId="188" fillId="2" borderId="108">
      <alignment horizontal="center"/>
    </xf>
    <xf numFmtId="258" fontId="188" fillId="2" borderId="108">
      <alignment horizontal="center"/>
    </xf>
    <xf numFmtId="0" fontId="188" fillId="2" borderId="108"/>
    <xf numFmtId="0" fontId="188" fillId="2" borderId="108"/>
    <xf numFmtId="0" fontId="188" fillId="60" borderId="70">
      <alignment horizontal="left"/>
    </xf>
    <xf numFmtId="0" fontId="188" fillId="60" borderId="70">
      <alignment horizontal="left"/>
    </xf>
    <xf numFmtId="0" fontId="195" fillId="60" borderId="70">
      <alignment horizontal="left"/>
    </xf>
    <xf numFmtId="0" fontId="195" fillId="60" borderId="70">
      <alignment horizontal="left"/>
    </xf>
    <xf numFmtId="0" fontId="195" fillId="60" borderId="109">
      <alignment horizontal="left"/>
    </xf>
    <xf numFmtId="0" fontId="195" fillId="60" borderId="109">
      <alignment horizontal="left"/>
    </xf>
    <xf numFmtId="0" fontId="195" fillId="60" borderId="109">
      <alignment horizontal="left"/>
    </xf>
    <xf numFmtId="0" fontId="195" fillId="60" borderId="109">
      <alignment horizontal="left"/>
    </xf>
    <xf numFmtId="258" fontId="188" fillId="2" borderId="110">
      <alignment horizontal="right"/>
    </xf>
    <xf numFmtId="258" fontId="188" fillId="2" borderId="110">
      <alignment horizontal="right"/>
    </xf>
    <xf numFmtId="0" fontId="188" fillId="2" borderId="110">
      <alignment horizontal="right"/>
    </xf>
    <xf numFmtId="0" fontId="188" fillId="2" borderId="110">
      <alignment horizontal="right"/>
    </xf>
    <xf numFmtId="259" fontId="188" fillId="2" borderId="110">
      <alignment horizontal="right"/>
    </xf>
    <xf numFmtId="259" fontId="188" fillId="2" borderId="110">
      <alignment horizontal="right"/>
    </xf>
    <xf numFmtId="260" fontId="188" fillId="2" borderId="110">
      <alignment horizontal="right"/>
    </xf>
    <xf numFmtId="260" fontId="188" fillId="2" borderId="110">
      <alignment horizontal="right"/>
    </xf>
    <xf numFmtId="258" fontId="188" fillId="2" borderId="110">
      <alignment horizontal="right"/>
    </xf>
    <xf numFmtId="258" fontId="188" fillId="2" borderId="110">
      <alignment horizontal="right"/>
    </xf>
    <xf numFmtId="259" fontId="188" fillId="2" borderId="110">
      <alignment horizontal="right"/>
    </xf>
    <xf numFmtId="259" fontId="188" fillId="2" borderId="110">
      <alignment horizontal="right"/>
    </xf>
    <xf numFmtId="260" fontId="188" fillId="2" borderId="110">
      <alignment horizontal="right"/>
    </xf>
    <xf numFmtId="260" fontId="188" fillId="2" borderId="110">
      <alignment horizontal="right"/>
    </xf>
    <xf numFmtId="258" fontId="188" fillId="2" borderId="110">
      <alignment horizontal="right"/>
    </xf>
    <xf numFmtId="258" fontId="188" fillId="2" borderId="110">
      <alignment horizontal="right"/>
    </xf>
    <xf numFmtId="258" fontId="188" fillId="2" borderId="110">
      <alignment horizontal="right"/>
    </xf>
    <xf numFmtId="258" fontId="188" fillId="2" borderId="110">
      <alignment horizontal="right"/>
    </xf>
    <xf numFmtId="0" fontId="195" fillId="84" borderId="70">
      <alignment horizontal="center" vertical="top"/>
    </xf>
    <xf numFmtId="0" fontId="195" fillId="84" borderId="70">
      <alignment horizontal="center" vertical="top"/>
    </xf>
    <xf numFmtId="258" fontId="188" fillId="2" borderId="107">
      <alignment horizontal="center"/>
    </xf>
    <xf numFmtId="258" fontId="188" fillId="2" borderId="107">
      <alignment horizontal="center"/>
    </xf>
    <xf numFmtId="258" fontId="188" fillId="2" borderId="108">
      <alignment horizontal="center"/>
    </xf>
    <xf numFmtId="258" fontId="188" fillId="2" borderId="108">
      <alignment horizontal="center"/>
    </xf>
    <xf numFmtId="0" fontId="188" fillId="2" borderId="108"/>
    <xf numFmtId="0" fontId="188" fillId="2" borderId="108"/>
    <xf numFmtId="0" fontId="188" fillId="60" borderId="70">
      <alignment horizontal="left"/>
    </xf>
    <xf numFmtId="0" fontId="188" fillId="60" borderId="70">
      <alignment horizontal="left"/>
    </xf>
    <xf numFmtId="0" fontId="195" fillId="60" borderId="70">
      <alignment horizontal="left"/>
    </xf>
    <xf numFmtId="0" fontId="195" fillId="60" borderId="70">
      <alignment horizontal="left"/>
    </xf>
    <xf numFmtId="0" fontId="195" fillId="60" borderId="109">
      <alignment horizontal="left"/>
    </xf>
    <xf numFmtId="0" fontId="195" fillId="60" borderId="109">
      <alignment horizontal="left"/>
    </xf>
    <xf numFmtId="0" fontId="195" fillId="60" borderId="109">
      <alignment horizontal="left"/>
    </xf>
    <xf numFmtId="0" fontId="195" fillId="60" borderId="109">
      <alignment horizontal="left"/>
    </xf>
    <xf numFmtId="258" fontId="188" fillId="2" borderId="110">
      <alignment horizontal="right"/>
    </xf>
    <xf numFmtId="258" fontId="188" fillId="2" borderId="110">
      <alignment horizontal="right"/>
    </xf>
    <xf numFmtId="0" fontId="188" fillId="2" borderId="110">
      <alignment horizontal="right"/>
    </xf>
    <xf numFmtId="0" fontId="188" fillId="2" borderId="110">
      <alignment horizontal="right"/>
    </xf>
    <xf numFmtId="259" fontId="188" fillId="2" borderId="110">
      <alignment horizontal="right"/>
    </xf>
    <xf numFmtId="259" fontId="188" fillId="2" borderId="110">
      <alignment horizontal="right"/>
    </xf>
    <xf numFmtId="260" fontId="188" fillId="2" borderId="110">
      <alignment horizontal="right"/>
    </xf>
    <xf numFmtId="260" fontId="188" fillId="2" borderId="110">
      <alignment horizontal="right"/>
    </xf>
    <xf numFmtId="258" fontId="188" fillId="2" borderId="110">
      <alignment horizontal="right"/>
    </xf>
    <xf numFmtId="258" fontId="188" fillId="2" borderId="110">
      <alignment horizontal="right"/>
    </xf>
    <xf numFmtId="259" fontId="188" fillId="2" borderId="110">
      <alignment horizontal="right"/>
    </xf>
    <xf numFmtId="259" fontId="188" fillId="2" borderId="110">
      <alignment horizontal="right"/>
    </xf>
    <xf numFmtId="260" fontId="188" fillId="2" borderId="110">
      <alignment horizontal="right"/>
    </xf>
    <xf numFmtId="260" fontId="188" fillId="2" borderId="110">
      <alignment horizontal="right"/>
    </xf>
    <xf numFmtId="258" fontId="188" fillId="2" borderId="110">
      <alignment horizontal="right"/>
    </xf>
    <xf numFmtId="258" fontId="188" fillId="2" borderId="110">
      <alignment horizontal="right"/>
    </xf>
    <xf numFmtId="258" fontId="188" fillId="2" borderId="110">
      <alignment horizontal="right"/>
    </xf>
    <xf numFmtId="258" fontId="188" fillId="2" borderId="110">
      <alignment horizontal="right"/>
    </xf>
    <xf numFmtId="0" fontId="195" fillId="84" borderId="70">
      <alignment horizontal="center" vertical="top"/>
    </xf>
    <xf numFmtId="0" fontId="195" fillId="84" borderId="70">
      <alignment horizontal="center" vertical="top"/>
    </xf>
    <xf numFmtId="258" fontId="188" fillId="2" borderId="107">
      <alignment horizontal="center"/>
    </xf>
    <xf numFmtId="258" fontId="188" fillId="2" borderId="107">
      <alignment horizontal="center"/>
    </xf>
    <xf numFmtId="258" fontId="188" fillId="2" borderId="108">
      <alignment horizontal="center"/>
    </xf>
    <xf numFmtId="258" fontId="188" fillId="2" borderId="108">
      <alignment horizontal="center"/>
    </xf>
    <xf numFmtId="0" fontId="188" fillId="2" borderId="108"/>
    <xf numFmtId="0" fontId="188" fillId="2" borderId="108"/>
    <xf numFmtId="0" fontId="188" fillId="60" borderId="70">
      <alignment horizontal="left"/>
    </xf>
    <xf numFmtId="0" fontId="188" fillId="60" borderId="70">
      <alignment horizontal="left"/>
    </xf>
    <xf numFmtId="0" fontId="195" fillId="60" borderId="70">
      <alignment horizontal="left"/>
    </xf>
    <xf numFmtId="0" fontId="195" fillId="60" borderId="70">
      <alignment horizontal="left"/>
    </xf>
    <xf numFmtId="0" fontId="195" fillId="60" borderId="109">
      <alignment horizontal="left"/>
    </xf>
    <xf numFmtId="0" fontId="195" fillId="60" borderId="109">
      <alignment horizontal="left"/>
    </xf>
    <xf numFmtId="0" fontId="195" fillId="60" borderId="109">
      <alignment horizontal="left"/>
    </xf>
    <xf numFmtId="0" fontId="195" fillId="60" borderId="109">
      <alignment horizontal="left"/>
    </xf>
    <xf numFmtId="258" fontId="188" fillId="2" borderId="110">
      <alignment horizontal="right"/>
    </xf>
    <xf numFmtId="258" fontId="188" fillId="2" borderId="110">
      <alignment horizontal="right"/>
    </xf>
    <xf numFmtId="0" fontId="188" fillId="2" borderId="110">
      <alignment horizontal="right"/>
    </xf>
    <xf numFmtId="0" fontId="188" fillId="2" borderId="110">
      <alignment horizontal="right"/>
    </xf>
    <xf numFmtId="259" fontId="188" fillId="2" borderId="110">
      <alignment horizontal="right"/>
    </xf>
    <xf numFmtId="259" fontId="188" fillId="2" borderId="110">
      <alignment horizontal="right"/>
    </xf>
    <xf numFmtId="260" fontId="188" fillId="2" borderId="110">
      <alignment horizontal="right"/>
    </xf>
    <xf numFmtId="260" fontId="188" fillId="2" borderId="110">
      <alignment horizontal="right"/>
    </xf>
    <xf numFmtId="258" fontId="188" fillId="2" borderId="110">
      <alignment horizontal="right"/>
    </xf>
    <xf numFmtId="258" fontId="188" fillId="2" borderId="110">
      <alignment horizontal="right"/>
    </xf>
    <xf numFmtId="259" fontId="188" fillId="2" borderId="110">
      <alignment horizontal="right"/>
    </xf>
    <xf numFmtId="259" fontId="188" fillId="2" borderId="110">
      <alignment horizontal="right"/>
    </xf>
    <xf numFmtId="260" fontId="188" fillId="2" borderId="110">
      <alignment horizontal="right"/>
    </xf>
    <xf numFmtId="260" fontId="188" fillId="2" borderId="110">
      <alignment horizontal="right"/>
    </xf>
    <xf numFmtId="258" fontId="188" fillId="2" borderId="110">
      <alignment horizontal="right"/>
    </xf>
    <xf numFmtId="258" fontId="188" fillId="2" borderId="110">
      <alignment horizontal="right"/>
    </xf>
    <xf numFmtId="258" fontId="188" fillId="2" borderId="110">
      <alignment horizontal="right"/>
    </xf>
    <xf numFmtId="258" fontId="188" fillId="2" borderId="110">
      <alignment horizontal="right"/>
    </xf>
    <xf numFmtId="0" fontId="196" fillId="0" borderId="0" applyNumberFormat="0" applyFill="0" applyBorder="0" applyAlignment="0" applyProtection="0"/>
    <xf numFmtId="0" fontId="197"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31" fillId="0" borderId="0" applyNumberFormat="0" applyFill="0" applyBorder="0" applyAlignment="0" applyProtection="0"/>
    <xf numFmtId="0" fontId="142" fillId="0" borderId="0" applyNumberFormat="0" applyFill="0" applyBorder="0" applyAlignment="0" applyProtection="0"/>
    <xf numFmtId="0" fontId="142" fillId="0" borderId="0" applyNumberFormat="0" applyFill="0" applyBorder="0" applyAlignment="0" applyProtection="0"/>
    <xf numFmtId="0" fontId="198" fillId="5" borderId="0">
      <alignment horizontal="center" vertical="center"/>
    </xf>
    <xf numFmtId="0" fontId="142" fillId="0" borderId="0" applyNumberFormat="0" applyFill="0" applyBorder="0" applyAlignment="0" applyProtection="0"/>
    <xf numFmtId="0" fontId="110" fillId="0" borderId="64" applyNumberFormat="0" applyFill="0" applyAlignment="0" applyProtection="0"/>
    <xf numFmtId="0" fontId="110" fillId="0" borderId="64" applyNumberFormat="0" applyFill="0" applyAlignment="0" applyProtection="0"/>
    <xf numFmtId="0" fontId="111" fillId="0" borderId="65" applyNumberFormat="0" applyFill="0" applyAlignment="0" applyProtection="0"/>
    <xf numFmtId="0" fontId="111" fillId="0" borderId="65"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66" applyNumberFormat="0" applyFill="0" applyAlignment="0" applyProtection="0"/>
    <xf numFmtId="0" fontId="102" fillId="0" borderId="0" applyNumberFormat="0" applyFill="0" applyBorder="0" applyAlignment="0" applyProtection="0"/>
    <xf numFmtId="0" fontId="102" fillId="0" borderId="0" applyNumberFormat="0" applyFill="0" applyBorder="0" applyAlignment="0" applyProtection="0"/>
    <xf numFmtId="0" fontId="51" fillId="85" borderId="0">
      <alignment horizontal="center" vertical="center"/>
    </xf>
    <xf numFmtId="0" fontId="51" fillId="85" borderId="0">
      <alignment horizontal="center" vertical="center"/>
    </xf>
    <xf numFmtId="261" fontId="199" fillId="93" borderId="0">
      <alignment horizontal="center" vertical="center"/>
    </xf>
    <xf numFmtId="261" fontId="199" fillId="93" borderId="0">
      <alignment horizontal="center" vertical="center"/>
    </xf>
    <xf numFmtId="248" fontId="199" fillId="93" borderId="0">
      <alignment horizontal="left" vertical="center"/>
    </xf>
    <xf numFmtId="248" fontId="199" fillId="93" borderId="0">
      <alignment horizontal="left" vertical="center"/>
    </xf>
    <xf numFmtId="242" fontId="200" fillId="104" borderId="0">
      <alignment horizontal="center" vertical="center"/>
    </xf>
    <xf numFmtId="242" fontId="200" fillId="104" borderId="0">
      <alignment horizontal="center" vertical="center"/>
    </xf>
    <xf numFmtId="0" fontId="10" fillId="5" borderId="80">
      <alignment horizontal="left" vertical="center"/>
    </xf>
    <xf numFmtId="0" fontId="10" fillId="5" borderId="80">
      <alignment horizontal="left" vertical="center"/>
    </xf>
    <xf numFmtId="0" fontId="201" fillId="5" borderId="0">
      <alignment horizontal="center" vertical="center"/>
    </xf>
    <xf numFmtId="3" fontId="202" fillId="5" borderId="43">
      <alignment vertical="center"/>
    </xf>
    <xf numFmtId="3" fontId="202" fillId="5" borderId="43">
      <alignment vertical="center"/>
    </xf>
    <xf numFmtId="3" fontId="159" fillId="86" borderId="111">
      <alignment vertical="center"/>
    </xf>
    <xf numFmtId="3" fontId="159" fillId="86" borderId="111">
      <alignment vertical="center"/>
    </xf>
    <xf numFmtId="0" fontId="159" fillId="86" borderId="81">
      <alignment horizontal="center" vertical="center"/>
    </xf>
    <xf numFmtId="0" fontId="159" fillId="86" borderId="81">
      <alignment horizontal="center" vertical="center"/>
    </xf>
    <xf numFmtId="241" fontId="1" fillId="93" borderId="0">
      <alignment horizontal="right" vertical="center"/>
    </xf>
    <xf numFmtId="241" fontId="1" fillId="93" borderId="0">
      <alignment horizontal="right" vertical="center"/>
    </xf>
    <xf numFmtId="241" fontId="1" fillId="93" borderId="0">
      <alignment horizontal="right" vertical="center"/>
    </xf>
    <xf numFmtId="3" fontId="160" fillId="86" borderId="81">
      <alignment vertical="center"/>
    </xf>
    <xf numFmtId="3" fontId="160" fillId="86" borderId="81">
      <alignment vertical="center"/>
    </xf>
    <xf numFmtId="3" fontId="66" fillId="0" borderId="112">
      <alignment vertical="center"/>
    </xf>
    <xf numFmtId="3" fontId="66" fillId="0" borderId="112">
      <alignment vertical="center"/>
    </xf>
    <xf numFmtId="251" fontId="51" fillId="88" borderId="0">
      <alignment horizontal="right" vertical="center"/>
    </xf>
    <xf numFmtId="251" fontId="51" fillId="88" borderId="0">
      <alignment horizontal="right" vertical="center"/>
    </xf>
    <xf numFmtId="244" fontId="1" fillId="5" borderId="0">
      <alignment horizontal="left" vertical="center"/>
    </xf>
    <xf numFmtId="244" fontId="1" fillId="5" borderId="0">
      <alignment horizontal="left" vertical="center"/>
    </xf>
    <xf numFmtId="244" fontId="1" fillId="5" borderId="0">
      <alignment horizontal="left" vertical="center"/>
    </xf>
    <xf numFmtId="241" fontId="1" fillId="5" borderId="0">
      <alignment horizontal="right" vertical="center"/>
    </xf>
    <xf numFmtId="241" fontId="1" fillId="5" borderId="0">
      <alignment horizontal="right" vertical="center"/>
    </xf>
    <xf numFmtId="241" fontId="1" fillId="5" borderId="0">
      <alignment horizontal="right" vertical="center"/>
    </xf>
    <xf numFmtId="261" fontId="1" fillId="0" borderId="0">
      <alignment horizontal="center" vertical="center"/>
    </xf>
    <xf numFmtId="261" fontId="1" fillId="0" borderId="0">
      <alignment horizontal="center" vertical="center"/>
    </xf>
    <xf numFmtId="261" fontId="1" fillId="0" borderId="0">
      <alignment horizontal="center" vertical="center"/>
    </xf>
    <xf numFmtId="241" fontId="166" fillId="5" borderId="113">
      <alignment horizontal="right" vertical="center"/>
    </xf>
    <xf numFmtId="241" fontId="166" fillId="5" borderId="113">
      <alignment horizontal="right" vertical="center"/>
    </xf>
    <xf numFmtId="241" fontId="1" fillId="5" borderId="0">
      <alignment horizontal="right" vertical="center"/>
    </xf>
    <xf numFmtId="241" fontId="1" fillId="5" borderId="0">
      <alignment horizontal="right" vertical="center"/>
    </xf>
    <xf numFmtId="241" fontId="1" fillId="5" borderId="0">
      <alignment horizontal="right" vertical="center"/>
    </xf>
    <xf numFmtId="0" fontId="200" fillId="105" borderId="88">
      <alignment horizontal="center" vertical="center" wrapText="1"/>
    </xf>
    <xf numFmtId="0" fontId="200" fillId="105" borderId="88">
      <alignment horizontal="center" vertical="center" wrapText="1"/>
    </xf>
    <xf numFmtId="0" fontId="10" fillId="88" borderId="96">
      <alignment horizontal="left" vertical="center"/>
    </xf>
    <xf numFmtId="0" fontId="10" fillId="88" borderId="96">
      <alignment horizontal="left" vertical="center"/>
    </xf>
    <xf numFmtId="242" fontId="10" fillId="88" borderId="96">
      <alignment horizontal="center" vertical="center"/>
    </xf>
    <xf numFmtId="242" fontId="10" fillId="88" borderId="96">
      <alignment horizontal="center" vertical="center"/>
    </xf>
    <xf numFmtId="244" fontId="10" fillId="88" borderId="96">
      <alignment horizontal="right" vertical="center"/>
    </xf>
    <xf numFmtId="244" fontId="10" fillId="88" borderId="96">
      <alignment horizontal="right" vertical="center"/>
    </xf>
    <xf numFmtId="241" fontId="1" fillId="5" borderId="0">
      <alignment horizontal="right" vertical="center"/>
    </xf>
    <xf numFmtId="241" fontId="1" fillId="5" borderId="0">
      <alignment horizontal="right" vertical="center"/>
    </xf>
    <xf numFmtId="241" fontId="1" fillId="5" borderId="0">
      <alignment horizontal="right" vertical="center"/>
    </xf>
    <xf numFmtId="0" fontId="203" fillId="0" borderId="0" applyNumberFormat="0" applyFill="0" applyBorder="0" applyAlignment="0" applyProtection="0"/>
    <xf numFmtId="0" fontId="80" fillId="37" borderId="0" applyNumberFormat="0" applyBorder="0" applyAlignment="0" applyProtection="0"/>
    <xf numFmtId="0" fontId="10" fillId="76" borderId="70" applyNumberFormat="0" applyFont="0" applyAlignment="0" applyProtection="0"/>
    <xf numFmtId="0" fontId="10" fillId="76" borderId="70" applyNumberFormat="0" applyFont="0" applyAlignment="0" applyProtection="0"/>
    <xf numFmtId="227" fontId="10" fillId="0" borderId="0" applyFont="0" applyFill="0" applyBorder="0" applyAlignment="0" applyProtection="0"/>
    <xf numFmtId="0" fontId="91" fillId="58" borderId="58" applyNumberFormat="0" applyAlignment="0" applyProtection="0"/>
    <xf numFmtId="0" fontId="91" fillId="58" borderId="58" applyNumberFormat="0" applyAlignment="0" applyProtection="0"/>
    <xf numFmtId="0" fontId="1" fillId="0" borderId="0">
      <alignment horizontal="left" vertical="center"/>
    </xf>
    <xf numFmtId="0" fontId="1" fillId="0" borderId="0">
      <alignment horizontal="left" vertical="center"/>
    </xf>
    <xf numFmtId="0" fontId="1" fillId="0" borderId="0">
      <alignment horizontal="left" vertical="center"/>
    </xf>
    <xf numFmtId="244" fontId="1" fillId="5" borderId="0">
      <alignment horizontal="left" vertical="center"/>
    </xf>
    <xf numFmtId="244" fontId="1" fillId="5" borderId="0">
      <alignment horizontal="left" vertical="center"/>
    </xf>
    <xf numFmtId="244" fontId="1" fillId="5" borderId="0">
      <alignment horizontal="left" vertical="center"/>
    </xf>
    <xf numFmtId="262" fontId="10" fillId="0" borderId="0" applyFont="0" applyFill="0" applyBorder="0" applyAlignment="0" applyProtection="0"/>
    <xf numFmtId="262" fontId="10" fillId="0" borderId="0" applyFont="0" applyFill="0" applyBorder="0" applyAlignment="0" applyProtection="0"/>
    <xf numFmtId="175" fontId="10" fillId="0" borderId="0" applyFont="0" applyFill="0" applyBorder="0" applyAlignment="0" applyProtection="0"/>
    <xf numFmtId="0" fontId="204" fillId="37" borderId="0" applyNumberFormat="0" applyBorder="0" applyAlignment="0" applyProtection="0"/>
    <xf numFmtId="248" fontId="189" fillId="5" borderId="106">
      <alignment horizontal="left" vertical="center"/>
    </xf>
    <xf numFmtId="248" fontId="189" fillId="5" borderId="106">
      <alignment horizontal="left" vertical="center"/>
    </xf>
    <xf numFmtId="0" fontId="205" fillId="0" borderId="0" applyFont="0" applyFill="0" applyBorder="0" applyAlignment="0" applyProtection="0"/>
    <xf numFmtId="0" fontId="205" fillId="0" borderId="0" applyFont="0" applyFill="0" applyBorder="0" applyAlignment="0" applyProtection="0"/>
    <xf numFmtId="167" fontId="206" fillId="0" borderId="0" applyFont="0" applyFill="0" applyBorder="0" applyAlignment="0" applyProtection="0"/>
    <xf numFmtId="0" fontId="148" fillId="0" borderId="0" applyFont="0" applyFill="0" applyBorder="0" applyAlignment="0" applyProtection="0"/>
    <xf numFmtId="0" fontId="148" fillId="0" borderId="0" applyFont="0" applyFill="0" applyBorder="0" applyAlignment="0" applyProtection="0"/>
    <xf numFmtId="0" fontId="207" fillId="38" borderId="0" applyNumberFormat="0" applyBorder="0" applyAlignment="0" applyProtection="0">
      <alignment vertical="center"/>
    </xf>
    <xf numFmtId="0" fontId="208" fillId="37" borderId="0" applyNumberFormat="0" applyBorder="0" applyAlignment="0" applyProtection="0">
      <alignment vertical="center"/>
    </xf>
    <xf numFmtId="0" fontId="10" fillId="0" borderId="0"/>
    <xf numFmtId="0" fontId="152" fillId="53" borderId="0" applyNumberFormat="0" applyBorder="0" applyAlignment="0" applyProtection="0">
      <alignment vertical="center"/>
    </xf>
    <xf numFmtId="0" fontId="152" fillId="54" borderId="0" applyNumberFormat="0" applyBorder="0" applyAlignment="0" applyProtection="0">
      <alignment vertical="center"/>
    </xf>
    <xf numFmtId="0" fontId="152" fillId="55" borderId="0" applyNumberFormat="0" applyBorder="0" applyAlignment="0" applyProtection="0">
      <alignment vertical="center"/>
    </xf>
    <xf numFmtId="0" fontId="152" fillId="50" borderId="0" applyNumberFormat="0" applyBorder="0" applyAlignment="0" applyProtection="0">
      <alignment vertical="center"/>
    </xf>
    <xf numFmtId="0" fontId="152" fillId="51" borderId="0" applyNumberFormat="0" applyBorder="0" applyAlignment="0" applyProtection="0">
      <alignment vertical="center"/>
    </xf>
    <xf numFmtId="0" fontId="152" fillId="56" borderId="0" applyNumberFormat="0" applyBorder="0" applyAlignment="0" applyProtection="0">
      <alignment vertical="center"/>
    </xf>
    <xf numFmtId="0" fontId="209" fillId="0" borderId="0"/>
    <xf numFmtId="0" fontId="210" fillId="0" borderId="0" applyNumberFormat="0" applyFill="0" applyBorder="0" applyAlignment="0" applyProtection="0">
      <alignment vertical="center"/>
    </xf>
    <xf numFmtId="0" fontId="211" fillId="0" borderId="64" applyNumberFormat="0" applyFill="0" applyAlignment="0" applyProtection="0">
      <alignment vertical="center"/>
    </xf>
    <xf numFmtId="0" fontId="212" fillId="0" borderId="65"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66" applyNumberFormat="0" applyFill="0" applyAlignment="0" applyProtection="0">
      <alignment vertical="center"/>
    </xf>
    <xf numFmtId="0" fontId="213" fillId="0" borderId="0" applyNumberFormat="0" applyFill="0" applyBorder="0" applyAlignment="0" applyProtection="0">
      <alignment vertical="center"/>
    </xf>
    <xf numFmtId="213" fontId="10" fillId="0" borderId="0" applyFont="0" applyFill="0" applyBorder="0" applyAlignment="0" applyProtection="0"/>
    <xf numFmtId="0" fontId="214" fillId="58" borderId="58" applyNumberFormat="0" applyAlignment="0" applyProtection="0">
      <alignment vertical="center"/>
    </xf>
    <xf numFmtId="0" fontId="10" fillId="0" borderId="0"/>
    <xf numFmtId="0" fontId="215" fillId="0" borderId="62" applyNumberFormat="0" applyFill="0" applyAlignment="0" applyProtection="0">
      <alignment vertical="center"/>
    </xf>
    <xf numFmtId="0" fontId="215" fillId="0" borderId="62" applyNumberFormat="0" applyFill="0" applyAlignment="0" applyProtection="0">
      <alignment vertical="center"/>
    </xf>
    <xf numFmtId="0" fontId="216" fillId="76" borderId="70" applyNumberFormat="0" applyFont="0" applyAlignment="0" applyProtection="0">
      <alignment vertical="center"/>
    </xf>
    <xf numFmtId="0" fontId="216" fillId="76" borderId="70" applyNumberFormat="0" applyFont="0" applyAlignment="0" applyProtection="0">
      <alignment vertical="center"/>
    </xf>
    <xf numFmtId="0" fontId="217" fillId="0" borderId="0" applyNumberFormat="0" applyFill="0" applyBorder="0" applyAlignment="0" applyProtection="0">
      <alignment vertical="center"/>
    </xf>
    <xf numFmtId="0" fontId="218" fillId="0" borderId="0" applyNumberFormat="0" applyFill="0" applyBorder="0" applyAlignment="0" applyProtection="0">
      <alignment vertical="center"/>
    </xf>
    <xf numFmtId="0" fontId="219" fillId="44" borderId="56" applyNumberFormat="0" applyAlignment="0" applyProtection="0">
      <alignment vertical="center"/>
    </xf>
    <xf numFmtId="0" fontId="219" fillId="44" borderId="56" applyNumberFormat="0" applyAlignment="0" applyProtection="0">
      <alignment vertical="center"/>
    </xf>
    <xf numFmtId="0" fontId="220" fillId="41" borderId="56" applyNumberFormat="0" applyAlignment="0" applyProtection="0">
      <alignment vertical="center"/>
    </xf>
    <xf numFmtId="0" fontId="220" fillId="41" borderId="56" applyNumberFormat="0" applyAlignment="0" applyProtection="0">
      <alignment vertical="center"/>
    </xf>
    <xf numFmtId="0" fontId="221" fillId="44" borderId="54" applyNumberFormat="0" applyAlignment="0" applyProtection="0">
      <alignment vertical="center"/>
    </xf>
    <xf numFmtId="0" fontId="221" fillId="44" borderId="54" applyNumberFormat="0" applyAlignment="0" applyProtection="0">
      <alignment vertical="center"/>
    </xf>
    <xf numFmtId="0" fontId="222" fillId="75" borderId="0" applyNumberFormat="0" applyBorder="0" applyAlignment="0" applyProtection="0">
      <alignment vertical="center"/>
    </xf>
    <xf numFmtId="0" fontId="223" fillId="0" borderId="59" applyNumberFormat="0" applyFill="0" applyAlignment="0" applyProtection="0">
      <alignment vertical="center"/>
    </xf>
  </cellStyleXfs>
  <cellXfs count="487">
    <xf numFmtId="0" fontId="0" fillId="0" borderId="0" xfId="0"/>
    <xf numFmtId="0" fontId="15" fillId="2" borderId="0" xfId="36" applyFont="1" applyFill="1" applyBorder="1"/>
    <xf numFmtId="0" fontId="17" fillId="2" borderId="0" xfId="36" applyFont="1" applyFill="1" applyBorder="1"/>
    <xf numFmtId="0" fontId="20" fillId="2" borderId="0" xfId="36" applyFont="1" applyFill="1" applyBorder="1" applyAlignment="1">
      <alignment horizontal="centerContinuous"/>
    </xf>
    <xf numFmtId="0" fontId="15" fillId="2" borderId="0" xfId="36" applyFont="1" applyFill="1" applyBorder="1" applyAlignment="1">
      <alignment horizontal="centerContinuous"/>
    </xf>
    <xf numFmtId="0" fontId="20" fillId="2" borderId="0" xfId="36" applyFont="1" applyFill="1" applyBorder="1" applyAlignment="1" applyProtection="1">
      <alignment horizontal="centerContinuous"/>
    </xf>
    <xf numFmtId="0" fontId="26" fillId="2" borderId="0" xfId="36" applyFont="1" applyFill="1" applyBorder="1" applyAlignment="1" applyProtection="1">
      <alignment horizontal="centerContinuous"/>
    </xf>
    <xf numFmtId="0" fontId="21" fillId="0" borderId="0" xfId="36" applyFont="1" applyBorder="1"/>
    <xf numFmtId="0" fontId="34" fillId="0" borderId="0" xfId="0" applyFont="1"/>
    <xf numFmtId="0" fontId="26" fillId="2" borderId="0" xfId="36" applyFont="1" applyFill="1" applyBorder="1" applyAlignment="1" applyProtection="1">
      <alignment horizontal="center"/>
    </xf>
    <xf numFmtId="0" fontId="44" fillId="0" borderId="0" xfId="55" applyFont="1" applyAlignment="1">
      <alignment horizontal="center" vertical="center"/>
    </xf>
    <xf numFmtId="0" fontId="45" fillId="4" borderId="7" xfId="55" applyFont="1" applyFill="1" applyBorder="1" applyAlignment="1">
      <alignment horizontal="center" vertical="center"/>
    </xf>
    <xf numFmtId="0" fontId="45" fillId="4" borderId="8" xfId="55" applyFont="1" applyFill="1" applyBorder="1" applyAlignment="1">
      <alignment horizontal="center" vertical="center"/>
    </xf>
    <xf numFmtId="0" fontId="45" fillId="4" borderId="9" xfId="55" applyNumberFormat="1" applyFont="1" applyFill="1" applyBorder="1" applyAlignment="1">
      <alignment horizontal="center" vertical="center"/>
    </xf>
    <xf numFmtId="0" fontId="45" fillId="7" borderId="15" xfId="55" applyFont="1" applyFill="1" applyBorder="1" applyAlignment="1">
      <alignment horizontal="center" vertical="center"/>
    </xf>
    <xf numFmtId="0" fontId="45" fillId="4" borderId="15" xfId="55" applyFont="1" applyFill="1" applyBorder="1" applyAlignment="1">
      <alignment horizontal="center" vertical="center"/>
    </xf>
    <xf numFmtId="0" fontId="45" fillId="4" borderId="15" xfId="55" applyNumberFormat="1" applyFont="1" applyFill="1" applyBorder="1" applyAlignment="1">
      <alignment horizontal="center" vertical="center"/>
    </xf>
    <xf numFmtId="0" fontId="45" fillId="0" borderId="15" xfId="55" applyFont="1" applyBorder="1" applyAlignment="1">
      <alignment horizontal="center" vertical="center" wrapText="1"/>
    </xf>
    <xf numFmtId="172" fontId="44" fillId="0" borderId="15" xfId="56" applyNumberFormat="1" applyFont="1" applyBorder="1" applyAlignment="1">
      <alignment horizontal="center" vertical="center" wrapText="1"/>
    </xf>
    <xf numFmtId="172" fontId="44" fillId="3" borderId="15" xfId="56" applyNumberFormat="1" applyFont="1" applyFill="1" applyBorder="1" applyAlignment="1">
      <alignment horizontal="center" vertical="center" wrapText="1"/>
    </xf>
    <xf numFmtId="0" fontId="44" fillId="0" borderId="15" xfId="57" applyNumberFormat="1" applyFont="1" applyBorder="1" applyAlignment="1">
      <alignment horizontal="center" vertical="center" wrapText="1"/>
    </xf>
    <xf numFmtId="168" fontId="44" fillId="0" borderId="15" xfId="57" applyNumberFormat="1" applyFont="1" applyBorder="1" applyAlignment="1">
      <alignment horizontal="center" vertical="center" wrapText="1"/>
    </xf>
    <xf numFmtId="0" fontId="45" fillId="0" borderId="18" xfId="55" applyFont="1" applyBorder="1" applyAlignment="1">
      <alignment horizontal="center" vertical="center" wrapText="1"/>
    </xf>
    <xf numFmtId="172" fontId="44" fillId="0" borderId="18" xfId="56" applyNumberFormat="1" applyFont="1" applyBorder="1" applyAlignment="1">
      <alignment horizontal="center" vertical="center" wrapText="1"/>
    </xf>
    <xf numFmtId="172" fontId="44" fillId="3" borderId="18" xfId="56" applyNumberFormat="1" applyFont="1" applyFill="1" applyBorder="1" applyAlignment="1">
      <alignment horizontal="center" vertical="center" wrapText="1"/>
    </xf>
    <xf numFmtId="0" fontId="44" fillId="0" borderId="18" xfId="57" applyNumberFormat="1" applyFont="1" applyBorder="1" applyAlignment="1">
      <alignment horizontal="center" vertical="center" wrapText="1"/>
    </xf>
    <xf numFmtId="168" fontId="44" fillId="0" borderId="18" xfId="57" applyNumberFormat="1" applyFont="1" applyBorder="1" applyAlignment="1">
      <alignment horizontal="center" vertical="center" wrapText="1"/>
    </xf>
    <xf numFmtId="172" fontId="46" fillId="8" borderId="18" xfId="56" applyNumberFormat="1" applyFont="1" applyFill="1" applyBorder="1" applyAlignment="1">
      <alignment horizontal="center" vertical="center" wrapText="1"/>
    </xf>
    <xf numFmtId="172" fontId="44" fillId="8" borderId="18" xfId="56" applyNumberFormat="1" applyFont="1" applyFill="1" applyBorder="1" applyAlignment="1">
      <alignment horizontal="center" vertical="center" wrapText="1"/>
    </xf>
    <xf numFmtId="0" fontId="44" fillId="0" borderId="18" xfId="55" applyFont="1" applyFill="1" applyBorder="1" applyAlignment="1">
      <alignment horizontal="center" vertical="center" wrapText="1"/>
    </xf>
    <xf numFmtId="0" fontId="45" fillId="0" borderId="19" xfId="55" applyFont="1" applyBorder="1" applyAlignment="1">
      <alignment horizontal="center" vertical="center" wrapText="1"/>
    </xf>
    <xf numFmtId="172" fontId="45" fillId="0" borderId="19" xfId="56" applyNumberFormat="1" applyFont="1" applyBorder="1" applyAlignment="1">
      <alignment horizontal="center" vertical="center" wrapText="1"/>
    </xf>
    <xf numFmtId="172" fontId="44" fillId="0" borderId="19" xfId="56" applyNumberFormat="1" applyFont="1" applyBorder="1" applyAlignment="1">
      <alignment horizontal="center" vertical="center" wrapText="1"/>
    </xf>
    <xf numFmtId="172" fontId="44" fillId="3" borderId="19" xfId="56" applyNumberFormat="1" applyFont="1" applyFill="1" applyBorder="1" applyAlignment="1">
      <alignment horizontal="center" vertical="center" wrapText="1"/>
    </xf>
    <xf numFmtId="0" fontId="44" fillId="0" borderId="19" xfId="57" applyNumberFormat="1" applyFont="1" applyBorder="1" applyAlignment="1">
      <alignment horizontal="center" vertical="center" wrapText="1"/>
    </xf>
    <xf numFmtId="168" fontId="44" fillId="0" borderId="19" xfId="57" applyNumberFormat="1" applyFont="1" applyBorder="1" applyAlignment="1">
      <alignment horizontal="center" vertical="center" wrapText="1"/>
    </xf>
    <xf numFmtId="172" fontId="44" fillId="0" borderId="15" xfId="56" applyNumberFormat="1" applyFont="1" applyFill="1" applyBorder="1" applyAlignment="1">
      <alignment horizontal="center" vertical="center" wrapText="1"/>
    </xf>
    <xf numFmtId="172" fontId="44" fillId="0" borderId="18" xfId="56" applyNumberFormat="1" applyFont="1" applyFill="1" applyBorder="1" applyAlignment="1">
      <alignment horizontal="center" vertical="center" wrapText="1"/>
    </xf>
    <xf numFmtId="172" fontId="44" fillId="0" borderId="19" xfId="56" applyNumberFormat="1" applyFont="1" applyFill="1" applyBorder="1" applyAlignment="1">
      <alignment horizontal="center" vertical="center" wrapText="1"/>
    </xf>
    <xf numFmtId="0" fontId="44" fillId="8" borderId="18" xfId="55" applyFont="1" applyFill="1" applyBorder="1" applyAlignment="1">
      <alignment horizontal="center" vertical="center" wrapText="1"/>
    </xf>
    <xf numFmtId="0" fontId="44" fillId="3" borderId="18" xfId="55" applyFont="1" applyFill="1" applyBorder="1" applyAlignment="1">
      <alignment horizontal="center" vertical="center" wrapText="1"/>
    </xf>
    <xf numFmtId="0" fontId="44" fillId="0" borderId="0" xfId="55" applyFont="1" applyAlignment="1">
      <alignment horizontal="center" vertical="center" wrapText="1"/>
    </xf>
    <xf numFmtId="0" fontId="44" fillId="0" borderId="0" xfId="55" applyNumberFormat="1" applyFont="1" applyAlignment="1">
      <alignment horizontal="center" vertical="center" wrapText="1"/>
    </xf>
    <xf numFmtId="0" fontId="46" fillId="4" borderId="0" xfId="55" applyFont="1" applyFill="1" applyAlignment="1">
      <alignment horizontal="center" vertical="center"/>
    </xf>
    <xf numFmtId="0" fontId="44" fillId="0" borderId="0" xfId="55" applyFont="1" applyAlignment="1">
      <alignment horizontal="left" vertical="center"/>
    </xf>
    <xf numFmtId="0" fontId="44" fillId="0" borderId="0" xfId="55" applyNumberFormat="1" applyFont="1" applyAlignment="1">
      <alignment horizontal="center" vertical="center"/>
    </xf>
    <xf numFmtId="0" fontId="44" fillId="4" borderId="0" xfId="55" applyFont="1" applyFill="1" applyAlignment="1">
      <alignment horizontal="center" vertical="center"/>
    </xf>
    <xf numFmtId="0" fontId="52" fillId="0" borderId="0" xfId="55" applyFont="1" applyAlignment="1">
      <alignment horizontal="left" vertical="center"/>
    </xf>
    <xf numFmtId="0" fontId="52" fillId="0" borderId="0" xfId="55" applyFont="1" applyAlignment="1">
      <alignment horizontal="center" vertical="center"/>
    </xf>
    <xf numFmtId="0" fontId="48" fillId="0" borderId="0" xfId="55" applyFont="1" applyAlignment="1">
      <alignment horizontal="left" vertical="center"/>
    </xf>
    <xf numFmtId="0" fontId="48" fillId="0" borderId="0" xfId="55" applyFont="1" applyAlignment="1">
      <alignment horizontal="center" vertical="center"/>
    </xf>
    <xf numFmtId="9" fontId="44" fillId="0" borderId="15" xfId="38" applyFont="1" applyBorder="1" applyAlignment="1">
      <alignment horizontal="center" vertical="center" wrapText="1"/>
    </xf>
    <xf numFmtId="0" fontId="45" fillId="4" borderId="17" xfId="55" applyFont="1" applyFill="1" applyBorder="1" applyAlignment="1">
      <alignment horizontal="center" vertical="center"/>
    </xf>
    <xf numFmtId="0" fontId="45" fillId="4" borderId="17" xfId="55" applyNumberFormat="1" applyFont="1" applyFill="1" applyBorder="1" applyAlignment="1">
      <alignment horizontal="center" vertical="center"/>
    </xf>
    <xf numFmtId="9" fontId="44" fillId="0" borderId="18" xfId="38" applyFont="1" applyBorder="1" applyAlignment="1">
      <alignment horizontal="center" vertical="center" wrapText="1"/>
    </xf>
    <xf numFmtId="9" fontId="44" fillId="0" borderId="19" xfId="38" applyFont="1" applyBorder="1" applyAlignment="1">
      <alignment horizontal="center" vertical="center" wrapText="1"/>
    </xf>
    <xf numFmtId="0" fontId="44" fillId="0" borderId="15" xfId="55" applyFont="1" applyBorder="1" applyAlignment="1">
      <alignment horizontal="center" vertical="center" wrapText="1"/>
    </xf>
    <xf numFmtId="0" fontId="44" fillId="0" borderId="18" xfId="55" applyFont="1" applyBorder="1" applyAlignment="1">
      <alignment horizontal="center" vertical="center" wrapText="1"/>
    </xf>
    <xf numFmtId="0" fontId="44" fillId="0" borderId="19" xfId="55" applyFont="1" applyBorder="1" applyAlignment="1">
      <alignment horizontal="center" vertical="center" wrapText="1"/>
    </xf>
    <xf numFmtId="0" fontId="44" fillId="0" borderId="18" xfId="55" applyFont="1" applyBorder="1" applyAlignment="1">
      <alignment horizontal="center" vertical="center" wrapText="1"/>
    </xf>
    <xf numFmtId="0" fontId="44" fillId="0" borderId="0" xfId="55" applyFont="1" applyAlignment="1">
      <alignment horizontal="center" vertical="center"/>
    </xf>
    <xf numFmtId="168" fontId="44" fillId="0" borderId="17" xfId="11" applyNumberFormat="1" applyFont="1" applyBorder="1" applyAlignment="1">
      <alignment horizontal="center" vertical="center"/>
    </xf>
    <xf numFmtId="0" fontId="44" fillId="0" borderId="33" xfId="55" applyFont="1" applyBorder="1" applyAlignment="1">
      <alignment horizontal="center" vertical="center"/>
    </xf>
    <xf numFmtId="168" fontId="44" fillId="0" borderId="34" xfId="11" applyNumberFormat="1" applyFont="1" applyBorder="1" applyAlignment="1">
      <alignment horizontal="center" vertical="center"/>
    </xf>
    <xf numFmtId="0" fontId="44" fillId="0" borderId="12" xfId="55" applyFont="1" applyBorder="1" applyAlignment="1">
      <alignment horizontal="center" vertical="center"/>
    </xf>
    <xf numFmtId="0" fontId="44" fillId="0" borderId="36" xfId="55" applyFont="1" applyBorder="1" applyAlignment="1">
      <alignment horizontal="center" vertical="center"/>
    </xf>
    <xf numFmtId="168" fontId="44" fillId="0" borderId="19" xfId="11" applyNumberFormat="1" applyFont="1" applyBorder="1" applyAlignment="1">
      <alignment horizontal="center" vertical="center"/>
    </xf>
    <xf numFmtId="168" fontId="44" fillId="0" borderId="37" xfId="11" applyNumberFormat="1" applyFont="1" applyBorder="1" applyAlignment="1">
      <alignment horizontal="center" vertical="center"/>
    </xf>
    <xf numFmtId="0" fontId="44" fillId="0" borderId="14" xfId="55" applyFont="1" applyBorder="1" applyAlignment="1">
      <alignment horizontal="center" vertical="center"/>
    </xf>
    <xf numFmtId="168" fontId="44" fillId="0" borderId="15" xfId="11" applyNumberFormat="1" applyFont="1" applyBorder="1" applyAlignment="1">
      <alignment horizontal="center" vertical="center"/>
    </xf>
    <xf numFmtId="168" fontId="44" fillId="0" borderId="16" xfId="11" applyNumberFormat="1" applyFont="1" applyBorder="1" applyAlignment="1">
      <alignment horizontal="center" vertical="center"/>
    </xf>
    <xf numFmtId="0" fontId="45" fillId="0" borderId="38" xfId="55" applyFont="1" applyBorder="1" applyAlignment="1">
      <alignment horizontal="center" vertical="center"/>
    </xf>
    <xf numFmtId="168" fontId="45" fillId="0" borderId="39" xfId="55" applyNumberFormat="1" applyFont="1" applyBorder="1" applyAlignment="1">
      <alignment horizontal="center" vertical="center"/>
    </xf>
    <xf numFmtId="168" fontId="45" fillId="0" borderId="40" xfId="55" applyNumberFormat="1" applyFont="1" applyBorder="1" applyAlignment="1">
      <alignment horizontal="center" vertical="center"/>
    </xf>
    <xf numFmtId="0" fontId="44" fillId="0" borderId="28" xfId="55" applyFont="1" applyBorder="1" applyAlignment="1">
      <alignment horizontal="center" vertical="center"/>
    </xf>
    <xf numFmtId="168" fontId="44" fillId="0" borderId="29" xfId="11" applyNumberFormat="1" applyFont="1" applyBorder="1" applyAlignment="1">
      <alignment horizontal="center" vertical="center"/>
    </xf>
    <xf numFmtId="168" fontId="44" fillId="0" borderId="30" xfId="11" applyNumberFormat="1" applyFont="1" applyBorder="1" applyAlignment="1">
      <alignment horizontal="center" vertical="center"/>
    </xf>
    <xf numFmtId="168" fontId="44" fillId="0" borderId="35" xfId="11" applyNumberFormat="1" applyFont="1" applyBorder="1" applyAlignment="1">
      <alignment horizontal="center" vertical="center"/>
    </xf>
    <xf numFmtId="168" fontId="44" fillId="0" borderId="13" xfId="11" applyNumberFormat="1" applyFont="1" applyBorder="1" applyAlignment="1">
      <alignment horizontal="center" vertical="center"/>
    </xf>
    <xf numFmtId="0" fontId="44" fillId="0" borderId="3" xfId="55" applyFont="1" applyBorder="1" applyAlignment="1">
      <alignment horizontal="center" vertical="center"/>
    </xf>
    <xf numFmtId="0" fontId="44" fillId="0" borderId="1" xfId="55" applyFont="1" applyBorder="1" applyAlignment="1">
      <alignment horizontal="center" vertical="center"/>
    </xf>
    <xf numFmtId="168" fontId="44" fillId="0" borderId="4" xfId="11" applyNumberFormat="1" applyFont="1" applyBorder="1" applyAlignment="1">
      <alignment horizontal="center" vertical="center"/>
    </xf>
    <xf numFmtId="0" fontId="44" fillId="0" borderId="26" xfId="55" applyFont="1" applyBorder="1" applyAlignment="1">
      <alignment horizontal="center" vertical="center"/>
    </xf>
    <xf numFmtId="168" fontId="44" fillId="0" borderId="32" xfId="11" applyNumberFormat="1" applyFont="1" applyBorder="1" applyAlignment="1">
      <alignment horizontal="center" vertical="center"/>
    </xf>
    <xf numFmtId="168" fontId="44" fillId="0" borderId="27" xfId="11" applyNumberFormat="1" applyFont="1" applyBorder="1" applyAlignment="1">
      <alignment horizontal="center" vertical="center"/>
    </xf>
    <xf numFmtId="49" fontId="44" fillId="0" borderId="15" xfId="55" applyNumberFormat="1" applyFont="1" applyBorder="1" applyAlignment="1">
      <alignment horizontal="center" vertical="center" wrapText="1"/>
    </xf>
    <xf numFmtId="49" fontId="44" fillId="0" borderId="18" xfId="55" applyNumberFormat="1" applyFont="1" applyBorder="1" applyAlignment="1">
      <alignment horizontal="center" vertical="center" wrapText="1"/>
    </xf>
    <xf numFmtId="49" fontId="44" fillId="0" borderId="19" xfId="55" quotePrefix="1" applyNumberFormat="1" applyFont="1" applyBorder="1" applyAlignment="1">
      <alignment horizontal="center" vertical="center" wrapText="1"/>
    </xf>
    <xf numFmtId="49" fontId="44" fillId="0" borderId="18" xfId="55" quotePrefix="1" applyNumberFormat="1" applyFont="1" applyBorder="1" applyAlignment="1">
      <alignment horizontal="center" vertical="center" wrapText="1"/>
    </xf>
    <xf numFmtId="49" fontId="44" fillId="0" borderId="19" xfId="55" applyNumberFormat="1" applyFont="1" applyBorder="1" applyAlignment="1">
      <alignment horizontal="center" vertical="center" wrapText="1"/>
    </xf>
    <xf numFmtId="49" fontId="44" fillId="0" borderId="15" xfId="55" quotePrefix="1" applyNumberFormat="1" applyFont="1" applyBorder="1" applyAlignment="1">
      <alignment horizontal="center" vertical="center" wrapText="1"/>
    </xf>
    <xf numFmtId="49" fontId="44" fillId="8" borderId="18" xfId="55" applyNumberFormat="1" applyFont="1" applyFill="1" applyBorder="1" applyAlignment="1">
      <alignment horizontal="center" vertical="center" wrapText="1"/>
    </xf>
    <xf numFmtId="49" fontId="44" fillId="0" borderId="18" xfId="55" applyNumberFormat="1" applyFont="1" applyFill="1" applyBorder="1" applyAlignment="1">
      <alignment horizontal="center" vertical="center" wrapText="1"/>
    </xf>
    <xf numFmtId="49" fontId="44" fillId="3" borderId="18" xfId="55" applyNumberFormat="1" applyFont="1" applyFill="1" applyBorder="1" applyAlignment="1">
      <alignment horizontal="center" vertical="center" wrapText="1"/>
    </xf>
    <xf numFmtId="0" fontId="45" fillId="0" borderId="18" xfId="55" applyFont="1" applyFill="1" applyBorder="1" applyAlignment="1">
      <alignment horizontal="center" vertical="center" wrapText="1"/>
    </xf>
    <xf numFmtId="0" fontId="44" fillId="0" borderId="33" xfId="55" applyFont="1" applyFill="1" applyBorder="1" applyAlignment="1">
      <alignment horizontal="center" vertical="center"/>
    </xf>
    <xf numFmtId="168" fontId="44" fillId="0" borderId="17" xfId="11" applyNumberFormat="1" applyFont="1" applyFill="1" applyBorder="1" applyAlignment="1">
      <alignment horizontal="center" vertical="center"/>
    </xf>
    <xf numFmtId="168" fontId="44" fillId="0" borderId="34" xfId="11" applyNumberFormat="1" applyFont="1" applyFill="1" applyBorder="1" applyAlignment="1">
      <alignment horizontal="center" vertical="center"/>
    </xf>
    <xf numFmtId="0" fontId="44" fillId="0" borderId="18" xfId="57" applyNumberFormat="1" applyFont="1" applyFill="1" applyBorder="1" applyAlignment="1">
      <alignment horizontal="center" vertical="center" wrapText="1"/>
    </xf>
    <xf numFmtId="168" fontId="44" fillId="0" borderId="18" xfId="57" applyNumberFormat="1" applyFont="1" applyFill="1" applyBorder="1" applyAlignment="1">
      <alignment horizontal="center" vertical="center" wrapText="1"/>
    </xf>
    <xf numFmtId="168" fontId="44" fillId="0" borderId="0" xfId="11" applyNumberFormat="1" applyFont="1" applyAlignment="1">
      <alignment horizontal="center" vertical="center"/>
    </xf>
    <xf numFmtId="0" fontId="54" fillId="12" borderId="26" xfId="0" applyFont="1" applyFill="1" applyBorder="1"/>
    <xf numFmtId="0" fontId="54" fillId="12" borderId="39" xfId="0" applyFont="1" applyFill="1" applyBorder="1"/>
    <xf numFmtId="168" fontId="54" fillId="12" borderId="39" xfId="11" applyNumberFormat="1" applyFont="1" applyFill="1" applyBorder="1"/>
    <xf numFmtId="168" fontId="54" fillId="12" borderId="40" xfId="0" applyNumberFormat="1" applyFont="1" applyFill="1" applyBorder="1"/>
    <xf numFmtId="168" fontId="53" fillId="12" borderId="0" xfId="11" applyNumberFormat="1" applyFont="1" applyFill="1" applyAlignment="1">
      <alignment horizontal="center" vertical="center"/>
    </xf>
    <xf numFmtId="0" fontId="56" fillId="0" borderId="0" xfId="55" applyFont="1" applyAlignment="1">
      <alignment horizontal="right" vertical="center"/>
    </xf>
    <xf numFmtId="168" fontId="56" fillId="0" borderId="0" xfId="11" applyNumberFormat="1" applyFont="1" applyAlignment="1">
      <alignment horizontal="center" vertical="center"/>
    </xf>
    <xf numFmtId="0" fontId="56" fillId="0" borderId="0" xfId="55" applyFont="1" applyAlignment="1">
      <alignment horizontal="left" vertical="center"/>
    </xf>
    <xf numFmtId="168" fontId="56" fillId="0" borderId="0" xfId="55" applyNumberFormat="1" applyFont="1" applyAlignment="1">
      <alignment horizontal="center" vertical="center"/>
    </xf>
    <xf numFmtId="0" fontId="45" fillId="4" borderId="5" xfId="55" applyFont="1" applyFill="1" applyBorder="1" applyAlignment="1">
      <alignment vertical="center"/>
    </xf>
    <xf numFmtId="0" fontId="58" fillId="15" borderId="15" xfId="0" applyFont="1" applyFill="1" applyBorder="1" applyAlignment="1">
      <alignment horizontal="center" vertical="center"/>
    </xf>
    <xf numFmtId="168" fontId="58" fillId="15" borderId="15" xfId="11" applyNumberFormat="1" applyFont="1" applyFill="1" applyBorder="1" applyAlignment="1">
      <alignment horizontal="center" vertical="center"/>
    </xf>
    <xf numFmtId="0" fontId="59" fillId="0" borderId="0" xfId="0" applyFont="1" applyAlignment="1">
      <alignment horizontal="center" vertical="center"/>
    </xf>
    <xf numFmtId="0" fontId="59" fillId="0" borderId="18" xfId="0" applyFont="1" applyBorder="1" applyAlignment="1">
      <alignment horizontal="center" vertical="center"/>
    </xf>
    <xf numFmtId="168" fontId="59" fillId="0" borderId="18" xfId="11" applyNumberFormat="1" applyFont="1" applyBorder="1" applyAlignment="1">
      <alignment horizontal="center" vertical="center"/>
    </xf>
    <xf numFmtId="0" fontId="59" fillId="16" borderId="18" xfId="0" applyFont="1" applyFill="1" applyBorder="1" applyAlignment="1">
      <alignment horizontal="center" vertical="center"/>
    </xf>
    <xf numFmtId="168" fontId="59" fillId="16" borderId="18" xfId="11" applyNumberFormat="1" applyFont="1" applyFill="1" applyBorder="1" applyAlignment="1">
      <alignment horizontal="center" vertical="center"/>
    </xf>
    <xf numFmtId="0" fontId="59" fillId="0" borderId="18" xfId="0" applyFont="1" applyFill="1" applyBorder="1" applyAlignment="1">
      <alignment horizontal="center" vertical="center"/>
    </xf>
    <xf numFmtId="168" fontId="59" fillId="0" borderId="18" xfId="11" applyNumberFormat="1" applyFont="1" applyFill="1" applyBorder="1" applyAlignment="1">
      <alignment horizontal="center" vertical="center"/>
    </xf>
    <xf numFmtId="168" fontId="59" fillId="0" borderId="0" xfId="0" applyNumberFormat="1" applyFont="1" applyAlignment="1">
      <alignment horizontal="center" vertical="center"/>
    </xf>
    <xf numFmtId="0" fontId="59" fillId="0" borderId="0" xfId="0" applyFont="1" applyBorder="1" applyAlignment="1">
      <alignment horizontal="center" vertical="center"/>
    </xf>
    <xf numFmtId="168" fontId="59" fillId="0" borderId="0" xfId="11" applyNumberFormat="1" applyFont="1" applyBorder="1" applyAlignment="1">
      <alignment horizontal="center" vertical="center"/>
    </xf>
    <xf numFmtId="0" fontId="59" fillId="16" borderId="5" xfId="0" applyFont="1" applyFill="1" applyBorder="1" applyAlignment="1">
      <alignment horizontal="center" vertical="center"/>
    </xf>
    <xf numFmtId="0" fontId="59" fillId="16" borderId="6" xfId="0" applyFont="1" applyFill="1" applyBorder="1" applyAlignment="1">
      <alignment horizontal="center" vertical="center"/>
    </xf>
    <xf numFmtId="168" fontId="59" fillId="16" borderId="20" xfId="11" applyNumberFormat="1" applyFont="1" applyFill="1" applyBorder="1" applyAlignment="1">
      <alignment horizontal="center" vertical="center"/>
    </xf>
    <xf numFmtId="168" fontId="59" fillId="0" borderId="0" xfId="11" applyNumberFormat="1" applyFont="1" applyAlignment="1">
      <alignment horizontal="center" vertical="center"/>
    </xf>
    <xf numFmtId="0" fontId="59" fillId="0" borderId="0" xfId="91" applyFont="1" applyAlignment="1">
      <alignment horizontal="left" vertical="center"/>
    </xf>
    <xf numFmtId="0" fontId="59" fillId="0" borderId="0" xfId="91" applyFont="1" applyAlignment="1">
      <alignment horizontal="center" vertical="center"/>
    </xf>
    <xf numFmtId="0" fontId="58" fillId="15" borderId="17" xfId="91" applyFont="1" applyFill="1" applyBorder="1" applyAlignment="1">
      <alignment horizontal="center" vertical="center"/>
    </xf>
    <xf numFmtId="179" fontId="60" fillId="15" borderId="6" xfId="91" applyNumberFormat="1" applyFont="1" applyFill="1" applyBorder="1" applyAlignment="1">
      <alignment horizontal="center" vertical="center"/>
    </xf>
    <xf numFmtId="0" fontId="60" fillId="15" borderId="17" xfId="91" applyFont="1" applyFill="1" applyBorder="1" applyAlignment="1">
      <alignment horizontal="center" vertical="center"/>
    </xf>
    <xf numFmtId="0" fontId="60" fillId="15" borderId="6" xfId="91" applyFont="1" applyFill="1" applyBorder="1" applyAlignment="1">
      <alignment horizontal="center" vertical="center"/>
    </xf>
    <xf numFmtId="168" fontId="60" fillId="15" borderId="17" xfId="92" applyNumberFormat="1" applyFont="1" applyFill="1" applyBorder="1" applyAlignment="1">
      <alignment horizontal="center" vertical="center"/>
    </xf>
    <xf numFmtId="0" fontId="61" fillId="0" borderId="0" xfId="91" applyFont="1" applyAlignment="1">
      <alignment horizontal="left" vertical="center"/>
    </xf>
    <xf numFmtId="0" fontId="61" fillId="0" borderId="0" xfId="91" applyFont="1" applyAlignment="1">
      <alignment horizontal="center" vertical="center"/>
    </xf>
    <xf numFmtId="179" fontId="59" fillId="3" borderId="18" xfId="91" applyNumberFormat="1" applyFont="1" applyFill="1" applyBorder="1" applyAlignment="1">
      <alignment horizontal="center" vertical="center"/>
    </xf>
    <xf numFmtId="0" fontId="59" fillId="3" borderId="18" xfId="91" applyFont="1" applyFill="1" applyBorder="1" applyAlignment="1">
      <alignment horizontal="center" vertical="center"/>
    </xf>
    <xf numFmtId="168" fontId="59" fillId="3" borderId="18" xfId="92" applyNumberFormat="1" applyFont="1" applyFill="1" applyBorder="1" applyAlignment="1">
      <alignment horizontal="center" vertical="center"/>
    </xf>
    <xf numFmtId="0" fontId="62" fillId="16" borderId="5" xfId="91" applyFont="1" applyFill="1" applyBorder="1" applyAlignment="1">
      <alignment horizontal="center" vertical="center"/>
    </xf>
    <xf numFmtId="179" fontId="63" fillId="16" borderId="6" xfId="91" applyNumberFormat="1" applyFont="1" applyFill="1" applyBorder="1" applyAlignment="1">
      <alignment horizontal="center" vertical="center"/>
    </xf>
    <xf numFmtId="0" fontId="63" fillId="16" borderId="6" xfId="91" applyFont="1" applyFill="1" applyBorder="1" applyAlignment="1">
      <alignment horizontal="center" vertical="center"/>
    </xf>
    <xf numFmtId="0" fontId="59" fillId="0" borderId="18" xfId="91" applyFont="1" applyFill="1" applyBorder="1" applyAlignment="1">
      <alignment horizontal="center" vertical="center"/>
    </xf>
    <xf numFmtId="168" fontId="65" fillId="0" borderId="18" xfId="92" applyNumberFormat="1" applyFont="1" applyFill="1" applyBorder="1" applyAlignment="1">
      <alignment horizontal="center" vertical="center"/>
    </xf>
    <xf numFmtId="0" fontId="64" fillId="3" borderId="18" xfId="91" applyFont="1" applyFill="1" applyBorder="1" applyAlignment="1">
      <alignment horizontal="center"/>
    </xf>
    <xf numFmtId="0" fontId="59" fillId="3" borderId="42" xfId="91" applyFont="1" applyFill="1" applyBorder="1" applyAlignment="1">
      <alignment horizontal="center" vertical="center"/>
    </xf>
    <xf numFmtId="168" fontId="63" fillId="16" borderId="20" xfId="92" applyNumberFormat="1" applyFont="1" applyFill="1" applyBorder="1" applyAlignment="1">
      <alignment horizontal="center" vertical="center"/>
    </xf>
    <xf numFmtId="0" fontId="62" fillId="16" borderId="6" xfId="91" applyFont="1" applyFill="1" applyBorder="1" applyAlignment="1">
      <alignment horizontal="center" vertical="center"/>
    </xf>
    <xf numFmtId="168" fontId="59" fillId="0" borderId="18" xfId="92" applyNumberFormat="1" applyFont="1" applyFill="1" applyBorder="1" applyAlignment="1">
      <alignment horizontal="center" vertical="center"/>
    </xf>
    <xf numFmtId="168" fontId="62" fillId="16" borderId="20" xfId="92" applyNumberFormat="1" applyFont="1" applyFill="1" applyBorder="1" applyAlignment="1">
      <alignment horizontal="center" vertical="center"/>
    </xf>
    <xf numFmtId="179" fontId="59" fillId="0" borderId="11" xfId="91" applyNumberFormat="1" applyFont="1" applyFill="1" applyBorder="1" applyAlignment="1">
      <alignment horizontal="center" vertical="center"/>
    </xf>
    <xf numFmtId="179" fontId="59" fillId="3" borderId="11" xfId="91" applyNumberFormat="1" applyFont="1" applyFill="1" applyBorder="1" applyAlignment="1">
      <alignment horizontal="center" vertical="center"/>
    </xf>
    <xf numFmtId="0" fontId="65" fillId="3" borderId="18" xfId="91" applyFont="1" applyFill="1" applyBorder="1" applyAlignment="1">
      <alignment horizontal="center" vertical="center"/>
    </xf>
    <xf numFmtId="0" fontId="59" fillId="3" borderId="11" xfId="91" applyFont="1" applyFill="1" applyBorder="1" applyAlignment="1">
      <alignment horizontal="center" vertical="center"/>
    </xf>
    <xf numFmtId="0" fontId="65" fillId="0" borderId="18" xfId="91" applyFont="1" applyFill="1" applyBorder="1" applyAlignment="1">
      <alignment horizontal="center" vertical="center"/>
    </xf>
    <xf numFmtId="0" fontId="59" fillId="0" borderId="11" xfId="91" applyFont="1" applyFill="1" applyBorder="1" applyAlignment="1">
      <alignment horizontal="center" vertical="center"/>
    </xf>
    <xf numFmtId="179" fontId="59" fillId="0" borderId="0" xfId="91" applyNumberFormat="1" applyFont="1" applyFill="1" applyBorder="1" applyAlignment="1">
      <alignment horizontal="center" vertical="center"/>
    </xf>
    <xf numFmtId="0" fontId="62" fillId="16" borderId="6" xfId="91" applyFont="1" applyFill="1" applyBorder="1" applyAlignment="1">
      <alignment horizontal="left" vertical="center"/>
    </xf>
    <xf numFmtId="179" fontId="59" fillId="0" borderId="0" xfId="91" applyNumberFormat="1" applyFont="1" applyAlignment="1">
      <alignment horizontal="center" vertical="center"/>
    </xf>
    <xf numFmtId="168" fontId="59" fillId="0" borderId="0" xfId="92" applyNumberFormat="1" applyFont="1" applyAlignment="1">
      <alignment horizontal="center" vertical="center"/>
    </xf>
    <xf numFmtId="0" fontId="59" fillId="0" borderId="18" xfId="0" applyFont="1" applyFill="1" applyBorder="1" applyAlignment="1">
      <alignment horizontal="center" vertical="center"/>
    </xf>
    <xf numFmtId="0" fontId="59" fillId="0" borderId="18" xfId="0" applyFont="1" applyFill="1" applyBorder="1" applyAlignment="1">
      <alignment horizontal="center" vertical="center"/>
    </xf>
    <xf numFmtId="168" fontId="59" fillId="0" borderId="18" xfId="11" applyNumberFormat="1" applyFont="1" applyFill="1" applyBorder="1" applyAlignment="1">
      <alignment horizontal="right" vertical="center"/>
    </xf>
    <xf numFmtId="6" fontId="59" fillId="0" borderId="0" xfId="91" applyNumberFormat="1" applyFont="1" applyAlignment="1">
      <alignment horizontal="left" vertical="center"/>
    </xf>
    <xf numFmtId="6" fontId="59" fillId="0" borderId="0" xfId="91" applyNumberFormat="1" applyFont="1" applyAlignment="1">
      <alignment horizontal="center" vertical="center"/>
    </xf>
    <xf numFmtId="9" fontId="59" fillId="0" borderId="0" xfId="38" applyFont="1" applyAlignment="1">
      <alignment horizontal="center" vertical="center"/>
    </xf>
    <xf numFmtId="0" fontId="59" fillId="0" borderId="0" xfId="91" applyFont="1" applyFill="1" applyBorder="1" applyAlignment="1">
      <alignment horizontal="center" vertical="center"/>
    </xf>
    <xf numFmtId="0" fontId="59" fillId="0" borderId="42" xfId="91" applyFont="1" applyFill="1" applyBorder="1" applyAlignment="1">
      <alignment horizontal="center" vertical="center"/>
    </xf>
    <xf numFmtId="3" fontId="59" fillId="0" borderId="0" xfId="0" applyNumberFormat="1" applyFont="1" applyAlignment="1">
      <alignment horizontal="center" vertical="center"/>
    </xf>
    <xf numFmtId="0" fontId="67" fillId="0" borderId="0" xfId="19" applyFont="1" applyAlignment="1">
      <alignment horizontal="center" vertical="center"/>
    </xf>
    <xf numFmtId="0" fontId="68" fillId="0" borderId="0" xfId="19" applyFont="1" applyAlignment="1">
      <alignment horizontal="center" vertical="center"/>
    </xf>
    <xf numFmtId="168" fontId="68" fillId="0" borderId="0" xfId="11" applyNumberFormat="1" applyFont="1" applyAlignment="1">
      <alignment horizontal="center" vertical="center"/>
    </xf>
    <xf numFmtId="168" fontId="68" fillId="0" borderId="0" xfId="11" applyNumberFormat="1" applyFont="1" applyFill="1" applyAlignment="1">
      <alignment horizontal="center" vertical="center"/>
    </xf>
    <xf numFmtId="168" fontId="67" fillId="0" borderId="0" xfId="11" applyNumberFormat="1" applyFont="1" applyFill="1" applyAlignment="1">
      <alignment horizontal="center" vertical="center"/>
    </xf>
    <xf numFmtId="0" fontId="70" fillId="2" borderId="17" xfId="19" applyFont="1" applyFill="1" applyBorder="1" applyAlignment="1">
      <alignment horizontal="center" vertical="center"/>
    </xf>
    <xf numFmtId="0" fontId="48" fillId="0" borderId="0" xfId="19" applyFont="1" applyAlignment="1">
      <alignment horizontal="center" vertical="center"/>
    </xf>
    <xf numFmtId="0" fontId="69" fillId="13" borderId="17" xfId="19" applyFont="1" applyFill="1" applyBorder="1" applyAlignment="1">
      <alignment horizontal="center" vertical="center"/>
    </xf>
    <xf numFmtId="0" fontId="69" fillId="14" borderId="17" xfId="19" applyFont="1" applyFill="1" applyBorder="1" applyAlignment="1">
      <alignment horizontal="center" vertical="center"/>
    </xf>
    <xf numFmtId="168" fontId="69" fillId="14" borderId="17" xfId="11" applyNumberFormat="1" applyFont="1" applyFill="1" applyBorder="1" applyAlignment="1">
      <alignment horizontal="center" vertical="center"/>
    </xf>
    <xf numFmtId="0" fontId="69" fillId="13" borderId="17" xfId="19" applyFont="1" applyFill="1" applyBorder="1" applyAlignment="1">
      <alignment horizontal="left" vertical="center"/>
    </xf>
    <xf numFmtId="0" fontId="67" fillId="17" borderId="17" xfId="19" applyFont="1" applyFill="1" applyBorder="1" applyAlignment="1">
      <alignment horizontal="center" vertical="center"/>
    </xf>
    <xf numFmtId="0" fontId="53" fillId="12" borderId="0" xfId="55" applyFont="1" applyFill="1" applyAlignment="1">
      <alignment horizontal="center" vertical="center"/>
    </xf>
    <xf numFmtId="0" fontId="59" fillId="10" borderId="18" xfId="91" applyFont="1" applyFill="1" applyBorder="1" applyAlignment="1">
      <alignment horizontal="center" vertical="center"/>
    </xf>
    <xf numFmtId="0" fontId="10" fillId="0" borderId="0" xfId="0" applyFont="1"/>
    <xf numFmtId="0" fontId="54" fillId="14" borderId="120" xfId="0" applyFont="1" applyFill="1" applyBorder="1" applyAlignment="1">
      <alignment horizontal="center" vertical="center"/>
    </xf>
    <xf numFmtId="0" fontId="54" fillId="14" borderId="121" xfId="0" applyFont="1" applyFill="1" applyBorder="1" applyAlignment="1">
      <alignment horizontal="center" vertical="center"/>
    </xf>
    <xf numFmtId="44" fontId="54" fillId="13" borderId="41" xfId="11" applyFont="1" applyFill="1" applyBorder="1" applyAlignment="1">
      <alignment vertical="center"/>
    </xf>
    <xf numFmtId="0" fontId="54" fillId="13" borderId="25" xfId="0" applyFont="1" applyFill="1" applyBorder="1" applyAlignment="1">
      <alignment vertical="center"/>
    </xf>
    <xf numFmtId="0" fontId="54" fillId="13" borderId="35" xfId="0" applyFont="1" applyFill="1" applyBorder="1" applyAlignment="1">
      <alignment vertical="center"/>
    </xf>
    <xf numFmtId="0" fontId="14" fillId="0" borderId="17" xfId="0" applyFont="1" applyBorder="1" applyAlignment="1">
      <alignment horizontal="left" vertical="center"/>
    </xf>
    <xf numFmtId="0" fontId="54" fillId="13" borderId="17" xfId="0" applyFont="1" applyFill="1" applyBorder="1" applyAlignment="1">
      <alignment vertical="center"/>
    </xf>
    <xf numFmtId="174" fontId="54" fillId="13" borderId="17" xfId="0" applyNumberFormat="1" applyFont="1" applyFill="1" applyBorder="1"/>
    <xf numFmtId="0" fontId="54" fillId="106" borderId="17" xfId="0" applyFont="1" applyFill="1" applyBorder="1"/>
    <xf numFmtId="0" fontId="10" fillId="0" borderId="115" xfId="0" applyFont="1" applyBorder="1"/>
    <xf numFmtId="0" fontId="10" fillId="0" borderId="125" xfId="0" applyFont="1" applyBorder="1" applyAlignment="1">
      <alignment horizontal="center"/>
    </xf>
    <xf numFmtId="0" fontId="10" fillId="0" borderId="117" xfId="0" applyFont="1" applyFill="1" applyBorder="1"/>
    <xf numFmtId="0" fontId="0" fillId="3" borderId="0" xfId="0" applyFill="1"/>
    <xf numFmtId="0" fontId="10" fillId="3" borderId="0" xfId="0" applyFont="1" applyFill="1"/>
    <xf numFmtId="0" fontId="14" fillId="3" borderId="0" xfId="0" applyFont="1" applyFill="1"/>
    <xf numFmtId="44" fontId="14" fillId="3" borderId="0" xfId="11" applyFont="1" applyFill="1"/>
    <xf numFmtId="0" fontId="14" fillId="0" borderId="14" xfId="0" applyFont="1" applyBorder="1" applyAlignment="1">
      <alignment vertical="center"/>
    </xf>
    <xf numFmtId="0" fontId="226" fillId="3" borderId="0" xfId="0" applyFont="1" applyFill="1"/>
    <xf numFmtId="0" fontId="47" fillId="0" borderId="123" xfId="0" applyFont="1" applyBorder="1" applyAlignment="1" applyProtection="1">
      <alignment horizontal="center" vertical="center"/>
    </xf>
    <xf numFmtId="0" fontId="47" fillId="0" borderId="124" xfId="0" applyFont="1" applyBorder="1" applyAlignment="1" applyProtection="1">
      <alignment horizontal="center" vertical="center"/>
    </xf>
    <xf numFmtId="0" fontId="47" fillId="0" borderId="122" xfId="0" applyFont="1" applyBorder="1" applyAlignment="1" applyProtection="1">
      <alignment horizontal="center" vertical="center"/>
    </xf>
    <xf numFmtId="0" fontId="47" fillId="0" borderId="0" xfId="0" applyNumberFormat="1" applyFont="1" applyAlignment="1" applyProtection="1">
      <alignment horizontal="center" vertical="center"/>
    </xf>
    <xf numFmtId="0" fontId="47" fillId="0" borderId="0" xfId="0" applyFont="1" applyAlignment="1" applyProtection="1">
      <alignment horizontal="center" vertical="center"/>
    </xf>
    <xf numFmtId="263" fontId="47" fillId="0" borderId="123" xfId="0" applyNumberFormat="1" applyFont="1" applyBorder="1" applyAlignment="1" applyProtection="1">
      <alignment horizontal="center" vertical="center"/>
    </xf>
    <xf numFmtId="263" fontId="47" fillId="0" borderId="124" xfId="0" applyNumberFormat="1" applyFont="1" applyBorder="1" applyAlignment="1" applyProtection="1">
      <alignment horizontal="center" vertical="center"/>
    </xf>
    <xf numFmtId="263" fontId="47" fillId="0" borderId="122" xfId="0" applyNumberFormat="1" applyFont="1" applyBorder="1" applyAlignment="1" applyProtection="1">
      <alignment horizontal="center" vertical="center"/>
    </xf>
    <xf numFmtId="0" fontId="47" fillId="0" borderId="0" xfId="0" applyFont="1" applyBorder="1" applyAlignment="1" applyProtection="1">
      <alignment horizontal="center"/>
    </xf>
    <xf numFmtId="0" fontId="47" fillId="0" borderId="21" xfId="0" applyFont="1" applyBorder="1" applyAlignment="1" applyProtection="1">
      <alignment horizontal="center"/>
    </xf>
    <xf numFmtId="0" fontId="47" fillId="0" borderId="44" xfId="0" applyFont="1" applyBorder="1" applyAlignment="1" applyProtection="1">
      <alignment horizontal="center"/>
    </xf>
    <xf numFmtId="0" fontId="49" fillId="4" borderId="26" xfId="0" applyFont="1" applyFill="1" applyBorder="1" applyAlignment="1" applyProtection="1">
      <alignment horizontal="center"/>
    </xf>
    <xf numFmtId="0" fontId="49" fillId="4" borderId="116" xfId="0" applyFont="1" applyFill="1" applyBorder="1" applyAlignment="1" applyProtection="1">
      <alignment horizontal="center"/>
    </xf>
    <xf numFmtId="0" fontId="49" fillId="4" borderId="117" xfId="0" applyFont="1" applyFill="1" applyBorder="1" applyAlignment="1" applyProtection="1">
      <alignment horizontal="center"/>
    </xf>
    <xf numFmtId="0" fontId="47" fillId="0" borderId="128" xfId="0" applyFont="1" applyBorder="1" applyAlignment="1" applyProtection="1">
      <alignment horizontal="center"/>
    </xf>
    <xf numFmtId="0" fontId="47" fillId="0" borderId="127" xfId="0" applyFont="1" applyBorder="1" applyAlignment="1" applyProtection="1">
      <alignment horizontal="center"/>
    </xf>
    <xf numFmtId="0" fontId="47" fillId="0" borderId="45" xfId="0" applyFont="1" applyBorder="1" applyAlignment="1" applyProtection="1">
      <alignment horizontal="center"/>
    </xf>
    <xf numFmtId="0" fontId="0" fillId="3" borderId="0" xfId="0" applyNumberFormat="1" applyFill="1"/>
    <xf numFmtId="0" fontId="10" fillId="3" borderId="0" xfId="0" applyNumberFormat="1" applyFont="1" applyFill="1"/>
    <xf numFmtId="0" fontId="10" fillId="0" borderId="126" xfId="0" applyFont="1" applyBorder="1"/>
    <xf numFmtId="0" fontId="10" fillId="0" borderId="68" xfId="0" applyFont="1" applyBorder="1"/>
    <xf numFmtId="0" fontId="10" fillId="0" borderId="68" xfId="0" applyFont="1" applyFill="1" applyBorder="1"/>
    <xf numFmtId="0" fontId="10" fillId="0" borderId="133" xfId="0" applyFont="1" applyBorder="1"/>
    <xf numFmtId="0" fontId="10" fillId="0" borderId="133" xfId="0" applyFont="1" applyFill="1" applyBorder="1"/>
    <xf numFmtId="0" fontId="47" fillId="0" borderId="131" xfId="0" applyFont="1" applyBorder="1" applyAlignment="1" applyProtection="1">
      <alignment horizontal="center"/>
    </xf>
    <xf numFmtId="0" fontId="47" fillId="0" borderId="0" xfId="0" applyFont="1" applyAlignment="1" applyProtection="1">
      <alignment horizontal="center"/>
    </xf>
    <xf numFmtId="263" fontId="47" fillId="0" borderId="0" xfId="0" applyNumberFormat="1" applyFont="1" applyAlignment="1" applyProtection="1">
      <alignment horizontal="center"/>
    </xf>
    <xf numFmtId="0" fontId="47" fillId="0" borderId="0" xfId="0" applyNumberFormat="1" applyFont="1" applyAlignment="1" applyProtection="1">
      <alignment horizontal="center"/>
    </xf>
    <xf numFmtId="0" fontId="49" fillId="0" borderId="0" xfId="0" applyFont="1" applyAlignment="1" applyProtection="1">
      <alignment horizontal="center"/>
    </xf>
    <xf numFmtId="0" fontId="49" fillId="0" borderId="0" xfId="0" applyNumberFormat="1" applyFont="1" applyAlignment="1" applyProtection="1">
      <alignment horizontal="center"/>
    </xf>
    <xf numFmtId="0" fontId="47" fillId="0" borderId="22" xfId="0" applyFont="1" applyBorder="1" applyAlignment="1" applyProtection="1">
      <alignment horizontal="center"/>
    </xf>
    <xf numFmtId="0" fontId="47" fillId="0" borderId="24" xfId="0" applyFont="1" applyBorder="1" applyAlignment="1" applyProtection="1">
      <alignment horizontal="center"/>
    </xf>
    <xf numFmtId="0" fontId="47" fillId="0" borderId="44" xfId="0" applyFont="1" applyBorder="1" applyAlignment="1" applyProtection="1">
      <alignment horizontal="center"/>
      <protection locked="0"/>
    </xf>
    <xf numFmtId="0" fontId="47" fillId="0" borderId="0" xfId="0" applyFont="1" applyBorder="1" applyAlignment="1" applyProtection="1">
      <alignment horizontal="center"/>
      <protection locked="0"/>
    </xf>
    <xf numFmtId="265" fontId="47" fillId="0" borderId="21" xfId="0" applyNumberFormat="1" applyFont="1" applyBorder="1" applyAlignment="1" applyProtection="1">
      <alignment horizontal="center"/>
      <protection locked="0"/>
    </xf>
    <xf numFmtId="0" fontId="47" fillId="0" borderId="24" xfId="0" applyFont="1" applyBorder="1" applyAlignment="1" applyProtection="1">
      <alignment horizontal="center"/>
      <protection locked="0"/>
    </xf>
    <xf numFmtId="0" fontId="50" fillId="6" borderId="31" xfId="0" applyFont="1" applyFill="1" applyBorder="1" applyAlignment="1" applyProtection="1">
      <alignment horizontal="center"/>
    </xf>
    <xf numFmtId="265" fontId="50" fillId="6" borderId="31" xfId="0" applyNumberFormat="1" applyFont="1" applyFill="1" applyBorder="1" applyAlignment="1" applyProtection="1">
      <alignment horizontal="center"/>
    </xf>
    <xf numFmtId="265" fontId="47" fillId="0" borderId="0" xfId="0" applyNumberFormat="1" applyFont="1" applyAlignment="1" applyProtection="1">
      <alignment horizontal="center"/>
    </xf>
    <xf numFmtId="0" fontId="50" fillId="109" borderId="31" xfId="0" applyFont="1" applyFill="1" applyBorder="1" applyAlignment="1" applyProtection="1">
      <alignment horizontal="center"/>
    </xf>
    <xf numFmtId="265" fontId="50" fillId="109" borderId="31" xfId="0" applyNumberFormat="1" applyFont="1" applyFill="1" applyBorder="1" applyAlignment="1" applyProtection="1">
      <alignment horizontal="center"/>
    </xf>
    <xf numFmtId="0" fontId="50" fillId="108" borderId="31" xfId="0" applyFont="1" applyFill="1" applyBorder="1" applyAlignment="1" applyProtection="1">
      <alignment horizontal="center"/>
    </xf>
    <xf numFmtId="265" fontId="50" fillId="108" borderId="31" xfId="0" applyNumberFormat="1" applyFont="1" applyFill="1" applyBorder="1" applyAlignment="1" applyProtection="1">
      <alignment horizontal="center"/>
    </xf>
    <xf numFmtId="0" fontId="47" fillId="107" borderId="31" xfId="0" applyFont="1" applyFill="1" applyBorder="1" applyAlignment="1" applyProtection="1">
      <alignment horizontal="center"/>
    </xf>
    <xf numFmtId="265" fontId="47" fillId="107" borderId="31" xfId="0" applyNumberFormat="1" applyFont="1" applyFill="1" applyBorder="1" applyAlignment="1" applyProtection="1">
      <alignment horizontal="center"/>
    </xf>
    <xf numFmtId="9" fontId="47" fillId="0" borderId="31" xfId="0" applyNumberFormat="1" applyFont="1" applyBorder="1" applyAlignment="1" applyProtection="1">
      <alignment horizontal="center"/>
    </xf>
    <xf numFmtId="0" fontId="47" fillId="0" borderId="22" xfId="0" applyFont="1" applyBorder="1" applyAlignment="1" applyProtection="1">
      <alignment horizontal="left"/>
    </xf>
    <xf numFmtId="0" fontId="47" fillId="0" borderId="44" xfId="0" applyFont="1" applyBorder="1" applyAlignment="1" applyProtection="1">
      <alignment horizontal="left"/>
    </xf>
    <xf numFmtId="0" fontId="47" fillId="0" borderId="21" xfId="0" applyFont="1" applyBorder="1" applyAlignment="1" applyProtection="1">
      <alignment horizontal="left"/>
    </xf>
    <xf numFmtId="0" fontId="47" fillId="0" borderId="24" xfId="0" applyFont="1" applyBorder="1" applyAlignment="1" applyProtection="1">
      <alignment horizontal="left"/>
    </xf>
    <xf numFmtId="0" fontId="47" fillId="0" borderId="0" xfId="0" applyFont="1" applyBorder="1" applyAlignment="1" applyProtection="1">
      <alignment horizontal="left"/>
    </xf>
    <xf numFmtId="0" fontId="47" fillId="0" borderId="46" xfId="0" applyFont="1" applyBorder="1" applyAlignment="1" applyProtection="1">
      <alignment horizontal="left"/>
    </xf>
    <xf numFmtId="0" fontId="47" fillId="0" borderId="22" xfId="0" applyFont="1" applyBorder="1" applyAlignment="1" applyProtection="1">
      <alignment horizontal="left"/>
      <protection locked="0"/>
    </xf>
    <xf numFmtId="0" fontId="47" fillId="0" borderId="44" xfId="0" applyFont="1" applyBorder="1" applyAlignment="1" applyProtection="1">
      <alignment horizontal="left"/>
      <protection locked="0"/>
    </xf>
    <xf numFmtId="0" fontId="47" fillId="0" borderId="0" xfId="0" applyFont="1" applyBorder="1" applyAlignment="1" applyProtection="1">
      <alignment horizontal="left"/>
      <protection locked="0"/>
    </xf>
    <xf numFmtId="0" fontId="47" fillId="0" borderId="46" xfId="0" applyFont="1" applyBorder="1" applyAlignment="1" applyProtection="1">
      <alignment horizontal="left"/>
      <protection locked="0"/>
    </xf>
    <xf numFmtId="0" fontId="47" fillId="0" borderId="24" xfId="0" applyFont="1" applyBorder="1" applyAlignment="1" applyProtection="1">
      <alignment horizontal="left"/>
      <protection locked="0"/>
    </xf>
    <xf numFmtId="0" fontId="67" fillId="4" borderId="132" xfId="19" applyFont="1" applyFill="1" applyBorder="1" applyAlignment="1">
      <alignment vertical="center" textRotation="90" wrapText="1"/>
    </xf>
    <xf numFmtId="0" fontId="67" fillId="4" borderId="18" xfId="19" applyFont="1" applyFill="1" applyBorder="1" applyAlignment="1">
      <alignment vertical="center" textRotation="90" wrapText="1"/>
    </xf>
    <xf numFmtId="0" fontId="67" fillId="4" borderId="133" xfId="19" applyFont="1" applyFill="1" applyBorder="1" applyAlignment="1">
      <alignment vertical="center" textRotation="90" wrapText="1"/>
    </xf>
    <xf numFmtId="0" fontId="47" fillId="0" borderId="131" xfId="0" applyFont="1" applyBorder="1" applyAlignment="1" applyProtection="1">
      <alignment horizontal="left"/>
    </xf>
    <xf numFmtId="0" fontId="47" fillId="0" borderId="130" xfId="0" applyFont="1" applyBorder="1" applyAlignment="1" applyProtection="1">
      <alignment horizontal="left"/>
    </xf>
    <xf numFmtId="265" fontId="67" fillId="17" borderId="17" xfId="11" applyNumberFormat="1" applyFont="1" applyFill="1" applyBorder="1" applyAlignment="1">
      <alignment horizontal="center" vertical="center"/>
    </xf>
    <xf numFmtId="265" fontId="48" fillId="0" borderId="0" xfId="11" applyNumberFormat="1" applyFont="1" applyFill="1" applyAlignment="1">
      <alignment horizontal="center" vertical="center"/>
    </xf>
    <xf numFmtId="265" fontId="70" fillId="3" borderId="17" xfId="11" applyNumberFormat="1" applyFont="1" applyFill="1" applyBorder="1" applyAlignment="1">
      <alignment horizontal="center" vertical="center"/>
    </xf>
    <xf numFmtId="265" fontId="70" fillId="4" borderId="17" xfId="11" applyNumberFormat="1" applyFont="1" applyFill="1" applyBorder="1" applyAlignment="1">
      <alignment horizontal="center" vertical="center"/>
    </xf>
    <xf numFmtId="265" fontId="53" fillId="13" borderId="17" xfId="11" applyNumberFormat="1" applyFont="1" applyFill="1" applyBorder="1" applyAlignment="1">
      <alignment horizontal="center" vertical="center"/>
    </xf>
    <xf numFmtId="265" fontId="67" fillId="0" borderId="0" xfId="11" applyNumberFormat="1" applyFont="1" applyFill="1" applyAlignment="1">
      <alignment horizontal="center" vertical="center"/>
    </xf>
    <xf numFmtId="265" fontId="70" fillId="3" borderId="68" xfId="11" applyNumberFormat="1" applyFont="1" applyFill="1" applyBorder="1" applyAlignment="1">
      <alignment horizontal="center" vertical="center"/>
    </xf>
    <xf numFmtId="265" fontId="70" fillId="3" borderId="0" xfId="11" applyNumberFormat="1" applyFont="1" applyFill="1" applyBorder="1" applyAlignment="1">
      <alignment horizontal="center" vertical="center"/>
    </xf>
    <xf numFmtId="265" fontId="227" fillId="13" borderId="68" xfId="11" applyNumberFormat="1" applyFont="1" applyFill="1" applyBorder="1" applyAlignment="1">
      <alignment horizontal="center" vertical="center"/>
    </xf>
    <xf numFmtId="265" fontId="227" fillId="3" borderId="68" xfId="11" applyNumberFormat="1" applyFont="1" applyFill="1" applyBorder="1" applyAlignment="1">
      <alignment horizontal="center" vertical="center"/>
    </xf>
    <xf numFmtId="168" fontId="69" fillId="3" borderId="0" xfId="11" applyNumberFormat="1" applyFont="1" applyFill="1" applyBorder="1" applyAlignment="1">
      <alignment horizontal="center" vertical="center"/>
    </xf>
    <xf numFmtId="265" fontId="227" fillId="13" borderId="17" xfId="11" applyNumberFormat="1" applyFont="1" applyFill="1" applyBorder="1" applyAlignment="1">
      <alignment horizontal="center" vertical="center"/>
    </xf>
    <xf numFmtId="265" fontId="54" fillId="106" borderId="17" xfId="0" applyNumberFormat="1" applyFont="1" applyFill="1" applyBorder="1"/>
    <xf numFmtId="265" fontId="54" fillId="13" borderId="17" xfId="0" applyNumberFormat="1" applyFont="1" applyFill="1" applyBorder="1"/>
    <xf numFmtId="265" fontId="14" fillId="0" borderId="17" xfId="0" applyNumberFormat="1" applyFont="1" applyBorder="1" applyAlignment="1">
      <alignment horizontal="right"/>
    </xf>
    <xf numFmtId="0" fontId="59" fillId="0" borderId="0" xfId="0" applyFont="1" applyAlignment="1" applyProtection="1">
      <alignment horizontal="center"/>
    </xf>
    <xf numFmtId="0" fontId="0" fillId="3" borderId="0" xfId="0" applyFill="1" applyBorder="1"/>
    <xf numFmtId="0" fontId="49" fillId="4" borderId="26" xfId="0" applyFont="1" applyFill="1" applyBorder="1" applyAlignment="1" applyProtection="1">
      <alignment horizontal="center"/>
    </xf>
    <xf numFmtId="0" fontId="49" fillId="4" borderId="116" xfId="0" applyFont="1" applyFill="1" applyBorder="1" applyAlignment="1" applyProtection="1">
      <alignment horizontal="center"/>
    </xf>
    <xf numFmtId="0" fontId="49" fillId="4" borderId="117" xfId="0" applyFont="1" applyFill="1" applyBorder="1" applyAlignment="1" applyProtection="1">
      <alignment horizontal="center"/>
    </xf>
    <xf numFmtId="0" fontId="47" fillId="0" borderId="130" xfId="0" applyFont="1" applyBorder="1" applyAlignment="1" applyProtection="1">
      <alignment horizontal="center"/>
    </xf>
    <xf numFmtId="0" fontId="10" fillId="0" borderId="18" xfId="0" applyFont="1" applyBorder="1"/>
    <xf numFmtId="0" fontId="10" fillId="0" borderId="11" xfId="0" applyFont="1" applyBorder="1"/>
    <xf numFmtId="0" fontId="10" fillId="9" borderId="76" xfId="0" applyFont="1" applyFill="1" applyBorder="1"/>
    <xf numFmtId="0" fontId="10" fillId="9" borderId="31" xfId="0" applyFont="1" applyFill="1" applyBorder="1"/>
    <xf numFmtId="0" fontId="226" fillId="0" borderId="0" xfId="0" applyFont="1"/>
    <xf numFmtId="265" fontId="47" fillId="0" borderId="21" xfId="0" applyNumberFormat="1" applyFont="1" applyBorder="1" applyAlignment="1" applyProtection="1">
      <alignment horizontal="center"/>
    </xf>
    <xf numFmtId="0" fontId="15" fillId="0" borderId="0" xfId="36" applyFont="1" applyBorder="1"/>
    <xf numFmtId="0" fontId="15" fillId="0" borderId="0" xfId="36" applyFont="1" applyBorder="1" applyAlignment="1" applyProtection="1">
      <alignment horizontal="left"/>
    </xf>
    <xf numFmtId="231" fontId="228" fillId="0" borderId="0" xfId="36" applyNumberFormat="1" applyFont="1" applyBorder="1"/>
    <xf numFmtId="14" fontId="15" fillId="0" borderId="0" xfId="36" applyNumberFormat="1" applyFont="1" applyBorder="1"/>
    <xf numFmtId="43" fontId="15" fillId="0" borderId="0" xfId="8" applyNumberFormat="1" applyFont="1" applyBorder="1" applyAlignment="1">
      <alignment horizontal="left" indent="1"/>
    </xf>
    <xf numFmtId="0" fontId="18" fillId="0" borderId="0" xfId="36" applyFont="1" applyBorder="1"/>
    <xf numFmtId="0" fontId="19" fillId="0" borderId="0" xfId="36" applyFont="1" applyBorder="1" applyAlignment="1" applyProtection="1">
      <alignment horizontal="left"/>
    </xf>
    <xf numFmtId="0" fontId="19" fillId="0" borderId="0" xfId="36" applyFont="1" applyBorder="1"/>
    <xf numFmtId="0" fontId="20" fillId="0" borderId="0" xfId="36" applyFont="1" applyBorder="1"/>
    <xf numFmtId="0" fontId="22" fillId="0" borderId="0" xfId="36" applyFont="1" applyBorder="1"/>
    <xf numFmtId="0" fontId="23" fillId="0" borderId="0" xfId="36" applyFont="1" applyBorder="1"/>
    <xf numFmtId="0" fontId="24" fillId="0" borderId="0" xfId="36" applyFont="1" applyBorder="1"/>
    <xf numFmtId="0" fontId="25" fillId="2" borderId="0" xfId="36" applyFont="1" applyFill="1" applyBorder="1" applyAlignment="1" applyProtection="1">
      <alignment horizontal="centerContinuous"/>
    </xf>
    <xf numFmtId="0" fontId="16" fillId="2" borderId="0" xfId="36" applyFont="1" applyFill="1" applyBorder="1" applyAlignment="1" applyProtection="1">
      <alignment horizontal="centerContinuous"/>
    </xf>
    <xf numFmtId="0" fontId="27" fillId="2" borderId="0" xfId="36" applyFont="1" applyFill="1" applyBorder="1" applyAlignment="1" applyProtection="1">
      <alignment horizontal="centerContinuous"/>
    </xf>
    <xf numFmtId="0" fontId="21" fillId="2" borderId="0" xfId="36" applyFont="1" applyFill="1" applyBorder="1"/>
    <xf numFmtId="0" fontId="28" fillId="2" borderId="0" xfId="36" applyFont="1" applyFill="1" applyBorder="1"/>
    <xf numFmtId="0" fontId="29" fillId="2" borderId="0" xfId="36" applyFont="1" applyFill="1" applyBorder="1"/>
    <xf numFmtId="0" fontId="20" fillId="0" borderId="0" xfId="36" applyFont="1" applyFill="1" applyBorder="1"/>
    <xf numFmtId="0" fontId="15" fillId="0" borderId="0" xfId="36" applyFont="1" applyFill="1" applyBorder="1"/>
    <xf numFmtId="0" fontId="35" fillId="0" borderId="0" xfId="36" applyFont="1" applyBorder="1"/>
    <xf numFmtId="0" fontId="30" fillId="0" borderId="0" xfId="36" applyFont="1" applyBorder="1"/>
    <xf numFmtId="0" fontId="31" fillId="0" borderId="0" xfId="36" applyFont="1" applyBorder="1"/>
    <xf numFmtId="0" fontId="32" fillId="0" borderId="0" xfId="36" applyFont="1" applyBorder="1"/>
    <xf numFmtId="0" fontId="0" fillId="0" borderId="0" xfId="0" applyNumberFormat="1"/>
    <xf numFmtId="0" fontId="10" fillId="0" borderId="129" xfId="0" applyFont="1" applyBorder="1"/>
    <xf numFmtId="0" fontId="10" fillId="0" borderId="0" xfId="0" applyFont="1" applyBorder="1"/>
    <xf numFmtId="0" fontId="10" fillId="0" borderId="31" xfId="0" applyFont="1" applyBorder="1" applyAlignment="1">
      <alignment horizontal="center"/>
    </xf>
    <xf numFmtId="166" fontId="0" fillId="3" borderId="0" xfId="0" applyNumberFormat="1" applyFill="1"/>
    <xf numFmtId="0" fontId="230" fillId="13" borderId="22" xfId="0" applyFont="1" applyFill="1" applyBorder="1" applyAlignment="1" applyProtection="1">
      <alignment horizontal="center"/>
    </xf>
    <xf numFmtId="0" fontId="230" fillId="13" borderId="76" xfId="0" applyFont="1" applyFill="1" applyBorder="1" applyAlignment="1" applyProtection="1">
      <alignment horizontal="center"/>
    </xf>
    <xf numFmtId="0" fontId="230" fillId="13" borderId="119" xfId="0" applyFont="1" applyFill="1" applyBorder="1" applyAlignment="1" applyProtection="1">
      <alignment horizontal="center"/>
    </xf>
    <xf numFmtId="0" fontId="230" fillId="13" borderId="118" xfId="0" applyFont="1" applyFill="1" applyBorder="1" applyAlignment="1" applyProtection="1">
      <alignment horizontal="center"/>
    </xf>
    <xf numFmtId="0" fontId="230" fillId="13" borderId="0" xfId="0" applyFont="1" applyFill="1" applyBorder="1" applyAlignment="1" applyProtection="1">
      <alignment horizontal="center"/>
    </xf>
    <xf numFmtId="0" fontId="230" fillId="13" borderId="21" xfId="0" applyFont="1" applyFill="1" applyBorder="1" applyAlignment="1" applyProtection="1">
      <alignment horizontal="center"/>
    </xf>
    <xf numFmtId="0" fontId="230" fillId="13" borderId="51" xfId="0" applyFont="1" applyFill="1" applyBorder="1" applyAlignment="1" applyProtection="1">
      <alignment horizontal="center"/>
    </xf>
    <xf numFmtId="0" fontId="230" fillId="13" borderId="48" xfId="0" applyFont="1" applyFill="1" applyBorder="1" applyAlignment="1" applyProtection="1">
      <alignment horizontal="center"/>
    </xf>
    <xf numFmtId="0" fontId="230" fillId="13" borderId="115" xfId="0" applyFont="1" applyFill="1" applyBorder="1" applyAlignment="1" applyProtection="1">
      <alignment horizontal="center"/>
    </xf>
    <xf numFmtId="0" fontId="49" fillId="0" borderId="115" xfId="0" applyFont="1" applyBorder="1" applyAlignment="1" applyProtection="1">
      <alignment horizontal="center"/>
    </xf>
    <xf numFmtId="0" fontId="49" fillId="0" borderId="126" xfId="0" applyFont="1" applyBorder="1" applyAlignment="1" applyProtection="1">
      <alignment horizontal="center"/>
    </xf>
    <xf numFmtId="9" fontId="47" fillId="0" borderId="126" xfId="0" applyNumberFormat="1" applyFont="1" applyBorder="1" applyAlignment="1" applyProtection="1">
      <alignment horizontal="center"/>
    </xf>
    <xf numFmtId="0" fontId="0" fillId="3" borderId="128" xfId="0" applyFill="1" applyBorder="1"/>
    <xf numFmtId="0" fontId="0" fillId="3" borderId="45" xfId="0" applyFill="1" applyBorder="1"/>
    <xf numFmtId="0" fontId="0" fillId="3" borderId="127" xfId="0" applyFill="1" applyBorder="1"/>
    <xf numFmtId="0" fontId="0" fillId="3" borderId="131" xfId="0" applyFill="1" applyBorder="1"/>
    <xf numFmtId="0" fontId="0" fillId="3" borderId="21" xfId="0" applyFill="1" applyBorder="1"/>
    <xf numFmtId="0" fontId="0" fillId="3" borderId="118" xfId="0" applyFill="1" applyBorder="1"/>
    <xf numFmtId="0" fontId="0" fillId="3" borderId="76" xfId="0" applyFill="1" applyBorder="1"/>
    <xf numFmtId="0" fontId="0" fillId="3" borderId="119" xfId="0" applyFill="1" applyBorder="1"/>
    <xf numFmtId="0" fontId="47" fillId="0" borderId="131" xfId="0" applyFont="1" applyBorder="1" applyAlignment="1" applyProtection="1">
      <alignment horizontal="left"/>
      <protection locked="0"/>
    </xf>
    <xf numFmtId="0" fontId="47" fillId="0" borderId="130" xfId="0" applyFont="1" applyBorder="1" applyAlignment="1" applyProtection="1">
      <alignment horizontal="left"/>
      <protection locked="0"/>
    </xf>
    <xf numFmtId="0" fontId="47" fillId="0" borderId="130" xfId="0" applyFont="1" applyBorder="1" applyAlignment="1" applyProtection="1">
      <alignment horizontal="center"/>
      <protection locked="0"/>
    </xf>
    <xf numFmtId="14" fontId="47" fillId="0" borderId="134" xfId="0" applyNumberFormat="1" applyFont="1" applyBorder="1" applyAlignment="1" applyProtection="1">
      <alignment horizontal="center"/>
    </xf>
    <xf numFmtId="14" fontId="47" fillId="0" borderId="137" xfId="0" applyNumberFormat="1" applyFont="1" applyBorder="1" applyAlignment="1" applyProtection="1">
      <alignment horizontal="center"/>
    </xf>
    <xf numFmtId="14" fontId="47" fillId="0" borderId="135" xfId="0" applyNumberFormat="1" applyFont="1" applyBorder="1" applyAlignment="1" applyProtection="1">
      <alignment horizontal="center"/>
    </xf>
    <xf numFmtId="14" fontId="47" fillId="0" borderId="138" xfId="0" applyNumberFormat="1" applyFont="1" applyBorder="1" applyAlignment="1" applyProtection="1">
      <alignment horizontal="center"/>
    </xf>
    <xf numFmtId="14" fontId="47" fillId="0" borderId="136" xfId="0" applyNumberFormat="1" applyFont="1" applyBorder="1" applyAlignment="1" applyProtection="1">
      <alignment horizontal="center"/>
    </xf>
    <xf numFmtId="14" fontId="47" fillId="0" borderId="139" xfId="0" applyNumberFormat="1" applyFont="1" applyBorder="1" applyAlignment="1" applyProtection="1">
      <alignment horizontal="center"/>
    </xf>
    <xf numFmtId="14" fontId="47" fillId="0" borderId="140" xfId="0" applyNumberFormat="1" applyFont="1" applyBorder="1" applyAlignment="1" applyProtection="1">
      <alignment horizontal="center"/>
    </xf>
    <xf numFmtId="14" fontId="47" fillId="0" borderId="141" xfId="0" applyNumberFormat="1" applyFont="1" applyBorder="1" applyAlignment="1" applyProtection="1">
      <alignment horizontal="center"/>
    </xf>
    <xf numFmtId="0" fontId="49" fillId="0" borderId="114" xfId="0" applyFont="1" applyBorder="1" applyAlignment="1" applyProtection="1">
      <alignment horizontal="center"/>
    </xf>
    <xf numFmtId="0" fontId="49" fillId="0" borderId="118" xfId="0" applyFont="1" applyBorder="1" applyAlignment="1" applyProtection="1">
      <alignment horizontal="center"/>
    </xf>
    <xf numFmtId="0" fontId="49" fillId="0" borderId="0" xfId="0" applyFont="1" applyBorder="1" applyAlignment="1" applyProtection="1">
      <alignment horizontal="center"/>
    </xf>
    <xf numFmtId="14" fontId="47" fillId="0" borderId="0" xfId="0" applyNumberFormat="1" applyFont="1" applyBorder="1" applyAlignment="1" applyProtection="1">
      <alignment horizontal="center"/>
    </xf>
    <xf numFmtId="14" fontId="49" fillId="0" borderId="0" xfId="0" applyNumberFormat="1" applyFont="1" applyBorder="1" applyAlignment="1" applyProtection="1">
      <alignment horizontal="center"/>
    </xf>
    <xf numFmtId="0" fontId="59" fillId="0" borderId="0" xfId="0" applyNumberFormat="1" applyFont="1" applyAlignment="1" applyProtection="1">
      <alignment horizontal="center"/>
    </xf>
    <xf numFmtId="0" fontId="47" fillId="0" borderId="131" xfId="0" applyNumberFormat="1" applyFont="1" applyBorder="1" applyAlignment="1" applyProtection="1">
      <alignment horizontal="left"/>
    </xf>
    <xf numFmtId="0" fontId="47" fillId="0" borderId="130" xfId="0" applyNumberFormat="1" applyFont="1" applyBorder="1" applyAlignment="1" applyProtection="1">
      <alignment horizontal="left"/>
    </xf>
    <xf numFmtId="0" fontId="47" fillId="0" borderId="0" xfId="0" applyNumberFormat="1" applyFont="1" applyBorder="1" applyAlignment="1" applyProtection="1">
      <alignment horizontal="left"/>
    </xf>
    <xf numFmtId="0" fontId="47" fillId="0" borderId="131" xfId="0" applyNumberFormat="1" applyFont="1" applyBorder="1" applyAlignment="1" applyProtection="1">
      <alignment horizontal="center"/>
    </xf>
    <xf numFmtId="0" fontId="47" fillId="0" borderId="0" xfId="0" applyNumberFormat="1" applyFont="1" applyBorder="1" applyAlignment="1" applyProtection="1">
      <alignment horizontal="center"/>
    </xf>
    <xf numFmtId="0" fontId="47" fillId="0" borderId="21" xfId="0" applyNumberFormat="1" applyFont="1" applyBorder="1" applyAlignment="1" applyProtection="1">
      <alignment horizontal="center"/>
    </xf>
    <xf numFmtId="0" fontId="47" fillId="0" borderId="130" xfId="0" applyNumberFormat="1" applyFont="1" applyBorder="1" applyAlignment="1" applyProtection="1">
      <alignment horizontal="center"/>
    </xf>
    <xf numFmtId="0" fontId="47" fillId="0" borderId="140" xfId="0" applyNumberFormat="1" applyFont="1" applyBorder="1" applyAlignment="1" applyProtection="1">
      <alignment horizontal="center"/>
    </xf>
    <xf numFmtId="0" fontId="47" fillId="0" borderId="141" xfId="0" applyNumberFormat="1" applyFont="1" applyBorder="1" applyAlignment="1" applyProtection="1">
      <alignment horizontal="center"/>
    </xf>
    <xf numFmtId="0" fontId="47" fillId="0" borderId="131" xfId="0" applyNumberFormat="1" applyFont="1" applyBorder="1" applyAlignment="1" applyProtection="1">
      <alignment horizontal="left"/>
      <protection locked="0"/>
    </xf>
    <xf numFmtId="0" fontId="47" fillId="0" borderId="130" xfId="0" applyNumberFormat="1" applyFont="1" applyBorder="1" applyAlignment="1" applyProtection="1">
      <alignment horizontal="left"/>
      <protection locked="0"/>
    </xf>
    <xf numFmtId="0" fontId="47" fillId="0" borderId="0" xfId="0" applyNumberFormat="1" applyFont="1" applyBorder="1" applyAlignment="1" applyProtection="1">
      <alignment horizontal="left"/>
      <protection locked="0"/>
    </xf>
    <xf numFmtId="0" fontId="47" fillId="0" borderId="0" xfId="0" applyNumberFormat="1" applyFont="1" applyBorder="1" applyAlignment="1" applyProtection="1">
      <alignment horizontal="center"/>
      <protection locked="0"/>
    </xf>
    <xf numFmtId="0" fontId="47" fillId="0" borderId="130" xfId="0" applyNumberFormat="1" applyFont="1" applyBorder="1" applyAlignment="1" applyProtection="1">
      <alignment horizontal="center"/>
      <protection locked="0"/>
    </xf>
    <xf numFmtId="0" fontId="47" fillId="0" borderId="21" xfId="0" applyNumberFormat="1" applyFont="1" applyBorder="1" applyAlignment="1" applyProtection="1">
      <alignment horizontal="center"/>
      <protection locked="0"/>
    </xf>
    <xf numFmtId="0" fontId="10" fillId="0" borderId="0" xfId="0" applyFont="1" applyFill="1" applyBorder="1"/>
    <xf numFmtId="231" fontId="228" fillId="0" borderId="0" xfId="36" applyNumberFormat="1" applyFont="1" applyBorder="1" applyProtection="1"/>
    <xf numFmtId="0" fontId="10" fillId="0" borderId="123" xfId="0" applyFont="1" applyBorder="1" applyAlignment="1">
      <alignment horizontal="center" vertical="center"/>
    </xf>
    <xf numFmtId="0" fontId="10" fillId="0" borderId="122" xfId="0" applyFont="1" applyFill="1" applyBorder="1" applyAlignment="1">
      <alignment horizontal="center" vertical="center"/>
    </xf>
    <xf numFmtId="0" fontId="47" fillId="4" borderId="31" xfId="0" applyFont="1" applyFill="1" applyBorder="1" applyAlignment="1" applyProtection="1">
      <alignment horizontal="center"/>
    </xf>
    <xf numFmtId="265" fontId="49" fillId="4" borderId="129" xfId="0" applyNumberFormat="1" applyFont="1" applyFill="1" applyBorder="1" applyAlignment="1" applyProtection="1">
      <alignment horizontal="center"/>
    </xf>
    <xf numFmtId="265" fontId="49" fillId="4" borderId="31" xfId="0" applyNumberFormat="1" applyFont="1" applyFill="1" applyBorder="1" applyAlignment="1" applyProtection="1">
      <alignment horizontal="center"/>
    </xf>
    <xf numFmtId="0" fontId="47" fillId="0" borderId="126" xfId="0" applyFont="1" applyBorder="1" applyAlignment="1" applyProtection="1">
      <alignment horizontal="center"/>
    </xf>
    <xf numFmtId="0" fontId="230" fillId="13" borderId="131" xfId="0" applyFont="1" applyFill="1" applyBorder="1" applyAlignment="1" applyProtection="1">
      <alignment horizontal="center"/>
    </xf>
    <xf numFmtId="6" fontId="47" fillId="0" borderId="130" xfId="0" applyNumberFormat="1" applyFont="1" applyBorder="1" applyAlignment="1" applyProtection="1">
      <alignment horizontal="center"/>
    </xf>
    <xf numFmtId="0" fontId="49" fillId="0" borderId="118" xfId="0" applyFont="1" applyBorder="1" applyAlignment="1" applyProtection="1">
      <alignment horizontal="center"/>
    </xf>
    <xf numFmtId="0" fontId="14" fillId="0" borderId="143" xfId="0" applyFont="1" applyBorder="1" applyAlignment="1">
      <alignment vertical="center"/>
    </xf>
    <xf numFmtId="265" fontId="14" fillId="0" borderId="8" xfId="0" applyNumberFormat="1" applyFont="1" applyBorder="1" applyAlignment="1">
      <alignment horizontal="right"/>
    </xf>
    <xf numFmtId="265" fontId="14" fillId="0" borderId="142" xfId="0" applyNumberFormat="1" applyFont="1" applyBorder="1" applyAlignment="1">
      <alignment horizontal="right"/>
    </xf>
    <xf numFmtId="265" fontId="47" fillId="10" borderId="21" xfId="0" applyNumberFormat="1" applyFont="1" applyFill="1" applyBorder="1" applyAlignment="1" applyProtection="1">
      <alignment horizontal="center"/>
    </xf>
    <xf numFmtId="6" fontId="54" fillId="13" borderId="17" xfId="0" applyNumberFormat="1" applyFont="1" applyFill="1" applyBorder="1" applyAlignment="1">
      <alignment vertical="center"/>
    </xf>
    <xf numFmtId="6" fontId="54" fillId="13" borderId="25" xfId="0" applyNumberFormat="1" applyFont="1" applyFill="1" applyBorder="1" applyAlignment="1">
      <alignment vertical="center"/>
    </xf>
    <xf numFmtId="6" fontId="54" fillId="13" borderId="35" xfId="0" applyNumberFormat="1" applyFont="1" applyFill="1" applyBorder="1" applyAlignment="1">
      <alignment vertical="center"/>
    </xf>
    <xf numFmtId="0" fontId="49" fillId="4" borderId="26" xfId="0" applyFont="1" applyFill="1" applyBorder="1" applyAlignment="1" applyProtection="1">
      <alignment horizontal="center"/>
    </xf>
    <xf numFmtId="0" fontId="49" fillId="4" borderId="116" xfId="0" applyFont="1" applyFill="1" applyBorder="1" applyAlignment="1" applyProtection="1">
      <alignment horizontal="center"/>
    </xf>
    <xf numFmtId="0" fontId="49" fillId="4" borderId="117" xfId="0" applyFont="1" applyFill="1" applyBorder="1" applyAlignment="1" applyProtection="1">
      <alignment horizontal="center"/>
    </xf>
    <xf numFmtId="0" fontId="230" fillId="13" borderId="76" xfId="0" applyFont="1" applyFill="1" applyBorder="1" applyAlignment="1" applyProtection="1">
      <alignment horizontal="center"/>
    </xf>
    <xf numFmtId="0" fontId="230" fillId="13" borderId="0" xfId="0" applyFont="1" applyFill="1" applyBorder="1" applyAlignment="1" applyProtection="1">
      <alignment horizontal="center"/>
    </xf>
    <xf numFmtId="0" fontId="230" fillId="13" borderId="119" xfId="0" applyFont="1" applyFill="1" applyBorder="1" applyAlignment="1" applyProtection="1">
      <alignment horizontal="center"/>
    </xf>
    <xf numFmtId="0" fontId="230" fillId="13" borderId="115" xfId="0" applyFont="1" applyFill="1" applyBorder="1" applyAlignment="1" applyProtection="1">
      <alignment horizontal="center"/>
    </xf>
    <xf numFmtId="0" fontId="230" fillId="13" borderId="45" xfId="0" applyFont="1" applyFill="1" applyBorder="1" applyAlignment="1" applyProtection="1">
      <alignment horizontal="center"/>
    </xf>
    <xf numFmtId="0" fontId="230" fillId="13" borderId="51" xfId="0" applyFont="1" applyFill="1" applyBorder="1" applyAlignment="1" applyProtection="1">
      <alignment horizontal="center"/>
    </xf>
    <xf numFmtId="0" fontId="230" fillId="13" borderId="48" xfId="0" applyFont="1" applyFill="1" applyBorder="1" applyAlignment="1" applyProtection="1">
      <alignment horizontal="center"/>
    </xf>
    <xf numFmtId="0" fontId="49" fillId="0" borderId="118" xfId="0" applyFont="1" applyBorder="1" applyAlignment="1" applyProtection="1">
      <alignment horizontal="center"/>
    </xf>
    <xf numFmtId="0" fontId="47" fillId="0" borderId="45" xfId="0" applyFont="1" applyBorder="1" applyAlignment="1" applyProtection="1">
      <alignment horizontal="center"/>
    </xf>
    <xf numFmtId="0" fontId="47" fillId="0" borderId="128" xfId="0" applyFont="1" applyBorder="1" applyAlignment="1" applyProtection="1">
      <alignment horizontal="center"/>
    </xf>
    <xf numFmtId="0" fontId="47" fillId="0" borderId="127" xfId="0" applyFont="1" applyBorder="1" applyAlignment="1" applyProtection="1">
      <alignment horizontal="center"/>
    </xf>
    <xf numFmtId="7" fontId="0" fillId="3" borderId="0" xfId="0" applyNumberFormat="1" applyFill="1"/>
    <xf numFmtId="0" fontId="230" fillId="13" borderId="128" xfId="0" applyFont="1" applyFill="1" applyBorder="1" applyAlignment="1" applyProtection="1">
      <alignment horizontal="center"/>
    </xf>
    <xf numFmtId="6" fontId="47" fillId="0" borderId="44" xfId="0" applyNumberFormat="1" applyFont="1" applyBorder="1" applyAlignment="1" applyProtection="1">
      <alignment horizontal="center"/>
    </xf>
    <xf numFmtId="0" fontId="24" fillId="0" borderId="0" xfId="36" applyFont="1" applyFill="1" applyBorder="1" applyAlignment="1" applyProtection="1">
      <alignment horizontal="center"/>
    </xf>
    <xf numFmtId="0" fontId="59" fillId="0" borderId="11" xfId="0" applyFont="1" applyBorder="1" applyAlignment="1">
      <alignment horizontal="left" vertical="center"/>
    </xf>
    <xf numFmtId="0" fontId="59" fillId="0" borderId="18" xfId="0" applyFont="1" applyBorder="1" applyAlignment="1">
      <alignment horizontal="center" vertical="center"/>
    </xf>
    <xf numFmtId="0" fontId="59" fillId="0" borderId="18" xfId="0" applyFont="1" applyFill="1" applyBorder="1" applyAlignment="1">
      <alignment horizontal="center" vertical="center"/>
    </xf>
    <xf numFmtId="0" fontId="59" fillId="0" borderId="19" xfId="0" applyFont="1" applyBorder="1" applyAlignment="1">
      <alignment horizontal="center" vertical="center"/>
    </xf>
    <xf numFmtId="0" fontId="62" fillId="16" borderId="5" xfId="91" applyFont="1" applyFill="1" applyBorder="1" applyAlignment="1">
      <alignment horizontal="left" vertical="center"/>
    </xf>
    <xf numFmtId="0" fontId="62" fillId="16" borderId="6" xfId="91" applyFont="1" applyFill="1" applyBorder="1" applyAlignment="1">
      <alignment horizontal="left" vertical="center"/>
    </xf>
    <xf numFmtId="0" fontId="61" fillId="0" borderId="18" xfId="91" applyFont="1" applyBorder="1" applyAlignment="1">
      <alignment horizontal="center" vertical="center" wrapText="1"/>
    </xf>
    <xf numFmtId="0" fontId="61" fillId="0" borderId="19" xfId="91" applyFont="1" applyBorder="1" applyAlignment="1">
      <alignment horizontal="center" vertical="center" wrapText="1"/>
    </xf>
    <xf numFmtId="0" fontId="61" fillId="3" borderId="15" xfId="91" applyFont="1" applyFill="1" applyBorder="1" applyAlignment="1">
      <alignment horizontal="center" vertical="center" wrapText="1"/>
    </xf>
    <xf numFmtId="0" fontId="61" fillId="3" borderId="18" xfId="91" applyFont="1" applyFill="1" applyBorder="1" applyAlignment="1">
      <alignment horizontal="center" vertical="center" wrapText="1"/>
    </xf>
    <xf numFmtId="0" fontId="45" fillId="4" borderId="5" xfId="55" applyFont="1" applyFill="1" applyBorder="1" applyAlignment="1">
      <alignment horizontal="center" vertical="center"/>
    </xf>
    <xf numFmtId="0" fontId="45" fillId="4" borderId="6" xfId="55" applyFont="1" applyFill="1" applyBorder="1" applyAlignment="1">
      <alignment horizontal="center" vertical="center"/>
    </xf>
    <xf numFmtId="0" fontId="45" fillId="4" borderId="20" xfId="55" applyFont="1" applyFill="1" applyBorder="1" applyAlignment="1">
      <alignment horizontal="center" vertical="center"/>
    </xf>
    <xf numFmtId="0" fontId="55" fillId="14" borderId="38" xfId="55" applyFont="1" applyFill="1" applyBorder="1" applyAlignment="1">
      <alignment horizontal="center" vertical="center"/>
    </xf>
    <xf numFmtId="0" fontId="55" fillId="14" borderId="39" xfId="55" applyFont="1" applyFill="1" applyBorder="1" applyAlignment="1">
      <alignment horizontal="center" vertical="center"/>
    </xf>
    <xf numFmtId="0" fontId="55" fillId="14" borderId="40" xfId="55" applyFont="1" applyFill="1" applyBorder="1" applyAlignment="1">
      <alignment horizontal="center" vertical="center"/>
    </xf>
    <xf numFmtId="0" fontId="45" fillId="7" borderId="9" xfId="55" applyFont="1" applyFill="1" applyBorder="1" applyAlignment="1">
      <alignment horizontal="center" vertical="center" textRotation="90"/>
    </xf>
    <xf numFmtId="0" fontId="45" fillId="7" borderId="11" xfId="55" applyFont="1" applyFill="1" applyBorder="1" applyAlignment="1">
      <alignment horizontal="center" vertical="center" textRotation="90"/>
    </xf>
    <xf numFmtId="0" fontId="44" fillId="0" borderId="15" xfId="55" applyFont="1" applyBorder="1" applyAlignment="1">
      <alignment horizontal="center" vertical="center" wrapText="1"/>
    </xf>
    <xf numFmtId="0" fontId="44" fillId="0" borderId="18" xfId="55" applyFont="1" applyBorder="1" applyAlignment="1">
      <alignment horizontal="center" vertical="center" wrapText="1"/>
    </xf>
    <xf numFmtId="0" fontId="45" fillId="7" borderId="15" xfId="55" applyFont="1" applyFill="1" applyBorder="1" applyAlignment="1">
      <alignment horizontal="center" vertical="center" textRotation="90"/>
    </xf>
    <xf numFmtId="0" fontId="45" fillId="7" borderId="18" xfId="55" applyFont="1" applyFill="1" applyBorder="1" applyAlignment="1">
      <alignment horizontal="center" vertical="center" textRotation="90"/>
    </xf>
    <xf numFmtId="0" fontId="45" fillId="7" borderId="19" xfId="55" applyFont="1" applyFill="1" applyBorder="1" applyAlignment="1">
      <alignment horizontal="center" vertical="center" textRotation="90"/>
    </xf>
    <xf numFmtId="0" fontId="44" fillId="0" borderId="19" xfId="55" applyFont="1" applyBorder="1" applyAlignment="1">
      <alignment horizontal="center" vertical="center" wrapText="1"/>
    </xf>
    <xf numFmtId="0" fontId="45" fillId="7" borderId="10" xfId="55" applyFont="1" applyFill="1" applyBorder="1" applyAlignment="1">
      <alignment horizontal="center" vertical="center" textRotation="90"/>
    </xf>
    <xf numFmtId="0" fontId="45" fillId="7" borderId="5" xfId="55" applyFont="1" applyFill="1" applyBorder="1" applyAlignment="1">
      <alignment horizontal="center" vertical="center"/>
    </xf>
    <xf numFmtId="0" fontId="45" fillId="7" borderId="6" xfId="55" applyFont="1" applyFill="1" applyBorder="1" applyAlignment="1">
      <alignment horizontal="center" vertical="center"/>
    </xf>
    <xf numFmtId="0" fontId="45" fillId="7" borderId="20" xfId="55" applyFont="1" applyFill="1" applyBorder="1" applyAlignment="1">
      <alignment horizontal="center" vertical="center"/>
    </xf>
    <xf numFmtId="0" fontId="53" fillId="12" borderId="38" xfId="55" applyFont="1" applyFill="1" applyBorder="1" applyAlignment="1">
      <alignment horizontal="center" vertical="center"/>
    </xf>
    <xf numFmtId="0" fontId="53" fillId="12" borderId="39" xfId="55" applyFont="1" applyFill="1" applyBorder="1" applyAlignment="1">
      <alignment horizontal="center" vertical="center"/>
    </xf>
    <xf numFmtId="0" fontId="53" fillId="12" borderId="40" xfId="55" applyFont="1" applyFill="1" applyBorder="1" applyAlignment="1">
      <alignment horizontal="center" vertical="center"/>
    </xf>
    <xf numFmtId="0" fontId="67" fillId="4" borderId="15" xfId="19" applyFont="1" applyFill="1" applyBorder="1" applyAlignment="1">
      <alignment horizontal="center" vertical="center" textRotation="90" wrapText="1"/>
    </xf>
    <xf numFmtId="0" fontId="67" fillId="4" borderId="18" xfId="19" applyFont="1" applyFill="1" applyBorder="1" applyAlignment="1">
      <alignment horizontal="center" vertical="center" textRotation="90" wrapText="1"/>
    </xf>
    <xf numFmtId="0" fontId="67" fillId="4" borderId="19" xfId="19" applyFont="1" applyFill="1" applyBorder="1" applyAlignment="1">
      <alignment horizontal="center" vertical="center" textRotation="90" wrapText="1"/>
    </xf>
    <xf numFmtId="0" fontId="67" fillId="4" borderId="142" xfId="19" applyFont="1" applyFill="1" applyBorder="1" applyAlignment="1">
      <alignment horizontal="center" vertical="center" textRotation="90" wrapText="1"/>
    </xf>
    <xf numFmtId="0" fontId="67" fillId="4" borderId="133" xfId="19" applyFont="1" applyFill="1" applyBorder="1" applyAlignment="1">
      <alignment horizontal="center" vertical="center" textRotation="90" wrapText="1"/>
    </xf>
    <xf numFmtId="0" fontId="47" fillId="0" borderId="115" xfId="0" applyFont="1" applyBorder="1" applyAlignment="1" applyProtection="1">
      <alignment horizontal="center"/>
    </xf>
    <xf numFmtId="0" fontId="47" fillId="0" borderId="116" xfId="0" applyFont="1" applyBorder="1" applyAlignment="1" applyProtection="1">
      <alignment horizontal="center"/>
    </xf>
    <xf numFmtId="0" fontId="47" fillId="0" borderId="129" xfId="0" applyFont="1" applyBorder="1" applyAlignment="1" applyProtection="1">
      <alignment horizontal="center"/>
    </xf>
    <xf numFmtId="14" fontId="49" fillId="0" borderId="115" xfId="0" applyNumberFormat="1" applyFont="1" applyBorder="1" applyAlignment="1" applyProtection="1">
      <alignment horizontal="center"/>
    </xf>
    <xf numFmtId="14" fontId="49" fillId="0" borderId="129" xfId="0" applyNumberFormat="1" applyFont="1" applyBorder="1" applyAlignment="1" applyProtection="1">
      <alignment horizontal="center"/>
    </xf>
    <xf numFmtId="0" fontId="49" fillId="4" borderId="26" xfId="0" applyFont="1" applyFill="1" applyBorder="1" applyAlignment="1" applyProtection="1">
      <alignment horizontal="center"/>
    </xf>
    <xf numFmtId="0" fontId="49" fillId="4" borderId="116" xfId="0" applyFont="1" applyFill="1" applyBorder="1" applyAlignment="1" applyProtection="1">
      <alignment horizontal="center"/>
    </xf>
    <xf numFmtId="0" fontId="49" fillId="4" borderId="117" xfId="0" applyFont="1" applyFill="1" applyBorder="1" applyAlignment="1" applyProtection="1">
      <alignment horizontal="center"/>
    </xf>
    <xf numFmtId="0" fontId="230" fillId="13" borderId="76" xfId="0" applyFont="1" applyFill="1" applyBorder="1" applyAlignment="1" applyProtection="1">
      <alignment horizontal="center"/>
    </xf>
    <xf numFmtId="0" fontId="230" fillId="13" borderId="0" xfId="0" applyFont="1" applyFill="1" applyBorder="1" applyAlignment="1" applyProtection="1">
      <alignment horizontal="center"/>
    </xf>
    <xf numFmtId="0" fontId="230" fillId="13" borderId="119" xfId="0" applyFont="1" applyFill="1" applyBorder="1" applyAlignment="1" applyProtection="1">
      <alignment horizontal="center"/>
    </xf>
    <xf numFmtId="0" fontId="230" fillId="13" borderId="115" xfId="0" applyFont="1" applyFill="1" applyBorder="1" applyAlignment="1" applyProtection="1">
      <alignment horizontal="center"/>
    </xf>
    <xf numFmtId="0" fontId="230" fillId="13" borderId="45" xfId="0" applyFont="1" applyFill="1" applyBorder="1" applyAlignment="1" applyProtection="1">
      <alignment horizontal="center"/>
    </xf>
    <xf numFmtId="0" fontId="230" fillId="13" borderId="51" xfId="0" applyFont="1" applyFill="1" applyBorder="1" applyAlignment="1" applyProtection="1">
      <alignment horizontal="center"/>
    </xf>
    <xf numFmtId="0" fontId="230" fillId="13" borderId="48" xfId="0" applyFont="1" applyFill="1" applyBorder="1" applyAlignment="1" applyProtection="1">
      <alignment horizontal="center"/>
    </xf>
    <xf numFmtId="0" fontId="47" fillId="0" borderId="31" xfId="0" applyFont="1" applyBorder="1" applyAlignment="1" applyProtection="1">
      <alignment horizontal="center" vertical="center"/>
    </xf>
    <xf numFmtId="0" fontId="49" fillId="0" borderId="31" xfId="0" applyFont="1" applyBorder="1" applyAlignment="1" applyProtection="1">
      <alignment horizontal="center"/>
    </xf>
    <xf numFmtId="0" fontId="224" fillId="6" borderId="31" xfId="0" applyFont="1" applyFill="1" applyBorder="1" applyAlignment="1" applyProtection="1">
      <alignment horizontal="center" vertical="center"/>
    </xf>
    <xf numFmtId="0" fontId="224" fillId="6" borderId="114" xfId="0" applyFont="1" applyFill="1" applyBorder="1" applyAlignment="1" applyProtection="1">
      <alignment horizontal="center" vertical="center"/>
    </xf>
    <xf numFmtId="0" fontId="47" fillId="0" borderId="115" xfId="0" applyFont="1" applyBorder="1" applyAlignment="1" applyProtection="1">
      <alignment horizontal="center" vertical="center"/>
    </xf>
    <xf numFmtId="0" fontId="49" fillId="0" borderId="128" xfId="0" applyFont="1" applyBorder="1" applyAlignment="1" applyProtection="1">
      <alignment horizontal="center"/>
    </xf>
    <xf numFmtId="0" fontId="49" fillId="0" borderId="45" xfId="0" applyFont="1" applyBorder="1" applyAlignment="1" applyProtection="1">
      <alignment horizontal="center"/>
    </xf>
    <xf numFmtId="0" fontId="49" fillId="0" borderId="127" xfId="0" applyFont="1" applyBorder="1" applyAlignment="1" applyProtection="1">
      <alignment horizontal="center"/>
    </xf>
    <xf numFmtId="0" fontId="49" fillId="0" borderId="118" xfId="0" applyFont="1" applyBorder="1" applyAlignment="1" applyProtection="1">
      <alignment horizontal="center"/>
    </xf>
    <xf numFmtId="0" fontId="49" fillId="0" borderId="76" xfId="0" applyFont="1" applyBorder="1" applyAlignment="1" applyProtection="1">
      <alignment horizontal="center"/>
    </xf>
    <xf numFmtId="0" fontId="49" fillId="0" borderId="119" xfId="0" applyFont="1" applyBorder="1" applyAlignment="1" applyProtection="1">
      <alignment horizontal="center"/>
    </xf>
    <xf numFmtId="264" fontId="225" fillId="0" borderId="115" xfId="0" applyNumberFormat="1" applyFont="1" applyBorder="1" applyAlignment="1" applyProtection="1">
      <alignment horizontal="center"/>
    </xf>
    <xf numFmtId="264" fontId="225" fillId="0" borderId="51" xfId="0" applyNumberFormat="1" applyFont="1" applyBorder="1" applyAlignment="1" applyProtection="1">
      <alignment horizontal="center"/>
    </xf>
    <xf numFmtId="264" fontId="225" fillId="0" borderId="48" xfId="0" applyNumberFormat="1" applyFont="1" applyBorder="1" applyAlignment="1" applyProtection="1">
      <alignment horizontal="center"/>
    </xf>
    <xf numFmtId="0" fontId="224" fillId="6" borderId="128" xfId="0" applyFont="1" applyFill="1" applyBorder="1" applyAlignment="1" applyProtection="1">
      <alignment horizontal="center" vertical="center"/>
    </xf>
    <xf numFmtId="0" fontId="224" fillId="6" borderId="45" xfId="0" applyFont="1" applyFill="1" applyBorder="1" applyAlignment="1" applyProtection="1">
      <alignment horizontal="center" vertical="center"/>
    </xf>
    <xf numFmtId="0" fontId="224" fillId="6" borderId="127" xfId="0" applyFont="1" applyFill="1" applyBorder="1" applyAlignment="1" applyProtection="1">
      <alignment horizontal="center" vertical="center"/>
    </xf>
    <xf numFmtId="0" fontId="224" fillId="6" borderId="118" xfId="0" applyFont="1" applyFill="1" applyBorder="1" applyAlignment="1" applyProtection="1">
      <alignment horizontal="center" vertical="center"/>
    </xf>
    <xf numFmtId="0" fontId="224" fillId="6" borderId="76" xfId="0" applyFont="1" applyFill="1" applyBorder="1" applyAlignment="1" applyProtection="1">
      <alignment horizontal="center" vertical="center"/>
    </xf>
    <xf numFmtId="0" fontId="224" fillId="6" borderId="119" xfId="0" applyFont="1" applyFill="1" applyBorder="1" applyAlignment="1" applyProtection="1">
      <alignment horizontal="center" vertical="center"/>
    </xf>
    <xf numFmtId="0" fontId="224" fillId="6" borderId="47" xfId="0" applyFont="1" applyFill="1" applyBorder="1" applyAlignment="1" applyProtection="1">
      <alignment horizontal="center" vertical="center"/>
    </xf>
    <xf numFmtId="0" fontId="224" fillId="6" borderId="46" xfId="0" applyFont="1" applyFill="1" applyBorder="1" applyAlignment="1" applyProtection="1">
      <alignment horizontal="center" vertical="center"/>
    </xf>
    <xf numFmtId="0" fontId="230" fillId="13" borderId="115" xfId="0" applyFont="1" applyFill="1" applyBorder="1" applyAlignment="1" applyProtection="1">
      <alignment horizontal="center" vertical="center"/>
    </xf>
    <xf numFmtId="0" fontId="230" fillId="13" borderId="0" xfId="0" applyFont="1" applyFill="1" applyBorder="1" applyAlignment="1" applyProtection="1">
      <alignment horizontal="center" vertical="center"/>
    </xf>
    <xf numFmtId="0" fontId="230" fillId="13" borderId="51" xfId="0" applyFont="1" applyFill="1" applyBorder="1" applyAlignment="1" applyProtection="1">
      <alignment horizontal="center" vertical="center"/>
    </xf>
    <xf numFmtId="0" fontId="47" fillId="0" borderId="127" xfId="0" applyFont="1" applyBorder="1" applyAlignment="1" applyProtection="1">
      <alignment horizontal="center"/>
    </xf>
    <xf numFmtId="0" fontId="47" fillId="0" borderId="45" xfId="0" applyFont="1" applyBorder="1" applyAlignment="1" applyProtection="1">
      <alignment horizontal="center"/>
    </xf>
    <xf numFmtId="0" fontId="47" fillId="0" borderId="128" xfId="0" applyFont="1" applyBorder="1" applyAlignment="1" applyProtection="1">
      <alignment horizontal="center"/>
    </xf>
  </cellXfs>
  <cellStyles count="54134">
    <cellStyle name="_x0006_" xfId="52984"/>
    <cellStyle name="_x0008_" xfId="52985"/>
    <cellStyle name=" 1" xfId="172"/>
    <cellStyle name="_x000a_" xfId="52986"/>
    <cellStyle name="_x000d_" xfId="52987"/>
    <cellStyle name="&quot;Moneda&quot;" xfId="52988"/>
    <cellStyle name="%" xfId="173"/>
    <cellStyle name="% 2" xfId="174"/>
    <cellStyle name="% 2 2" xfId="175"/>
    <cellStyle name="% 2 2 2" xfId="176"/>
    <cellStyle name="% 2 2 3" xfId="177"/>
    <cellStyle name="% 2 3" xfId="178"/>
    <cellStyle name="% 2 4" xfId="179"/>
    <cellStyle name="% 3" xfId="180"/>
    <cellStyle name="% 3 2" xfId="181"/>
    <cellStyle name="% 3 3" xfId="182"/>
    <cellStyle name="% 4" xfId="183"/>
    <cellStyle name="% 5" xfId="184"/>
    <cellStyle name="%_Especificación BAM Octubre" xfId="185"/>
    <cellStyle name="%_Especificación ENTEL PLAN MULTIMEDIA V.2" xfId="186"/>
    <cellStyle name="%_Especificación ENTEL TI versión 2" xfId="187"/>
    <cellStyle name="%_Locales Septiembre_2009" xfId="188"/>
    <cellStyle name="%_Locales Septiembre_2009 2" xfId="189"/>
    <cellStyle name="%_Locales Septiembre_2009 2 2" xfId="190"/>
    <cellStyle name="%_Locales Septiembre_2009 2 3" xfId="191"/>
    <cellStyle name="%_Locales Septiembre_2009 3" xfId="192"/>
    <cellStyle name="%_Locales Septiembre_2009 4" xfId="193"/>
    <cellStyle name="%_Locales Septiembre_2009_Plan LAN EMPRESAS  V1" xfId="194"/>
    <cellStyle name="%_Locales Septiembre_2009_Plan LAN EMPRESAS  V1 2" xfId="195"/>
    <cellStyle name="%_Locales Septiembre_2009_Plan LAN EMPRESAS  V1 3" xfId="196"/>
    <cellStyle name="%_Locales Septiembre_2009_Plan LAN EMPRESAS  V2" xfId="197"/>
    <cellStyle name="%_Locales Septiembre_2009_Plan LAN EMPRESAS  V2 2" xfId="198"/>
    <cellStyle name="%_Locales Septiembre_2009_Plan LAN EMPRESAS  V2 3" xfId="199"/>
    <cellStyle name="%_Pauta Liquidacion Johnsons v1 clau" xfId="200"/>
    <cellStyle name="%_Plan LAN EMPRESAS  V1" xfId="201"/>
    <cellStyle name="%_Plan LAN EMPRESAS  V1 2" xfId="202"/>
    <cellStyle name="%_Plan LAN EMPRESAS  V1 3" xfId="203"/>
    <cellStyle name="%_Plan LAN EMPRESAS  V2" xfId="204"/>
    <cellStyle name="%_Plan LAN EMPRESAS  V2 2" xfId="205"/>
    <cellStyle name="%_Plan LAN EMPRESAS  V2 3" xfId="206"/>
    <cellStyle name="??" xfId="207"/>
    <cellStyle name="?? [0]_??" xfId="208"/>
    <cellStyle name="?? 2" xfId="209"/>
    <cellStyle name="?? 3" xfId="210"/>
    <cellStyle name="?? 4" xfId="211"/>
    <cellStyle name="??_?.????" xfId="212"/>
    <cellStyle name="_(10) CG Germany Media Plan 15-09-08" xfId="52989"/>
    <cellStyle name="_(2) CG NL media plan 08-07-2008" xfId="52990"/>
    <cellStyle name="__x001d__7_x000c_î__x0007__x000a_á_U_x0001_Ì_x000b_‘_x0016__x0007__x0001__x0001_" xfId="52991"/>
    <cellStyle name="_~2133204" xfId="52992"/>
    <cellStyle name="_~5909818" xfId="213"/>
    <cellStyle name="_~5909818 2" xfId="214"/>
    <cellStyle name="_~5909818 2 2" xfId="215"/>
    <cellStyle name="_~5909818 3" xfId="216"/>
    <cellStyle name="_~7255203" xfId="1"/>
    <cellStyle name="_01 - Plan Cámaras Abr - Dic 2009" xfId="217"/>
    <cellStyle name="_01 - Plan Cámaras Abr - Dic 2009 2" xfId="218"/>
    <cellStyle name="_01 - Plan Cámaras Abr - Dic 2009 2 2" xfId="219"/>
    <cellStyle name="_01 - Plan Cámaras Abr - Dic 2009 2 3" xfId="220"/>
    <cellStyle name="_01 - Plan Cámaras Abr - Dic 2009 3" xfId="221"/>
    <cellStyle name="_01 - Plan Cámaras Abr - Dic 2009 4" xfId="222"/>
    <cellStyle name="_01 - Plan Cámaras Abr - Dic 2009_Cotización Consumo Marzo V1" xfId="223"/>
    <cellStyle name="_01 - Plan Cámaras Abr - Dic 2009_Cotización Consumo Marzo V1 2" xfId="224"/>
    <cellStyle name="_01 - Plan Cámaras Abr - Dic 2009_Cotización Consumo Marzo V1 2 2" xfId="225"/>
    <cellStyle name="_01 - Plan Cámaras Abr - Dic 2009_Cotización Consumo Marzo V1 2 3" xfId="226"/>
    <cellStyle name="_01 - Plan Cámaras Abr - Dic 2009_Cotización Consumo Marzo V1 3" xfId="227"/>
    <cellStyle name="_01 - Plan Cámaras Abr - Dic 2009_Cotización Consumo Marzo V1 4" xfId="228"/>
    <cellStyle name="_01 - Plan Cámaras Abr - Dic 2009_Cotización Consumo Marzo V1_Mantencion P Turismo Septiembre V2 OK" xfId="229"/>
    <cellStyle name="_01 - Plan Cámaras Abr - Dic 2009_Cotización Consumo Marzo V1_Mantencion P Turismo Septiembre V2 OK 2" xfId="230"/>
    <cellStyle name="_01 - Plan Cámaras Abr - Dic 2009_Cotización Consumo Marzo V1_Mantencion P Turismo Septiembre V2 OK 3" xfId="231"/>
    <cellStyle name="_01 - Plan Cámaras Abr - Dic 2009_Cotización Consumo Marzo V1_Plan Canje KMS LANPASS versión 2" xfId="232"/>
    <cellStyle name="_01 - Plan Cámaras Abr - Dic 2009_Cotización Consumo Marzo V1_Plan Canje KMS LANPASS versión 2 2" xfId="233"/>
    <cellStyle name="_01 - Plan Cámaras Abr - Dic 2009_Cotización Consumo Marzo V1_Plan Canje KMS LANPASS versión 2 2 2" xfId="234"/>
    <cellStyle name="_01 - Plan Cámaras Abr - Dic 2009_Cotización Consumo Marzo V1_Plan Canje KMS LANPASS versión 2 2 3" xfId="235"/>
    <cellStyle name="_01 - Plan Cámaras Abr - Dic 2009_Cotización Consumo Marzo V1_Plan Canje KMS LANPASS versión 2 3" xfId="236"/>
    <cellStyle name="_01 - Plan Cámaras Abr - Dic 2009_Cotización Consumo Marzo V1_Plan Canje KMS LANPASS versión 2 4" xfId="237"/>
    <cellStyle name="_01 - Plan Cámaras Abr - Dic 2009_Cotización Consumo Marzo V1_Plan Canje KMS LANPASS versión 2_Mantencion P Turismo Septiembre V2 OK" xfId="238"/>
    <cellStyle name="_01 - Plan Cámaras Abr - Dic 2009_Cotización Consumo Marzo V1_Plan Canje KMS LANPASS versión 2_Mantencion P Turismo Septiembre V2 OK 2" xfId="239"/>
    <cellStyle name="_01 - Plan Cámaras Abr - Dic 2009_Cotización Consumo Marzo V1_Plan Canje KMS LANPASS versión 2_Mantencion P Turismo Septiembre V2 OK 3" xfId="240"/>
    <cellStyle name="_01 - Plan Cámaras Abr - Dic 2009_Cotización Consumo Marzo V1_Plan Canje KMS LANPASS versión 2_Plan LAN EMPRESAS  V1" xfId="241"/>
    <cellStyle name="_01 - Plan Cámaras Abr - Dic 2009_Cotización Consumo Marzo V1_Plan Canje KMS LANPASS versión 2_Plan LAN EMPRESAS  V1 2" xfId="242"/>
    <cellStyle name="_01 - Plan Cámaras Abr - Dic 2009_Cotización Consumo Marzo V1_Plan Canje KMS LANPASS versión 2_Plan LAN EMPRESAS  V1 3" xfId="243"/>
    <cellStyle name="_01 - Plan Cámaras Abr - Dic 2009_Cotización Consumo Marzo V1_Plan Canje KMS LANPASS versión 2_Plan LAN EMPRESAS  V2" xfId="244"/>
    <cellStyle name="_01 - Plan Cámaras Abr - Dic 2009_Cotización Consumo Marzo V1_Plan Canje KMS LANPASS versión 2_Plan LAN EMPRESAS  V2 2" xfId="245"/>
    <cellStyle name="_01 - Plan Cámaras Abr - Dic 2009_Cotización Consumo Marzo V1_Plan Canje KMS LANPASS versión 2_Plan LAN EMPRESAS  V2 3" xfId="246"/>
    <cellStyle name="_01 - Plan Cámaras Abr - Dic 2009_Cotización Consumo Marzo V1_Plan LAN EMPRESAS  V1" xfId="247"/>
    <cellStyle name="_01 - Plan Cámaras Abr - Dic 2009_Cotización Consumo Marzo V1_Plan LAN EMPRESAS  V1 2" xfId="248"/>
    <cellStyle name="_01 - Plan Cámaras Abr - Dic 2009_Cotización Consumo Marzo V1_Plan LAN EMPRESAS  V1 3" xfId="249"/>
    <cellStyle name="_01 - Plan Cámaras Abr - Dic 2009_Cotización Consumo Marzo V1_Plan LAN EMPRESAS  V2" xfId="250"/>
    <cellStyle name="_01 - Plan Cámaras Abr - Dic 2009_Cotización Consumo Marzo V1_Plan LAN EMPRESAS  V2 2" xfId="251"/>
    <cellStyle name="_01 - Plan Cámaras Abr - Dic 2009_Cotización Consumo Marzo V1_Plan LAN EMPRESAS  V2 3" xfId="252"/>
    <cellStyle name="_01 - Plan Cámaras Abr - Dic 2009_Cotizacion Piezas Starcom V2 Seguro" xfId="253"/>
    <cellStyle name="_01 - Plan Cámaras Abr - Dic 2009_Cotizacion Piezas Starcom V2 Seguro 2" xfId="254"/>
    <cellStyle name="_01 - Plan Cámaras Abr - Dic 2009_Cotizacion Piezas Starcom V2 Seguro 2 2" xfId="255"/>
    <cellStyle name="_01 - Plan Cámaras Abr - Dic 2009_Cotizacion Piezas Starcom V2 Seguro 2 3" xfId="256"/>
    <cellStyle name="_01 - Plan Cámaras Abr - Dic 2009_Cotizacion Piezas Starcom V2 Seguro 3" xfId="257"/>
    <cellStyle name="_01 - Plan Cámaras Abr - Dic 2009_Cotizacion Piezas Starcom V2 Seguro 4" xfId="258"/>
    <cellStyle name="_01 - Plan Cámaras Abr - Dic 2009_Cotizacion Piezas Starcom V2 Seguro_Mantencion P Turismo Septiembre V2 OK" xfId="259"/>
    <cellStyle name="_01 - Plan Cámaras Abr - Dic 2009_Cotizacion Piezas Starcom V2 Seguro_Mantencion P Turismo Septiembre V2 OK 2" xfId="260"/>
    <cellStyle name="_01 - Plan Cámaras Abr - Dic 2009_Cotizacion Piezas Starcom V2 Seguro_Mantencion P Turismo Septiembre V2 OK 3" xfId="261"/>
    <cellStyle name="_01 - Plan Cámaras Abr - Dic 2009_Cotizacion Piezas Starcom V2 Seguro_Plan Canje KMS LANPASS versión 2" xfId="262"/>
    <cellStyle name="_01 - Plan Cámaras Abr - Dic 2009_Cotizacion Piezas Starcom V2 Seguro_Plan Canje KMS LANPASS versión 2 2" xfId="263"/>
    <cellStyle name="_01 - Plan Cámaras Abr - Dic 2009_Cotizacion Piezas Starcom V2 Seguro_Plan Canje KMS LANPASS versión 2 2 2" xfId="264"/>
    <cellStyle name="_01 - Plan Cámaras Abr - Dic 2009_Cotizacion Piezas Starcom V2 Seguro_Plan Canje KMS LANPASS versión 2 2 3" xfId="265"/>
    <cellStyle name="_01 - Plan Cámaras Abr - Dic 2009_Cotizacion Piezas Starcom V2 Seguro_Plan Canje KMS LANPASS versión 2 3" xfId="266"/>
    <cellStyle name="_01 - Plan Cámaras Abr - Dic 2009_Cotizacion Piezas Starcom V2 Seguro_Plan Canje KMS LANPASS versión 2 4" xfId="267"/>
    <cellStyle name="_01 - Plan Cámaras Abr - Dic 2009_Cotizacion Piezas Starcom V2 Seguro_Plan Canje KMS LANPASS versión 2_Mantencion P Turismo Septiembre V2 OK" xfId="268"/>
    <cellStyle name="_01 - Plan Cámaras Abr - Dic 2009_Cotizacion Piezas Starcom V2 Seguro_Plan Canje KMS LANPASS versión 2_Mantencion P Turismo Septiembre V2 OK 2" xfId="269"/>
    <cellStyle name="_01 - Plan Cámaras Abr - Dic 2009_Cotizacion Piezas Starcom V2 Seguro_Plan Canje KMS LANPASS versión 2_Mantencion P Turismo Septiembre V2 OK 3" xfId="270"/>
    <cellStyle name="_01 - Plan Cámaras Abr - Dic 2009_Cotizacion Piezas Starcom V2 Seguro_Plan Canje KMS LANPASS versión 2_Plan LAN EMPRESAS  V1" xfId="271"/>
    <cellStyle name="_01 - Plan Cámaras Abr - Dic 2009_Cotizacion Piezas Starcom V2 Seguro_Plan Canje KMS LANPASS versión 2_Plan LAN EMPRESAS  V1 2" xfId="272"/>
    <cellStyle name="_01 - Plan Cámaras Abr - Dic 2009_Cotizacion Piezas Starcom V2 Seguro_Plan Canje KMS LANPASS versión 2_Plan LAN EMPRESAS  V1 3" xfId="273"/>
    <cellStyle name="_01 - Plan Cámaras Abr - Dic 2009_Cotizacion Piezas Starcom V2 Seguro_Plan Canje KMS LANPASS versión 2_Plan LAN EMPRESAS  V2" xfId="274"/>
    <cellStyle name="_01 - Plan Cámaras Abr - Dic 2009_Cotizacion Piezas Starcom V2 Seguro_Plan Canje KMS LANPASS versión 2_Plan LAN EMPRESAS  V2 2" xfId="275"/>
    <cellStyle name="_01 - Plan Cámaras Abr - Dic 2009_Cotizacion Piezas Starcom V2 Seguro_Plan Canje KMS LANPASS versión 2_Plan LAN EMPRESAS  V2 3" xfId="276"/>
    <cellStyle name="_01 - Plan Cámaras Abr - Dic 2009_Cotizacion Piezas Starcom V2 Seguro_Plan LAN EMPRESAS  V1" xfId="277"/>
    <cellStyle name="_01 - Plan Cámaras Abr - Dic 2009_Cotizacion Piezas Starcom V2 Seguro_Plan LAN EMPRESAS  V1 2" xfId="278"/>
    <cellStyle name="_01 - Plan Cámaras Abr - Dic 2009_Cotizacion Piezas Starcom V2 Seguro_Plan LAN EMPRESAS  V1 3" xfId="279"/>
    <cellStyle name="_01 - Plan Cámaras Abr - Dic 2009_Cotizacion Piezas Starcom V2 Seguro_Plan LAN EMPRESAS  V2" xfId="280"/>
    <cellStyle name="_01 - Plan Cámaras Abr - Dic 2009_Cotizacion Piezas Starcom V2 Seguro_Plan LAN EMPRESAS  V2 2" xfId="281"/>
    <cellStyle name="_01 - Plan Cámaras Abr - Dic 2009_Cotizacion Piezas Starcom V2 Seguro_Plan LAN EMPRESAS  V2 3" xfId="282"/>
    <cellStyle name="_01 - Plan Cámaras Abr - Dic 2009_Mantencion P Turismo Septiembre V2 OK" xfId="283"/>
    <cellStyle name="_01 - Plan Cámaras Abr - Dic 2009_Mantencion P Turismo Septiembre V2 OK 2" xfId="284"/>
    <cellStyle name="_01 - Plan Cámaras Abr - Dic 2009_Mantencion P Turismo Septiembre V2 OK 3" xfId="285"/>
    <cellStyle name="_01 - Plan Cámaras Abr - Dic 2009_Pauta TV" xfId="286"/>
    <cellStyle name="_01 - Plan Cámaras Abr - Dic 2009_Pauta TV 2" xfId="287"/>
    <cellStyle name="_01 - Plan Cámaras Abr - Dic 2009_Pauta TV 2 2" xfId="288"/>
    <cellStyle name="_01 - Plan Cámaras Abr - Dic 2009_Pauta TV 2 3" xfId="289"/>
    <cellStyle name="_01 - Plan Cámaras Abr - Dic 2009_Pauta TV 3" xfId="290"/>
    <cellStyle name="_01 - Plan Cámaras Abr - Dic 2009_Pauta TV 4" xfId="291"/>
    <cellStyle name="_01 - Plan Cámaras Abr - Dic 2009_Pauta TV Techo" xfId="292"/>
    <cellStyle name="_01 - Plan Cámaras Abr - Dic 2009_Pauta TV Techo 2" xfId="293"/>
    <cellStyle name="_01 - Plan Cámaras Abr - Dic 2009_Pauta TV Techo 2 2" xfId="294"/>
    <cellStyle name="_01 - Plan Cámaras Abr - Dic 2009_Pauta TV Techo 2 3" xfId="295"/>
    <cellStyle name="_01 - Plan Cámaras Abr - Dic 2009_Pauta TV Techo 3" xfId="296"/>
    <cellStyle name="_01 - Plan Cámaras Abr - Dic 2009_Pauta TV Techo 4" xfId="297"/>
    <cellStyle name="_01 - Plan Cámaras Abr - Dic 2009_Pauta TV Techo_Mantencion P Turismo Septiembre V2 OK" xfId="298"/>
    <cellStyle name="_01 - Plan Cámaras Abr - Dic 2009_Pauta TV Techo_Mantencion P Turismo Septiembre V2 OK 2" xfId="299"/>
    <cellStyle name="_01 - Plan Cámaras Abr - Dic 2009_Pauta TV Techo_Mantencion P Turismo Septiembre V2 OK 3" xfId="300"/>
    <cellStyle name="_01 - Plan Cámaras Abr - Dic 2009_Pauta TV Techo_Plan Canje KMS LANPASS versión 2" xfId="301"/>
    <cellStyle name="_01 - Plan Cámaras Abr - Dic 2009_Pauta TV Techo_Plan Canje KMS LANPASS versión 2 2" xfId="302"/>
    <cellStyle name="_01 - Plan Cámaras Abr - Dic 2009_Pauta TV Techo_Plan Canje KMS LANPASS versión 2 2 2" xfId="303"/>
    <cellStyle name="_01 - Plan Cámaras Abr - Dic 2009_Pauta TV Techo_Plan Canje KMS LANPASS versión 2 2 3" xfId="304"/>
    <cellStyle name="_01 - Plan Cámaras Abr - Dic 2009_Pauta TV Techo_Plan Canje KMS LANPASS versión 2 3" xfId="305"/>
    <cellStyle name="_01 - Plan Cámaras Abr - Dic 2009_Pauta TV Techo_Plan Canje KMS LANPASS versión 2 4" xfId="306"/>
    <cellStyle name="_01 - Plan Cámaras Abr - Dic 2009_Pauta TV Techo_Plan Canje KMS LANPASS versión 2_Mantencion P Turismo Septiembre V2 OK" xfId="307"/>
    <cellStyle name="_01 - Plan Cámaras Abr - Dic 2009_Pauta TV Techo_Plan Canje KMS LANPASS versión 2_Mantencion P Turismo Septiembre V2 OK 2" xfId="308"/>
    <cellStyle name="_01 - Plan Cámaras Abr - Dic 2009_Pauta TV Techo_Plan Canje KMS LANPASS versión 2_Mantencion P Turismo Septiembre V2 OK 3" xfId="309"/>
    <cellStyle name="_01 - Plan Cámaras Abr - Dic 2009_Pauta TV Techo_Plan Canje KMS LANPASS versión 2_Plan LAN EMPRESAS  V1" xfId="310"/>
    <cellStyle name="_01 - Plan Cámaras Abr - Dic 2009_Pauta TV Techo_Plan Canje KMS LANPASS versión 2_Plan LAN EMPRESAS  V1 2" xfId="311"/>
    <cellStyle name="_01 - Plan Cámaras Abr - Dic 2009_Pauta TV Techo_Plan Canje KMS LANPASS versión 2_Plan LAN EMPRESAS  V1 3" xfId="312"/>
    <cellStyle name="_01 - Plan Cámaras Abr - Dic 2009_Pauta TV Techo_Plan Canje KMS LANPASS versión 2_Plan LAN EMPRESAS  V2" xfId="313"/>
    <cellStyle name="_01 - Plan Cámaras Abr - Dic 2009_Pauta TV Techo_Plan Canje KMS LANPASS versión 2_Plan LAN EMPRESAS  V2 2" xfId="314"/>
    <cellStyle name="_01 - Plan Cámaras Abr - Dic 2009_Pauta TV Techo_Plan Canje KMS LANPASS versión 2_Plan LAN EMPRESAS  V2 3" xfId="315"/>
    <cellStyle name="_01 - Plan Cámaras Abr - Dic 2009_Pauta TV Techo_Plan LAN EMPRESAS  V1" xfId="316"/>
    <cellStyle name="_01 - Plan Cámaras Abr - Dic 2009_Pauta TV Techo_Plan LAN EMPRESAS  V1 2" xfId="317"/>
    <cellStyle name="_01 - Plan Cámaras Abr - Dic 2009_Pauta TV Techo_Plan LAN EMPRESAS  V1 3" xfId="318"/>
    <cellStyle name="_01 - Plan Cámaras Abr - Dic 2009_Pauta TV Techo_Plan LAN EMPRESAS  V2" xfId="319"/>
    <cellStyle name="_01 - Plan Cámaras Abr - Dic 2009_Pauta TV Techo_Plan LAN EMPRESAS  V2 2" xfId="320"/>
    <cellStyle name="_01 - Plan Cámaras Abr - Dic 2009_Pauta TV Techo_Plan LAN EMPRESAS  V2 3" xfId="321"/>
    <cellStyle name="_01 - Plan Cámaras Abr - Dic 2009_Pauta TV_Mantencion P Turismo Septiembre V2 OK" xfId="322"/>
    <cellStyle name="_01 - Plan Cámaras Abr - Dic 2009_Pauta TV_Mantencion P Turismo Septiembre V2 OK 2" xfId="323"/>
    <cellStyle name="_01 - Plan Cámaras Abr - Dic 2009_Pauta TV_Mantencion P Turismo Septiembre V2 OK 3" xfId="324"/>
    <cellStyle name="_01 - Plan Cámaras Abr - Dic 2009_Pauta TV_Plan Canje KMS LANPASS versión 2" xfId="325"/>
    <cellStyle name="_01 - Plan Cámaras Abr - Dic 2009_Pauta TV_Plan Canje KMS LANPASS versión 2 2" xfId="326"/>
    <cellStyle name="_01 - Plan Cámaras Abr - Dic 2009_Pauta TV_Plan Canje KMS LANPASS versión 2 2 2" xfId="327"/>
    <cellStyle name="_01 - Plan Cámaras Abr - Dic 2009_Pauta TV_Plan Canje KMS LANPASS versión 2 2 3" xfId="328"/>
    <cellStyle name="_01 - Plan Cámaras Abr - Dic 2009_Pauta TV_Plan Canje KMS LANPASS versión 2 3" xfId="329"/>
    <cellStyle name="_01 - Plan Cámaras Abr - Dic 2009_Pauta TV_Plan Canje KMS LANPASS versión 2 4" xfId="330"/>
    <cellStyle name="_01 - Plan Cámaras Abr - Dic 2009_Pauta TV_Plan Canje KMS LANPASS versión 2_Mantencion P Turismo Septiembre V2 OK" xfId="331"/>
    <cellStyle name="_01 - Plan Cámaras Abr - Dic 2009_Pauta TV_Plan Canje KMS LANPASS versión 2_Mantencion P Turismo Septiembre V2 OK 2" xfId="332"/>
    <cellStyle name="_01 - Plan Cámaras Abr - Dic 2009_Pauta TV_Plan Canje KMS LANPASS versión 2_Mantencion P Turismo Septiembre V2 OK 3" xfId="333"/>
    <cellStyle name="_01 - Plan Cámaras Abr - Dic 2009_Pauta TV_Plan Canje KMS LANPASS versión 2_Plan LAN EMPRESAS  V1" xfId="334"/>
    <cellStyle name="_01 - Plan Cámaras Abr - Dic 2009_Pauta TV_Plan Canje KMS LANPASS versión 2_Plan LAN EMPRESAS  V1 2" xfId="335"/>
    <cellStyle name="_01 - Plan Cámaras Abr - Dic 2009_Pauta TV_Plan Canje KMS LANPASS versión 2_Plan LAN EMPRESAS  V1 3" xfId="336"/>
    <cellStyle name="_01 - Plan Cámaras Abr - Dic 2009_Pauta TV_Plan Canje KMS LANPASS versión 2_Plan LAN EMPRESAS  V2" xfId="337"/>
    <cellStyle name="_01 - Plan Cámaras Abr - Dic 2009_Pauta TV_Plan Canje KMS LANPASS versión 2_Plan LAN EMPRESAS  V2 2" xfId="338"/>
    <cellStyle name="_01 - Plan Cámaras Abr - Dic 2009_Pauta TV_Plan Canje KMS LANPASS versión 2_Plan LAN EMPRESAS  V2 3" xfId="339"/>
    <cellStyle name="_01 - Plan Cámaras Abr - Dic 2009_Pauta TV_Plan LAN EMPRESAS  V1" xfId="340"/>
    <cellStyle name="_01 - Plan Cámaras Abr - Dic 2009_Pauta TV_Plan LAN EMPRESAS  V1 2" xfId="341"/>
    <cellStyle name="_01 - Plan Cámaras Abr - Dic 2009_Pauta TV_Plan LAN EMPRESAS  V1 3" xfId="342"/>
    <cellStyle name="_01 - Plan Cámaras Abr - Dic 2009_Pauta TV_Plan LAN EMPRESAS  V2" xfId="343"/>
    <cellStyle name="_01 - Plan Cámaras Abr - Dic 2009_Pauta TV_Plan LAN EMPRESAS  V2 2" xfId="344"/>
    <cellStyle name="_01 - Plan Cámaras Abr - Dic 2009_Pauta TV_Plan LAN EMPRESAS  V2 3" xfId="345"/>
    <cellStyle name="_01 - Plan Cámaras Abr - Dic 2009_Plan Auto Bencina 05.04.10" xfId="346"/>
    <cellStyle name="_01 - Plan Cámaras Abr - Dic 2009_Plan Auto Bencina 05.04.10 2" xfId="347"/>
    <cellStyle name="_01 - Plan Cámaras Abr - Dic 2009_Plan Auto Bencina 05.04.10 2 2" xfId="348"/>
    <cellStyle name="_01 - Plan Cámaras Abr - Dic 2009_Plan Auto Bencina 05.04.10 2 3" xfId="349"/>
    <cellStyle name="_01 - Plan Cámaras Abr - Dic 2009_Plan Auto Bencina 05.04.10 3" xfId="350"/>
    <cellStyle name="_01 - Plan Cámaras Abr - Dic 2009_Plan Auto Bencina 05.04.10 4" xfId="351"/>
    <cellStyle name="_01 - Plan Cámaras Abr - Dic 2009_Plan Auto Bencina 05.04.10_Mantencion P Turismo Septiembre V2 OK" xfId="352"/>
    <cellStyle name="_01 - Plan Cámaras Abr - Dic 2009_Plan Auto Bencina 05.04.10_Mantencion P Turismo Septiembre V2 OK 2" xfId="353"/>
    <cellStyle name="_01 - Plan Cámaras Abr - Dic 2009_Plan Auto Bencina 05.04.10_Mantencion P Turismo Septiembre V2 OK 3" xfId="354"/>
    <cellStyle name="_01 - Plan Cámaras Abr - Dic 2009_Plan Auto Bencina 05.04.10_Plan Canje KMS LANPASS versión 2" xfId="355"/>
    <cellStyle name="_01 - Plan Cámaras Abr - Dic 2009_Plan Auto Bencina 05.04.10_Plan Canje KMS LANPASS versión 2 2" xfId="356"/>
    <cellStyle name="_01 - Plan Cámaras Abr - Dic 2009_Plan Auto Bencina 05.04.10_Plan Canje KMS LANPASS versión 2 2 2" xfId="357"/>
    <cellStyle name="_01 - Plan Cámaras Abr - Dic 2009_Plan Auto Bencina 05.04.10_Plan Canje KMS LANPASS versión 2 2 3" xfId="358"/>
    <cellStyle name="_01 - Plan Cámaras Abr - Dic 2009_Plan Auto Bencina 05.04.10_Plan Canje KMS LANPASS versión 2 3" xfId="359"/>
    <cellStyle name="_01 - Plan Cámaras Abr - Dic 2009_Plan Auto Bencina 05.04.10_Plan Canje KMS LANPASS versión 2 4" xfId="360"/>
    <cellStyle name="_01 - Plan Cámaras Abr - Dic 2009_Plan Auto Bencina 05.04.10_Plan Canje KMS LANPASS versión 2_Mantencion P Turismo Septiembre V2 OK" xfId="361"/>
    <cellStyle name="_01 - Plan Cámaras Abr - Dic 2009_Plan Auto Bencina 05.04.10_Plan Canje KMS LANPASS versión 2_Mantencion P Turismo Septiembre V2 OK 2" xfId="362"/>
    <cellStyle name="_01 - Plan Cámaras Abr - Dic 2009_Plan Auto Bencina 05.04.10_Plan Canje KMS LANPASS versión 2_Mantencion P Turismo Septiembre V2 OK 3" xfId="363"/>
    <cellStyle name="_01 - Plan Cámaras Abr - Dic 2009_Plan Auto Bencina 05.04.10_Plan Canje KMS LANPASS versión 2_Plan LAN EMPRESAS  V1" xfId="364"/>
    <cellStyle name="_01 - Plan Cámaras Abr - Dic 2009_Plan Auto Bencina 05.04.10_Plan Canje KMS LANPASS versión 2_Plan LAN EMPRESAS  V1 2" xfId="365"/>
    <cellStyle name="_01 - Plan Cámaras Abr - Dic 2009_Plan Auto Bencina 05.04.10_Plan Canje KMS LANPASS versión 2_Plan LAN EMPRESAS  V1 3" xfId="366"/>
    <cellStyle name="_01 - Plan Cámaras Abr - Dic 2009_Plan Auto Bencina 05.04.10_Plan Canje KMS LANPASS versión 2_Plan LAN EMPRESAS  V2" xfId="367"/>
    <cellStyle name="_01 - Plan Cámaras Abr - Dic 2009_Plan Auto Bencina 05.04.10_Plan Canje KMS LANPASS versión 2_Plan LAN EMPRESAS  V2 2" xfId="368"/>
    <cellStyle name="_01 - Plan Cámaras Abr - Dic 2009_Plan Auto Bencina 05.04.10_Plan Canje KMS LANPASS versión 2_Plan LAN EMPRESAS  V2 3" xfId="369"/>
    <cellStyle name="_01 - Plan Cámaras Abr - Dic 2009_Plan Auto Bencina 05.04.10_Plan LAN EMPRESAS  V1" xfId="370"/>
    <cellStyle name="_01 - Plan Cámaras Abr - Dic 2009_Plan Auto Bencina 05.04.10_Plan LAN EMPRESAS  V1 2" xfId="371"/>
    <cellStyle name="_01 - Plan Cámaras Abr - Dic 2009_Plan Auto Bencina 05.04.10_Plan LAN EMPRESAS  V1 3" xfId="372"/>
    <cellStyle name="_01 - Plan Cámaras Abr - Dic 2009_Plan Auto Bencina 05.04.10_Plan LAN EMPRESAS  V2" xfId="373"/>
    <cellStyle name="_01 - Plan Cámaras Abr - Dic 2009_Plan Auto Bencina 05.04.10_Plan LAN EMPRESAS  V2 2" xfId="374"/>
    <cellStyle name="_01 - Plan Cámaras Abr - Dic 2009_Plan Auto Bencina 05.04.10_Plan LAN EMPRESAS  V2 3" xfId="375"/>
    <cellStyle name="_01 - Plan Cámaras Abr - Dic 2009_Plan Auto Bencina 06.04.10" xfId="376"/>
    <cellStyle name="_01 - Plan Cámaras Abr - Dic 2009_Plan Auto Bencina 06.04.10 2" xfId="377"/>
    <cellStyle name="_01 - Plan Cámaras Abr - Dic 2009_Plan Auto Bencina 06.04.10 2 2" xfId="378"/>
    <cellStyle name="_01 - Plan Cámaras Abr - Dic 2009_Plan Auto Bencina 06.04.10 2 3" xfId="379"/>
    <cellStyle name="_01 - Plan Cámaras Abr - Dic 2009_Plan Auto Bencina 06.04.10 3" xfId="380"/>
    <cellStyle name="_01 - Plan Cámaras Abr - Dic 2009_Plan Auto Bencina 06.04.10 4" xfId="381"/>
    <cellStyle name="_01 - Plan Cámaras Abr - Dic 2009_Plan Auto Bencina 06.04.10_Mantencion P Turismo Septiembre V2 OK" xfId="382"/>
    <cellStyle name="_01 - Plan Cámaras Abr - Dic 2009_Plan Auto Bencina 06.04.10_Mantencion P Turismo Septiembre V2 OK 2" xfId="383"/>
    <cellStyle name="_01 - Plan Cámaras Abr - Dic 2009_Plan Auto Bencina 06.04.10_Mantencion P Turismo Septiembre V2 OK 3" xfId="384"/>
    <cellStyle name="_01 - Plan Cámaras Abr - Dic 2009_Plan Auto Bencina 06.04.10_Plan Canje KMS LANPASS versión 2" xfId="385"/>
    <cellStyle name="_01 - Plan Cámaras Abr - Dic 2009_Plan Auto Bencina 06.04.10_Plan Canje KMS LANPASS versión 2 2" xfId="386"/>
    <cellStyle name="_01 - Plan Cámaras Abr - Dic 2009_Plan Auto Bencina 06.04.10_Plan Canje KMS LANPASS versión 2 2 2" xfId="387"/>
    <cellStyle name="_01 - Plan Cámaras Abr - Dic 2009_Plan Auto Bencina 06.04.10_Plan Canje KMS LANPASS versión 2 2 3" xfId="388"/>
    <cellStyle name="_01 - Plan Cámaras Abr - Dic 2009_Plan Auto Bencina 06.04.10_Plan Canje KMS LANPASS versión 2 3" xfId="389"/>
    <cellStyle name="_01 - Plan Cámaras Abr - Dic 2009_Plan Auto Bencina 06.04.10_Plan Canje KMS LANPASS versión 2 4" xfId="390"/>
    <cellStyle name="_01 - Plan Cámaras Abr - Dic 2009_Plan Auto Bencina 06.04.10_Plan Canje KMS LANPASS versión 2_Mantencion P Turismo Septiembre V2 OK" xfId="391"/>
    <cellStyle name="_01 - Plan Cámaras Abr - Dic 2009_Plan Auto Bencina 06.04.10_Plan Canje KMS LANPASS versión 2_Mantencion P Turismo Septiembre V2 OK 2" xfId="392"/>
    <cellStyle name="_01 - Plan Cámaras Abr - Dic 2009_Plan Auto Bencina 06.04.10_Plan Canje KMS LANPASS versión 2_Mantencion P Turismo Septiembre V2 OK 3" xfId="393"/>
    <cellStyle name="_01 - Plan Cámaras Abr - Dic 2009_Plan Auto Bencina 06.04.10_Plan Canje KMS LANPASS versión 2_Plan LAN EMPRESAS  V1" xfId="394"/>
    <cellStyle name="_01 - Plan Cámaras Abr - Dic 2009_Plan Auto Bencina 06.04.10_Plan Canje KMS LANPASS versión 2_Plan LAN EMPRESAS  V1 2" xfId="395"/>
    <cellStyle name="_01 - Plan Cámaras Abr - Dic 2009_Plan Auto Bencina 06.04.10_Plan Canje KMS LANPASS versión 2_Plan LAN EMPRESAS  V1 3" xfId="396"/>
    <cellStyle name="_01 - Plan Cámaras Abr - Dic 2009_Plan Auto Bencina 06.04.10_Plan Canje KMS LANPASS versión 2_Plan LAN EMPRESAS  V2" xfId="397"/>
    <cellStyle name="_01 - Plan Cámaras Abr - Dic 2009_Plan Auto Bencina 06.04.10_Plan Canje KMS LANPASS versión 2_Plan LAN EMPRESAS  V2 2" xfId="398"/>
    <cellStyle name="_01 - Plan Cámaras Abr - Dic 2009_Plan Auto Bencina 06.04.10_Plan Canje KMS LANPASS versión 2_Plan LAN EMPRESAS  V2 3" xfId="399"/>
    <cellStyle name="_01 - Plan Cámaras Abr - Dic 2009_Plan Auto Bencina 06.04.10_Plan LAN EMPRESAS  V1" xfId="400"/>
    <cellStyle name="_01 - Plan Cámaras Abr - Dic 2009_Plan Auto Bencina 06.04.10_Plan LAN EMPRESAS  V1 2" xfId="401"/>
    <cellStyle name="_01 - Plan Cámaras Abr - Dic 2009_Plan Auto Bencina 06.04.10_Plan LAN EMPRESAS  V1 3" xfId="402"/>
    <cellStyle name="_01 - Plan Cámaras Abr - Dic 2009_Plan Auto Bencina 06.04.10_Plan LAN EMPRESAS  V2" xfId="403"/>
    <cellStyle name="_01 - Plan Cámaras Abr - Dic 2009_Plan Auto Bencina 06.04.10_Plan LAN EMPRESAS  V2 2" xfId="404"/>
    <cellStyle name="_01 - Plan Cámaras Abr - Dic 2009_Plan Auto Bencina 06.04.10_Plan LAN EMPRESAS  V2 3" xfId="405"/>
    <cellStyle name="_01 - Plan Cámaras Abr - Dic 2009_Plan Auto Bencina 29.03.10" xfId="406"/>
    <cellStyle name="_01 - Plan Cámaras Abr - Dic 2009_Plan Auto Bencina 29.03.10 2" xfId="407"/>
    <cellStyle name="_01 - Plan Cámaras Abr - Dic 2009_Plan Auto Bencina 29.03.10 2 2" xfId="408"/>
    <cellStyle name="_01 - Plan Cámaras Abr - Dic 2009_Plan Auto Bencina 29.03.10 2 3" xfId="409"/>
    <cellStyle name="_01 - Plan Cámaras Abr - Dic 2009_Plan Auto Bencina 29.03.10 3" xfId="410"/>
    <cellStyle name="_01 - Plan Cámaras Abr - Dic 2009_Plan Auto Bencina 29.03.10 4" xfId="411"/>
    <cellStyle name="_01 - Plan Cámaras Abr - Dic 2009_Plan Auto Bencina 29.03.10_Mantencion P Turismo Septiembre V2 OK" xfId="412"/>
    <cellStyle name="_01 - Plan Cámaras Abr - Dic 2009_Plan Auto Bencina 29.03.10_Mantencion P Turismo Septiembre V2 OK 2" xfId="413"/>
    <cellStyle name="_01 - Plan Cámaras Abr - Dic 2009_Plan Auto Bencina 29.03.10_Mantencion P Turismo Septiembre V2 OK 3" xfId="414"/>
    <cellStyle name="_01 - Plan Cámaras Abr - Dic 2009_Plan Auto Bencina 29.03.10_Plan Canje KMS LANPASS versión 2" xfId="415"/>
    <cellStyle name="_01 - Plan Cámaras Abr - Dic 2009_Plan Auto Bencina 29.03.10_Plan Canje KMS LANPASS versión 2 2" xfId="416"/>
    <cellStyle name="_01 - Plan Cámaras Abr - Dic 2009_Plan Auto Bencina 29.03.10_Plan Canje KMS LANPASS versión 2 2 2" xfId="417"/>
    <cellStyle name="_01 - Plan Cámaras Abr - Dic 2009_Plan Auto Bencina 29.03.10_Plan Canje KMS LANPASS versión 2 2 3" xfId="418"/>
    <cellStyle name="_01 - Plan Cámaras Abr - Dic 2009_Plan Auto Bencina 29.03.10_Plan Canje KMS LANPASS versión 2 3" xfId="419"/>
    <cellStyle name="_01 - Plan Cámaras Abr - Dic 2009_Plan Auto Bencina 29.03.10_Plan Canje KMS LANPASS versión 2 4" xfId="420"/>
    <cellStyle name="_01 - Plan Cámaras Abr - Dic 2009_Plan Auto Bencina 29.03.10_Plan Canje KMS LANPASS versión 2_Mantencion P Turismo Septiembre V2 OK" xfId="421"/>
    <cellStyle name="_01 - Plan Cámaras Abr - Dic 2009_Plan Auto Bencina 29.03.10_Plan Canje KMS LANPASS versión 2_Mantencion P Turismo Septiembre V2 OK 2" xfId="422"/>
    <cellStyle name="_01 - Plan Cámaras Abr - Dic 2009_Plan Auto Bencina 29.03.10_Plan Canje KMS LANPASS versión 2_Mantencion P Turismo Septiembre V2 OK 3" xfId="423"/>
    <cellStyle name="_01 - Plan Cámaras Abr - Dic 2009_Plan Auto Bencina 29.03.10_Plan Canje KMS LANPASS versión 2_Plan LAN EMPRESAS  V1" xfId="424"/>
    <cellStyle name="_01 - Plan Cámaras Abr - Dic 2009_Plan Auto Bencina 29.03.10_Plan Canje KMS LANPASS versión 2_Plan LAN EMPRESAS  V1 2" xfId="425"/>
    <cellStyle name="_01 - Plan Cámaras Abr - Dic 2009_Plan Auto Bencina 29.03.10_Plan Canje KMS LANPASS versión 2_Plan LAN EMPRESAS  V1 3" xfId="426"/>
    <cellStyle name="_01 - Plan Cámaras Abr - Dic 2009_Plan Auto Bencina 29.03.10_Plan Canje KMS LANPASS versión 2_Plan LAN EMPRESAS  V2" xfId="427"/>
    <cellStyle name="_01 - Plan Cámaras Abr - Dic 2009_Plan Auto Bencina 29.03.10_Plan Canje KMS LANPASS versión 2_Plan LAN EMPRESAS  V2 2" xfId="428"/>
    <cellStyle name="_01 - Plan Cámaras Abr - Dic 2009_Plan Auto Bencina 29.03.10_Plan Canje KMS LANPASS versión 2_Plan LAN EMPRESAS  V2 3" xfId="429"/>
    <cellStyle name="_01 - Plan Cámaras Abr - Dic 2009_Plan Auto Bencina 29.03.10_Plan LAN EMPRESAS  V1" xfId="430"/>
    <cellStyle name="_01 - Plan Cámaras Abr - Dic 2009_Plan Auto Bencina 29.03.10_Plan LAN EMPRESAS  V1 2" xfId="431"/>
    <cellStyle name="_01 - Plan Cámaras Abr - Dic 2009_Plan Auto Bencina 29.03.10_Plan LAN EMPRESAS  V1 3" xfId="432"/>
    <cellStyle name="_01 - Plan Cámaras Abr - Dic 2009_Plan Auto Bencina 29.03.10_Plan LAN EMPRESAS  V2" xfId="433"/>
    <cellStyle name="_01 - Plan Cámaras Abr - Dic 2009_Plan Auto Bencina 29.03.10_Plan LAN EMPRESAS  V2 2" xfId="434"/>
    <cellStyle name="_01 - Plan Cámaras Abr - Dic 2009_Plan Auto Bencina 29.03.10_Plan LAN EMPRESAS  V2 3" xfId="435"/>
    <cellStyle name="_01 - Plan Cámaras Abr - Dic 2009_Plan Auto Bencina 31.03.10" xfId="436"/>
    <cellStyle name="_01 - Plan Cámaras Abr - Dic 2009_Plan Auto Bencina 31.03.10 2" xfId="437"/>
    <cellStyle name="_01 - Plan Cámaras Abr - Dic 2009_Plan Auto Bencina 31.03.10 2 2" xfId="438"/>
    <cellStyle name="_01 - Plan Cámaras Abr - Dic 2009_Plan Auto Bencina 31.03.10 2 3" xfId="439"/>
    <cellStyle name="_01 - Plan Cámaras Abr - Dic 2009_Plan Auto Bencina 31.03.10 3" xfId="440"/>
    <cellStyle name="_01 - Plan Cámaras Abr - Dic 2009_Plan Auto Bencina 31.03.10 4" xfId="441"/>
    <cellStyle name="_01 - Plan Cámaras Abr - Dic 2009_Plan Auto Bencina 31.03.10_Mantencion P Turismo Septiembre V2 OK" xfId="442"/>
    <cellStyle name="_01 - Plan Cámaras Abr - Dic 2009_Plan Auto Bencina 31.03.10_Mantencion P Turismo Septiembre V2 OK 2" xfId="443"/>
    <cellStyle name="_01 - Plan Cámaras Abr - Dic 2009_Plan Auto Bencina 31.03.10_Mantencion P Turismo Septiembre V2 OK 3" xfId="444"/>
    <cellStyle name="_01 - Plan Cámaras Abr - Dic 2009_Plan Auto Bencina 31.03.10_Plan Canje KMS LANPASS versión 2" xfId="445"/>
    <cellStyle name="_01 - Plan Cámaras Abr - Dic 2009_Plan Auto Bencina 31.03.10_Plan Canje KMS LANPASS versión 2 2" xfId="446"/>
    <cellStyle name="_01 - Plan Cámaras Abr - Dic 2009_Plan Auto Bencina 31.03.10_Plan Canje KMS LANPASS versión 2 2 2" xfId="447"/>
    <cellStyle name="_01 - Plan Cámaras Abr - Dic 2009_Plan Auto Bencina 31.03.10_Plan Canje KMS LANPASS versión 2 2 3" xfId="448"/>
    <cellStyle name="_01 - Plan Cámaras Abr - Dic 2009_Plan Auto Bencina 31.03.10_Plan Canje KMS LANPASS versión 2 3" xfId="449"/>
    <cellStyle name="_01 - Plan Cámaras Abr - Dic 2009_Plan Auto Bencina 31.03.10_Plan Canje KMS LANPASS versión 2 4" xfId="450"/>
    <cellStyle name="_01 - Plan Cámaras Abr - Dic 2009_Plan Auto Bencina 31.03.10_Plan Canje KMS LANPASS versión 2_Mantencion P Turismo Septiembre V2 OK" xfId="451"/>
    <cellStyle name="_01 - Plan Cámaras Abr - Dic 2009_Plan Auto Bencina 31.03.10_Plan Canje KMS LANPASS versión 2_Mantencion P Turismo Septiembre V2 OK 2" xfId="452"/>
    <cellStyle name="_01 - Plan Cámaras Abr - Dic 2009_Plan Auto Bencina 31.03.10_Plan Canje KMS LANPASS versión 2_Mantencion P Turismo Septiembre V2 OK 3" xfId="453"/>
    <cellStyle name="_01 - Plan Cámaras Abr - Dic 2009_Plan Auto Bencina 31.03.10_Plan Canje KMS LANPASS versión 2_Plan LAN EMPRESAS  V1" xfId="454"/>
    <cellStyle name="_01 - Plan Cámaras Abr - Dic 2009_Plan Auto Bencina 31.03.10_Plan Canje KMS LANPASS versión 2_Plan LAN EMPRESAS  V1 2" xfId="455"/>
    <cellStyle name="_01 - Plan Cámaras Abr - Dic 2009_Plan Auto Bencina 31.03.10_Plan Canje KMS LANPASS versión 2_Plan LAN EMPRESAS  V1 3" xfId="456"/>
    <cellStyle name="_01 - Plan Cámaras Abr - Dic 2009_Plan Auto Bencina 31.03.10_Plan Canje KMS LANPASS versión 2_Plan LAN EMPRESAS  V2" xfId="457"/>
    <cellStyle name="_01 - Plan Cámaras Abr - Dic 2009_Plan Auto Bencina 31.03.10_Plan Canje KMS LANPASS versión 2_Plan LAN EMPRESAS  V2 2" xfId="458"/>
    <cellStyle name="_01 - Plan Cámaras Abr - Dic 2009_Plan Auto Bencina 31.03.10_Plan Canje KMS LANPASS versión 2_Plan LAN EMPRESAS  V2 3" xfId="459"/>
    <cellStyle name="_01 - Plan Cámaras Abr - Dic 2009_Plan Auto Bencina 31.03.10_Plan LAN EMPRESAS  V1" xfId="460"/>
    <cellStyle name="_01 - Plan Cámaras Abr - Dic 2009_Plan Auto Bencina 31.03.10_Plan LAN EMPRESAS  V1 2" xfId="461"/>
    <cellStyle name="_01 - Plan Cámaras Abr - Dic 2009_Plan Auto Bencina 31.03.10_Plan LAN EMPRESAS  V1 3" xfId="462"/>
    <cellStyle name="_01 - Plan Cámaras Abr - Dic 2009_Plan Auto Bencina 31.03.10_Plan LAN EMPRESAS  V2" xfId="463"/>
    <cellStyle name="_01 - Plan Cámaras Abr - Dic 2009_Plan Auto Bencina 31.03.10_Plan LAN EMPRESAS  V2 2" xfId="464"/>
    <cellStyle name="_01 - Plan Cámaras Abr - Dic 2009_Plan Auto Bencina 31.03.10_Plan LAN EMPRESAS  V2 3" xfId="465"/>
    <cellStyle name="_01 - Plan Cámaras Abr - Dic 2009_Plan LAN EMPRESAS  V1" xfId="466"/>
    <cellStyle name="_01 - Plan Cámaras Abr - Dic 2009_Plan LAN EMPRESAS  V1 2" xfId="467"/>
    <cellStyle name="_01 - Plan Cámaras Abr - Dic 2009_Plan LAN EMPRESAS  V1 3" xfId="468"/>
    <cellStyle name="_01 - Plan Cámaras Abr - Dic 2009_Plan LAN EMPRESAS  V2" xfId="469"/>
    <cellStyle name="_01 - Plan Cámaras Abr - Dic 2009_Plan LAN EMPRESAS  V2 2" xfId="470"/>
    <cellStyle name="_01 - Plan Cámaras Abr - Dic 2009_Plan LAN EMPRESAS  V2 3" xfId="471"/>
    <cellStyle name="_01 - Plan Cámaras Abr - Dic 2009_Plan Santander Credito Marzo digital" xfId="472"/>
    <cellStyle name="_01 - Plan Cámaras Abr - Dic 2009_Plan Santander Credito Marzo digital 2" xfId="473"/>
    <cellStyle name="_01 - Plan Cámaras Abr - Dic 2009_Plan Santander Credito Marzo digital 2 2" xfId="474"/>
    <cellStyle name="_01 - Plan Cámaras Abr - Dic 2009_Plan Santander Credito Marzo digital 2 3" xfId="475"/>
    <cellStyle name="_01 - Plan Cámaras Abr - Dic 2009_Plan Santander Credito Marzo digital 3" xfId="476"/>
    <cellStyle name="_01 - Plan Cámaras Abr - Dic 2009_Plan Santander Credito Marzo digital 4" xfId="477"/>
    <cellStyle name="_01 - Plan Cámaras Abr - Dic 2009_Plan Santander Credito Marzo digital_Mantencion P Turismo Septiembre V2 OK" xfId="478"/>
    <cellStyle name="_01 - Plan Cámaras Abr - Dic 2009_Plan Santander Credito Marzo digital_Mantencion P Turismo Septiembre V2 OK 2" xfId="479"/>
    <cellStyle name="_01 - Plan Cámaras Abr - Dic 2009_Plan Santander Credito Marzo digital_Mantencion P Turismo Septiembre V2 OK 3" xfId="480"/>
    <cellStyle name="_01 - Plan Cámaras Abr - Dic 2009_Plan Santander Credito Marzo digital_Plan Canje KMS LANPASS versión 2" xfId="481"/>
    <cellStyle name="_01 - Plan Cámaras Abr - Dic 2009_Plan Santander Credito Marzo digital_Plan Canje KMS LANPASS versión 2 2" xfId="482"/>
    <cellStyle name="_01 - Plan Cámaras Abr - Dic 2009_Plan Santander Credito Marzo digital_Plan Canje KMS LANPASS versión 2 2 2" xfId="483"/>
    <cellStyle name="_01 - Plan Cámaras Abr - Dic 2009_Plan Santander Credito Marzo digital_Plan Canje KMS LANPASS versión 2 2 3" xfId="484"/>
    <cellStyle name="_01 - Plan Cámaras Abr - Dic 2009_Plan Santander Credito Marzo digital_Plan Canje KMS LANPASS versión 2 3" xfId="485"/>
    <cellStyle name="_01 - Plan Cámaras Abr - Dic 2009_Plan Santander Credito Marzo digital_Plan Canje KMS LANPASS versión 2 4" xfId="486"/>
    <cellStyle name="_01 - Plan Cámaras Abr - Dic 2009_Plan Santander Credito Marzo digital_Plan Canje KMS LANPASS versión 2_Mantencion P Turismo Septiembre V2 OK" xfId="487"/>
    <cellStyle name="_01 - Plan Cámaras Abr - Dic 2009_Plan Santander Credito Marzo digital_Plan Canje KMS LANPASS versión 2_Mantencion P Turismo Septiembre V2 OK 2" xfId="488"/>
    <cellStyle name="_01 - Plan Cámaras Abr - Dic 2009_Plan Santander Credito Marzo digital_Plan Canje KMS LANPASS versión 2_Mantencion P Turismo Septiembre V2 OK 3" xfId="489"/>
    <cellStyle name="_01 - Plan Cámaras Abr - Dic 2009_Plan Santander Credito Marzo digital_Plan Canje KMS LANPASS versión 2_Plan LAN EMPRESAS  V1" xfId="490"/>
    <cellStyle name="_01 - Plan Cámaras Abr - Dic 2009_Plan Santander Credito Marzo digital_Plan Canje KMS LANPASS versión 2_Plan LAN EMPRESAS  V1 2" xfId="491"/>
    <cellStyle name="_01 - Plan Cámaras Abr - Dic 2009_Plan Santander Credito Marzo digital_Plan Canje KMS LANPASS versión 2_Plan LAN EMPRESAS  V1 3" xfId="492"/>
    <cellStyle name="_01 - Plan Cámaras Abr - Dic 2009_Plan Santander Credito Marzo digital_Plan Canje KMS LANPASS versión 2_Plan LAN EMPRESAS  V2" xfId="493"/>
    <cellStyle name="_01 - Plan Cámaras Abr - Dic 2009_Plan Santander Credito Marzo digital_Plan Canje KMS LANPASS versión 2_Plan LAN EMPRESAS  V2 2" xfId="494"/>
    <cellStyle name="_01 - Plan Cámaras Abr - Dic 2009_Plan Santander Credito Marzo digital_Plan Canje KMS LANPASS versión 2_Plan LAN EMPRESAS  V2 3" xfId="495"/>
    <cellStyle name="_01 - Plan Cámaras Abr - Dic 2009_Plan Santander Credito Marzo digital_Plan LAN EMPRESAS  V1" xfId="496"/>
    <cellStyle name="_01 - Plan Cámaras Abr - Dic 2009_Plan Santander Credito Marzo digital_Plan LAN EMPRESAS  V1 2" xfId="497"/>
    <cellStyle name="_01 - Plan Cámaras Abr - Dic 2009_Plan Santander Credito Marzo digital_Plan LAN EMPRESAS  V1 3" xfId="498"/>
    <cellStyle name="_01 - Plan Cámaras Abr - Dic 2009_Plan Santander Credito Marzo digital_Plan LAN EMPRESAS  V2" xfId="499"/>
    <cellStyle name="_01 - Plan Cámaras Abr - Dic 2009_Plan Santander Credito Marzo digital_Plan LAN EMPRESAS  V2 2" xfId="500"/>
    <cellStyle name="_01 - Plan Cámaras Abr - Dic 2009_Plan Santander Credito Marzo digital_Plan LAN EMPRESAS  V2 3" xfId="501"/>
    <cellStyle name="_01 - Plan Cámaras Abr - Dic 2009_Plan SOAP Santander v1" xfId="502"/>
    <cellStyle name="_01 - Plan Cámaras Abr - Dic 2009_Plan SOAP Santander v1 2" xfId="503"/>
    <cellStyle name="_01 - Plan Cámaras Abr - Dic 2009_Plan SOAP Santander v1 2 2" xfId="504"/>
    <cellStyle name="_01 - Plan Cámaras Abr - Dic 2009_Plan SOAP Santander v1 2 3" xfId="505"/>
    <cellStyle name="_01 - Plan Cámaras Abr - Dic 2009_Plan SOAP Santander v1 3" xfId="506"/>
    <cellStyle name="_01 - Plan Cámaras Abr - Dic 2009_Plan SOAP Santander v1 4" xfId="507"/>
    <cellStyle name="_01 - Plan Cámaras Abr - Dic 2009_Plan SOAP Santander v1_Mantencion P Turismo Septiembre V2 OK" xfId="508"/>
    <cellStyle name="_01 - Plan Cámaras Abr - Dic 2009_Plan SOAP Santander v1_Mantencion P Turismo Septiembre V2 OK 2" xfId="509"/>
    <cellStyle name="_01 - Plan Cámaras Abr - Dic 2009_Plan SOAP Santander v1_Mantencion P Turismo Septiembre V2 OK 3" xfId="510"/>
    <cellStyle name="_01 - Plan Cámaras Abr - Dic 2009_Plan SOAP Santander v1_Plan Canje KMS LANPASS versión 2" xfId="511"/>
    <cellStyle name="_01 - Plan Cámaras Abr - Dic 2009_Plan SOAP Santander v1_Plan Canje KMS LANPASS versión 2 2" xfId="512"/>
    <cellStyle name="_01 - Plan Cámaras Abr - Dic 2009_Plan SOAP Santander v1_Plan Canje KMS LANPASS versión 2 2 2" xfId="513"/>
    <cellStyle name="_01 - Plan Cámaras Abr - Dic 2009_Plan SOAP Santander v1_Plan Canje KMS LANPASS versión 2 2 3" xfId="514"/>
    <cellStyle name="_01 - Plan Cámaras Abr - Dic 2009_Plan SOAP Santander v1_Plan Canje KMS LANPASS versión 2 3" xfId="515"/>
    <cellStyle name="_01 - Plan Cámaras Abr - Dic 2009_Plan SOAP Santander v1_Plan Canje KMS LANPASS versión 2 4" xfId="516"/>
    <cellStyle name="_01 - Plan Cámaras Abr - Dic 2009_Plan SOAP Santander v1_Plan Canje KMS LANPASS versión 2_Mantencion P Turismo Septiembre V2 OK" xfId="517"/>
    <cellStyle name="_01 - Plan Cámaras Abr - Dic 2009_Plan SOAP Santander v1_Plan Canje KMS LANPASS versión 2_Mantencion P Turismo Septiembre V2 OK 2" xfId="518"/>
    <cellStyle name="_01 - Plan Cámaras Abr - Dic 2009_Plan SOAP Santander v1_Plan Canje KMS LANPASS versión 2_Mantencion P Turismo Septiembre V2 OK 3" xfId="519"/>
    <cellStyle name="_01 - Plan Cámaras Abr - Dic 2009_Plan SOAP Santander v1_Plan Canje KMS LANPASS versión 2_Plan LAN EMPRESAS  V1" xfId="520"/>
    <cellStyle name="_01 - Plan Cámaras Abr - Dic 2009_Plan SOAP Santander v1_Plan Canje KMS LANPASS versión 2_Plan LAN EMPRESAS  V1 2" xfId="521"/>
    <cellStyle name="_01 - Plan Cámaras Abr - Dic 2009_Plan SOAP Santander v1_Plan Canje KMS LANPASS versión 2_Plan LAN EMPRESAS  V1 3" xfId="522"/>
    <cellStyle name="_01 - Plan Cámaras Abr - Dic 2009_Plan SOAP Santander v1_Plan Canje KMS LANPASS versión 2_Plan LAN EMPRESAS  V2" xfId="523"/>
    <cellStyle name="_01 - Plan Cámaras Abr - Dic 2009_Plan SOAP Santander v1_Plan Canje KMS LANPASS versión 2_Plan LAN EMPRESAS  V2 2" xfId="524"/>
    <cellStyle name="_01 - Plan Cámaras Abr - Dic 2009_Plan SOAP Santander v1_Plan Canje KMS LANPASS versión 2_Plan LAN EMPRESAS  V2 3" xfId="525"/>
    <cellStyle name="_01 - Plan Cámaras Abr - Dic 2009_Plan SOAP Santander v1_Plan LAN EMPRESAS  V1" xfId="526"/>
    <cellStyle name="_01 - Plan Cámaras Abr - Dic 2009_Plan SOAP Santander v1_Plan LAN EMPRESAS  V1 2" xfId="527"/>
    <cellStyle name="_01 - Plan Cámaras Abr - Dic 2009_Plan SOAP Santander v1_Plan LAN EMPRESAS  V1 3" xfId="528"/>
    <cellStyle name="_01 - Plan Cámaras Abr - Dic 2009_Plan SOAP Santander v1_Plan LAN EMPRESAS  V2" xfId="529"/>
    <cellStyle name="_01 - Plan Cámaras Abr - Dic 2009_Plan SOAP Santander v1_Plan LAN EMPRESAS  V2 2" xfId="530"/>
    <cellStyle name="_01 - Plan Cámaras Abr - Dic 2009_Plan SOAP Santander v1_Plan LAN EMPRESAS  V2 3" xfId="531"/>
    <cellStyle name="_01 - Plan Cámaras Abr - Dic 2009_V2 Plan consumo marzo 05-02-10 digital cambios." xfId="532"/>
    <cellStyle name="_01 - Plan Cámaras Abr - Dic 2009_V2 Plan consumo marzo 05-02-10 digital cambios. 2" xfId="533"/>
    <cellStyle name="_01 - Plan Cámaras Abr - Dic 2009_V2 Plan consumo marzo 05-02-10 digital cambios. 2 2" xfId="534"/>
    <cellStyle name="_01 - Plan Cámaras Abr - Dic 2009_V2 Plan consumo marzo 05-02-10 digital cambios. 2 3" xfId="535"/>
    <cellStyle name="_01 - Plan Cámaras Abr - Dic 2009_V2 Plan consumo marzo 05-02-10 digital cambios. 3" xfId="536"/>
    <cellStyle name="_01 - Plan Cámaras Abr - Dic 2009_V2 Plan consumo marzo 05-02-10 digital cambios. 4" xfId="537"/>
    <cellStyle name="_01 - Plan Cámaras Abr - Dic 2009_V2 Plan consumo marzo 05-02-10 digital cambios._Mantencion P Turismo Septiembre V2 OK" xfId="538"/>
    <cellStyle name="_01 - Plan Cámaras Abr - Dic 2009_V2 Plan consumo marzo 05-02-10 digital cambios._Mantencion P Turismo Septiembre V2 OK 2" xfId="539"/>
    <cellStyle name="_01 - Plan Cámaras Abr - Dic 2009_V2 Plan consumo marzo 05-02-10 digital cambios._Mantencion P Turismo Septiembre V2 OK 3" xfId="540"/>
    <cellStyle name="_01 - Plan Cámaras Abr - Dic 2009_V2 Plan consumo marzo 05-02-10 digital cambios._Plan Canje KMS LANPASS versión 2" xfId="541"/>
    <cellStyle name="_01 - Plan Cámaras Abr - Dic 2009_V2 Plan consumo marzo 05-02-10 digital cambios._Plan Canje KMS LANPASS versión 2 2" xfId="542"/>
    <cellStyle name="_01 - Plan Cámaras Abr - Dic 2009_V2 Plan consumo marzo 05-02-10 digital cambios._Plan Canje KMS LANPASS versión 2 2 2" xfId="543"/>
    <cellStyle name="_01 - Plan Cámaras Abr - Dic 2009_V2 Plan consumo marzo 05-02-10 digital cambios._Plan Canje KMS LANPASS versión 2 2 3" xfId="544"/>
    <cellStyle name="_01 - Plan Cámaras Abr - Dic 2009_V2 Plan consumo marzo 05-02-10 digital cambios._Plan Canje KMS LANPASS versión 2 3" xfId="545"/>
    <cellStyle name="_01 - Plan Cámaras Abr - Dic 2009_V2 Plan consumo marzo 05-02-10 digital cambios._Plan Canje KMS LANPASS versión 2 4" xfId="546"/>
    <cellStyle name="_01 - Plan Cámaras Abr - Dic 2009_V2 Plan consumo marzo 05-02-10 digital cambios._Plan Canje KMS LANPASS versión 2_Mantencion P Turismo Septiembre V2 OK" xfId="547"/>
    <cellStyle name="_01 - Plan Cámaras Abr - Dic 2009_V2 Plan consumo marzo 05-02-10 digital cambios._Plan Canje KMS LANPASS versión 2_Mantencion P Turismo Septiembre V2 OK 2" xfId="548"/>
    <cellStyle name="_01 - Plan Cámaras Abr - Dic 2009_V2 Plan consumo marzo 05-02-10 digital cambios._Plan Canje KMS LANPASS versión 2_Mantencion P Turismo Septiembre V2 OK 3" xfId="549"/>
    <cellStyle name="_01 - Plan Cámaras Abr - Dic 2009_V2 Plan consumo marzo 05-02-10 digital cambios._Plan Canje KMS LANPASS versión 2_Plan LAN EMPRESAS  V1" xfId="550"/>
    <cellStyle name="_01 - Plan Cámaras Abr - Dic 2009_V2 Plan consumo marzo 05-02-10 digital cambios._Plan Canje KMS LANPASS versión 2_Plan LAN EMPRESAS  V1 2" xfId="551"/>
    <cellStyle name="_01 - Plan Cámaras Abr - Dic 2009_V2 Plan consumo marzo 05-02-10 digital cambios._Plan Canje KMS LANPASS versión 2_Plan LAN EMPRESAS  V1 3" xfId="552"/>
    <cellStyle name="_01 - Plan Cámaras Abr - Dic 2009_V2 Plan consumo marzo 05-02-10 digital cambios._Plan Canje KMS LANPASS versión 2_Plan LAN EMPRESAS  V2" xfId="553"/>
    <cellStyle name="_01 - Plan Cámaras Abr - Dic 2009_V2 Plan consumo marzo 05-02-10 digital cambios._Plan Canje KMS LANPASS versión 2_Plan LAN EMPRESAS  V2 2" xfId="554"/>
    <cellStyle name="_01 - Plan Cámaras Abr - Dic 2009_V2 Plan consumo marzo 05-02-10 digital cambios._Plan Canje KMS LANPASS versión 2_Plan LAN EMPRESAS  V2 3" xfId="555"/>
    <cellStyle name="_01 - Plan Cámaras Abr - Dic 2009_V2 Plan consumo marzo 05-02-10 digital cambios._Plan LAN EMPRESAS  V1" xfId="556"/>
    <cellStyle name="_01 - Plan Cámaras Abr - Dic 2009_V2 Plan consumo marzo 05-02-10 digital cambios._Plan LAN EMPRESAS  V1 2" xfId="557"/>
    <cellStyle name="_01 - Plan Cámaras Abr - Dic 2009_V2 Plan consumo marzo 05-02-10 digital cambios._Plan LAN EMPRESAS  V1 3" xfId="558"/>
    <cellStyle name="_01 - Plan Cámaras Abr - Dic 2009_V2 Plan consumo marzo 05-02-10 digital cambios._Plan LAN EMPRESAS  V2" xfId="559"/>
    <cellStyle name="_01 - Plan Cámaras Abr - Dic 2009_V2 Plan consumo marzo 05-02-10 digital cambios._Plan LAN EMPRESAS  V2 2" xfId="560"/>
    <cellStyle name="_01 - Plan Cámaras Abr - Dic 2009_V2 Plan consumo marzo 05-02-10 digital cambios._Plan LAN EMPRESAS  V2 3" xfId="561"/>
    <cellStyle name="_01 - Plan Cámaras Abr - Dic 2009_V3 Plan consumo marzo 19-02-10." xfId="562"/>
    <cellStyle name="_01 - Plan Cámaras Abr - Dic 2009_V3 Plan consumo marzo 19-02-10. 2" xfId="563"/>
    <cellStyle name="_01 - Plan Cámaras Abr - Dic 2009_V3 Plan consumo marzo 19-02-10. 2 2" xfId="564"/>
    <cellStyle name="_01 - Plan Cámaras Abr - Dic 2009_V3 Plan consumo marzo 19-02-10. 2 3" xfId="565"/>
    <cellStyle name="_01 - Plan Cámaras Abr - Dic 2009_V3 Plan consumo marzo 19-02-10. 3" xfId="566"/>
    <cellStyle name="_01 - Plan Cámaras Abr - Dic 2009_V3 Plan consumo marzo 19-02-10. 4" xfId="567"/>
    <cellStyle name="_01 - Plan Cámaras Abr - Dic 2009_V3 Plan consumo marzo 19-02-10._Mantencion P Turismo Septiembre V2 OK" xfId="568"/>
    <cellStyle name="_01 - Plan Cámaras Abr - Dic 2009_V3 Plan consumo marzo 19-02-10._Mantencion P Turismo Septiembre V2 OK 2" xfId="569"/>
    <cellStyle name="_01 - Plan Cámaras Abr - Dic 2009_V3 Plan consumo marzo 19-02-10._Mantencion P Turismo Septiembre V2 OK 3" xfId="570"/>
    <cellStyle name="_01 - Plan Cámaras Abr - Dic 2009_V3 Plan consumo marzo 19-02-10._Plan Canje KMS LANPASS versión 2" xfId="571"/>
    <cellStyle name="_01 - Plan Cámaras Abr - Dic 2009_V3 Plan consumo marzo 19-02-10._Plan Canje KMS LANPASS versión 2 2" xfId="572"/>
    <cellStyle name="_01 - Plan Cámaras Abr - Dic 2009_V3 Plan consumo marzo 19-02-10._Plan Canje KMS LANPASS versión 2 2 2" xfId="573"/>
    <cellStyle name="_01 - Plan Cámaras Abr - Dic 2009_V3 Plan consumo marzo 19-02-10._Plan Canje KMS LANPASS versión 2 2 3" xfId="574"/>
    <cellStyle name="_01 - Plan Cámaras Abr - Dic 2009_V3 Plan consumo marzo 19-02-10._Plan Canje KMS LANPASS versión 2 3" xfId="575"/>
    <cellStyle name="_01 - Plan Cámaras Abr - Dic 2009_V3 Plan consumo marzo 19-02-10._Plan Canje KMS LANPASS versión 2 4" xfId="576"/>
    <cellStyle name="_01 - Plan Cámaras Abr - Dic 2009_V3 Plan consumo marzo 19-02-10._Plan Canje KMS LANPASS versión 2_Mantencion P Turismo Septiembre V2 OK" xfId="577"/>
    <cellStyle name="_01 - Plan Cámaras Abr - Dic 2009_V3 Plan consumo marzo 19-02-10._Plan Canje KMS LANPASS versión 2_Mantencion P Turismo Septiembre V2 OK 2" xfId="578"/>
    <cellStyle name="_01 - Plan Cámaras Abr - Dic 2009_V3 Plan consumo marzo 19-02-10._Plan Canje KMS LANPASS versión 2_Mantencion P Turismo Septiembre V2 OK 3" xfId="579"/>
    <cellStyle name="_01 - Plan Cámaras Abr - Dic 2009_V3 Plan consumo marzo 19-02-10._Plan Canje KMS LANPASS versión 2_Plan LAN EMPRESAS  V1" xfId="580"/>
    <cellStyle name="_01 - Plan Cámaras Abr - Dic 2009_V3 Plan consumo marzo 19-02-10._Plan Canje KMS LANPASS versión 2_Plan LAN EMPRESAS  V1 2" xfId="581"/>
    <cellStyle name="_01 - Plan Cámaras Abr - Dic 2009_V3 Plan consumo marzo 19-02-10._Plan Canje KMS LANPASS versión 2_Plan LAN EMPRESAS  V1 3" xfId="582"/>
    <cellStyle name="_01 - Plan Cámaras Abr - Dic 2009_V3 Plan consumo marzo 19-02-10._Plan Canje KMS LANPASS versión 2_Plan LAN EMPRESAS  V2" xfId="583"/>
    <cellStyle name="_01 - Plan Cámaras Abr - Dic 2009_V3 Plan consumo marzo 19-02-10._Plan Canje KMS LANPASS versión 2_Plan LAN EMPRESAS  V2 2" xfId="584"/>
    <cellStyle name="_01 - Plan Cámaras Abr - Dic 2009_V3 Plan consumo marzo 19-02-10._Plan Canje KMS LANPASS versión 2_Plan LAN EMPRESAS  V2 3" xfId="585"/>
    <cellStyle name="_01 - Plan Cámaras Abr - Dic 2009_V3 Plan consumo marzo 19-02-10._Plan LAN EMPRESAS  V1" xfId="586"/>
    <cellStyle name="_01 - Plan Cámaras Abr - Dic 2009_V3 Plan consumo marzo 19-02-10._Plan LAN EMPRESAS  V1 2" xfId="587"/>
    <cellStyle name="_01 - Plan Cámaras Abr - Dic 2009_V3 Plan consumo marzo 19-02-10._Plan LAN EMPRESAS  V1 3" xfId="588"/>
    <cellStyle name="_01 - Plan Cámaras Abr - Dic 2009_V3 Plan consumo marzo 19-02-10._Plan LAN EMPRESAS  V2" xfId="589"/>
    <cellStyle name="_01 - Plan Cámaras Abr - Dic 2009_V3 Plan consumo marzo 19-02-10._Plan LAN EMPRESAS  V2 2" xfId="590"/>
    <cellStyle name="_01 - Plan Cámaras Abr - Dic 2009_V3 Plan consumo marzo 19-02-10._Plan LAN EMPRESAS  V2 3" xfId="591"/>
    <cellStyle name="_20060703_Peugeot Contract_Appendices v5" xfId="52993"/>
    <cellStyle name="_2008_10_17 Lan.com + RN v.1" xfId="592"/>
    <cellStyle name="_4. FYxx_Qx_Country_Samsung_Product_Medium Flowchart_TEMPLATE MASTER.mm.dd.yy" xfId="593"/>
    <cellStyle name="_4. FYxx_Qx_Country_Samsung_Product_Medium Flowchart_TEMPLATE MASTER.mm.dd.yy 2" xfId="594"/>
    <cellStyle name="_4. FYxx_Qx_Country_Samsung_Product_Medium Flowchart_TEMPLATE MASTER.mm.dd.yy 2 2" xfId="595"/>
    <cellStyle name="_4. FYxx_Qx_Country_Samsung_Product_Medium Flowchart_TEMPLATE MASTER.mm.dd.yy 2 3" xfId="596"/>
    <cellStyle name="_4. FYxx_Qx_Country_Samsung_Product_Medium Flowchart_TEMPLATE MASTER.mm.dd.yy 3" xfId="597"/>
    <cellStyle name="_4. FYxx_Qx_Country_Samsung_Product_Medium Flowchart_TEMPLATE MASTER.mm.dd.yy 4" xfId="598"/>
    <cellStyle name="_4. FYxx_Qx_Country_Samsung_Product_Medium Flowchart_TEMPLATE MASTER.mm.dd.yy_Mantencion P Turismo Septiembre V2 OK" xfId="599"/>
    <cellStyle name="_4. FYxx_Qx_Country_Samsung_Product_Medium Flowchart_TEMPLATE MASTER.mm.dd.yy_Mantencion P Turismo Septiembre V2 OK 2" xfId="600"/>
    <cellStyle name="_4. FYxx_Qx_Country_Samsung_Product_Medium Flowchart_TEMPLATE MASTER.mm.dd.yy_Mantencion P Turismo Septiembre V2 OK 3" xfId="601"/>
    <cellStyle name="_4. FYxx_Qx_Country_Samsung_Product_Medium Flowchart_TEMPLATE MASTER.mm.dd.yy_Plan Canje KMS LANPASS versión 2" xfId="602"/>
    <cellStyle name="_4. FYxx_Qx_Country_Samsung_Product_Medium Flowchart_TEMPLATE MASTER.mm.dd.yy_Plan Canje KMS LANPASS versión 2 2" xfId="603"/>
    <cellStyle name="_4. FYxx_Qx_Country_Samsung_Product_Medium Flowchart_TEMPLATE MASTER.mm.dd.yy_Plan Canje KMS LANPASS versión 2 2 2" xfId="604"/>
    <cellStyle name="_4. FYxx_Qx_Country_Samsung_Product_Medium Flowchart_TEMPLATE MASTER.mm.dd.yy_Plan Canje KMS LANPASS versión 2 2 3" xfId="605"/>
    <cellStyle name="_4. FYxx_Qx_Country_Samsung_Product_Medium Flowchart_TEMPLATE MASTER.mm.dd.yy_Plan Canje KMS LANPASS versión 2 3" xfId="606"/>
    <cellStyle name="_4. FYxx_Qx_Country_Samsung_Product_Medium Flowchart_TEMPLATE MASTER.mm.dd.yy_Plan Canje KMS LANPASS versión 2 4" xfId="607"/>
    <cellStyle name="_4. FYxx_Qx_Country_Samsung_Product_Medium Flowchart_TEMPLATE MASTER.mm.dd.yy_Plan Canje KMS LANPASS versión 2_Mantencion P Turismo Septiembre V2 OK" xfId="608"/>
    <cellStyle name="_4. FYxx_Qx_Country_Samsung_Product_Medium Flowchart_TEMPLATE MASTER.mm.dd.yy_Plan Canje KMS LANPASS versión 2_Mantencion P Turismo Septiembre V2 OK 2" xfId="609"/>
    <cellStyle name="_4. FYxx_Qx_Country_Samsung_Product_Medium Flowchart_TEMPLATE MASTER.mm.dd.yy_Plan Canje KMS LANPASS versión 2_Mantencion P Turismo Septiembre V2 OK 3" xfId="610"/>
    <cellStyle name="_4. FYxx_Qx_Country_Samsung_Product_Medium Flowchart_TEMPLATE MASTER.mm.dd.yy_Plan Canje KMS LANPASS versión 2_Plan LAN EMPRESAS  V1" xfId="611"/>
    <cellStyle name="_4. FYxx_Qx_Country_Samsung_Product_Medium Flowchart_TEMPLATE MASTER.mm.dd.yy_Plan Canje KMS LANPASS versión 2_Plan LAN EMPRESAS  V1 2" xfId="612"/>
    <cellStyle name="_4. FYxx_Qx_Country_Samsung_Product_Medium Flowchart_TEMPLATE MASTER.mm.dd.yy_Plan Canje KMS LANPASS versión 2_Plan LAN EMPRESAS  V1 3" xfId="613"/>
    <cellStyle name="_4. FYxx_Qx_Country_Samsung_Product_Medium Flowchart_TEMPLATE MASTER.mm.dd.yy_Plan Canje KMS LANPASS versión 2_Plan LAN EMPRESAS  V2" xfId="614"/>
    <cellStyle name="_4. FYxx_Qx_Country_Samsung_Product_Medium Flowchart_TEMPLATE MASTER.mm.dd.yy_Plan Canje KMS LANPASS versión 2_Plan LAN EMPRESAS  V2 2" xfId="615"/>
    <cellStyle name="_4. FYxx_Qx_Country_Samsung_Product_Medium Flowchart_TEMPLATE MASTER.mm.dd.yy_Plan Canje KMS LANPASS versión 2_Plan LAN EMPRESAS  V2 3" xfId="616"/>
    <cellStyle name="_4. FYxx_Qx_Country_Samsung_Product_Medium Flowchart_TEMPLATE MASTER.mm.dd.yy_Plan LAN EMPRESAS  V1" xfId="617"/>
    <cellStyle name="_4. FYxx_Qx_Country_Samsung_Product_Medium Flowchart_TEMPLATE MASTER.mm.dd.yy_Plan LAN EMPRESAS  V1 2" xfId="618"/>
    <cellStyle name="_4. FYxx_Qx_Country_Samsung_Product_Medium Flowchart_TEMPLATE MASTER.mm.dd.yy_Plan LAN EMPRESAS  V1 3" xfId="619"/>
    <cellStyle name="_4. FYxx_Qx_Country_Samsung_Product_Medium Flowchart_TEMPLATE MASTER.mm.dd.yy_Plan LAN EMPRESAS  V2" xfId="620"/>
    <cellStyle name="_4. FYxx_Qx_Country_Samsung_Product_Medium Flowchart_TEMPLATE MASTER.mm.dd.yy_Plan LAN EMPRESAS  V2 2" xfId="621"/>
    <cellStyle name="_4. FYxx_Qx_Country_Samsung_Product_Medium Flowchart_TEMPLATE MASTER.mm.dd.yy_Plan LAN EMPRESAS  V2 3" xfId="622"/>
    <cellStyle name="_ALTERNATIVA PRENSA (cambio de kms flex) V3" xfId="623"/>
    <cellStyle name="_ALTERNATIVA PRENSA (cambio de kms flex) V3 10" xfId="624"/>
    <cellStyle name="_ALTERNATIVA PRENSA (cambio de kms flex) V3 10 2" xfId="625"/>
    <cellStyle name="_ALTERNATIVA PRENSA (cambio de kms flex) V3 10 3" xfId="626"/>
    <cellStyle name="_ALTERNATIVA PRENSA (cambio de kms flex) V3 11" xfId="627"/>
    <cellStyle name="_ALTERNATIVA PRENSA (cambio de kms flex) V3 11 2" xfId="628"/>
    <cellStyle name="_ALTERNATIVA PRENSA (cambio de kms flex) V3 11 3" xfId="629"/>
    <cellStyle name="_ALTERNATIVA PRENSA (cambio de kms flex) V3 12" xfId="630"/>
    <cellStyle name="_ALTERNATIVA PRENSA (cambio de kms flex) V3 12 2" xfId="631"/>
    <cellStyle name="_ALTERNATIVA PRENSA (cambio de kms flex) V3 12 3" xfId="632"/>
    <cellStyle name="_ALTERNATIVA PRENSA (cambio de kms flex) V3 13" xfId="633"/>
    <cellStyle name="_ALTERNATIVA PRENSA (cambio de kms flex) V3 13 2" xfId="634"/>
    <cellStyle name="_ALTERNATIVA PRENSA (cambio de kms flex) V3 13 3" xfId="635"/>
    <cellStyle name="_ALTERNATIVA PRENSA (cambio de kms flex) V3 14" xfId="636"/>
    <cellStyle name="_ALTERNATIVA PRENSA (cambio de kms flex) V3 14 2" xfId="637"/>
    <cellStyle name="_ALTERNATIVA PRENSA (cambio de kms flex) V3 14 3" xfId="638"/>
    <cellStyle name="_ALTERNATIVA PRENSA (cambio de kms flex) V3 15" xfId="639"/>
    <cellStyle name="_ALTERNATIVA PRENSA (cambio de kms flex) V3 15 2" xfId="640"/>
    <cellStyle name="_ALTERNATIVA PRENSA (cambio de kms flex) V3 15 3" xfId="641"/>
    <cellStyle name="_ALTERNATIVA PRENSA (cambio de kms flex) V3 16" xfId="642"/>
    <cellStyle name="_ALTERNATIVA PRENSA (cambio de kms flex) V3 16 2" xfId="643"/>
    <cellStyle name="_ALTERNATIVA PRENSA (cambio de kms flex) V3 16 3" xfId="644"/>
    <cellStyle name="_ALTERNATIVA PRENSA (cambio de kms flex) V3 17" xfId="645"/>
    <cellStyle name="_ALTERNATIVA PRENSA (cambio de kms flex) V3 17 2" xfId="646"/>
    <cellStyle name="_ALTERNATIVA PRENSA (cambio de kms flex) V3 17 3" xfId="647"/>
    <cellStyle name="_ALTERNATIVA PRENSA (cambio de kms flex) V3 18" xfId="648"/>
    <cellStyle name="_ALTERNATIVA PRENSA (cambio de kms flex) V3 18 2" xfId="649"/>
    <cellStyle name="_ALTERNATIVA PRENSA (cambio de kms flex) V3 18 3" xfId="650"/>
    <cellStyle name="_ALTERNATIVA PRENSA (cambio de kms flex) V3 19" xfId="651"/>
    <cellStyle name="_ALTERNATIVA PRENSA (cambio de kms flex) V3 19 2" xfId="652"/>
    <cellStyle name="_ALTERNATIVA PRENSA (cambio de kms flex) V3 19 3" xfId="653"/>
    <cellStyle name="_ALTERNATIVA PRENSA (cambio de kms flex) V3 2" xfId="654"/>
    <cellStyle name="_ALTERNATIVA PRENSA (cambio de kms flex) V3 2 2" xfId="655"/>
    <cellStyle name="_ALTERNATIVA PRENSA (cambio de kms flex) V3 2 2 2" xfId="656"/>
    <cellStyle name="_ALTERNATIVA PRENSA (cambio de kms flex) V3 2 3" xfId="657"/>
    <cellStyle name="_ALTERNATIVA PRENSA (cambio de kms flex) V3 20" xfId="658"/>
    <cellStyle name="_ALTERNATIVA PRENSA (cambio de kms flex) V3 20 2" xfId="659"/>
    <cellStyle name="_ALTERNATIVA PRENSA (cambio de kms flex) V3 20 3" xfId="660"/>
    <cellStyle name="_ALTERNATIVA PRENSA (cambio de kms flex) V3 21" xfId="661"/>
    <cellStyle name="_ALTERNATIVA PRENSA (cambio de kms flex) V3 21 2" xfId="662"/>
    <cellStyle name="_ALTERNATIVA PRENSA (cambio de kms flex) V3 21 3" xfId="663"/>
    <cellStyle name="_ALTERNATIVA PRENSA (cambio de kms flex) V3 3" xfId="664"/>
    <cellStyle name="_ALTERNATIVA PRENSA (cambio de kms flex) V3 3 2" xfId="665"/>
    <cellStyle name="_ALTERNATIVA PRENSA (cambio de kms flex) V3 3 3" xfId="666"/>
    <cellStyle name="_ALTERNATIVA PRENSA (cambio de kms flex) V3 4" xfId="667"/>
    <cellStyle name="_ALTERNATIVA PRENSA (cambio de kms flex) V3 4 2" xfId="668"/>
    <cellStyle name="_ALTERNATIVA PRENSA (cambio de kms flex) V3 4 3" xfId="669"/>
    <cellStyle name="_ALTERNATIVA PRENSA (cambio de kms flex) V3 5" xfId="670"/>
    <cellStyle name="_ALTERNATIVA PRENSA (cambio de kms flex) V3 5 2" xfId="671"/>
    <cellStyle name="_ALTERNATIVA PRENSA (cambio de kms flex) V3 5 3" xfId="672"/>
    <cellStyle name="_ALTERNATIVA PRENSA (cambio de kms flex) V3 6" xfId="673"/>
    <cellStyle name="_ALTERNATIVA PRENSA (cambio de kms flex) V3 6 2" xfId="674"/>
    <cellStyle name="_ALTERNATIVA PRENSA (cambio de kms flex) V3 6 3" xfId="675"/>
    <cellStyle name="_ALTERNATIVA PRENSA (cambio de kms flex) V3 7" xfId="676"/>
    <cellStyle name="_ALTERNATIVA PRENSA (cambio de kms flex) V3 7 2" xfId="677"/>
    <cellStyle name="_ALTERNATIVA PRENSA (cambio de kms flex) V3 7 3" xfId="678"/>
    <cellStyle name="_ALTERNATIVA PRENSA (cambio de kms flex) V3 8" xfId="679"/>
    <cellStyle name="_ALTERNATIVA PRENSA (cambio de kms flex) V3 8 2" xfId="680"/>
    <cellStyle name="_ALTERNATIVA PRENSA (cambio de kms flex) V3 8 3" xfId="681"/>
    <cellStyle name="_ALTERNATIVA PRENSA (cambio de kms flex) V3 9" xfId="682"/>
    <cellStyle name="_ALTERNATIVA PRENSA (cambio de kms flex) V3 9 2" xfId="683"/>
    <cellStyle name="_ALTERNATIVA PRENSA (cambio de kms flex) V3 9 3" xfId="684"/>
    <cellStyle name="_ALTERNATIVA PRENSA (cambio de kms flex) V3_Mantencion P Turismo Septiembre V2 OK" xfId="685"/>
    <cellStyle name="_ALTERNATIVA PRENSA (cambio de kms flex) V3_Mantencion P Turismo Septiembre V2 OK 2" xfId="686"/>
    <cellStyle name="_ALTERNATIVA PRENSA (cambio de kms flex) V3_Mantencion P Turismo Septiembre V2 OK 3" xfId="687"/>
    <cellStyle name="_Appendices Contract_English_Citroen_2006_0600209" xfId="52994"/>
    <cellStyle name="_Appendices Contract_English_Citroen_2006_060518" xfId="52995"/>
    <cellStyle name="_Appendix 4 - Medianet" xfId="52996"/>
    <cellStyle name="_Ausp Prensa Febrero" xfId="688"/>
    <cellStyle name="_Base Fija Radios" xfId="689"/>
    <cellStyle name="_Base Fija Radios 2" xfId="690"/>
    <cellStyle name="_Base Fija Radios 3" xfId="691"/>
    <cellStyle name="_base vp + refuerzo desde marzo 2007 19.02.07" xfId="692"/>
    <cellStyle name="_CABLE" xfId="693"/>
    <cellStyle name="_CABLE 2" xfId="694"/>
    <cellStyle name="_CABLE 3" xfId="695"/>
    <cellStyle name="_cable VIA X" xfId="696"/>
    <cellStyle name="_Campaña Clos de Pirque - Partidos de Chile 28.03 y 01.04" xfId="2"/>
    <cellStyle name="_Caperana 2009 v.2" xfId="697"/>
    <cellStyle name="_CDM Propuesta Prensa v6" xfId="698"/>
    <cellStyle name="_CDM Propuesta Prensa v6 2" xfId="699"/>
    <cellStyle name="_CDM Propuesta Prensa v6 2 2" xfId="700"/>
    <cellStyle name="_CDM Propuesta Prensa v6 3" xfId="701"/>
    <cellStyle name="_CDM Propuesta Prensa v6_SISA Ofertas  23 al 26 Marzo V4 aprobado" xfId="702"/>
    <cellStyle name="_Datos VP Táctica y Refuerzo Regional RESUMEN" xfId="703"/>
    <cellStyle name="_detalle" xfId="704"/>
    <cellStyle name="_detalle 2" xfId="705"/>
    <cellStyle name="_detalle 3" xfId="706"/>
    <cellStyle name="_Ejercicio Pauta V.1" xfId="707"/>
    <cellStyle name="_Ejercicio Pauta V.1 2" xfId="708"/>
    <cellStyle name="_Ejercicio Pauta V.1 3" xfId="709"/>
    <cellStyle name="_ELEMENTOS BBVA" xfId="710"/>
    <cellStyle name="_ELEMENTOS BBVA 2" xfId="711"/>
    <cellStyle name="_ELEMENTOS BBVA 3" xfId="712"/>
    <cellStyle name="_Enjoy Mayo Bases Fijas" xfId="713"/>
    <cellStyle name="_Enjoy Mayo Bases Fijas 2" xfId="714"/>
    <cellStyle name="_Enjoy Mayo Bases Fijas 3" xfId="715"/>
    <cellStyle name="_Especificaciones tecnicas GO_Lentes de Contacto_8jul11AK" xfId="52997"/>
    <cellStyle name="_Hoja1" xfId="716"/>
    <cellStyle name="_Hoja1 2" xfId="717"/>
    <cellStyle name="_Hoja1 3" xfId="718"/>
    <cellStyle name="_Hoja3" xfId="719"/>
    <cellStyle name="_Hoja3 2" xfId="720"/>
    <cellStyle name="_Hoja3 3" xfId="721"/>
    <cellStyle name="_Informe Pre y Post Super feria febrero" xfId="722"/>
    <cellStyle name="_Informe Pre y Post Super feria febrero 2" xfId="723"/>
    <cellStyle name="_Informe Pre y Post Super feria febrero 3" xfId="724"/>
    <cellStyle name="_ITA OMD Fees and Incentive schemes version 1" xfId="52998"/>
    <cellStyle name="_Libro1" xfId="725"/>
    <cellStyle name="_Libro1 2" xfId="726"/>
    <cellStyle name="_Libro1 3" xfId="727"/>
    <cellStyle name="_Libro3" xfId="728"/>
    <cellStyle name="_Libro3 2" xfId="729"/>
    <cellStyle name="_Libro3 3" xfId="730"/>
    <cellStyle name="_Pauta  Radio_V1Enero - Marzo" xfId="731"/>
    <cellStyle name="_pauta cable" xfId="732"/>
    <cellStyle name="_pauta cable 2" xfId="733"/>
    <cellStyle name="_pauta cable 2 2" xfId="734"/>
    <cellStyle name="_pauta cable 2 2 2" xfId="735"/>
    <cellStyle name="_pauta cable 2 3" xfId="736"/>
    <cellStyle name="_Pauta cable Sábado día (2)" xfId="737"/>
    <cellStyle name="_Pauta cable Sábado día (2) 2" xfId="738"/>
    <cellStyle name="_Pauta cable Sábado día (2) 2 2" xfId="739"/>
    <cellStyle name="_Pauta cable Sábado día (2) 3" xfId="740"/>
    <cellStyle name="_Pauta cable Sábado día (2)_SISA Ofertas  23 al 26 Marzo V4 aprobado" xfId="741"/>
    <cellStyle name="_Pauta Cable SISA v2" xfId="742"/>
    <cellStyle name="_Pauta Cable SISA v2 2" xfId="743"/>
    <cellStyle name="_Pauta Cable SISA v2 2 2" xfId="744"/>
    <cellStyle name="_Pauta Cable SISA v2 3" xfId="745"/>
    <cellStyle name="_Pauta Cable SISA v2_SISA Ofertas  23 al 26 Marzo V4 aprobado" xfId="746"/>
    <cellStyle name="_Pauta Ola CityPK2 Junio 1 al 30" xfId="747"/>
    <cellStyle name="_Pauta Ola CityPK2 Junio 1 al 30 2" xfId="748"/>
    <cellStyle name="_Pauta Ola CityPK2 Junio 1 al 30 2 2" xfId="749"/>
    <cellStyle name="_Pauta Ola CityPK2 Junio 1 al 30 2 3" xfId="750"/>
    <cellStyle name="_Pauta Ola CityPK2 Junio 1 al 30 3" xfId="751"/>
    <cellStyle name="_Pauta Ola CityPK2 Junio 1 al 30 4" xfId="752"/>
    <cellStyle name="_Pauta Ola CityPK2 Junio 1 al 30_Cotización Consumo Marzo V1" xfId="753"/>
    <cellStyle name="_Pauta Ola CityPK2 Junio 1 al 30_Cotización Consumo Marzo V1 2" xfId="754"/>
    <cellStyle name="_Pauta Ola CityPK2 Junio 1 al 30_Cotización Consumo Marzo V1 2 2" xfId="755"/>
    <cellStyle name="_Pauta Ola CityPK2 Junio 1 al 30_Cotización Consumo Marzo V1 2 3" xfId="756"/>
    <cellStyle name="_Pauta Ola CityPK2 Junio 1 al 30_Cotización Consumo Marzo V1 3" xfId="757"/>
    <cellStyle name="_Pauta Ola CityPK2 Junio 1 al 30_Cotización Consumo Marzo V1 4" xfId="758"/>
    <cellStyle name="_Pauta Ola CityPK2 Junio 1 al 30_Cotización Consumo Marzo V1_Mantencion P Turismo Septiembre V2 OK" xfId="759"/>
    <cellStyle name="_Pauta Ola CityPK2 Junio 1 al 30_Cotización Consumo Marzo V1_Mantencion P Turismo Septiembre V2 OK 2" xfId="760"/>
    <cellStyle name="_Pauta Ola CityPK2 Junio 1 al 30_Cotización Consumo Marzo V1_Mantencion P Turismo Septiembre V2 OK 3" xfId="761"/>
    <cellStyle name="_Pauta Ola CityPK2 Junio 1 al 30_Cotización Consumo Marzo V1_Plan Canje KMS LANPASS versión 2" xfId="762"/>
    <cellStyle name="_Pauta Ola CityPK2 Junio 1 al 30_Cotización Consumo Marzo V1_Plan Canje KMS LANPASS versión 2 2" xfId="763"/>
    <cellStyle name="_Pauta Ola CityPK2 Junio 1 al 30_Cotización Consumo Marzo V1_Plan Canje KMS LANPASS versión 2 2 2" xfId="764"/>
    <cellStyle name="_Pauta Ola CityPK2 Junio 1 al 30_Cotización Consumo Marzo V1_Plan Canje KMS LANPASS versión 2 2 3" xfId="765"/>
    <cellStyle name="_Pauta Ola CityPK2 Junio 1 al 30_Cotización Consumo Marzo V1_Plan Canje KMS LANPASS versión 2 3" xfId="766"/>
    <cellStyle name="_Pauta Ola CityPK2 Junio 1 al 30_Cotización Consumo Marzo V1_Plan Canje KMS LANPASS versión 2 4" xfId="767"/>
    <cellStyle name="_Pauta Ola CityPK2 Junio 1 al 30_Cotización Consumo Marzo V1_Plan Canje KMS LANPASS versión 2_Mantencion P Turismo Septiembre V2 OK" xfId="768"/>
    <cellStyle name="_Pauta Ola CityPK2 Junio 1 al 30_Cotización Consumo Marzo V1_Plan Canje KMS LANPASS versión 2_Mantencion P Turismo Septiembre V2 OK 2" xfId="769"/>
    <cellStyle name="_Pauta Ola CityPK2 Junio 1 al 30_Cotización Consumo Marzo V1_Plan Canje KMS LANPASS versión 2_Mantencion P Turismo Septiembre V2 OK 3" xfId="770"/>
    <cellStyle name="_Pauta Ola CityPK2 Junio 1 al 30_Cotización Consumo Marzo V1_Plan Canje KMS LANPASS versión 2_Plan LAN EMPRESAS  V1" xfId="771"/>
    <cellStyle name="_Pauta Ola CityPK2 Junio 1 al 30_Cotización Consumo Marzo V1_Plan Canje KMS LANPASS versión 2_Plan LAN EMPRESAS  V1 2" xfId="772"/>
    <cellStyle name="_Pauta Ola CityPK2 Junio 1 al 30_Cotización Consumo Marzo V1_Plan Canje KMS LANPASS versión 2_Plan LAN EMPRESAS  V1 3" xfId="773"/>
    <cellStyle name="_Pauta Ola CityPK2 Junio 1 al 30_Cotización Consumo Marzo V1_Plan Canje KMS LANPASS versión 2_Plan LAN EMPRESAS  V2" xfId="774"/>
    <cellStyle name="_Pauta Ola CityPK2 Junio 1 al 30_Cotización Consumo Marzo V1_Plan Canje KMS LANPASS versión 2_Plan LAN EMPRESAS  V2 2" xfId="775"/>
    <cellStyle name="_Pauta Ola CityPK2 Junio 1 al 30_Cotización Consumo Marzo V1_Plan Canje KMS LANPASS versión 2_Plan LAN EMPRESAS  V2 3" xfId="776"/>
    <cellStyle name="_Pauta Ola CityPK2 Junio 1 al 30_Cotización Consumo Marzo V1_Plan LAN EMPRESAS  V1" xfId="777"/>
    <cellStyle name="_Pauta Ola CityPK2 Junio 1 al 30_Cotización Consumo Marzo V1_Plan LAN EMPRESAS  V1 2" xfId="778"/>
    <cellStyle name="_Pauta Ola CityPK2 Junio 1 al 30_Cotización Consumo Marzo V1_Plan LAN EMPRESAS  V1 3" xfId="779"/>
    <cellStyle name="_Pauta Ola CityPK2 Junio 1 al 30_Cotización Consumo Marzo V1_Plan LAN EMPRESAS  V2" xfId="780"/>
    <cellStyle name="_Pauta Ola CityPK2 Junio 1 al 30_Cotización Consumo Marzo V1_Plan LAN EMPRESAS  V2 2" xfId="781"/>
    <cellStyle name="_Pauta Ola CityPK2 Junio 1 al 30_Cotización Consumo Marzo V1_Plan LAN EMPRESAS  V2 3" xfId="782"/>
    <cellStyle name="_Pauta Ola CityPK2 Junio 1 al 30_Cotizacion Piezas Starcom V2 Seguro" xfId="783"/>
    <cellStyle name="_Pauta Ola CityPK2 Junio 1 al 30_Cotizacion Piezas Starcom V2 Seguro 2" xfId="784"/>
    <cellStyle name="_Pauta Ola CityPK2 Junio 1 al 30_Cotizacion Piezas Starcom V2 Seguro 2 2" xfId="785"/>
    <cellStyle name="_Pauta Ola CityPK2 Junio 1 al 30_Cotizacion Piezas Starcom V2 Seguro 2 3" xfId="786"/>
    <cellStyle name="_Pauta Ola CityPK2 Junio 1 al 30_Cotizacion Piezas Starcom V2 Seguro 3" xfId="787"/>
    <cellStyle name="_Pauta Ola CityPK2 Junio 1 al 30_Cotizacion Piezas Starcom V2 Seguro 4" xfId="788"/>
    <cellStyle name="_Pauta Ola CityPK2 Junio 1 al 30_Cotizacion Piezas Starcom V2 Seguro_Mantencion P Turismo Septiembre V2 OK" xfId="789"/>
    <cellStyle name="_Pauta Ola CityPK2 Junio 1 al 30_Cotizacion Piezas Starcom V2 Seguro_Mantencion P Turismo Septiembre V2 OK 2" xfId="790"/>
    <cellStyle name="_Pauta Ola CityPK2 Junio 1 al 30_Cotizacion Piezas Starcom V2 Seguro_Mantencion P Turismo Septiembre V2 OK 3" xfId="791"/>
    <cellStyle name="_Pauta Ola CityPK2 Junio 1 al 30_Cotizacion Piezas Starcom V2 Seguro_Plan Canje KMS LANPASS versión 2" xfId="792"/>
    <cellStyle name="_Pauta Ola CityPK2 Junio 1 al 30_Cotizacion Piezas Starcom V2 Seguro_Plan Canje KMS LANPASS versión 2 2" xfId="793"/>
    <cellStyle name="_Pauta Ola CityPK2 Junio 1 al 30_Cotizacion Piezas Starcom V2 Seguro_Plan Canje KMS LANPASS versión 2 2 2" xfId="794"/>
    <cellStyle name="_Pauta Ola CityPK2 Junio 1 al 30_Cotizacion Piezas Starcom V2 Seguro_Plan Canje KMS LANPASS versión 2 2 3" xfId="795"/>
    <cellStyle name="_Pauta Ola CityPK2 Junio 1 al 30_Cotizacion Piezas Starcom V2 Seguro_Plan Canje KMS LANPASS versión 2 3" xfId="796"/>
    <cellStyle name="_Pauta Ola CityPK2 Junio 1 al 30_Cotizacion Piezas Starcom V2 Seguro_Plan Canje KMS LANPASS versión 2 4" xfId="797"/>
    <cellStyle name="_Pauta Ola CityPK2 Junio 1 al 30_Cotizacion Piezas Starcom V2 Seguro_Plan Canje KMS LANPASS versión 2_Mantencion P Turismo Septiembre V2 OK" xfId="798"/>
    <cellStyle name="_Pauta Ola CityPK2 Junio 1 al 30_Cotizacion Piezas Starcom V2 Seguro_Plan Canje KMS LANPASS versión 2_Mantencion P Turismo Septiembre V2 OK 2" xfId="799"/>
    <cellStyle name="_Pauta Ola CityPK2 Junio 1 al 30_Cotizacion Piezas Starcom V2 Seguro_Plan Canje KMS LANPASS versión 2_Mantencion P Turismo Septiembre V2 OK 3" xfId="800"/>
    <cellStyle name="_Pauta Ola CityPK2 Junio 1 al 30_Cotizacion Piezas Starcom V2 Seguro_Plan Canje KMS LANPASS versión 2_Plan LAN EMPRESAS  V1" xfId="801"/>
    <cellStyle name="_Pauta Ola CityPK2 Junio 1 al 30_Cotizacion Piezas Starcom V2 Seguro_Plan Canje KMS LANPASS versión 2_Plan LAN EMPRESAS  V1 2" xfId="802"/>
    <cellStyle name="_Pauta Ola CityPK2 Junio 1 al 30_Cotizacion Piezas Starcom V2 Seguro_Plan Canje KMS LANPASS versión 2_Plan LAN EMPRESAS  V1 3" xfId="803"/>
    <cellStyle name="_Pauta Ola CityPK2 Junio 1 al 30_Cotizacion Piezas Starcom V2 Seguro_Plan Canje KMS LANPASS versión 2_Plan LAN EMPRESAS  V2" xfId="804"/>
    <cellStyle name="_Pauta Ola CityPK2 Junio 1 al 30_Cotizacion Piezas Starcom V2 Seguro_Plan Canje KMS LANPASS versión 2_Plan LAN EMPRESAS  V2 2" xfId="805"/>
    <cellStyle name="_Pauta Ola CityPK2 Junio 1 al 30_Cotizacion Piezas Starcom V2 Seguro_Plan Canje KMS LANPASS versión 2_Plan LAN EMPRESAS  V2 3" xfId="806"/>
    <cellStyle name="_Pauta Ola CityPK2 Junio 1 al 30_Cotizacion Piezas Starcom V2 Seguro_Plan LAN EMPRESAS  V1" xfId="807"/>
    <cellStyle name="_Pauta Ola CityPK2 Junio 1 al 30_Cotizacion Piezas Starcom V2 Seguro_Plan LAN EMPRESAS  V1 2" xfId="808"/>
    <cellStyle name="_Pauta Ola CityPK2 Junio 1 al 30_Cotizacion Piezas Starcom V2 Seguro_Plan LAN EMPRESAS  V1 3" xfId="809"/>
    <cellStyle name="_Pauta Ola CityPK2 Junio 1 al 30_Cotizacion Piezas Starcom V2 Seguro_Plan LAN EMPRESAS  V2" xfId="810"/>
    <cellStyle name="_Pauta Ola CityPK2 Junio 1 al 30_Cotizacion Piezas Starcom V2 Seguro_Plan LAN EMPRESAS  V2 2" xfId="811"/>
    <cellStyle name="_Pauta Ola CityPK2 Junio 1 al 30_Cotizacion Piezas Starcom V2 Seguro_Plan LAN EMPRESAS  V2 3" xfId="812"/>
    <cellStyle name="_Pauta Ola CityPK2 Junio 1 al 30_Mantencion P Turismo Septiembre V2 OK" xfId="813"/>
    <cellStyle name="_Pauta Ola CityPK2 Junio 1 al 30_Mantencion P Turismo Septiembre V2 OK 2" xfId="814"/>
    <cellStyle name="_Pauta Ola CityPK2 Junio 1 al 30_Mantencion P Turismo Septiembre V2 OK 3" xfId="815"/>
    <cellStyle name="_Pauta Ola CityPK2 Junio 1 al 30_Pauta TV" xfId="816"/>
    <cellStyle name="_Pauta Ola CityPK2 Junio 1 al 30_Pauta TV 2" xfId="817"/>
    <cellStyle name="_Pauta Ola CityPK2 Junio 1 al 30_Pauta TV 2 2" xfId="818"/>
    <cellStyle name="_Pauta Ola CityPK2 Junio 1 al 30_Pauta TV 2 3" xfId="819"/>
    <cellStyle name="_Pauta Ola CityPK2 Junio 1 al 30_Pauta TV 3" xfId="820"/>
    <cellStyle name="_Pauta Ola CityPK2 Junio 1 al 30_Pauta TV 4" xfId="821"/>
    <cellStyle name="_Pauta Ola CityPK2 Junio 1 al 30_Pauta TV Techo" xfId="822"/>
    <cellStyle name="_Pauta Ola CityPK2 Junio 1 al 30_Pauta TV Techo 2" xfId="823"/>
    <cellStyle name="_Pauta Ola CityPK2 Junio 1 al 30_Pauta TV Techo 2 2" xfId="824"/>
    <cellStyle name="_Pauta Ola CityPK2 Junio 1 al 30_Pauta TV Techo 2 3" xfId="825"/>
    <cellStyle name="_Pauta Ola CityPK2 Junio 1 al 30_Pauta TV Techo 3" xfId="826"/>
    <cellStyle name="_Pauta Ola CityPK2 Junio 1 al 30_Pauta TV Techo 4" xfId="827"/>
    <cellStyle name="_Pauta Ola CityPK2 Junio 1 al 30_Pauta TV Techo_Mantencion P Turismo Septiembre V2 OK" xfId="828"/>
    <cellStyle name="_Pauta Ola CityPK2 Junio 1 al 30_Pauta TV Techo_Mantencion P Turismo Septiembre V2 OK 2" xfId="829"/>
    <cellStyle name="_Pauta Ola CityPK2 Junio 1 al 30_Pauta TV Techo_Mantencion P Turismo Septiembre V2 OK 3" xfId="830"/>
    <cellStyle name="_Pauta Ola CityPK2 Junio 1 al 30_Pauta TV Techo_Plan Canje KMS LANPASS versión 2" xfId="831"/>
    <cellStyle name="_Pauta Ola CityPK2 Junio 1 al 30_Pauta TV Techo_Plan Canje KMS LANPASS versión 2 2" xfId="832"/>
    <cellStyle name="_Pauta Ola CityPK2 Junio 1 al 30_Pauta TV Techo_Plan Canje KMS LANPASS versión 2 2 2" xfId="833"/>
    <cellStyle name="_Pauta Ola CityPK2 Junio 1 al 30_Pauta TV Techo_Plan Canje KMS LANPASS versión 2 2 3" xfId="834"/>
    <cellStyle name="_Pauta Ola CityPK2 Junio 1 al 30_Pauta TV Techo_Plan Canje KMS LANPASS versión 2 3" xfId="835"/>
    <cellStyle name="_Pauta Ola CityPK2 Junio 1 al 30_Pauta TV Techo_Plan Canje KMS LANPASS versión 2 4" xfId="836"/>
    <cellStyle name="_Pauta Ola CityPK2 Junio 1 al 30_Pauta TV Techo_Plan Canje KMS LANPASS versión 2_Mantencion P Turismo Septiembre V2 OK" xfId="837"/>
    <cellStyle name="_Pauta Ola CityPK2 Junio 1 al 30_Pauta TV Techo_Plan Canje KMS LANPASS versión 2_Mantencion P Turismo Septiembre V2 OK 2" xfId="838"/>
    <cellStyle name="_Pauta Ola CityPK2 Junio 1 al 30_Pauta TV Techo_Plan Canje KMS LANPASS versión 2_Mantencion P Turismo Septiembre V2 OK 3" xfId="839"/>
    <cellStyle name="_Pauta Ola CityPK2 Junio 1 al 30_Pauta TV Techo_Plan Canje KMS LANPASS versión 2_Plan LAN EMPRESAS  V1" xfId="840"/>
    <cellStyle name="_Pauta Ola CityPK2 Junio 1 al 30_Pauta TV Techo_Plan Canje KMS LANPASS versión 2_Plan LAN EMPRESAS  V1 2" xfId="841"/>
    <cellStyle name="_Pauta Ola CityPK2 Junio 1 al 30_Pauta TV Techo_Plan Canje KMS LANPASS versión 2_Plan LAN EMPRESAS  V1 3" xfId="842"/>
    <cellStyle name="_Pauta Ola CityPK2 Junio 1 al 30_Pauta TV Techo_Plan Canje KMS LANPASS versión 2_Plan LAN EMPRESAS  V2" xfId="843"/>
    <cellStyle name="_Pauta Ola CityPK2 Junio 1 al 30_Pauta TV Techo_Plan Canje KMS LANPASS versión 2_Plan LAN EMPRESAS  V2 2" xfId="844"/>
    <cellStyle name="_Pauta Ola CityPK2 Junio 1 al 30_Pauta TV Techo_Plan Canje KMS LANPASS versión 2_Plan LAN EMPRESAS  V2 3" xfId="845"/>
    <cellStyle name="_Pauta Ola CityPK2 Junio 1 al 30_Pauta TV Techo_Plan LAN EMPRESAS  V1" xfId="846"/>
    <cellStyle name="_Pauta Ola CityPK2 Junio 1 al 30_Pauta TV Techo_Plan LAN EMPRESAS  V1 2" xfId="847"/>
    <cellStyle name="_Pauta Ola CityPK2 Junio 1 al 30_Pauta TV Techo_Plan LAN EMPRESAS  V1 3" xfId="848"/>
    <cellStyle name="_Pauta Ola CityPK2 Junio 1 al 30_Pauta TV Techo_Plan LAN EMPRESAS  V2" xfId="849"/>
    <cellStyle name="_Pauta Ola CityPK2 Junio 1 al 30_Pauta TV Techo_Plan LAN EMPRESAS  V2 2" xfId="850"/>
    <cellStyle name="_Pauta Ola CityPK2 Junio 1 al 30_Pauta TV Techo_Plan LAN EMPRESAS  V2 3" xfId="851"/>
    <cellStyle name="_Pauta Ola CityPK2 Junio 1 al 30_Pauta TV_Mantencion P Turismo Septiembre V2 OK" xfId="852"/>
    <cellStyle name="_Pauta Ola CityPK2 Junio 1 al 30_Pauta TV_Mantencion P Turismo Septiembre V2 OK 2" xfId="853"/>
    <cellStyle name="_Pauta Ola CityPK2 Junio 1 al 30_Pauta TV_Mantencion P Turismo Septiembre V2 OK 3" xfId="854"/>
    <cellStyle name="_Pauta Ola CityPK2 Junio 1 al 30_Pauta TV_Plan Canje KMS LANPASS versión 2" xfId="855"/>
    <cellStyle name="_Pauta Ola CityPK2 Junio 1 al 30_Pauta TV_Plan Canje KMS LANPASS versión 2 2" xfId="856"/>
    <cellStyle name="_Pauta Ola CityPK2 Junio 1 al 30_Pauta TV_Plan Canje KMS LANPASS versión 2 2 2" xfId="857"/>
    <cellStyle name="_Pauta Ola CityPK2 Junio 1 al 30_Pauta TV_Plan Canje KMS LANPASS versión 2 2 3" xfId="858"/>
    <cellStyle name="_Pauta Ola CityPK2 Junio 1 al 30_Pauta TV_Plan Canje KMS LANPASS versión 2 3" xfId="859"/>
    <cellStyle name="_Pauta Ola CityPK2 Junio 1 al 30_Pauta TV_Plan Canje KMS LANPASS versión 2 4" xfId="860"/>
    <cellStyle name="_Pauta Ola CityPK2 Junio 1 al 30_Pauta TV_Plan Canje KMS LANPASS versión 2_Mantencion P Turismo Septiembre V2 OK" xfId="861"/>
    <cellStyle name="_Pauta Ola CityPK2 Junio 1 al 30_Pauta TV_Plan Canje KMS LANPASS versión 2_Mantencion P Turismo Septiembre V2 OK 2" xfId="862"/>
    <cellStyle name="_Pauta Ola CityPK2 Junio 1 al 30_Pauta TV_Plan Canje KMS LANPASS versión 2_Mantencion P Turismo Septiembre V2 OK 3" xfId="863"/>
    <cellStyle name="_Pauta Ola CityPK2 Junio 1 al 30_Pauta TV_Plan Canje KMS LANPASS versión 2_Plan LAN EMPRESAS  V1" xfId="864"/>
    <cellStyle name="_Pauta Ola CityPK2 Junio 1 al 30_Pauta TV_Plan Canje KMS LANPASS versión 2_Plan LAN EMPRESAS  V1 2" xfId="865"/>
    <cellStyle name="_Pauta Ola CityPK2 Junio 1 al 30_Pauta TV_Plan Canje KMS LANPASS versión 2_Plan LAN EMPRESAS  V1 3" xfId="866"/>
    <cellStyle name="_Pauta Ola CityPK2 Junio 1 al 30_Pauta TV_Plan Canje KMS LANPASS versión 2_Plan LAN EMPRESAS  V2" xfId="867"/>
    <cellStyle name="_Pauta Ola CityPK2 Junio 1 al 30_Pauta TV_Plan Canje KMS LANPASS versión 2_Plan LAN EMPRESAS  V2 2" xfId="868"/>
    <cellStyle name="_Pauta Ola CityPK2 Junio 1 al 30_Pauta TV_Plan Canje KMS LANPASS versión 2_Plan LAN EMPRESAS  V2 3" xfId="869"/>
    <cellStyle name="_Pauta Ola CityPK2 Junio 1 al 30_Pauta TV_Plan LAN EMPRESAS  V1" xfId="870"/>
    <cellStyle name="_Pauta Ola CityPK2 Junio 1 al 30_Pauta TV_Plan LAN EMPRESAS  V1 2" xfId="871"/>
    <cellStyle name="_Pauta Ola CityPK2 Junio 1 al 30_Pauta TV_Plan LAN EMPRESAS  V1 3" xfId="872"/>
    <cellStyle name="_Pauta Ola CityPK2 Junio 1 al 30_Pauta TV_Plan LAN EMPRESAS  V2" xfId="873"/>
    <cellStyle name="_Pauta Ola CityPK2 Junio 1 al 30_Pauta TV_Plan LAN EMPRESAS  V2 2" xfId="874"/>
    <cellStyle name="_Pauta Ola CityPK2 Junio 1 al 30_Pauta TV_Plan LAN EMPRESAS  V2 3" xfId="875"/>
    <cellStyle name="_Pauta Ola CityPK2 Junio 1 al 30_Plan Auto Bencina 05.04.10" xfId="876"/>
    <cellStyle name="_Pauta Ola CityPK2 Junio 1 al 30_Plan Auto Bencina 05.04.10 2" xfId="877"/>
    <cellStyle name="_Pauta Ola CityPK2 Junio 1 al 30_Plan Auto Bencina 05.04.10 2 2" xfId="878"/>
    <cellStyle name="_Pauta Ola CityPK2 Junio 1 al 30_Plan Auto Bencina 05.04.10 2 3" xfId="879"/>
    <cellStyle name="_Pauta Ola CityPK2 Junio 1 al 30_Plan Auto Bencina 05.04.10 3" xfId="880"/>
    <cellStyle name="_Pauta Ola CityPK2 Junio 1 al 30_Plan Auto Bencina 05.04.10 4" xfId="881"/>
    <cellStyle name="_Pauta Ola CityPK2 Junio 1 al 30_Plan Auto Bencina 05.04.10_Mantencion P Turismo Septiembre V2 OK" xfId="882"/>
    <cellStyle name="_Pauta Ola CityPK2 Junio 1 al 30_Plan Auto Bencina 05.04.10_Mantencion P Turismo Septiembre V2 OK 2" xfId="883"/>
    <cellStyle name="_Pauta Ola CityPK2 Junio 1 al 30_Plan Auto Bencina 05.04.10_Mantencion P Turismo Septiembre V2 OK 3" xfId="884"/>
    <cellStyle name="_Pauta Ola CityPK2 Junio 1 al 30_Plan Auto Bencina 05.04.10_Plan Canje KMS LANPASS versión 2" xfId="885"/>
    <cellStyle name="_Pauta Ola CityPK2 Junio 1 al 30_Plan Auto Bencina 05.04.10_Plan Canje KMS LANPASS versión 2 2" xfId="886"/>
    <cellStyle name="_Pauta Ola CityPK2 Junio 1 al 30_Plan Auto Bencina 05.04.10_Plan Canje KMS LANPASS versión 2 2 2" xfId="887"/>
    <cellStyle name="_Pauta Ola CityPK2 Junio 1 al 30_Plan Auto Bencina 05.04.10_Plan Canje KMS LANPASS versión 2 2 3" xfId="888"/>
    <cellStyle name="_Pauta Ola CityPK2 Junio 1 al 30_Plan Auto Bencina 05.04.10_Plan Canje KMS LANPASS versión 2 3" xfId="889"/>
    <cellStyle name="_Pauta Ola CityPK2 Junio 1 al 30_Plan Auto Bencina 05.04.10_Plan Canje KMS LANPASS versión 2 4" xfId="890"/>
    <cellStyle name="_Pauta Ola CityPK2 Junio 1 al 30_Plan Auto Bencina 05.04.10_Plan Canje KMS LANPASS versión 2_Mantencion P Turismo Septiembre V2 OK" xfId="891"/>
    <cellStyle name="_Pauta Ola CityPK2 Junio 1 al 30_Plan Auto Bencina 05.04.10_Plan Canje KMS LANPASS versión 2_Mantencion P Turismo Septiembre V2 OK 2" xfId="892"/>
    <cellStyle name="_Pauta Ola CityPK2 Junio 1 al 30_Plan Auto Bencina 05.04.10_Plan Canje KMS LANPASS versión 2_Mantencion P Turismo Septiembre V2 OK 3" xfId="893"/>
    <cellStyle name="_Pauta Ola CityPK2 Junio 1 al 30_Plan Auto Bencina 05.04.10_Plan Canje KMS LANPASS versión 2_Plan LAN EMPRESAS  V1" xfId="894"/>
    <cellStyle name="_Pauta Ola CityPK2 Junio 1 al 30_Plan Auto Bencina 05.04.10_Plan Canje KMS LANPASS versión 2_Plan LAN EMPRESAS  V1 2" xfId="895"/>
    <cellStyle name="_Pauta Ola CityPK2 Junio 1 al 30_Plan Auto Bencina 05.04.10_Plan Canje KMS LANPASS versión 2_Plan LAN EMPRESAS  V1 3" xfId="896"/>
    <cellStyle name="_Pauta Ola CityPK2 Junio 1 al 30_Plan Auto Bencina 05.04.10_Plan Canje KMS LANPASS versión 2_Plan LAN EMPRESAS  V2" xfId="897"/>
    <cellStyle name="_Pauta Ola CityPK2 Junio 1 al 30_Plan Auto Bencina 05.04.10_Plan Canje KMS LANPASS versión 2_Plan LAN EMPRESAS  V2 2" xfId="898"/>
    <cellStyle name="_Pauta Ola CityPK2 Junio 1 al 30_Plan Auto Bencina 05.04.10_Plan Canje KMS LANPASS versión 2_Plan LAN EMPRESAS  V2 3" xfId="899"/>
    <cellStyle name="_Pauta Ola CityPK2 Junio 1 al 30_Plan Auto Bencina 05.04.10_Plan LAN EMPRESAS  V1" xfId="900"/>
    <cellStyle name="_Pauta Ola CityPK2 Junio 1 al 30_Plan Auto Bencina 05.04.10_Plan LAN EMPRESAS  V1 2" xfId="901"/>
    <cellStyle name="_Pauta Ola CityPK2 Junio 1 al 30_Plan Auto Bencina 05.04.10_Plan LAN EMPRESAS  V1 3" xfId="902"/>
    <cellStyle name="_Pauta Ola CityPK2 Junio 1 al 30_Plan Auto Bencina 05.04.10_Plan LAN EMPRESAS  V2" xfId="903"/>
    <cellStyle name="_Pauta Ola CityPK2 Junio 1 al 30_Plan Auto Bencina 05.04.10_Plan LAN EMPRESAS  V2 2" xfId="904"/>
    <cellStyle name="_Pauta Ola CityPK2 Junio 1 al 30_Plan Auto Bencina 05.04.10_Plan LAN EMPRESAS  V2 3" xfId="905"/>
    <cellStyle name="_Pauta Ola CityPK2 Junio 1 al 30_Plan Auto Bencina 06.04.10" xfId="906"/>
    <cellStyle name="_Pauta Ola CityPK2 Junio 1 al 30_Plan Auto Bencina 06.04.10 2" xfId="907"/>
    <cellStyle name="_Pauta Ola CityPK2 Junio 1 al 30_Plan Auto Bencina 06.04.10 2 2" xfId="908"/>
    <cellStyle name="_Pauta Ola CityPK2 Junio 1 al 30_Plan Auto Bencina 06.04.10 2 3" xfId="909"/>
    <cellStyle name="_Pauta Ola CityPK2 Junio 1 al 30_Plan Auto Bencina 06.04.10 3" xfId="910"/>
    <cellStyle name="_Pauta Ola CityPK2 Junio 1 al 30_Plan Auto Bencina 06.04.10 4" xfId="911"/>
    <cellStyle name="_Pauta Ola CityPK2 Junio 1 al 30_Plan Auto Bencina 06.04.10_Mantencion P Turismo Septiembre V2 OK" xfId="912"/>
    <cellStyle name="_Pauta Ola CityPK2 Junio 1 al 30_Plan Auto Bencina 06.04.10_Mantencion P Turismo Septiembre V2 OK 2" xfId="913"/>
    <cellStyle name="_Pauta Ola CityPK2 Junio 1 al 30_Plan Auto Bencina 06.04.10_Mantencion P Turismo Septiembre V2 OK 3" xfId="914"/>
    <cellStyle name="_Pauta Ola CityPK2 Junio 1 al 30_Plan Auto Bencina 06.04.10_Plan Canje KMS LANPASS versión 2" xfId="915"/>
    <cellStyle name="_Pauta Ola CityPK2 Junio 1 al 30_Plan Auto Bencina 06.04.10_Plan Canje KMS LANPASS versión 2 2" xfId="916"/>
    <cellStyle name="_Pauta Ola CityPK2 Junio 1 al 30_Plan Auto Bencina 06.04.10_Plan Canje KMS LANPASS versión 2 2 2" xfId="917"/>
    <cellStyle name="_Pauta Ola CityPK2 Junio 1 al 30_Plan Auto Bencina 06.04.10_Plan Canje KMS LANPASS versión 2 2 3" xfId="918"/>
    <cellStyle name="_Pauta Ola CityPK2 Junio 1 al 30_Plan Auto Bencina 06.04.10_Plan Canje KMS LANPASS versión 2 3" xfId="919"/>
    <cellStyle name="_Pauta Ola CityPK2 Junio 1 al 30_Plan Auto Bencina 06.04.10_Plan Canje KMS LANPASS versión 2 4" xfId="920"/>
    <cellStyle name="_Pauta Ola CityPK2 Junio 1 al 30_Plan Auto Bencina 06.04.10_Plan Canje KMS LANPASS versión 2_Mantencion P Turismo Septiembre V2 OK" xfId="921"/>
    <cellStyle name="_Pauta Ola CityPK2 Junio 1 al 30_Plan Auto Bencina 06.04.10_Plan Canje KMS LANPASS versión 2_Mantencion P Turismo Septiembre V2 OK 2" xfId="922"/>
    <cellStyle name="_Pauta Ola CityPK2 Junio 1 al 30_Plan Auto Bencina 06.04.10_Plan Canje KMS LANPASS versión 2_Mantencion P Turismo Septiembre V2 OK 3" xfId="923"/>
    <cellStyle name="_Pauta Ola CityPK2 Junio 1 al 30_Plan Auto Bencina 06.04.10_Plan Canje KMS LANPASS versión 2_Plan LAN EMPRESAS  V1" xfId="924"/>
    <cellStyle name="_Pauta Ola CityPK2 Junio 1 al 30_Plan Auto Bencina 06.04.10_Plan Canje KMS LANPASS versión 2_Plan LAN EMPRESAS  V1 2" xfId="925"/>
    <cellStyle name="_Pauta Ola CityPK2 Junio 1 al 30_Plan Auto Bencina 06.04.10_Plan Canje KMS LANPASS versión 2_Plan LAN EMPRESAS  V1 3" xfId="926"/>
    <cellStyle name="_Pauta Ola CityPK2 Junio 1 al 30_Plan Auto Bencina 06.04.10_Plan Canje KMS LANPASS versión 2_Plan LAN EMPRESAS  V2" xfId="927"/>
    <cellStyle name="_Pauta Ola CityPK2 Junio 1 al 30_Plan Auto Bencina 06.04.10_Plan Canje KMS LANPASS versión 2_Plan LAN EMPRESAS  V2 2" xfId="928"/>
    <cellStyle name="_Pauta Ola CityPK2 Junio 1 al 30_Plan Auto Bencina 06.04.10_Plan Canje KMS LANPASS versión 2_Plan LAN EMPRESAS  V2 3" xfId="929"/>
    <cellStyle name="_Pauta Ola CityPK2 Junio 1 al 30_Plan Auto Bencina 06.04.10_Plan LAN EMPRESAS  V1" xfId="930"/>
    <cellStyle name="_Pauta Ola CityPK2 Junio 1 al 30_Plan Auto Bencina 06.04.10_Plan LAN EMPRESAS  V1 2" xfId="931"/>
    <cellStyle name="_Pauta Ola CityPK2 Junio 1 al 30_Plan Auto Bencina 06.04.10_Plan LAN EMPRESAS  V1 3" xfId="932"/>
    <cellStyle name="_Pauta Ola CityPK2 Junio 1 al 30_Plan Auto Bencina 06.04.10_Plan LAN EMPRESAS  V2" xfId="933"/>
    <cellStyle name="_Pauta Ola CityPK2 Junio 1 al 30_Plan Auto Bencina 06.04.10_Plan LAN EMPRESAS  V2 2" xfId="934"/>
    <cellStyle name="_Pauta Ola CityPK2 Junio 1 al 30_Plan Auto Bencina 06.04.10_Plan LAN EMPRESAS  V2 3" xfId="935"/>
    <cellStyle name="_Pauta Ola CityPK2 Junio 1 al 30_Plan Auto Bencina 29.03.10" xfId="936"/>
    <cellStyle name="_Pauta Ola CityPK2 Junio 1 al 30_Plan Auto Bencina 29.03.10 2" xfId="937"/>
    <cellStyle name="_Pauta Ola CityPK2 Junio 1 al 30_Plan Auto Bencina 29.03.10 2 2" xfId="938"/>
    <cellStyle name="_Pauta Ola CityPK2 Junio 1 al 30_Plan Auto Bencina 29.03.10 2 3" xfId="939"/>
    <cellStyle name="_Pauta Ola CityPK2 Junio 1 al 30_Plan Auto Bencina 29.03.10 3" xfId="940"/>
    <cellStyle name="_Pauta Ola CityPK2 Junio 1 al 30_Plan Auto Bencina 29.03.10 4" xfId="941"/>
    <cellStyle name="_Pauta Ola CityPK2 Junio 1 al 30_Plan Auto Bencina 29.03.10_Mantencion P Turismo Septiembre V2 OK" xfId="942"/>
    <cellStyle name="_Pauta Ola CityPK2 Junio 1 al 30_Plan Auto Bencina 29.03.10_Mantencion P Turismo Septiembre V2 OK 2" xfId="943"/>
    <cellStyle name="_Pauta Ola CityPK2 Junio 1 al 30_Plan Auto Bencina 29.03.10_Mantencion P Turismo Septiembre V2 OK 3" xfId="944"/>
    <cellStyle name="_Pauta Ola CityPK2 Junio 1 al 30_Plan Auto Bencina 29.03.10_Plan Canje KMS LANPASS versión 2" xfId="945"/>
    <cellStyle name="_Pauta Ola CityPK2 Junio 1 al 30_Plan Auto Bencina 29.03.10_Plan Canje KMS LANPASS versión 2 2" xfId="946"/>
    <cellStyle name="_Pauta Ola CityPK2 Junio 1 al 30_Plan Auto Bencina 29.03.10_Plan Canje KMS LANPASS versión 2 2 2" xfId="947"/>
    <cellStyle name="_Pauta Ola CityPK2 Junio 1 al 30_Plan Auto Bencina 29.03.10_Plan Canje KMS LANPASS versión 2 2 3" xfId="948"/>
    <cellStyle name="_Pauta Ola CityPK2 Junio 1 al 30_Plan Auto Bencina 29.03.10_Plan Canje KMS LANPASS versión 2 3" xfId="949"/>
    <cellStyle name="_Pauta Ola CityPK2 Junio 1 al 30_Plan Auto Bencina 29.03.10_Plan Canje KMS LANPASS versión 2 4" xfId="950"/>
    <cellStyle name="_Pauta Ola CityPK2 Junio 1 al 30_Plan Auto Bencina 29.03.10_Plan Canje KMS LANPASS versión 2_Mantencion P Turismo Septiembre V2 OK" xfId="951"/>
    <cellStyle name="_Pauta Ola CityPK2 Junio 1 al 30_Plan Auto Bencina 29.03.10_Plan Canje KMS LANPASS versión 2_Mantencion P Turismo Septiembre V2 OK 2" xfId="952"/>
    <cellStyle name="_Pauta Ola CityPK2 Junio 1 al 30_Plan Auto Bencina 29.03.10_Plan Canje KMS LANPASS versión 2_Mantencion P Turismo Septiembre V2 OK 3" xfId="953"/>
    <cellStyle name="_Pauta Ola CityPK2 Junio 1 al 30_Plan Auto Bencina 29.03.10_Plan Canje KMS LANPASS versión 2_Plan LAN EMPRESAS  V1" xfId="954"/>
    <cellStyle name="_Pauta Ola CityPK2 Junio 1 al 30_Plan Auto Bencina 29.03.10_Plan Canje KMS LANPASS versión 2_Plan LAN EMPRESAS  V1 2" xfId="955"/>
    <cellStyle name="_Pauta Ola CityPK2 Junio 1 al 30_Plan Auto Bencina 29.03.10_Plan Canje KMS LANPASS versión 2_Plan LAN EMPRESAS  V1 3" xfId="956"/>
    <cellStyle name="_Pauta Ola CityPK2 Junio 1 al 30_Plan Auto Bencina 29.03.10_Plan Canje KMS LANPASS versión 2_Plan LAN EMPRESAS  V2" xfId="957"/>
    <cellStyle name="_Pauta Ola CityPK2 Junio 1 al 30_Plan Auto Bencina 29.03.10_Plan Canje KMS LANPASS versión 2_Plan LAN EMPRESAS  V2 2" xfId="958"/>
    <cellStyle name="_Pauta Ola CityPK2 Junio 1 al 30_Plan Auto Bencina 29.03.10_Plan Canje KMS LANPASS versión 2_Plan LAN EMPRESAS  V2 3" xfId="959"/>
    <cellStyle name="_Pauta Ola CityPK2 Junio 1 al 30_Plan Auto Bencina 29.03.10_Plan LAN EMPRESAS  V1" xfId="960"/>
    <cellStyle name="_Pauta Ola CityPK2 Junio 1 al 30_Plan Auto Bencina 29.03.10_Plan LAN EMPRESAS  V1 2" xfId="961"/>
    <cellStyle name="_Pauta Ola CityPK2 Junio 1 al 30_Plan Auto Bencina 29.03.10_Plan LAN EMPRESAS  V1 3" xfId="962"/>
    <cellStyle name="_Pauta Ola CityPK2 Junio 1 al 30_Plan Auto Bencina 29.03.10_Plan LAN EMPRESAS  V2" xfId="963"/>
    <cellStyle name="_Pauta Ola CityPK2 Junio 1 al 30_Plan Auto Bencina 29.03.10_Plan LAN EMPRESAS  V2 2" xfId="964"/>
    <cellStyle name="_Pauta Ola CityPK2 Junio 1 al 30_Plan Auto Bencina 29.03.10_Plan LAN EMPRESAS  V2 3" xfId="965"/>
    <cellStyle name="_Pauta Ola CityPK2 Junio 1 al 30_Plan Auto Bencina 31.03.10" xfId="966"/>
    <cellStyle name="_Pauta Ola CityPK2 Junio 1 al 30_Plan Auto Bencina 31.03.10 2" xfId="967"/>
    <cellStyle name="_Pauta Ola CityPK2 Junio 1 al 30_Plan Auto Bencina 31.03.10 2 2" xfId="968"/>
    <cellStyle name="_Pauta Ola CityPK2 Junio 1 al 30_Plan Auto Bencina 31.03.10 2 3" xfId="969"/>
    <cellStyle name="_Pauta Ola CityPK2 Junio 1 al 30_Plan Auto Bencina 31.03.10 3" xfId="970"/>
    <cellStyle name="_Pauta Ola CityPK2 Junio 1 al 30_Plan Auto Bencina 31.03.10 4" xfId="971"/>
    <cellStyle name="_Pauta Ola CityPK2 Junio 1 al 30_Plan Auto Bencina 31.03.10_Mantencion P Turismo Septiembre V2 OK" xfId="972"/>
    <cellStyle name="_Pauta Ola CityPK2 Junio 1 al 30_Plan Auto Bencina 31.03.10_Mantencion P Turismo Septiembre V2 OK 2" xfId="973"/>
    <cellStyle name="_Pauta Ola CityPK2 Junio 1 al 30_Plan Auto Bencina 31.03.10_Mantencion P Turismo Septiembre V2 OK 3" xfId="974"/>
    <cellStyle name="_Pauta Ola CityPK2 Junio 1 al 30_Plan Auto Bencina 31.03.10_Plan Canje KMS LANPASS versión 2" xfId="975"/>
    <cellStyle name="_Pauta Ola CityPK2 Junio 1 al 30_Plan Auto Bencina 31.03.10_Plan Canje KMS LANPASS versión 2 2" xfId="976"/>
    <cellStyle name="_Pauta Ola CityPK2 Junio 1 al 30_Plan Auto Bencina 31.03.10_Plan Canje KMS LANPASS versión 2 2 2" xfId="977"/>
    <cellStyle name="_Pauta Ola CityPK2 Junio 1 al 30_Plan Auto Bencina 31.03.10_Plan Canje KMS LANPASS versión 2 2 3" xfId="978"/>
    <cellStyle name="_Pauta Ola CityPK2 Junio 1 al 30_Plan Auto Bencina 31.03.10_Plan Canje KMS LANPASS versión 2 3" xfId="979"/>
    <cellStyle name="_Pauta Ola CityPK2 Junio 1 al 30_Plan Auto Bencina 31.03.10_Plan Canje KMS LANPASS versión 2 4" xfId="980"/>
    <cellStyle name="_Pauta Ola CityPK2 Junio 1 al 30_Plan Auto Bencina 31.03.10_Plan Canje KMS LANPASS versión 2_Mantencion P Turismo Septiembre V2 OK" xfId="981"/>
    <cellStyle name="_Pauta Ola CityPK2 Junio 1 al 30_Plan Auto Bencina 31.03.10_Plan Canje KMS LANPASS versión 2_Mantencion P Turismo Septiembre V2 OK 2" xfId="982"/>
    <cellStyle name="_Pauta Ola CityPK2 Junio 1 al 30_Plan Auto Bencina 31.03.10_Plan Canje KMS LANPASS versión 2_Mantencion P Turismo Septiembre V2 OK 3" xfId="983"/>
    <cellStyle name="_Pauta Ola CityPK2 Junio 1 al 30_Plan Auto Bencina 31.03.10_Plan Canje KMS LANPASS versión 2_Plan LAN EMPRESAS  V1" xfId="984"/>
    <cellStyle name="_Pauta Ola CityPK2 Junio 1 al 30_Plan Auto Bencina 31.03.10_Plan Canje KMS LANPASS versión 2_Plan LAN EMPRESAS  V1 2" xfId="985"/>
    <cellStyle name="_Pauta Ola CityPK2 Junio 1 al 30_Plan Auto Bencina 31.03.10_Plan Canje KMS LANPASS versión 2_Plan LAN EMPRESAS  V1 3" xfId="986"/>
    <cellStyle name="_Pauta Ola CityPK2 Junio 1 al 30_Plan Auto Bencina 31.03.10_Plan Canje KMS LANPASS versión 2_Plan LAN EMPRESAS  V2" xfId="987"/>
    <cellStyle name="_Pauta Ola CityPK2 Junio 1 al 30_Plan Auto Bencina 31.03.10_Plan Canje KMS LANPASS versión 2_Plan LAN EMPRESAS  V2 2" xfId="988"/>
    <cellStyle name="_Pauta Ola CityPK2 Junio 1 al 30_Plan Auto Bencina 31.03.10_Plan Canje KMS LANPASS versión 2_Plan LAN EMPRESAS  V2 3" xfId="989"/>
    <cellStyle name="_Pauta Ola CityPK2 Junio 1 al 30_Plan Auto Bencina 31.03.10_Plan LAN EMPRESAS  V1" xfId="990"/>
    <cellStyle name="_Pauta Ola CityPK2 Junio 1 al 30_Plan Auto Bencina 31.03.10_Plan LAN EMPRESAS  V1 2" xfId="991"/>
    <cellStyle name="_Pauta Ola CityPK2 Junio 1 al 30_Plan Auto Bencina 31.03.10_Plan LAN EMPRESAS  V1 3" xfId="992"/>
    <cellStyle name="_Pauta Ola CityPK2 Junio 1 al 30_Plan Auto Bencina 31.03.10_Plan LAN EMPRESAS  V2" xfId="993"/>
    <cellStyle name="_Pauta Ola CityPK2 Junio 1 al 30_Plan Auto Bencina 31.03.10_Plan LAN EMPRESAS  V2 2" xfId="994"/>
    <cellStyle name="_Pauta Ola CityPK2 Junio 1 al 30_Plan Auto Bencina 31.03.10_Plan LAN EMPRESAS  V2 3" xfId="995"/>
    <cellStyle name="_Pauta Ola CityPK2 Junio 1 al 30_Plan LAN EMPRESAS  V1" xfId="996"/>
    <cellStyle name="_Pauta Ola CityPK2 Junio 1 al 30_Plan LAN EMPRESAS  V1 2" xfId="997"/>
    <cellStyle name="_Pauta Ola CityPK2 Junio 1 al 30_Plan LAN EMPRESAS  V1 3" xfId="998"/>
    <cellStyle name="_Pauta Ola CityPK2 Junio 1 al 30_Plan LAN EMPRESAS  V2" xfId="999"/>
    <cellStyle name="_Pauta Ola CityPK2 Junio 1 al 30_Plan LAN EMPRESAS  V2 2" xfId="1000"/>
    <cellStyle name="_Pauta Ola CityPK2 Junio 1 al 30_Plan LAN EMPRESAS  V2 3" xfId="1001"/>
    <cellStyle name="_Pauta Ola CityPK2 Junio 1 al 30_Plan Santander Credito Marzo digital" xfId="1002"/>
    <cellStyle name="_Pauta Ola CityPK2 Junio 1 al 30_Plan Santander Credito Marzo digital 2" xfId="1003"/>
    <cellStyle name="_Pauta Ola CityPK2 Junio 1 al 30_Plan Santander Credito Marzo digital 2 2" xfId="1004"/>
    <cellStyle name="_Pauta Ola CityPK2 Junio 1 al 30_Plan Santander Credito Marzo digital 2 3" xfId="1005"/>
    <cellStyle name="_Pauta Ola CityPK2 Junio 1 al 30_Plan Santander Credito Marzo digital 3" xfId="1006"/>
    <cellStyle name="_Pauta Ola CityPK2 Junio 1 al 30_Plan Santander Credito Marzo digital 4" xfId="1007"/>
    <cellStyle name="_Pauta Ola CityPK2 Junio 1 al 30_Plan Santander Credito Marzo digital_Mantencion P Turismo Septiembre V2 OK" xfId="1008"/>
    <cellStyle name="_Pauta Ola CityPK2 Junio 1 al 30_Plan Santander Credito Marzo digital_Mantencion P Turismo Septiembre V2 OK 2" xfId="1009"/>
    <cellStyle name="_Pauta Ola CityPK2 Junio 1 al 30_Plan Santander Credito Marzo digital_Mantencion P Turismo Septiembre V2 OK 3" xfId="1010"/>
    <cellStyle name="_Pauta Ola CityPK2 Junio 1 al 30_Plan Santander Credito Marzo digital_Plan Canje KMS LANPASS versión 2" xfId="1011"/>
    <cellStyle name="_Pauta Ola CityPK2 Junio 1 al 30_Plan Santander Credito Marzo digital_Plan Canje KMS LANPASS versión 2 2" xfId="1012"/>
    <cellStyle name="_Pauta Ola CityPK2 Junio 1 al 30_Plan Santander Credito Marzo digital_Plan Canje KMS LANPASS versión 2 2 2" xfId="1013"/>
    <cellStyle name="_Pauta Ola CityPK2 Junio 1 al 30_Plan Santander Credito Marzo digital_Plan Canje KMS LANPASS versión 2 2 3" xfId="1014"/>
    <cellStyle name="_Pauta Ola CityPK2 Junio 1 al 30_Plan Santander Credito Marzo digital_Plan Canje KMS LANPASS versión 2 3" xfId="1015"/>
    <cellStyle name="_Pauta Ola CityPK2 Junio 1 al 30_Plan Santander Credito Marzo digital_Plan Canje KMS LANPASS versión 2 4" xfId="1016"/>
    <cellStyle name="_Pauta Ola CityPK2 Junio 1 al 30_Plan Santander Credito Marzo digital_Plan Canje KMS LANPASS versión 2_Mantencion P Turismo Septiembre V2 OK" xfId="1017"/>
    <cellStyle name="_Pauta Ola CityPK2 Junio 1 al 30_Plan Santander Credito Marzo digital_Plan Canje KMS LANPASS versión 2_Mantencion P Turismo Septiembre V2 OK 2" xfId="1018"/>
    <cellStyle name="_Pauta Ola CityPK2 Junio 1 al 30_Plan Santander Credito Marzo digital_Plan Canje KMS LANPASS versión 2_Mantencion P Turismo Septiembre V2 OK 3" xfId="1019"/>
    <cellStyle name="_Pauta Ola CityPK2 Junio 1 al 30_Plan Santander Credito Marzo digital_Plan Canje KMS LANPASS versión 2_Plan LAN EMPRESAS  V1" xfId="1020"/>
    <cellStyle name="_Pauta Ola CityPK2 Junio 1 al 30_Plan Santander Credito Marzo digital_Plan Canje KMS LANPASS versión 2_Plan LAN EMPRESAS  V1 2" xfId="1021"/>
    <cellStyle name="_Pauta Ola CityPK2 Junio 1 al 30_Plan Santander Credito Marzo digital_Plan Canje KMS LANPASS versión 2_Plan LAN EMPRESAS  V1 3" xfId="1022"/>
    <cellStyle name="_Pauta Ola CityPK2 Junio 1 al 30_Plan Santander Credito Marzo digital_Plan Canje KMS LANPASS versión 2_Plan LAN EMPRESAS  V2" xfId="1023"/>
    <cellStyle name="_Pauta Ola CityPK2 Junio 1 al 30_Plan Santander Credito Marzo digital_Plan Canje KMS LANPASS versión 2_Plan LAN EMPRESAS  V2 2" xfId="1024"/>
    <cellStyle name="_Pauta Ola CityPK2 Junio 1 al 30_Plan Santander Credito Marzo digital_Plan Canje KMS LANPASS versión 2_Plan LAN EMPRESAS  V2 3" xfId="1025"/>
    <cellStyle name="_Pauta Ola CityPK2 Junio 1 al 30_Plan Santander Credito Marzo digital_Plan LAN EMPRESAS  V1" xfId="1026"/>
    <cellStyle name="_Pauta Ola CityPK2 Junio 1 al 30_Plan Santander Credito Marzo digital_Plan LAN EMPRESAS  V1 2" xfId="1027"/>
    <cellStyle name="_Pauta Ola CityPK2 Junio 1 al 30_Plan Santander Credito Marzo digital_Plan LAN EMPRESAS  V1 3" xfId="1028"/>
    <cellStyle name="_Pauta Ola CityPK2 Junio 1 al 30_Plan Santander Credito Marzo digital_Plan LAN EMPRESAS  V2" xfId="1029"/>
    <cellStyle name="_Pauta Ola CityPK2 Junio 1 al 30_Plan Santander Credito Marzo digital_Plan LAN EMPRESAS  V2 2" xfId="1030"/>
    <cellStyle name="_Pauta Ola CityPK2 Junio 1 al 30_Plan Santander Credito Marzo digital_Plan LAN EMPRESAS  V2 3" xfId="1031"/>
    <cellStyle name="_Pauta Ola CityPK2 Junio 1 al 30_Plan SOAP Santander v1" xfId="1032"/>
    <cellStyle name="_Pauta Ola CityPK2 Junio 1 al 30_Plan SOAP Santander v1 2" xfId="1033"/>
    <cellStyle name="_Pauta Ola CityPK2 Junio 1 al 30_Plan SOAP Santander v1 2 2" xfId="1034"/>
    <cellStyle name="_Pauta Ola CityPK2 Junio 1 al 30_Plan SOAP Santander v1 2 3" xfId="1035"/>
    <cellStyle name="_Pauta Ola CityPK2 Junio 1 al 30_Plan SOAP Santander v1 3" xfId="1036"/>
    <cellStyle name="_Pauta Ola CityPK2 Junio 1 al 30_Plan SOAP Santander v1 4" xfId="1037"/>
    <cellStyle name="_Pauta Ola CityPK2 Junio 1 al 30_Plan SOAP Santander v1_Mantencion P Turismo Septiembre V2 OK" xfId="1038"/>
    <cellStyle name="_Pauta Ola CityPK2 Junio 1 al 30_Plan SOAP Santander v1_Mantencion P Turismo Septiembre V2 OK 2" xfId="1039"/>
    <cellStyle name="_Pauta Ola CityPK2 Junio 1 al 30_Plan SOAP Santander v1_Mantencion P Turismo Septiembre V2 OK 3" xfId="1040"/>
    <cellStyle name="_Pauta Ola CityPK2 Junio 1 al 30_Plan SOAP Santander v1_Plan Canje KMS LANPASS versión 2" xfId="1041"/>
    <cellStyle name="_Pauta Ola CityPK2 Junio 1 al 30_Plan SOAP Santander v1_Plan Canje KMS LANPASS versión 2 2" xfId="1042"/>
    <cellStyle name="_Pauta Ola CityPK2 Junio 1 al 30_Plan SOAP Santander v1_Plan Canje KMS LANPASS versión 2 2 2" xfId="1043"/>
    <cellStyle name="_Pauta Ola CityPK2 Junio 1 al 30_Plan SOAP Santander v1_Plan Canje KMS LANPASS versión 2 2 3" xfId="1044"/>
    <cellStyle name="_Pauta Ola CityPK2 Junio 1 al 30_Plan SOAP Santander v1_Plan Canje KMS LANPASS versión 2 3" xfId="1045"/>
    <cellStyle name="_Pauta Ola CityPK2 Junio 1 al 30_Plan SOAP Santander v1_Plan Canje KMS LANPASS versión 2 4" xfId="1046"/>
    <cellStyle name="_Pauta Ola CityPK2 Junio 1 al 30_Plan SOAP Santander v1_Plan Canje KMS LANPASS versión 2_Mantencion P Turismo Septiembre V2 OK" xfId="1047"/>
    <cellStyle name="_Pauta Ola CityPK2 Junio 1 al 30_Plan SOAP Santander v1_Plan Canje KMS LANPASS versión 2_Mantencion P Turismo Septiembre V2 OK 2" xfId="1048"/>
    <cellStyle name="_Pauta Ola CityPK2 Junio 1 al 30_Plan SOAP Santander v1_Plan Canje KMS LANPASS versión 2_Mantencion P Turismo Septiembre V2 OK 3" xfId="1049"/>
    <cellStyle name="_Pauta Ola CityPK2 Junio 1 al 30_Plan SOAP Santander v1_Plan Canje KMS LANPASS versión 2_Plan LAN EMPRESAS  V1" xfId="1050"/>
    <cellStyle name="_Pauta Ola CityPK2 Junio 1 al 30_Plan SOAP Santander v1_Plan Canje KMS LANPASS versión 2_Plan LAN EMPRESAS  V1 2" xfId="1051"/>
    <cellStyle name="_Pauta Ola CityPK2 Junio 1 al 30_Plan SOAP Santander v1_Plan Canje KMS LANPASS versión 2_Plan LAN EMPRESAS  V1 3" xfId="1052"/>
    <cellStyle name="_Pauta Ola CityPK2 Junio 1 al 30_Plan SOAP Santander v1_Plan Canje KMS LANPASS versión 2_Plan LAN EMPRESAS  V2" xfId="1053"/>
    <cellStyle name="_Pauta Ola CityPK2 Junio 1 al 30_Plan SOAP Santander v1_Plan Canje KMS LANPASS versión 2_Plan LAN EMPRESAS  V2 2" xfId="1054"/>
    <cellStyle name="_Pauta Ola CityPK2 Junio 1 al 30_Plan SOAP Santander v1_Plan Canje KMS LANPASS versión 2_Plan LAN EMPRESAS  V2 3" xfId="1055"/>
    <cellStyle name="_Pauta Ola CityPK2 Junio 1 al 30_Plan SOAP Santander v1_Plan LAN EMPRESAS  V1" xfId="1056"/>
    <cellStyle name="_Pauta Ola CityPK2 Junio 1 al 30_Plan SOAP Santander v1_Plan LAN EMPRESAS  V1 2" xfId="1057"/>
    <cellStyle name="_Pauta Ola CityPK2 Junio 1 al 30_Plan SOAP Santander v1_Plan LAN EMPRESAS  V1 3" xfId="1058"/>
    <cellStyle name="_Pauta Ola CityPK2 Junio 1 al 30_Plan SOAP Santander v1_Plan LAN EMPRESAS  V2" xfId="1059"/>
    <cellStyle name="_Pauta Ola CityPK2 Junio 1 al 30_Plan SOAP Santander v1_Plan LAN EMPRESAS  V2 2" xfId="1060"/>
    <cellStyle name="_Pauta Ola CityPK2 Junio 1 al 30_Plan SOAP Santander v1_Plan LAN EMPRESAS  V2 3" xfId="1061"/>
    <cellStyle name="_Pauta Ola CityPK2 Junio 1 al 30_V2 Plan consumo marzo 05-02-10 digital cambios." xfId="1062"/>
    <cellStyle name="_Pauta Ola CityPK2 Junio 1 al 30_V2 Plan consumo marzo 05-02-10 digital cambios. 2" xfId="1063"/>
    <cellStyle name="_Pauta Ola CityPK2 Junio 1 al 30_V2 Plan consumo marzo 05-02-10 digital cambios. 2 2" xfId="1064"/>
    <cellStyle name="_Pauta Ola CityPK2 Junio 1 al 30_V2 Plan consumo marzo 05-02-10 digital cambios. 2 3" xfId="1065"/>
    <cellStyle name="_Pauta Ola CityPK2 Junio 1 al 30_V2 Plan consumo marzo 05-02-10 digital cambios. 3" xfId="1066"/>
    <cellStyle name="_Pauta Ola CityPK2 Junio 1 al 30_V2 Plan consumo marzo 05-02-10 digital cambios. 4" xfId="1067"/>
    <cellStyle name="_Pauta Ola CityPK2 Junio 1 al 30_V2 Plan consumo marzo 05-02-10 digital cambios._Mantencion P Turismo Septiembre V2 OK" xfId="1068"/>
    <cellStyle name="_Pauta Ola CityPK2 Junio 1 al 30_V2 Plan consumo marzo 05-02-10 digital cambios._Mantencion P Turismo Septiembre V2 OK 2" xfId="1069"/>
    <cellStyle name="_Pauta Ola CityPK2 Junio 1 al 30_V2 Plan consumo marzo 05-02-10 digital cambios._Mantencion P Turismo Septiembre V2 OK 3" xfId="1070"/>
    <cellStyle name="_Pauta Ola CityPK2 Junio 1 al 30_V2 Plan consumo marzo 05-02-10 digital cambios._Plan Canje KMS LANPASS versión 2" xfId="1071"/>
    <cellStyle name="_Pauta Ola CityPK2 Junio 1 al 30_V2 Plan consumo marzo 05-02-10 digital cambios._Plan Canje KMS LANPASS versión 2 2" xfId="1072"/>
    <cellStyle name="_Pauta Ola CityPK2 Junio 1 al 30_V2 Plan consumo marzo 05-02-10 digital cambios._Plan Canje KMS LANPASS versión 2 2 2" xfId="1073"/>
    <cellStyle name="_Pauta Ola CityPK2 Junio 1 al 30_V2 Plan consumo marzo 05-02-10 digital cambios._Plan Canje KMS LANPASS versión 2 2 3" xfId="1074"/>
    <cellStyle name="_Pauta Ola CityPK2 Junio 1 al 30_V2 Plan consumo marzo 05-02-10 digital cambios._Plan Canje KMS LANPASS versión 2 3" xfId="1075"/>
    <cellStyle name="_Pauta Ola CityPK2 Junio 1 al 30_V2 Plan consumo marzo 05-02-10 digital cambios._Plan Canje KMS LANPASS versión 2 4" xfId="1076"/>
    <cellStyle name="_Pauta Ola CityPK2 Junio 1 al 30_V2 Plan consumo marzo 05-02-10 digital cambios._Plan Canje KMS LANPASS versión 2_Mantencion P Turismo Septiembre V2 OK" xfId="1077"/>
    <cellStyle name="_Pauta Ola CityPK2 Junio 1 al 30_V2 Plan consumo marzo 05-02-10 digital cambios._Plan Canje KMS LANPASS versión 2_Mantencion P Turismo Septiembre V2 OK 2" xfId="1078"/>
    <cellStyle name="_Pauta Ola CityPK2 Junio 1 al 30_V2 Plan consumo marzo 05-02-10 digital cambios._Plan Canje KMS LANPASS versión 2_Mantencion P Turismo Septiembre V2 OK 3" xfId="1079"/>
    <cellStyle name="_Pauta Ola CityPK2 Junio 1 al 30_V2 Plan consumo marzo 05-02-10 digital cambios._Plan Canje KMS LANPASS versión 2_Plan LAN EMPRESAS  V1" xfId="1080"/>
    <cellStyle name="_Pauta Ola CityPK2 Junio 1 al 30_V2 Plan consumo marzo 05-02-10 digital cambios._Plan Canje KMS LANPASS versión 2_Plan LAN EMPRESAS  V1 2" xfId="1081"/>
    <cellStyle name="_Pauta Ola CityPK2 Junio 1 al 30_V2 Plan consumo marzo 05-02-10 digital cambios._Plan Canje KMS LANPASS versión 2_Plan LAN EMPRESAS  V1 3" xfId="1082"/>
    <cellStyle name="_Pauta Ola CityPK2 Junio 1 al 30_V2 Plan consumo marzo 05-02-10 digital cambios._Plan Canje KMS LANPASS versión 2_Plan LAN EMPRESAS  V2" xfId="1083"/>
    <cellStyle name="_Pauta Ola CityPK2 Junio 1 al 30_V2 Plan consumo marzo 05-02-10 digital cambios._Plan Canje KMS LANPASS versión 2_Plan LAN EMPRESAS  V2 2" xfId="1084"/>
    <cellStyle name="_Pauta Ola CityPK2 Junio 1 al 30_V2 Plan consumo marzo 05-02-10 digital cambios._Plan Canje KMS LANPASS versión 2_Plan LAN EMPRESAS  V2 3" xfId="1085"/>
    <cellStyle name="_Pauta Ola CityPK2 Junio 1 al 30_V2 Plan consumo marzo 05-02-10 digital cambios._Plan LAN EMPRESAS  V1" xfId="1086"/>
    <cellStyle name="_Pauta Ola CityPK2 Junio 1 al 30_V2 Plan consumo marzo 05-02-10 digital cambios._Plan LAN EMPRESAS  V1 2" xfId="1087"/>
    <cellStyle name="_Pauta Ola CityPK2 Junio 1 al 30_V2 Plan consumo marzo 05-02-10 digital cambios._Plan LAN EMPRESAS  V1 3" xfId="1088"/>
    <cellStyle name="_Pauta Ola CityPK2 Junio 1 al 30_V2 Plan consumo marzo 05-02-10 digital cambios._Plan LAN EMPRESAS  V2" xfId="1089"/>
    <cellStyle name="_Pauta Ola CityPK2 Junio 1 al 30_V2 Plan consumo marzo 05-02-10 digital cambios._Plan LAN EMPRESAS  V2 2" xfId="1090"/>
    <cellStyle name="_Pauta Ola CityPK2 Junio 1 al 30_V2 Plan consumo marzo 05-02-10 digital cambios._Plan LAN EMPRESAS  V2 3" xfId="1091"/>
    <cellStyle name="_Pauta Ola CityPK2 Junio 1 al 30_V3 Plan consumo marzo 19-02-10." xfId="1092"/>
    <cellStyle name="_Pauta Ola CityPK2 Junio 1 al 30_V3 Plan consumo marzo 19-02-10. 2" xfId="1093"/>
    <cellStyle name="_Pauta Ola CityPK2 Junio 1 al 30_V3 Plan consumo marzo 19-02-10. 2 2" xfId="1094"/>
    <cellStyle name="_Pauta Ola CityPK2 Junio 1 al 30_V3 Plan consumo marzo 19-02-10. 2 3" xfId="1095"/>
    <cellStyle name="_Pauta Ola CityPK2 Junio 1 al 30_V3 Plan consumo marzo 19-02-10. 3" xfId="1096"/>
    <cellStyle name="_Pauta Ola CityPK2 Junio 1 al 30_V3 Plan consumo marzo 19-02-10. 4" xfId="1097"/>
    <cellStyle name="_Pauta Ola CityPK2 Junio 1 al 30_V3 Plan consumo marzo 19-02-10._Mantencion P Turismo Septiembre V2 OK" xfId="1098"/>
    <cellStyle name="_Pauta Ola CityPK2 Junio 1 al 30_V3 Plan consumo marzo 19-02-10._Mantencion P Turismo Septiembre V2 OK 2" xfId="1099"/>
    <cellStyle name="_Pauta Ola CityPK2 Junio 1 al 30_V3 Plan consumo marzo 19-02-10._Mantencion P Turismo Septiembre V2 OK 3" xfId="1100"/>
    <cellStyle name="_Pauta Ola CityPK2 Junio 1 al 30_V3 Plan consumo marzo 19-02-10._Plan Canje KMS LANPASS versión 2" xfId="1101"/>
    <cellStyle name="_Pauta Ola CityPK2 Junio 1 al 30_V3 Plan consumo marzo 19-02-10._Plan Canje KMS LANPASS versión 2 2" xfId="1102"/>
    <cellStyle name="_Pauta Ola CityPK2 Junio 1 al 30_V3 Plan consumo marzo 19-02-10._Plan Canje KMS LANPASS versión 2 2 2" xfId="1103"/>
    <cellStyle name="_Pauta Ola CityPK2 Junio 1 al 30_V3 Plan consumo marzo 19-02-10._Plan Canje KMS LANPASS versión 2 2 3" xfId="1104"/>
    <cellStyle name="_Pauta Ola CityPK2 Junio 1 al 30_V3 Plan consumo marzo 19-02-10._Plan Canje KMS LANPASS versión 2 3" xfId="1105"/>
    <cellStyle name="_Pauta Ola CityPK2 Junio 1 al 30_V3 Plan consumo marzo 19-02-10._Plan Canje KMS LANPASS versión 2 4" xfId="1106"/>
    <cellStyle name="_Pauta Ola CityPK2 Junio 1 al 30_V3 Plan consumo marzo 19-02-10._Plan Canje KMS LANPASS versión 2_Mantencion P Turismo Septiembre V2 OK" xfId="1107"/>
    <cellStyle name="_Pauta Ola CityPK2 Junio 1 al 30_V3 Plan consumo marzo 19-02-10._Plan Canje KMS LANPASS versión 2_Mantencion P Turismo Septiembre V2 OK 2" xfId="1108"/>
    <cellStyle name="_Pauta Ola CityPK2 Junio 1 al 30_V3 Plan consumo marzo 19-02-10._Plan Canje KMS LANPASS versión 2_Mantencion P Turismo Septiembre V2 OK 3" xfId="1109"/>
    <cellStyle name="_Pauta Ola CityPK2 Junio 1 al 30_V3 Plan consumo marzo 19-02-10._Plan Canje KMS LANPASS versión 2_Plan LAN EMPRESAS  V1" xfId="1110"/>
    <cellStyle name="_Pauta Ola CityPK2 Junio 1 al 30_V3 Plan consumo marzo 19-02-10._Plan Canje KMS LANPASS versión 2_Plan LAN EMPRESAS  V1 2" xfId="1111"/>
    <cellStyle name="_Pauta Ola CityPK2 Junio 1 al 30_V3 Plan consumo marzo 19-02-10._Plan Canje KMS LANPASS versión 2_Plan LAN EMPRESAS  V1 3" xfId="1112"/>
    <cellStyle name="_Pauta Ola CityPK2 Junio 1 al 30_V3 Plan consumo marzo 19-02-10._Plan Canje KMS LANPASS versión 2_Plan LAN EMPRESAS  V2" xfId="1113"/>
    <cellStyle name="_Pauta Ola CityPK2 Junio 1 al 30_V3 Plan consumo marzo 19-02-10._Plan Canje KMS LANPASS versión 2_Plan LAN EMPRESAS  V2 2" xfId="1114"/>
    <cellStyle name="_Pauta Ola CityPK2 Junio 1 al 30_V3 Plan consumo marzo 19-02-10._Plan Canje KMS LANPASS versión 2_Plan LAN EMPRESAS  V2 3" xfId="1115"/>
    <cellStyle name="_Pauta Ola CityPK2 Junio 1 al 30_V3 Plan consumo marzo 19-02-10._Plan LAN EMPRESAS  V1" xfId="1116"/>
    <cellStyle name="_Pauta Ola CityPK2 Junio 1 al 30_V3 Plan consumo marzo 19-02-10._Plan LAN EMPRESAS  V1 2" xfId="1117"/>
    <cellStyle name="_Pauta Ola CityPK2 Junio 1 al 30_V3 Plan consumo marzo 19-02-10._Plan LAN EMPRESAS  V1 3" xfId="1118"/>
    <cellStyle name="_Pauta Ola CityPK2 Junio 1 al 30_V3 Plan consumo marzo 19-02-10._Plan LAN EMPRESAS  V2" xfId="1119"/>
    <cellStyle name="_Pauta Ola CityPK2 Junio 1 al 30_V3 Plan consumo marzo 19-02-10._Plan LAN EMPRESAS  V2 2" xfId="1120"/>
    <cellStyle name="_Pauta Ola CityPK2 Junio 1 al 30_V3 Plan consumo marzo 19-02-10._Plan LAN EMPRESAS  V2 3" xfId="1121"/>
    <cellStyle name="_Pauta Prensa_Abril_Mayo_Junio V3" xfId="1122"/>
    <cellStyle name="_Pauta Prensa_V2 Enero - Marzo" xfId="1123"/>
    <cellStyle name="_Pauta Samsung beat" xfId="1124"/>
    <cellStyle name="_Pauta Samsung beat 2" xfId="1125"/>
    <cellStyle name="_Pauta Samsung beat 2 2" xfId="1126"/>
    <cellStyle name="_Pauta Samsung beat 2 3" xfId="1127"/>
    <cellStyle name="_Pauta Samsung beat 3" xfId="1128"/>
    <cellStyle name="_Pauta Samsung beat 4" xfId="1129"/>
    <cellStyle name="_Pauta Samsung beat_Cotización Consumo Marzo V1" xfId="1130"/>
    <cellStyle name="_Pauta Samsung beat_Cotización Consumo Marzo V1 2" xfId="1131"/>
    <cellStyle name="_Pauta Samsung beat_Cotización Consumo Marzo V1 2 2" xfId="1132"/>
    <cellStyle name="_Pauta Samsung beat_Cotización Consumo Marzo V1 2 3" xfId="1133"/>
    <cellStyle name="_Pauta Samsung beat_Cotización Consumo Marzo V1 3" xfId="1134"/>
    <cellStyle name="_Pauta Samsung beat_Cotización Consumo Marzo V1 4" xfId="1135"/>
    <cellStyle name="_Pauta Samsung beat_Cotización Consumo Marzo V1_Mantencion P Turismo Septiembre V2 OK" xfId="1136"/>
    <cellStyle name="_Pauta Samsung beat_Cotización Consumo Marzo V1_Mantencion P Turismo Septiembre V2 OK 2" xfId="1137"/>
    <cellStyle name="_Pauta Samsung beat_Cotización Consumo Marzo V1_Mantencion P Turismo Septiembre V2 OK 3" xfId="1138"/>
    <cellStyle name="_Pauta Samsung beat_Cotización Consumo Marzo V1_Plan Canje KMS LANPASS versión 2" xfId="1139"/>
    <cellStyle name="_Pauta Samsung beat_Cotización Consumo Marzo V1_Plan Canje KMS LANPASS versión 2 2" xfId="1140"/>
    <cellStyle name="_Pauta Samsung beat_Cotización Consumo Marzo V1_Plan Canje KMS LANPASS versión 2 2 2" xfId="1141"/>
    <cellStyle name="_Pauta Samsung beat_Cotización Consumo Marzo V1_Plan Canje KMS LANPASS versión 2 2 3" xfId="1142"/>
    <cellStyle name="_Pauta Samsung beat_Cotización Consumo Marzo V1_Plan Canje KMS LANPASS versión 2 3" xfId="1143"/>
    <cellStyle name="_Pauta Samsung beat_Cotización Consumo Marzo V1_Plan Canje KMS LANPASS versión 2 4" xfId="1144"/>
    <cellStyle name="_Pauta Samsung beat_Cotización Consumo Marzo V1_Plan Canje KMS LANPASS versión 2_Mantencion P Turismo Septiembre V2 OK" xfId="1145"/>
    <cellStyle name="_Pauta Samsung beat_Cotización Consumo Marzo V1_Plan Canje KMS LANPASS versión 2_Mantencion P Turismo Septiembre V2 OK 2" xfId="1146"/>
    <cellStyle name="_Pauta Samsung beat_Cotización Consumo Marzo V1_Plan Canje KMS LANPASS versión 2_Mantencion P Turismo Septiembre V2 OK 3" xfId="1147"/>
    <cellStyle name="_Pauta Samsung beat_Cotización Consumo Marzo V1_Plan Canje KMS LANPASS versión 2_Plan LAN EMPRESAS  V1" xfId="1148"/>
    <cellStyle name="_Pauta Samsung beat_Cotización Consumo Marzo V1_Plan Canje KMS LANPASS versión 2_Plan LAN EMPRESAS  V1 2" xfId="1149"/>
    <cellStyle name="_Pauta Samsung beat_Cotización Consumo Marzo V1_Plan Canje KMS LANPASS versión 2_Plan LAN EMPRESAS  V1 3" xfId="1150"/>
    <cellStyle name="_Pauta Samsung beat_Cotización Consumo Marzo V1_Plan Canje KMS LANPASS versión 2_Plan LAN EMPRESAS  V2" xfId="1151"/>
    <cellStyle name="_Pauta Samsung beat_Cotización Consumo Marzo V1_Plan Canje KMS LANPASS versión 2_Plan LAN EMPRESAS  V2 2" xfId="1152"/>
    <cellStyle name="_Pauta Samsung beat_Cotización Consumo Marzo V1_Plan Canje KMS LANPASS versión 2_Plan LAN EMPRESAS  V2 3" xfId="1153"/>
    <cellStyle name="_Pauta Samsung beat_Cotización Consumo Marzo V1_Plan LAN EMPRESAS  V1" xfId="1154"/>
    <cellStyle name="_Pauta Samsung beat_Cotización Consumo Marzo V1_Plan LAN EMPRESAS  V1 2" xfId="1155"/>
    <cellStyle name="_Pauta Samsung beat_Cotización Consumo Marzo V1_Plan LAN EMPRESAS  V1 3" xfId="1156"/>
    <cellStyle name="_Pauta Samsung beat_Cotización Consumo Marzo V1_Plan LAN EMPRESAS  V2" xfId="1157"/>
    <cellStyle name="_Pauta Samsung beat_Cotización Consumo Marzo V1_Plan LAN EMPRESAS  V2 2" xfId="1158"/>
    <cellStyle name="_Pauta Samsung beat_Cotización Consumo Marzo V1_Plan LAN EMPRESAS  V2 3" xfId="1159"/>
    <cellStyle name="_Pauta Samsung beat_Cotizacion Piezas Starcom V2 Seguro" xfId="1160"/>
    <cellStyle name="_Pauta Samsung beat_Cotizacion Piezas Starcom V2 Seguro 2" xfId="1161"/>
    <cellStyle name="_Pauta Samsung beat_Cotizacion Piezas Starcom V2 Seguro 2 2" xfId="1162"/>
    <cellStyle name="_Pauta Samsung beat_Cotizacion Piezas Starcom V2 Seguro 2 3" xfId="1163"/>
    <cellStyle name="_Pauta Samsung beat_Cotizacion Piezas Starcom V2 Seguro 3" xfId="1164"/>
    <cellStyle name="_Pauta Samsung beat_Cotizacion Piezas Starcom V2 Seguro 4" xfId="1165"/>
    <cellStyle name="_Pauta Samsung beat_Cotizacion Piezas Starcom V2 Seguro_Mantencion P Turismo Septiembre V2 OK" xfId="1166"/>
    <cellStyle name="_Pauta Samsung beat_Cotizacion Piezas Starcom V2 Seguro_Mantencion P Turismo Septiembre V2 OK 2" xfId="1167"/>
    <cellStyle name="_Pauta Samsung beat_Cotizacion Piezas Starcom V2 Seguro_Mantencion P Turismo Septiembre V2 OK 3" xfId="1168"/>
    <cellStyle name="_Pauta Samsung beat_Cotizacion Piezas Starcom V2 Seguro_Plan Canje KMS LANPASS versión 2" xfId="1169"/>
    <cellStyle name="_Pauta Samsung beat_Cotizacion Piezas Starcom V2 Seguro_Plan Canje KMS LANPASS versión 2 2" xfId="1170"/>
    <cellStyle name="_Pauta Samsung beat_Cotizacion Piezas Starcom V2 Seguro_Plan Canje KMS LANPASS versión 2 2 2" xfId="1171"/>
    <cellStyle name="_Pauta Samsung beat_Cotizacion Piezas Starcom V2 Seguro_Plan Canje KMS LANPASS versión 2 2 3" xfId="1172"/>
    <cellStyle name="_Pauta Samsung beat_Cotizacion Piezas Starcom V2 Seguro_Plan Canje KMS LANPASS versión 2 3" xfId="1173"/>
    <cellStyle name="_Pauta Samsung beat_Cotizacion Piezas Starcom V2 Seguro_Plan Canje KMS LANPASS versión 2 4" xfId="1174"/>
    <cellStyle name="_Pauta Samsung beat_Cotizacion Piezas Starcom V2 Seguro_Plan Canje KMS LANPASS versión 2_Mantencion P Turismo Septiembre V2 OK" xfId="1175"/>
    <cellStyle name="_Pauta Samsung beat_Cotizacion Piezas Starcom V2 Seguro_Plan Canje KMS LANPASS versión 2_Mantencion P Turismo Septiembre V2 OK 2" xfId="1176"/>
    <cellStyle name="_Pauta Samsung beat_Cotizacion Piezas Starcom V2 Seguro_Plan Canje KMS LANPASS versión 2_Mantencion P Turismo Septiembre V2 OK 3" xfId="1177"/>
    <cellStyle name="_Pauta Samsung beat_Cotizacion Piezas Starcom V2 Seguro_Plan Canje KMS LANPASS versión 2_Plan LAN EMPRESAS  V1" xfId="1178"/>
    <cellStyle name="_Pauta Samsung beat_Cotizacion Piezas Starcom V2 Seguro_Plan Canje KMS LANPASS versión 2_Plan LAN EMPRESAS  V1 2" xfId="1179"/>
    <cellStyle name="_Pauta Samsung beat_Cotizacion Piezas Starcom V2 Seguro_Plan Canje KMS LANPASS versión 2_Plan LAN EMPRESAS  V1 3" xfId="1180"/>
    <cellStyle name="_Pauta Samsung beat_Cotizacion Piezas Starcom V2 Seguro_Plan Canje KMS LANPASS versión 2_Plan LAN EMPRESAS  V2" xfId="1181"/>
    <cellStyle name="_Pauta Samsung beat_Cotizacion Piezas Starcom V2 Seguro_Plan Canje KMS LANPASS versión 2_Plan LAN EMPRESAS  V2 2" xfId="1182"/>
    <cellStyle name="_Pauta Samsung beat_Cotizacion Piezas Starcom V2 Seguro_Plan Canje KMS LANPASS versión 2_Plan LAN EMPRESAS  V2 3" xfId="1183"/>
    <cellStyle name="_Pauta Samsung beat_Cotizacion Piezas Starcom V2 Seguro_Plan LAN EMPRESAS  V1" xfId="1184"/>
    <cellStyle name="_Pauta Samsung beat_Cotizacion Piezas Starcom V2 Seguro_Plan LAN EMPRESAS  V1 2" xfId="1185"/>
    <cellStyle name="_Pauta Samsung beat_Cotizacion Piezas Starcom V2 Seguro_Plan LAN EMPRESAS  V1 3" xfId="1186"/>
    <cellStyle name="_Pauta Samsung beat_Cotizacion Piezas Starcom V2 Seguro_Plan LAN EMPRESAS  V2" xfId="1187"/>
    <cellStyle name="_Pauta Samsung beat_Cotizacion Piezas Starcom V2 Seguro_Plan LAN EMPRESAS  V2 2" xfId="1188"/>
    <cellStyle name="_Pauta Samsung beat_Cotizacion Piezas Starcom V2 Seguro_Plan LAN EMPRESAS  V2 3" xfId="1189"/>
    <cellStyle name="_Pauta Samsung beat_Mantencion P Turismo Septiembre V2 OK" xfId="1190"/>
    <cellStyle name="_Pauta Samsung beat_Mantencion P Turismo Septiembre V2 OK 2" xfId="1191"/>
    <cellStyle name="_Pauta Samsung beat_Mantencion P Turismo Septiembre V2 OK 3" xfId="1192"/>
    <cellStyle name="_Pauta Samsung beat_Pauta TV" xfId="1193"/>
    <cellStyle name="_Pauta Samsung beat_Pauta TV 2" xfId="1194"/>
    <cellStyle name="_Pauta Samsung beat_Pauta TV 2 2" xfId="1195"/>
    <cellStyle name="_Pauta Samsung beat_Pauta TV 2 3" xfId="1196"/>
    <cellStyle name="_Pauta Samsung beat_Pauta TV 3" xfId="1197"/>
    <cellStyle name="_Pauta Samsung beat_Pauta TV 4" xfId="1198"/>
    <cellStyle name="_Pauta Samsung beat_Pauta TV Techo" xfId="1199"/>
    <cellStyle name="_Pauta Samsung beat_Pauta TV Techo 2" xfId="1200"/>
    <cellStyle name="_Pauta Samsung beat_Pauta TV Techo 2 2" xfId="1201"/>
    <cellStyle name="_Pauta Samsung beat_Pauta TV Techo 2 3" xfId="1202"/>
    <cellStyle name="_Pauta Samsung beat_Pauta TV Techo 3" xfId="1203"/>
    <cellStyle name="_Pauta Samsung beat_Pauta TV Techo 4" xfId="1204"/>
    <cellStyle name="_Pauta Samsung beat_Pauta TV Techo_Mantencion P Turismo Septiembre V2 OK" xfId="1205"/>
    <cellStyle name="_Pauta Samsung beat_Pauta TV Techo_Mantencion P Turismo Septiembre V2 OK 2" xfId="1206"/>
    <cellStyle name="_Pauta Samsung beat_Pauta TV Techo_Mantencion P Turismo Septiembre V2 OK 3" xfId="1207"/>
    <cellStyle name="_Pauta Samsung beat_Pauta TV Techo_Plan Canje KMS LANPASS versión 2" xfId="1208"/>
    <cellStyle name="_Pauta Samsung beat_Pauta TV Techo_Plan Canje KMS LANPASS versión 2 2" xfId="1209"/>
    <cellStyle name="_Pauta Samsung beat_Pauta TV Techo_Plan Canje KMS LANPASS versión 2 2 2" xfId="1210"/>
    <cellStyle name="_Pauta Samsung beat_Pauta TV Techo_Plan Canje KMS LANPASS versión 2 2 3" xfId="1211"/>
    <cellStyle name="_Pauta Samsung beat_Pauta TV Techo_Plan Canje KMS LANPASS versión 2 3" xfId="1212"/>
    <cellStyle name="_Pauta Samsung beat_Pauta TV Techo_Plan Canje KMS LANPASS versión 2 4" xfId="1213"/>
    <cellStyle name="_Pauta Samsung beat_Pauta TV Techo_Plan Canje KMS LANPASS versión 2_Mantencion P Turismo Septiembre V2 OK" xfId="1214"/>
    <cellStyle name="_Pauta Samsung beat_Pauta TV Techo_Plan Canje KMS LANPASS versión 2_Mantencion P Turismo Septiembre V2 OK 2" xfId="1215"/>
    <cellStyle name="_Pauta Samsung beat_Pauta TV Techo_Plan Canje KMS LANPASS versión 2_Mantencion P Turismo Septiembre V2 OK 3" xfId="1216"/>
    <cellStyle name="_Pauta Samsung beat_Pauta TV Techo_Plan Canje KMS LANPASS versión 2_Plan LAN EMPRESAS  V1" xfId="1217"/>
    <cellStyle name="_Pauta Samsung beat_Pauta TV Techo_Plan Canje KMS LANPASS versión 2_Plan LAN EMPRESAS  V1 2" xfId="1218"/>
    <cellStyle name="_Pauta Samsung beat_Pauta TV Techo_Plan Canje KMS LANPASS versión 2_Plan LAN EMPRESAS  V1 3" xfId="1219"/>
    <cellStyle name="_Pauta Samsung beat_Pauta TV Techo_Plan Canje KMS LANPASS versión 2_Plan LAN EMPRESAS  V2" xfId="1220"/>
    <cellStyle name="_Pauta Samsung beat_Pauta TV Techo_Plan Canje KMS LANPASS versión 2_Plan LAN EMPRESAS  V2 2" xfId="1221"/>
    <cellStyle name="_Pauta Samsung beat_Pauta TV Techo_Plan Canje KMS LANPASS versión 2_Plan LAN EMPRESAS  V2 3" xfId="1222"/>
    <cellStyle name="_Pauta Samsung beat_Pauta TV Techo_Plan LAN EMPRESAS  V1" xfId="1223"/>
    <cellStyle name="_Pauta Samsung beat_Pauta TV Techo_Plan LAN EMPRESAS  V1 2" xfId="1224"/>
    <cellStyle name="_Pauta Samsung beat_Pauta TV Techo_Plan LAN EMPRESAS  V1 3" xfId="1225"/>
    <cellStyle name="_Pauta Samsung beat_Pauta TV Techo_Plan LAN EMPRESAS  V2" xfId="1226"/>
    <cellStyle name="_Pauta Samsung beat_Pauta TV Techo_Plan LAN EMPRESAS  V2 2" xfId="1227"/>
    <cellStyle name="_Pauta Samsung beat_Pauta TV Techo_Plan LAN EMPRESAS  V2 3" xfId="1228"/>
    <cellStyle name="_Pauta Samsung beat_Pauta TV_Mantencion P Turismo Septiembre V2 OK" xfId="1229"/>
    <cellStyle name="_Pauta Samsung beat_Pauta TV_Mantencion P Turismo Septiembre V2 OK 2" xfId="1230"/>
    <cellStyle name="_Pauta Samsung beat_Pauta TV_Mantencion P Turismo Septiembre V2 OK 3" xfId="1231"/>
    <cellStyle name="_Pauta Samsung beat_Pauta TV_Plan Canje KMS LANPASS versión 2" xfId="1232"/>
    <cellStyle name="_Pauta Samsung beat_Pauta TV_Plan Canje KMS LANPASS versión 2 2" xfId="1233"/>
    <cellStyle name="_Pauta Samsung beat_Pauta TV_Plan Canje KMS LANPASS versión 2 2 2" xfId="1234"/>
    <cellStyle name="_Pauta Samsung beat_Pauta TV_Plan Canje KMS LANPASS versión 2 2 3" xfId="1235"/>
    <cellStyle name="_Pauta Samsung beat_Pauta TV_Plan Canje KMS LANPASS versión 2 3" xfId="1236"/>
    <cellStyle name="_Pauta Samsung beat_Pauta TV_Plan Canje KMS LANPASS versión 2 4" xfId="1237"/>
    <cellStyle name="_Pauta Samsung beat_Pauta TV_Plan Canje KMS LANPASS versión 2_Mantencion P Turismo Septiembre V2 OK" xfId="1238"/>
    <cellStyle name="_Pauta Samsung beat_Pauta TV_Plan Canje KMS LANPASS versión 2_Mantencion P Turismo Septiembre V2 OK 2" xfId="1239"/>
    <cellStyle name="_Pauta Samsung beat_Pauta TV_Plan Canje KMS LANPASS versión 2_Mantencion P Turismo Septiembre V2 OK 3" xfId="1240"/>
    <cellStyle name="_Pauta Samsung beat_Pauta TV_Plan Canje KMS LANPASS versión 2_Plan LAN EMPRESAS  V1" xfId="1241"/>
    <cellStyle name="_Pauta Samsung beat_Pauta TV_Plan Canje KMS LANPASS versión 2_Plan LAN EMPRESAS  V1 2" xfId="1242"/>
    <cellStyle name="_Pauta Samsung beat_Pauta TV_Plan Canje KMS LANPASS versión 2_Plan LAN EMPRESAS  V1 3" xfId="1243"/>
    <cellStyle name="_Pauta Samsung beat_Pauta TV_Plan Canje KMS LANPASS versión 2_Plan LAN EMPRESAS  V2" xfId="1244"/>
    <cellStyle name="_Pauta Samsung beat_Pauta TV_Plan Canje KMS LANPASS versión 2_Plan LAN EMPRESAS  V2 2" xfId="1245"/>
    <cellStyle name="_Pauta Samsung beat_Pauta TV_Plan Canje KMS LANPASS versión 2_Plan LAN EMPRESAS  V2 3" xfId="1246"/>
    <cellStyle name="_Pauta Samsung beat_Pauta TV_Plan LAN EMPRESAS  V1" xfId="1247"/>
    <cellStyle name="_Pauta Samsung beat_Pauta TV_Plan LAN EMPRESAS  V1 2" xfId="1248"/>
    <cellStyle name="_Pauta Samsung beat_Pauta TV_Plan LAN EMPRESAS  V1 3" xfId="1249"/>
    <cellStyle name="_Pauta Samsung beat_Pauta TV_Plan LAN EMPRESAS  V2" xfId="1250"/>
    <cellStyle name="_Pauta Samsung beat_Pauta TV_Plan LAN EMPRESAS  V2 2" xfId="1251"/>
    <cellStyle name="_Pauta Samsung beat_Pauta TV_Plan LAN EMPRESAS  V2 3" xfId="1252"/>
    <cellStyle name="_Pauta Samsung beat_Plan Auto Bencina 05.04.10" xfId="1253"/>
    <cellStyle name="_Pauta Samsung beat_Plan Auto Bencina 05.04.10 2" xfId="1254"/>
    <cellStyle name="_Pauta Samsung beat_Plan Auto Bencina 05.04.10 2 2" xfId="1255"/>
    <cellStyle name="_Pauta Samsung beat_Plan Auto Bencina 05.04.10 2 3" xfId="1256"/>
    <cellStyle name="_Pauta Samsung beat_Plan Auto Bencina 05.04.10 3" xfId="1257"/>
    <cellStyle name="_Pauta Samsung beat_Plan Auto Bencina 05.04.10 4" xfId="1258"/>
    <cellStyle name="_Pauta Samsung beat_Plan Auto Bencina 05.04.10_Mantencion P Turismo Septiembre V2 OK" xfId="1259"/>
    <cellStyle name="_Pauta Samsung beat_Plan Auto Bencina 05.04.10_Mantencion P Turismo Septiembre V2 OK 2" xfId="1260"/>
    <cellStyle name="_Pauta Samsung beat_Plan Auto Bencina 05.04.10_Mantencion P Turismo Septiembre V2 OK 3" xfId="1261"/>
    <cellStyle name="_Pauta Samsung beat_Plan Auto Bencina 05.04.10_Plan Canje KMS LANPASS versión 2" xfId="1262"/>
    <cellStyle name="_Pauta Samsung beat_Plan Auto Bencina 05.04.10_Plan Canje KMS LANPASS versión 2 2" xfId="1263"/>
    <cellStyle name="_Pauta Samsung beat_Plan Auto Bencina 05.04.10_Plan Canje KMS LANPASS versión 2 2 2" xfId="1264"/>
    <cellStyle name="_Pauta Samsung beat_Plan Auto Bencina 05.04.10_Plan Canje KMS LANPASS versión 2 2 3" xfId="1265"/>
    <cellStyle name="_Pauta Samsung beat_Plan Auto Bencina 05.04.10_Plan Canje KMS LANPASS versión 2 3" xfId="1266"/>
    <cellStyle name="_Pauta Samsung beat_Plan Auto Bencina 05.04.10_Plan Canje KMS LANPASS versión 2 4" xfId="1267"/>
    <cellStyle name="_Pauta Samsung beat_Plan Auto Bencina 05.04.10_Plan Canje KMS LANPASS versión 2_Mantencion P Turismo Septiembre V2 OK" xfId="1268"/>
    <cellStyle name="_Pauta Samsung beat_Plan Auto Bencina 05.04.10_Plan Canje KMS LANPASS versión 2_Mantencion P Turismo Septiembre V2 OK 2" xfId="1269"/>
    <cellStyle name="_Pauta Samsung beat_Plan Auto Bencina 05.04.10_Plan Canje KMS LANPASS versión 2_Mantencion P Turismo Septiembre V2 OK 3" xfId="1270"/>
    <cellStyle name="_Pauta Samsung beat_Plan Auto Bencina 05.04.10_Plan Canje KMS LANPASS versión 2_Plan LAN EMPRESAS  V1" xfId="1271"/>
    <cellStyle name="_Pauta Samsung beat_Plan Auto Bencina 05.04.10_Plan Canje KMS LANPASS versión 2_Plan LAN EMPRESAS  V1 2" xfId="1272"/>
    <cellStyle name="_Pauta Samsung beat_Plan Auto Bencina 05.04.10_Plan Canje KMS LANPASS versión 2_Plan LAN EMPRESAS  V1 3" xfId="1273"/>
    <cellStyle name="_Pauta Samsung beat_Plan Auto Bencina 05.04.10_Plan Canje KMS LANPASS versión 2_Plan LAN EMPRESAS  V2" xfId="1274"/>
    <cellStyle name="_Pauta Samsung beat_Plan Auto Bencina 05.04.10_Plan Canje KMS LANPASS versión 2_Plan LAN EMPRESAS  V2 2" xfId="1275"/>
    <cellStyle name="_Pauta Samsung beat_Plan Auto Bencina 05.04.10_Plan Canje KMS LANPASS versión 2_Plan LAN EMPRESAS  V2 3" xfId="1276"/>
    <cellStyle name="_Pauta Samsung beat_Plan Auto Bencina 05.04.10_Plan LAN EMPRESAS  V1" xfId="1277"/>
    <cellStyle name="_Pauta Samsung beat_Plan Auto Bencina 05.04.10_Plan LAN EMPRESAS  V1 2" xfId="1278"/>
    <cellStyle name="_Pauta Samsung beat_Plan Auto Bencina 05.04.10_Plan LAN EMPRESAS  V1 3" xfId="1279"/>
    <cellStyle name="_Pauta Samsung beat_Plan Auto Bencina 05.04.10_Plan LAN EMPRESAS  V2" xfId="1280"/>
    <cellStyle name="_Pauta Samsung beat_Plan Auto Bencina 05.04.10_Plan LAN EMPRESAS  V2 2" xfId="1281"/>
    <cellStyle name="_Pauta Samsung beat_Plan Auto Bencina 05.04.10_Plan LAN EMPRESAS  V2 3" xfId="1282"/>
    <cellStyle name="_Pauta Samsung beat_Plan Auto Bencina 06.04.10" xfId="1283"/>
    <cellStyle name="_Pauta Samsung beat_Plan Auto Bencina 06.04.10 2" xfId="1284"/>
    <cellStyle name="_Pauta Samsung beat_Plan Auto Bencina 06.04.10 2 2" xfId="1285"/>
    <cellStyle name="_Pauta Samsung beat_Plan Auto Bencina 06.04.10 2 3" xfId="1286"/>
    <cellStyle name="_Pauta Samsung beat_Plan Auto Bencina 06.04.10 3" xfId="1287"/>
    <cellStyle name="_Pauta Samsung beat_Plan Auto Bencina 06.04.10 4" xfId="1288"/>
    <cellStyle name="_Pauta Samsung beat_Plan Auto Bencina 06.04.10_Mantencion P Turismo Septiembre V2 OK" xfId="1289"/>
    <cellStyle name="_Pauta Samsung beat_Plan Auto Bencina 06.04.10_Mantencion P Turismo Septiembre V2 OK 2" xfId="1290"/>
    <cellStyle name="_Pauta Samsung beat_Plan Auto Bencina 06.04.10_Mantencion P Turismo Septiembre V2 OK 3" xfId="1291"/>
    <cellStyle name="_Pauta Samsung beat_Plan Auto Bencina 06.04.10_Plan Canje KMS LANPASS versión 2" xfId="1292"/>
    <cellStyle name="_Pauta Samsung beat_Plan Auto Bencina 06.04.10_Plan Canje KMS LANPASS versión 2 2" xfId="1293"/>
    <cellStyle name="_Pauta Samsung beat_Plan Auto Bencina 06.04.10_Plan Canje KMS LANPASS versión 2 2 2" xfId="1294"/>
    <cellStyle name="_Pauta Samsung beat_Plan Auto Bencina 06.04.10_Plan Canje KMS LANPASS versión 2 2 3" xfId="1295"/>
    <cellStyle name="_Pauta Samsung beat_Plan Auto Bencina 06.04.10_Plan Canje KMS LANPASS versión 2 3" xfId="1296"/>
    <cellStyle name="_Pauta Samsung beat_Plan Auto Bencina 06.04.10_Plan Canje KMS LANPASS versión 2 4" xfId="1297"/>
    <cellStyle name="_Pauta Samsung beat_Plan Auto Bencina 06.04.10_Plan Canje KMS LANPASS versión 2_Mantencion P Turismo Septiembre V2 OK" xfId="1298"/>
    <cellStyle name="_Pauta Samsung beat_Plan Auto Bencina 06.04.10_Plan Canje KMS LANPASS versión 2_Mantencion P Turismo Septiembre V2 OK 2" xfId="1299"/>
    <cellStyle name="_Pauta Samsung beat_Plan Auto Bencina 06.04.10_Plan Canje KMS LANPASS versión 2_Mantencion P Turismo Septiembre V2 OK 3" xfId="1300"/>
    <cellStyle name="_Pauta Samsung beat_Plan Auto Bencina 06.04.10_Plan Canje KMS LANPASS versión 2_Plan LAN EMPRESAS  V1" xfId="1301"/>
    <cellStyle name="_Pauta Samsung beat_Plan Auto Bencina 06.04.10_Plan Canje KMS LANPASS versión 2_Plan LAN EMPRESAS  V1 2" xfId="1302"/>
    <cellStyle name="_Pauta Samsung beat_Plan Auto Bencina 06.04.10_Plan Canje KMS LANPASS versión 2_Plan LAN EMPRESAS  V1 3" xfId="1303"/>
    <cellStyle name="_Pauta Samsung beat_Plan Auto Bencina 06.04.10_Plan Canje KMS LANPASS versión 2_Plan LAN EMPRESAS  V2" xfId="1304"/>
    <cellStyle name="_Pauta Samsung beat_Plan Auto Bencina 06.04.10_Plan Canje KMS LANPASS versión 2_Plan LAN EMPRESAS  V2 2" xfId="1305"/>
    <cellStyle name="_Pauta Samsung beat_Plan Auto Bencina 06.04.10_Plan Canje KMS LANPASS versión 2_Plan LAN EMPRESAS  V2 3" xfId="1306"/>
    <cellStyle name="_Pauta Samsung beat_Plan Auto Bencina 06.04.10_Plan LAN EMPRESAS  V1" xfId="1307"/>
    <cellStyle name="_Pauta Samsung beat_Plan Auto Bencina 06.04.10_Plan LAN EMPRESAS  V1 2" xfId="1308"/>
    <cellStyle name="_Pauta Samsung beat_Plan Auto Bencina 06.04.10_Plan LAN EMPRESAS  V1 3" xfId="1309"/>
    <cellStyle name="_Pauta Samsung beat_Plan Auto Bencina 06.04.10_Plan LAN EMPRESAS  V2" xfId="1310"/>
    <cellStyle name="_Pauta Samsung beat_Plan Auto Bencina 06.04.10_Plan LAN EMPRESAS  V2 2" xfId="1311"/>
    <cellStyle name="_Pauta Samsung beat_Plan Auto Bencina 06.04.10_Plan LAN EMPRESAS  V2 3" xfId="1312"/>
    <cellStyle name="_Pauta Samsung beat_Plan Auto Bencina 29.03.10" xfId="1313"/>
    <cellStyle name="_Pauta Samsung beat_Plan Auto Bencina 29.03.10 2" xfId="1314"/>
    <cellStyle name="_Pauta Samsung beat_Plan Auto Bencina 29.03.10 2 2" xfId="1315"/>
    <cellStyle name="_Pauta Samsung beat_Plan Auto Bencina 29.03.10 2 3" xfId="1316"/>
    <cellStyle name="_Pauta Samsung beat_Plan Auto Bencina 29.03.10 3" xfId="1317"/>
    <cellStyle name="_Pauta Samsung beat_Plan Auto Bencina 29.03.10 4" xfId="1318"/>
    <cellStyle name="_Pauta Samsung beat_Plan Auto Bencina 29.03.10_Mantencion P Turismo Septiembre V2 OK" xfId="1319"/>
    <cellStyle name="_Pauta Samsung beat_Plan Auto Bencina 29.03.10_Mantencion P Turismo Septiembre V2 OK 2" xfId="1320"/>
    <cellStyle name="_Pauta Samsung beat_Plan Auto Bencina 29.03.10_Mantencion P Turismo Septiembre V2 OK 3" xfId="1321"/>
    <cellStyle name="_Pauta Samsung beat_Plan Auto Bencina 29.03.10_Plan Canje KMS LANPASS versión 2" xfId="1322"/>
    <cellStyle name="_Pauta Samsung beat_Plan Auto Bencina 29.03.10_Plan Canje KMS LANPASS versión 2 2" xfId="1323"/>
    <cellStyle name="_Pauta Samsung beat_Plan Auto Bencina 29.03.10_Plan Canje KMS LANPASS versión 2 2 2" xfId="1324"/>
    <cellStyle name="_Pauta Samsung beat_Plan Auto Bencina 29.03.10_Plan Canje KMS LANPASS versión 2 2 3" xfId="1325"/>
    <cellStyle name="_Pauta Samsung beat_Plan Auto Bencina 29.03.10_Plan Canje KMS LANPASS versión 2 3" xfId="1326"/>
    <cellStyle name="_Pauta Samsung beat_Plan Auto Bencina 29.03.10_Plan Canje KMS LANPASS versión 2 4" xfId="1327"/>
    <cellStyle name="_Pauta Samsung beat_Plan Auto Bencina 29.03.10_Plan Canje KMS LANPASS versión 2_Mantencion P Turismo Septiembre V2 OK" xfId="1328"/>
    <cellStyle name="_Pauta Samsung beat_Plan Auto Bencina 29.03.10_Plan Canje KMS LANPASS versión 2_Mantencion P Turismo Septiembre V2 OK 2" xfId="1329"/>
    <cellStyle name="_Pauta Samsung beat_Plan Auto Bencina 29.03.10_Plan Canje KMS LANPASS versión 2_Mantencion P Turismo Septiembre V2 OK 3" xfId="1330"/>
    <cellStyle name="_Pauta Samsung beat_Plan Auto Bencina 29.03.10_Plan Canje KMS LANPASS versión 2_Plan LAN EMPRESAS  V1" xfId="1331"/>
    <cellStyle name="_Pauta Samsung beat_Plan Auto Bencina 29.03.10_Plan Canje KMS LANPASS versión 2_Plan LAN EMPRESAS  V1 2" xfId="1332"/>
    <cellStyle name="_Pauta Samsung beat_Plan Auto Bencina 29.03.10_Plan Canje KMS LANPASS versión 2_Plan LAN EMPRESAS  V1 3" xfId="1333"/>
    <cellStyle name="_Pauta Samsung beat_Plan Auto Bencina 29.03.10_Plan Canje KMS LANPASS versión 2_Plan LAN EMPRESAS  V2" xfId="1334"/>
    <cellStyle name="_Pauta Samsung beat_Plan Auto Bencina 29.03.10_Plan Canje KMS LANPASS versión 2_Plan LAN EMPRESAS  V2 2" xfId="1335"/>
    <cellStyle name="_Pauta Samsung beat_Plan Auto Bencina 29.03.10_Plan Canje KMS LANPASS versión 2_Plan LAN EMPRESAS  V2 3" xfId="1336"/>
    <cellStyle name="_Pauta Samsung beat_Plan Auto Bencina 29.03.10_Plan LAN EMPRESAS  V1" xfId="1337"/>
    <cellStyle name="_Pauta Samsung beat_Plan Auto Bencina 29.03.10_Plan LAN EMPRESAS  V1 2" xfId="1338"/>
    <cellStyle name="_Pauta Samsung beat_Plan Auto Bencina 29.03.10_Plan LAN EMPRESAS  V1 3" xfId="1339"/>
    <cellStyle name="_Pauta Samsung beat_Plan Auto Bencina 29.03.10_Plan LAN EMPRESAS  V2" xfId="1340"/>
    <cellStyle name="_Pauta Samsung beat_Plan Auto Bencina 29.03.10_Plan LAN EMPRESAS  V2 2" xfId="1341"/>
    <cellStyle name="_Pauta Samsung beat_Plan Auto Bencina 29.03.10_Plan LAN EMPRESAS  V2 3" xfId="1342"/>
    <cellStyle name="_Pauta Samsung beat_Plan Auto Bencina 31.03.10" xfId="1343"/>
    <cellStyle name="_Pauta Samsung beat_Plan Auto Bencina 31.03.10 2" xfId="1344"/>
    <cellStyle name="_Pauta Samsung beat_Plan Auto Bencina 31.03.10 2 2" xfId="1345"/>
    <cellStyle name="_Pauta Samsung beat_Plan Auto Bencina 31.03.10 2 3" xfId="1346"/>
    <cellStyle name="_Pauta Samsung beat_Plan Auto Bencina 31.03.10 3" xfId="1347"/>
    <cellStyle name="_Pauta Samsung beat_Plan Auto Bencina 31.03.10 4" xfId="1348"/>
    <cellStyle name="_Pauta Samsung beat_Plan Auto Bencina 31.03.10_Mantencion P Turismo Septiembre V2 OK" xfId="1349"/>
    <cellStyle name="_Pauta Samsung beat_Plan Auto Bencina 31.03.10_Mantencion P Turismo Septiembre V2 OK 2" xfId="1350"/>
    <cellStyle name="_Pauta Samsung beat_Plan Auto Bencina 31.03.10_Mantencion P Turismo Septiembre V2 OK 3" xfId="1351"/>
    <cellStyle name="_Pauta Samsung beat_Plan Auto Bencina 31.03.10_Plan Canje KMS LANPASS versión 2" xfId="1352"/>
    <cellStyle name="_Pauta Samsung beat_Plan Auto Bencina 31.03.10_Plan Canje KMS LANPASS versión 2 2" xfId="1353"/>
    <cellStyle name="_Pauta Samsung beat_Plan Auto Bencina 31.03.10_Plan Canje KMS LANPASS versión 2 2 2" xfId="1354"/>
    <cellStyle name="_Pauta Samsung beat_Plan Auto Bencina 31.03.10_Plan Canje KMS LANPASS versión 2 2 3" xfId="1355"/>
    <cellStyle name="_Pauta Samsung beat_Plan Auto Bencina 31.03.10_Plan Canje KMS LANPASS versión 2 3" xfId="1356"/>
    <cellStyle name="_Pauta Samsung beat_Plan Auto Bencina 31.03.10_Plan Canje KMS LANPASS versión 2 4" xfId="1357"/>
    <cellStyle name="_Pauta Samsung beat_Plan Auto Bencina 31.03.10_Plan Canje KMS LANPASS versión 2_Mantencion P Turismo Septiembre V2 OK" xfId="1358"/>
    <cellStyle name="_Pauta Samsung beat_Plan Auto Bencina 31.03.10_Plan Canje KMS LANPASS versión 2_Mantencion P Turismo Septiembre V2 OK 2" xfId="1359"/>
    <cellStyle name="_Pauta Samsung beat_Plan Auto Bencina 31.03.10_Plan Canje KMS LANPASS versión 2_Mantencion P Turismo Septiembre V2 OK 3" xfId="1360"/>
    <cellStyle name="_Pauta Samsung beat_Plan Auto Bencina 31.03.10_Plan Canje KMS LANPASS versión 2_Plan LAN EMPRESAS  V1" xfId="1361"/>
    <cellStyle name="_Pauta Samsung beat_Plan Auto Bencina 31.03.10_Plan Canje KMS LANPASS versión 2_Plan LAN EMPRESAS  V1 2" xfId="1362"/>
    <cellStyle name="_Pauta Samsung beat_Plan Auto Bencina 31.03.10_Plan Canje KMS LANPASS versión 2_Plan LAN EMPRESAS  V1 3" xfId="1363"/>
    <cellStyle name="_Pauta Samsung beat_Plan Auto Bencina 31.03.10_Plan Canje KMS LANPASS versión 2_Plan LAN EMPRESAS  V2" xfId="1364"/>
    <cellStyle name="_Pauta Samsung beat_Plan Auto Bencina 31.03.10_Plan Canje KMS LANPASS versión 2_Plan LAN EMPRESAS  V2 2" xfId="1365"/>
    <cellStyle name="_Pauta Samsung beat_Plan Auto Bencina 31.03.10_Plan Canje KMS LANPASS versión 2_Plan LAN EMPRESAS  V2 3" xfId="1366"/>
    <cellStyle name="_Pauta Samsung beat_Plan Auto Bencina 31.03.10_Plan LAN EMPRESAS  V1" xfId="1367"/>
    <cellStyle name="_Pauta Samsung beat_Plan Auto Bencina 31.03.10_Plan LAN EMPRESAS  V1 2" xfId="1368"/>
    <cellStyle name="_Pauta Samsung beat_Plan Auto Bencina 31.03.10_Plan LAN EMPRESAS  V1 3" xfId="1369"/>
    <cellStyle name="_Pauta Samsung beat_Plan Auto Bencina 31.03.10_Plan LAN EMPRESAS  V2" xfId="1370"/>
    <cellStyle name="_Pauta Samsung beat_Plan Auto Bencina 31.03.10_Plan LAN EMPRESAS  V2 2" xfId="1371"/>
    <cellStyle name="_Pauta Samsung beat_Plan Auto Bencina 31.03.10_Plan LAN EMPRESAS  V2 3" xfId="1372"/>
    <cellStyle name="_Pauta Samsung beat_Plan LAN EMPRESAS  V1" xfId="1373"/>
    <cellStyle name="_Pauta Samsung beat_Plan LAN EMPRESAS  V1 2" xfId="1374"/>
    <cellStyle name="_Pauta Samsung beat_Plan LAN EMPRESAS  V1 3" xfId="1375"/>
    <cellStyle name="_Pauta Samsung beat_Plan LAN EMPRESAS  V2" xfId="1376"/>
    <cellStyle name="_Pauta Samsung beat_Plan LAN EMPRESAS  V2 2" xfId="1377"/>
    <cellStyle name="_Pauta Samsung beat_Plan LAN EMPRESAS  V2 3" xfId="1378"/>
    <cellStyle name="_Pauta Samsung beat_Plan Santander Credito Marzo digital" xfId="1379"/>
    <cellStyle name="_Pauta Samsung beat_Plan Santander Credito Marzo digital 2" xfId="1380"/>
    <cellStyle name="_Pauta Samsung beat_Plan Santander Credito Marzo digital 2 2" xfId="1381"/>
    <cellStyle name="_Pauta Samsung beat_Plan Santander Credito Marzo digital 2 3" xfId="1382"/>
    <cellStyle name="_Pauta Samsung beat_Plan Santander Credito Marzo digital 3" xfId="1383"/>
    <cellStyle name="_Pauta Samsung beat_Plan Santander Credito Marzo digital 4" xfId="1384"/>
    <cellStyle name="_Pauta Samsung beat_Plan Santander Credito Marzo digital_Mantencion P Turismo Septiembre V2 OK" xfId="1385"/>
    <cellStyle name="_Pauta Samsung beat_Plan Santander Credito Marzo digital_Mantencion P Turismo Septiembre V2 OK 2" xfId="1386"/>
    <cellStyle name="_Pauta Samsung beat_Plan Santander Credito Marzo digital_Mantencion P Turismo Septiembre V2 OK 3" xfId="1387"/>
    <cellStyle name="_Pauta Samsung beat_Plan Santander Credito Marzo digital_Plan Canje KMS LANPASS versión 2" xfId="1388"/>
    <cellStyle name="_Pauta Samsung beat_Plan Santander Credito Marzo digital_Plan Canje KMS LANPASS versión 2 2" xfId="1389"/>
    <cellStyle name="_Pauta Samsung beat_Plan Santander Credito Marzo digital_Plan Canje KMS LANPASS versión 2 2 2" xfId="1390"/>
    <cellStyle name="_Pauta Samsung beat_Plan Santander Credito Marzo digital_Plan Canje KMS LANPASS versión 2 2 3" xfId="1391"/>
    <cellStyle name="_Pauta Samsung beat_Plan Santander Credito Marzo digital_Plan Canje KMS LANPASS versión 2 3" xfId="1392"/>
    <cellStyle name="_Pauta Samsung beat_Plan Santander Credito Marzo digital_Plan Canje KMS LANPASS versión 2 4" xfId="1393"/>
    <cellStyle name="_Pauta Samsung beat_Plan Santander Credito Marzo digital_Plan Canje KMS LANPASS versión 2_Mantencion P Turismo Septiembre V2 OK" xfId="1394"/>
    <cellStyle name="_Pauta Samsung beat_Plan Santander Credito Marzo digital_Plan Canje KMS LANPASS versión 2_Mantencion P Turismo Septiembre V2 OK 2" xfId="1395"/>
    <cellStyle name="_Pauta Samsung beat_Plan Santander Credito Marzo digital_Plan Canje KMS LANPASS versión 2_Mantencion P Turismo Septiembre V2 OK 3" xfId="1396"/>
    <cellStyle name="_Pauta Samsung beat_Plan Santander Credito Marzo digital_Plan Canje KMS LANPASS versión 2_Plan LAN EMPRESAS  V1" xfId="1397"/>
    <cellStyle name="_Pauta Samsung beat_Plan Santander Credito Marzo digital_Plan Canje KMS LANPASS versión 2_Plan LAN EMPRESAS  V1 2" xfId="1398"/>
    <cellStyle name="_Pauta Samsung beat_Plan Santander Credito Marzo digital_Plan Canje KMS LANPASS versión 2_Plan LAN EMPRESAS  V1 3" xfId="1399"/>
    <cellStyle name="_Pauta Samsung beat_Plan Santander Credito Marzo digital_Plan Canje KMS LANPASS versión 2_Plan LAN EMPRESAS  V2" xfId="1400"/>
    <cellStyle name="_Pauta Samsung beat_Plan Santander Credito Marzo digital_Plan Canje KMS LANPASS versión 2_Plan LAN EMPRESAS  V2 2" xfId="1401"/>
    <cellStyle name="_Pauta Samsung beat_Plan Santander Credito Marzo digital_Plan Canje KMS LANPASS versión 2_Plan LAN EMPRESAS  V2 3" xfId="1402"/>
    <cellStyle name="_Pauta Samsung beat_Plan Santander Credito Marzo digital_Plan LAN EMPRESAS  V1" xfId="1403"/>
    <cellStyle name="_Pauta Samsung beat_Plan Santander Credito Marzo digital_Plan LAN EMPRESAS  V1 2" xfId="1404"/>
    <cellStyle name="_Pauta Samsung beat_Plan Santander Credito Marzo digital_Plan LAN EMPRESAS  V1 3" xfId="1405"/>
    <cellStyle name="_Pauta Samsung beat_Plan Santander Credito Marzo digital_Plan LAN EMPRESAS  V2" xfId="1406"/>
    <cellStyle name="_Pauta Samsung beat_Plan Santander Credito Marzo digital_Plan LAN EMPRESAS  V2 2" xfId="1407"/>
    <cellStyle name="_Pauta Samsung beat_Plan Santander Credito Marzo digital_Plan LAN EMPRESAS  V2 3" xfId="1408"/>
    <cellStyle name="_Pauta Samsung beat_Plan SOAP Santander v1" xfId="1409"/>
    <cellStyle name="_Pauta Samsung beat_Plan SOAP Santander v1 2" xfId="1410"/>
    <cellStyle name="_Pauta Samsung beat_Plan SOAP Santander v1 2 2" xfId="1411"/>
    <cellStyle name="_Pauta Samsung beat_Plan SOAP Santander v1 2 3" xfId="1412"/>
    <cellStyle name="_Pauta Samsung beat_Plan SOAP Santander v1 3" xfId="1413"/>
    <cellStyle name="_Pauta Samsung beat_Plan SOAP Santander v1 4" xfId="1414"/>
    <cellStyle name="_Pauta Samsung beat_Plan SOAP Santander v1_Mantencion P Turismo Septiembre V2 OK" xfId="1415"/>
    <cellStyle name="_Pauta Samsung beat_Plan SOAP Santander v1_Mantencion P Turismo Septiembre V2 OK 2" xfId="1416"/>
    <cellStyle name="_Pauta Samsung beat_Plan SOAP Santander v1_Mantencion P Turismo Septiembre V2 OK 3" xfId="1417"/>
    <cellStyle name="_Pauta Samsung beat_Plan SOAP Santander v1_Plan Canje KMS LANPASS versión 2" xfId="1418"/>
    <cellStyle name="_Pauta Samsung beat_Plan SOAP Santander v1_Plan Canje KMS LANPASS versión 2 2" xfId="1419"/>
    <cellStyle name="_Pauta Samsung beat_Plan SOAP Santander v1_Plan Canje KMS LANPASS versión 2 2 2" xfId="1420"/>
    <cellStyle name="_Pauta Samsung beat_Plan SOAP Santander v1_Plan Canje KMS LANPASS versión 2 2 3" xfId="1421"/>
    <cellStyle name="_Pauta Samsung beat_Plan SOAP Santander v1_Plan Canje KMS LANPASS versión 2 3" xfId="1422"/>
    <cellStyle name="_Pauta Samsung beat_Plan SOAP Santander v1_Plan Canje KMS LANPASS versión 2 4" xfId="1423"/>
    <cellStyle name="_Pauta Samsung beat_Plan SOAP Santander v1_Plan Canje KMS LANPASS versión 2_Mantencion P Turismo Septiembre V2 OK" xfId="1424"/>
    <cellStyle name="_Pauta Samsung beat_Plan SOAP Santander v1_Plan Canje KMS LANPASS versión 2_Mantencion P Turismo Septiembre V2 OK 2" xfId="1425"/>
    <cellStyle name="_Pauta Samsung beat_Plan SOAP Santander v1_Plan Canje KMS LANPASS versión 2_Mantencion P Turismo Septiembre V2 OK 3" xfId="1426"/>
    <cellStyle name="_Pauta Samsung beat_Plan SOAP Santander v1_Plan Canje KMS LANPASS versión 2_Plan LAN EMPRESAS  V1" xfId="1427"/>
    <cellStyle name="_Pauta Samsung beat_Plan SOAP Santander v1_Plan Canje KMS LANPASS versión 2_Plan LAN EMPRESAS  V1 2" xfId="1428"/>
    <cellStyle name="_Pauta Samsung beat_Plan SOAP Santander v1_Plan Canje KMS LANPASS versión 2_Plan LAN EMPRESAS  V1 3" xfId="1429"/>
    <cellStyle name="_Pauta Samsung beat_Plan SOAP Santander v1_Plan Canje KMS LANPASS versión 2_Plan LAN EMPRESAS  V2" xfId="1430"/>
    <cellStyle name="_Pauta Samsung beat_Plan SOAP Santander v1_Plan Canje KMS LANPASS versión 2_Plan LAN EMPRESAS  V2 2" xfId="1431"/>
    <cellStyle name="_Pauta Samsung beat_Plan SOAP Santander v1_Plan Canje KMS LANPASS versión 2_Plan LAN EMPRESAS  V2 3" xfId="1432"/>
    <cellStyle name="_Pauta Samsung beat_Plan SOAP Santander v1_Plan LAN EMPRESAS  V1" xfId="1433"/>
    <cellStyle name="_Pauta Samsung beat_Plan SOAP Santander v1_Plan LAN EMPRESAS  V1 2" xfId="1434"/>
    <cellStyle name="_Pauta Samsung beat_Plan SOAP Santander v1_Plan LAN EMPRESAS  V1 3" xfId="1435"/>
    <cellStyle name="_Pauta Samsung beat_Plan SOAP Santander v1_Plan LAN EMPRESAS  V2" xfId="1436"/>
    <cellStyle name="_Pauta Samsung beat_Plan SOAP Santander v1_Plan LAN EMPRESAS  V2 2" xfId="1437"/>
    <cellStyle name="_Pauta Samsung beat_Plan SOAP Santander v1_Plan LAN EMPRESAS  V2 3" xfId="1438"/>
    <cellStyle name="_Pauta Samsung beat_V2 Plan consumo marzo 05-02-10 digital cambios." xfId="1439"/>
    <cellStyle name="_Pauta Samsung beat_V2 Plan consumo marzo 05-02-10 digital cambios. 2" xfId="1440"/>
    <cellStyle name="_Pauta Samsung beat_V2 Plan consumo marzo 05-02-10 digital cambios. 2 2" xfId="1441"/>
    <cellStyle name="_Pauta Samsung beat_V2 Plan consumo marzo 05-02-10 digital cambios. 2 3" xfId="1442"/>
    <cellStyle name="_Pauta Samsung beat_V2 Plan consumo marzo 05-02-10 digital cambios. 3" xfId="1443"/>
    <cellStyle name="_Pauta Samsung beat_V2 Plan consumo marzo 05-02-10 digital cambios. 4" xfId="1444"/>
    <cellStyle name="_Pauta Samsung beat_V2 Plan consumo marzo 05-02-10 digital cambios._Mantencion P Turismo Septiembre V2 OK" xfId="1445"/>
    <cellStyle name="_Pauta Samsung beat_V2 Plan consumo marzo 05-02-10 digital cambios._Mantencion P Turismo Septiembre V2 OK 2" xfId="1446"/>
    <cellStyle name="_Pauta Samsung beat_V2 Plan consumo marzo 05-02-10 digital cambios._Mantencion P Turismo Septiembre V2 OK 3" xfId="1447"/>
    <cellStyle name="_Pauta Samsung beat_V2 Plan consumo marzo 05-02-10 digital cambios._Plan Canje KMS LANPASS versión 2" xfId="1448"/>
    <cellStyle name="_Pauta Samsung beat_V2 Plan consumo marzo 05-02-10 digital cambios._Plan Canje KMS LANPASS versión 2 2" xfId="1449"/>
    <cellStyle name="_Pauta Samsung beat_V2 Plan consumo marzo 05-02-10 digital cambios._Plan Canje KMS LANPASS versión 2 2 2" xfId="1450"/>
    <cellStyle name="_Pauta Samsung beat_V2 Plan consumo marzo 05-02-10 digital cambios._Plan Canje KMS LANPASS versión 2 2 3" xfId="1451"/>
    <cellStyle name="_Pauta Samsung beat_V2 Plan consumo marzo 05-02-10 digital cambios._Plan Canje KMS LANPASS versión 2 3" xfId="1452"/>
    <cellStyle name="_Pauta Samsung beat_V2 Plan consumo marzo 05-02-10 digital cambios._Plan Canje KMS LANPASS versión 2 4" xfId="1453"/>
    <cellStyle name="_Pauta Samsung beat_V2 Plan consumo marzo 05-02-10 digital cambios._Plan Canje KMS LANPASS versión 2_Mantencion P Turismo Septiembre V2 OK" xfId="1454"/>
    <cellStyle name="_Pauta Samsung beat_V2 Plan consumo marzo 05-02-10 digital cambios._Plan Canje KMS LANPASS versión 2_Mantencion P Turismo Septiembre V2 OK 2" xfId="1455"/>
    <cellStyle name="_Pauta Samsung beat_V2 Plan consumo marzo 05-02-10 digital cambios._Plan Canje KMS LANPASS versión 2_Mantencion P Turismo Septiembre V2 OK 3" xfId="1456"/>
    <cellStyle name="_Pauta Samsung beat_V2 Plan consumo marzo 05-02-10 digital cambios._Plan Canje KMS LANPASS versión 2_Plan LAN EMPRESAS  V1" xfId="1457"/>
    <cellStyle name="_Pauta Samsung beat_V2 Plan consumo marzo 05-02-10 digital cambios._Plan Canje KMS LANPASS versión 2_Plan LAN EMPRESAS  V1 2" xfId="1458"/>
    <cellStyle name="_Pauta Samsung beat_V2 Plan consumo marzo 05-02-10 digital cambios._Plan Canje KMS LANPASS versión 2_Plan LAN EMPRESAS  V1 3" xfId="1459"/>
    <cellStyle name="_Pauta Samsung beat_V2 Plan consumo marzo 05-02-10 digital cambios._Plan Canje KMS LANPASS versión 2_Plan LAN EMPRESAS  V2" xfId="1460"/>
    <cellStyle name="_Pauta Samsung beat_V2 Plan consumo marzo 05-02-10 digital cambios._Plan Canje KMS LANPASS versión 2_Plan LAN EMPRESAS  V2 2" xfId="1461"/>
    <cellStyle name="_Pauta Samsung beat_V2 Plan consumo marzo 05-02-10 digital cambios._Plan Canje KMS LANPASS versión 2_Plan LAN EMPRESAS  V2 3" xfId="1462"/>
    <cellStyle name="_Pauta Samsung beat_V2 Plan consumo marzo 05-02-10 digital cambios._Plan LAN EMPRESAS  V1" xfId="1463"/>
    <cellStyle name="_Pauta Samsung beat_V2 Plan consumo marzo 05-02-10 digital cambios._Plan LAN EMPRESAS  V1 2" xfId="1464"/>
    <cellStyle name="_Pauta Samsung beat_V2 Plan consumo marzo 05-02-10 digital cambios._Plan LAN EMPRESAS  V1 3" xfId="1465"/>
    <cellStyle name="_Pauta Samsung beat_V2 Plan consumo marzo 05-02-10 digital cambios._Plan LAN EMPRESAS  V2" xfId="1466"/>
    <cellStyle name="_Pauta Samsung beat_V2 Plan consumo marzo 05-02-10 digital cambios._Plan LAN EMPRESAS  V2 2" xfId="1467"/>
    <cellStyle name="_Pauta Samsung beat_V2 Plan consumo marzo 05-02-10 digital cambios._Plan LAN EMPRESAS  V2 3" xfId="1468"/>
    <cellStyle name="_Pauta Samsung beat_V3 Plan consumo marzo 19-02-10." xfId="1469"/>
    <cellStyle name="_Pauta Samsung beat_V3 Plan consumo marzo 19-02-10. 2" xfId="1470"/>
    <cellStyle name="_Pauta Samsung beat_V3 Plan consumo marzo 19-02-10. 2 2" xfId="1471"/>
    <cellStyle name="_Pauta Samsung beat_V3 Plan consumo marzo 19-02-10. 2 3" xfId="1472"/>
    <cellStyle name="_Pauta Samsung beat_V3 Plan consumo marzo 19-02-10. 3" xfId="1473"/>
    <cellStyle name="_Pauta Samsung beat_V3 Plan consumo marzo 19-02-10. 4" xfId="1474"/>
    <cellStyle name="_Pauta Samsung beat_V3 Plan consumo marzo 19-02-10._Mantencion P Turismo Septiembre V2 OK" xfId="1475"/>
    <cellStyle name="_Pauta Samsung beat_V3 Plan consumo marzo 19-02-10._Mantencion P Turismo Septiembre V2 OK 2" xfId="1476"/>
    <cellStyle name="_Pauta Samsung beat_V3 Plan consumo marzo 19-02-10._Mantencion P Turismo Septiembre V2 OK 3" xfId="1477"/>
    <cellStyle name="_Pauta Samsung beat_V3 Plan consumo marzo 19-02-10._Plan Canje KMS LANPASS versión 2" xfId="1478"/>
    <cellStyle name="_Pauta Samsung beat_V3 Plan consumo marzo 19-02-10._Plan Canje KMS LANPASS versión 2 2" xfId="1479"/>
    <cellStyle name="_Pauta Samsung beat_V3 Plan consumo marzo 19-02-10._Plan Canje KMS LANPASS versión 2 2 2" xfId="1480"/>
    <cellStyle name="_Pauta Samsung beat_V3 Plan consumo marzo 19-02-10._Plan Canje KMS LANPASS versión 2 2 3" xfId="1481"/>
    <cellStyle name="_Pauta Samsung beat_V3 Plan consumo marzo 19-02-10._Plan Canje KMS LANPASS versión 2 3" xfId="1482"/>
    <cellStyle name="_Pauta Samsung beat_V3 Plan consumo marzo 19-02-10._Plan Canje KMS LANPASS versión 2 4" xfId="1483"/>
    <cellStyle name="_Pauta Samsung beat_V3 Plan consumo marzo 19-02-10._Plan Canje KMS LANPASS versión 2_Mantencion P Turismo Septiembre V2 OK" xfId="1484"/>
    <cellStyle name="_Pauta Samsung beat_V3 Plan consumo marzo 19-02-10._Plan Canje KMS LANPASS versión 2_Mantencion P Turismo Septiembre V2 OK 2" xfId="1485"/>
    <cellStyle name="_Pauta Samsung beat_V3 Plan consumo marzo 19-02-10._Plan Canje KMS LANPASS versión 2_Mantencion P Turismo Septiembre V2 OK 3" xfId="1486"/>
    <cellStyle name="_Pauta Samsung beat_V3 Plan consumo marzo 19-02-10._Plan Canje KMS LANPASS versión 2_Plan LAN EMPRESAS  V1" xfId="1487"/>
    <cellStyle name="_Pauta Samsung beat_V3 Plan consumo marzo 19-02-10._Plan Canje KMS LANPASS versión 2_Plan LAN EMPRESAS  V1 2" xfId="1488"/>
    <cellStyle name="_Pauta Samsung beat_V3 Plan consumo marzo 19-02-10._Plan Canje KMS LANPASS versión 2_Plan LAN EMPRESAS  V1 3" xfId="1489"/>
    <cellStyle name="_Pauta Samsung beat_V3 Plan consumo marzo 19-02-10._Plan Canje KMS LANPASS versión 2_Plan LAN EMPRESAS  V2" xfId="1490"/>
    <cellStyle name="_Pauta Samsung beat_V3 Plan consumo marzo 19-02-10._Plan Canje KMS LANPASS versión 2_Plan LAN EMPRESAS  V2 2" xfId="1491"/>
    <cellStyle name="_Pauta Samsung beat_V3 Plan consumo marzo 19-02-10._Plan Canje KMS LANPASS versión 2_Plan LAN EMPRESAS  V2 3" xfId="1492"/>
    <cellStyle name="_Pauta Samsung beat_V3 Plan consumo marzo 19-02-10._Plan LAN EMPRESAS  V1" xfId="1493"/>
    <cellStyle name="_Pauta Samsung beat_V3 Plan consumo marzo 19-02-10._Plan LAN EMPRESAS  V1 2" xfId="1494"/>
    <cellStyle name="_Pauta Samsung beat_V3 Plan consumo marzo 19-02-10._Plan LAN EMPRESAS  V1 3" xfId="1495"/>
    <cellStyle name="_Pauta Samsung beat_V3 Plan consumo marzo 19-02-10._Plan LAN EMPRESAS  V2" xfId="1496"/>
    <cellStyle name="_Pauta Samsung beat_V3 Plan consumo marzo 19-02-10._Plan LAN EMPRESAS  V2 2" xfId="1497"/>
    <cellStyle name="_Pauta Samsung beat_V3 Plan consumo marzo 19-02-10._Plan LAN EMPRESAS  V2 3" xfId="1498"/>
    <cellStyle name="_Pauta TV Comparación V.1" xfId="1499"/>
    <cellStyle name="_Pauta TV Comparación V.1 2" xfId="1500"/>
    <cellStyle name="_Pauta TV Comparación V.1 3" xfId="1501"/>
    <cellStyle name="_Pauta VP" xfId="1502"/>
    <cellStyle name="_Pauta VP 2" xfId="1503"/>
    <cellStyle name="_Pauta VP 3" xfId="1504"/>
    <cellStyle name="_Placement_chart - week 01-v3" xfId="1505"/>
    <cellStyle name="_Plan" xfId="1506"/>
    <cellStyle name="_Plan  Post Grados V2" xfId="1507"/>
    <cellStyle name="_Plan 3 Play TV_V10" xfId="1508"/>
    <cellStyle name="_Plan 3 Play TV_V16" xfId="1509"/>
    <cellStyle name="_Plan 3 Play TV_V16 2" xfId="1510"/>
    <cellStyle name="_Plan 3 Play TV_V16 3" xfId="1511"/>
    <cellStyle name="_Plan BBVA Compra Deuda 2010 V.13" xfId="1512"/>
    <cellStyle name="_Plan BBVA Compra Deuda 2010 V.13 2" xfId="1513"/>
    <cellStyle name="_Plan BBVA Compra Deuda 2010 V.13 3" xfId="1514"/>
    <cellStyle name="_Plan BBVA CONSUMO 2010 V.1" xfId="1515"/>
    <cellStyle name="_Plan BBVA CONSUMO 2010 V.1 2" xfId="1516"/>
    <cellStyle name="_Plan BBVA CONSUMO 2010 V.1 3" xfId="1517"/>
    <cellStyle name="_Plan BBVA -Enjoy  2010 V.2" xfId="1518"/>
    <cellStyle name="_Plan BBVA -Enjoy  2010 V.2 2" xfId="1519"/>
    <cellStyle name="_Plan BBVA -Enjoy  2010 V.2 3" xfId="1520"/>
    <cellStyle name="_Plan BT Lanpass V3" xfId="1521"/>
    <cellStyle name="_Plan BT Lanpass V3 2" xfId="1522"/>
    <cellStyle name="_Plan BT Lanpass V3 3" xfId="1523"/>
    <cellStyle name="_Plan Canje KMS LANPASS versión 2" xfId="1524"/>
    <cellStyle name="_Plan Canje KMS LANPASS versión 2 10" xfId="1525"/>
    <cellStyle name="_Plan Canje KMS LANPASS versión 2 10 2" xfId="1526"/>
    <cellStyle name="_Plan Canje KMS LANPASS versión 2 10 3" xfId="1527"/>
    <cellStyle name="_Plan Canje KMS LANPASS versión 2 11" xfId="1528"/>
    <cellStyle name="_Plan Canje KMS LANPASS versión 2 11 2" xfId="1529"/>
    <cellStyle name="_Plan Canje KMS LANPASS versión 2 11 3" xfId="1530"/>
    <cellStyle name="_Plan Canje KMS LANPASS versión 2 12" xfId="1531"/>
    <cellStyle name="_Plan Canje KMS LANPASS versión 2 12 2" xfId="1532"/>
    <cellStyle name="_Plan Canje KMS LANPASS versión 2 12 3" xfId="1533"/>
    <cellStyle name="_Plan Canje KMS LANPASS versión 2 13" xfId="1534"/>
    <cellStyle name="_Plan Canje KMS LANPASS versión 2 13 2" xfId="1535"/>
    <cellStyle name="_Plan Canje KMS LANPASS versión 2 13 3" xfId="1536"/>
    <cellStyle name="_Plan Canje KMS LANPASS versión 2 14" xfId="1537"/>
    <cellStyle name="_Plan Canje KMS LANPASS versión 2 14 2" xfId="1538"/>
    <cellStyle name="_Plan Canje KMS LANPASS versión 2 14 3" xfId="1539"/>
    <cellStyle name="_Plan Canje KMS LANPASS versión 2 15" xfId="1540"/>
    <cellStyle name="_Plan Canje KMS LANPASS versión 2 15 2" xfId="1541"/>
    <cellStyle name="_Plan Canje KMS LANPASS versión 2 15 3" xfId="1542"/>
    <cellStyle name="_Plan Canje KMS LANPASS versión 2 16" xfId="1543"/>
    <cellStyle name="_Plan Canje KMS LANPASS versión 2 16 2" xfId="1544"/>
    <cellStyle name="_Plan Canje KMS LANPASS versión 2 16 3" xfId="1545"/>
    <cellStyle name="_Plan Canje KMS LANPASS versión 2 17" xfId="1546"/>
    <cellStyle name="_Plan Canje KMS LANPASS versión 2 17 2" xfId="1547"/>
    <cellStyle name="_Plan Canje KMS LANPASS versión 2 17 3" xfId="1548"/>
    <cellStyle name="_Plan Canje KMS LANPASS versión 2 18" xfId="1549"/>
    <cellStyle name="_Plan Canje KMS LANPASS versión 2 18 2" xfId="1550"/>
    <cellStyle name="_Plan Canje KMS LANPASS versión 2 18 3" xfId="1551"/>
    <cellStyle name="_Plan Canje KMS LANPASS versión 2 19" xfId="1552"/>
    <cellStyle name="_Plan Canje KMS LANPASS versión 2 19 2" xfId="1553"/>
    <cellStyle name="_Plan Canje KMS LANPASS versión 2 19 3" xfId="1554"/>
    <cellStyle name="_Plan Canje KMS LANPASS versión 2 2" xfId="1555"/>
    <cellStyle name="_Plan Canje KMS LANPASS versión 2 2 2" xfId="1556"/>
    <cellStyle name="_Plan Canje KMS LANPASS versión 2 2 3" xfId="1557"/>
    <cellStyle name="_Plan Canje KMS LANPASS versión 2 20" xfId="1558"/>
    <cellStyle name="_Plan Canje KMS LANPASS versión 2 20 2" xfId="1559"/>
    <cellStyle name="_Plan Canje KMS LANPASS versión 2 20 3" xfId="1560"/>
    <cellStyle name="_Plan Canje KMS LANPASS versión 2 21" xfId="1561"/>
    <cellStyle name="_Plan Canje KMS LANPASS versión 2 21 2" xfId="1562"/>
    <cellStyle name="_Plan Canje KMS LANPASS versión 2 21 3" xfId="1563"/>
    <cellStyle name="_Plan Canje KMS LANPASS versión 2 3" xfId="1564"/>
    <cellStyle name="_Plan Canje KMS LANPASS versión 2 3 2" xfId="1565"/>
    <cellStyle name="_Plan Canje KMS LANPASS versión 2 3 3" xfId="1566"/>
    <cellStyle name="_Plan Canje KMS LANPASS versión 2 4" xfId="1567"/>
    <cellStyle name="_Plan Canje KMS LANPASS versión 2 4 2" xfId="1568"/>
    <cellStyle name="_Plan Canje KMS LANPASS versión 2 4 3" xfId="1569"/>
    <cellStyle name="_Plan Canje KMS LANPASS versión 2 5" xfId="1570"/>
    <cellStyle name="_Plan Canje KMS LANPASS versión 2 5 2" xfId="1571"/>
    <cellStyle name="_Plan Canje KMS LANPASS versión 2 5 3" xfId="1572"/>
    <cellStyle name="_Plan Canje KMS LANPASS versión 2 6" xfId="1573"/>
    <cellStyle name="_Plan Canje KMS LANPASS versión 2 6 2" xfId="1574"/>
    <cellStyle name="_Plan Canje KMS LANPASS versión 2 6 3" xfId="1575"/>
    <cellStyle name="_Plan Canje KMS LANPASS versión 2 7" xfId="1576"/>
    <cellStyle name="_Plan Canje KMS LANPASS versión 2 7 2" xfId="1577"/>
    <cellStyle name="_Plan Canje KMS LANPASS versión 2 7 3" xfId="1578"/>
    <cellStyle name="_Plan Canje KMS LANPASS versión 2 8" xfId="1579"/>
    <cellStyle name="_Plan Canje KMS LANPASS versión 2 8 2" xfId="1580"/>
    <cellStyle name="_Plan Canje KMS LANPASS versión 2 8 3" xfId="1581"/>
    <cellStyle name="_Plan Canje KMS LANPASS versión 2 9" xfId="1582"/>
    <cellStyle name="_Plan Canje KMS LANPASS versión 2 9 2" xfId="1583"/>
    <cellStyle name="_Plan Canje KMS LANPASS versión 2 9 3" xfId="1584"/>
    <cellStyle name="_Plan Canje KMS LANPASS versión 2_Mantencion P Turismo Septiembre V2 OK" xfId="1585"/>
    <cellStyle name="_Plan Canje KMS LANPASS versión 2_Mantencion P Turismo Septiembre V2 OK 2" xfId="1586"/>
    <cellStyle name="_Plan Canje KMS LANPASS versión 2_Mantencion P Turismo Septiembre V2 OK 3" xfId="1587"/>
    <cellStyle name="_Plan Cruz Blanca 2009 V11 a 20seg - Seguimiento al 02 Agosto" xfId="1588"/>
    <cellStyle name="_Plan Cruz Blanca 2009 V11 a 20seg - Seguimiento al 02 Agosto 2" xfId="1589"/>
    <cellStyle name="_Plan Cruz Blanca 2009 V11 a 20seg - Seguimiento al 02 Agosto_Plan de Medios Gama V1" xfId="1590"/>
    <cellStyle name="_Plan Cruz Blanca 2009 V11 a 20seg - Seguimiento al 20 julio" xfId="1591"/>
    <cellStyle name="_Plan Cruz Blanca 2009 V11 a 20seg - Seguimiento al 20 julio 2" xfId="1592"/>
    <cellStyle name="_Plan Cruz Blanca 2009 V11 a 20seg - Seguimiento al 20 julio_Plan de Medios Gama V1" xfId="1593"/>
    <cellStyle name="_Plan Cruz Blanca 2009 V11 a 20seg - Seguimiento al 21 julio" xfId="1594"/>
    <cellStyle name="_Plan Cruz Blanca 2009 V11 a 20seg - Seguimiento al 21 julio 2" xfId="1595"/>
    <cellStyle name="_Plan Cruz Blanca 2009 V11 a 20seg - Seguimiento al 21 julio_Plan de Medios Gama V1" xfId="1596"/>
    <cellStyle name="_Plan Cruz Blanca 2009 V9 seguimiento al 09 de julio" xfId="1597"/>
    <cellStyle name="_Plan Cruz Blanca 2009 V9 seguimiento al 09 de julio_Plan Gasco_V02" xfId="1598"/>
    <cellStyle name="_Plan de Medios Promo Karaoke V6" xfId="1599"/>
    <cellStyle name="_Plan de Medios_3 Play_oct_V11" xfId="1600"/>
    <cellStyle name="_Plan de Medios_3 Play_oct_V11 2" xfId="1601"/>
    <cellStyle name="_Plan de Medios_3 Play_oct_V11 3" xfId="1602"/>
    <cellStyle name="_Plan Día del Padre_V4" xfId="1603"/>
    <cellStyle name="_Plan Empresa V2 ( Institucional )" xfId="1604"/>
    <cellStyle name="_Plan Happy Hour V1" xfId="1605"/>
    <cellStyle name="_Plan Happy Hour V1_Plan Gasco_V02" xfId="1606"/>
    <cellStyle name="_Plan LAN Cotidianidad Cencosud V1" xfId="1607"/>
    <cellStyle name="_Plan LAN Cotidianidad Cencosud V1 2" xfId="1608"/>
    <cellStyle name="_Plan LAN Cotidianidad Cencosud V1 3" xfId="1609"/>
    <cellStyle name="_Plan LAN Cotidianidad V3" xfId="1610"/>
    <cellStyle name="_Plan LAN Cotidianidad V3 2" xfId="1611"/>
    <cellStyle name="_Plan LAN Cotidianidad V3 3" xfId="1612"/>
    <cellStyle name="_Plan LAN Cotidianidad V4" xfId="1613"/>
    <cellStyle name="_Plan LAN Cotidianidad V4 2" xfId="1614"/>
    <cellStyle name="_Plan LAN Cotidianidad V4 3" xfId="1615"/>
    <cellStyle name="_Plan LAN Inter 2X V11" xfId="1616"/>
    <cellStyle name="_Plan LAN Inter 2X V11 2" xfId="1617"/>
    <cellStyle name="_Plan LAN Inter 2X V11 3" xfId="1618"/>
    <cellStyle name="_Plan Lanpass (cambio de kilometros flexibles) V.15" xfId="1619"/>
    <cellStyle name="_Plan Lanpass (cambio de kilometros flexibles) V.15 10" xfId="1620"/>
    <cellStyle name="_Plan Lanpass (cambio de kilometros flexibles) V.15 10 2" xfId="1621"/>
    <cellStyle name="_Plan Lanpass (cambio de kilometros flexibles) V.15 10 3" xfId="1622"/>
    <cellStyle name="_Plan Lanpass (cambio de kilometros flexibles) V.15 11" xfId="1623"/>
    <cellStyle name="_Plan Lanpass (cambio de kilometros flexibles) V.15 11 2" xfId="1624"/>
    <cellStyle name="_Plan Lanpass (cambio de kilometros flexibles) V.15 11 3" xfId="1625"/>
    <cellStyle name="_Plan Lanpass (cambio de kilometros flexibles) V.15 12" xfId="1626"/>
    <cellStyle name="_Plan Lanpass (cambio de kilometros flexibles) V.15 12 2" xfId="1627"/>
    <cellStyle name="_Plan Lanpass (cambio de kilometros flexibles) V.15 12 3" xfId="1628"/>
    <cellStyle name="_Plan Lanpass (cambio de kilometros flexibles) V.15 13" xfId="1629"/>
    <cellStyle name="_Plan Lanpass (cambio de kilometros flexibles) V.15 13 2" xfId="1630"/>
    <cellStyle name="_Plan Lanpass (cambio de kilometros flexibles) V.15 13 3" xfId="1631"/>
    <cellStyle name="_Plan Lanpass (cambio de kilometros flexibles) V.15 14" xfId="1632"/>
    <cellStyle name="_Plan Lanpass (cambio de kilometros flexibles) V.15 14 2" xfId="1633"/>
    <cellStyle name="_Plan Lanpass (cambio de kilometros flexibles) V.15 14 3" xfId="1634"/>
    <cellStyle name="_Plan Lanpass (cambio de kilometros flexibles) V.15 15" xfId="1635"/>
    <cellStyle name="_Plan Lanpass (cambio de kilometros flexibles) V.15 15 2" xfId="1636"/>
    <cellStyle name="_Plan Lanpass (cambio de kilometros flexibles) V.15 15 3" xfId="1637"/>
    <cellStyle name="_Plan Lanpass (cambio de kilometros flexibles) V.15 16" xfId="1638"/>
    <cellStyle name="_Plan Lanpass (cambio de kilometros flexibles) V.15 16 2" xfId="1639"/>
    <cellStyle name="_Plan Lanpass (cambio de kilometros flexibles) V.15 16 3" xfId="1640"/>
    <cellStyle name="_Plan Lanpass (cambio de kilometros flexibles) V.15 17" xfId="1641"/>
    <cellStyle name="_Plan Lanpass (cambio de kilometros flexibles) V.15 17 2" xfId="1642"/>
    <cellStyle name="_Plan Lanpass (cambio de kilometros flexibles) V.15 17 3" xfId="1643"/>
    <cellStyle name="_Plan Lanpass (cambio de kilometros flexibles) V.15 18" xfId="1644"/>
    <cellStyle name="_Plan Lanpass (cambio de kilometros flexibles) V.15 18 2" xfId="1645"/>
    <cellStyle name="_Plan Lanpass (cambio de kilometros flexibles) V.15 18 3" xfId="1646"/>
    <cellStyle name="_Plan Lanpass (cambio de kilometros flexibles) V.15 19" xfId="1647"/>
    <cellStyle name="_Plan Lanpass (cambio de kilometros flexibles) V.15 19 2" xfId="1648"/>
    <cellStyle name="_Plan Lanpass (cambio de kilometros flexibles) V.15 19 3" xfId="1649"/>
    <cellStyle name="_Plan Lanpass (cambio de kilometros flexibles) V.15 2" xfId="1650"/>
    <cellStyle name="_Plan Lanpass (cambio de kilometros flexibles) V.15 2 2" xfId="1651"/>
    <cellStyle name="_Plan Lanpass (cambio de kilometros flexibles) V.15 2 2 2" xfId="1652"/>
    <cellStyle name="_Plan Lanpass (cambio de kilometros flexibles) V.15 2 3" xfId="1653"/>
    <cellStyle name="_Plan Lanpass (cambio de kilometros flexibles) V.15 20" xfId="1654"/>
    <cellStyle name="_Plan Lanpass (cambio de kilometros flexibles) V.15 20 2" xfId="1655"/>
    <cellStyle name="_Plan Lanpass (cambio de kilometros flexibles) V.15 20 3" xfId="1656"/>
    <cellStyle name="_Plan Lanpass (cambio de kilometros flexibles) V.15 21" xfId="1657"/>
    <cellStyle name="_Plan Lanpass (cambio de kilometros flexibles) V.15 21 2" xfId="1658"/>
    <cellStyle name="_Plan Lanpass (cambio de kilometros flexibles) V.15 21 3" xfId="1659"/>
    <cellStyle name="_Plan Lanpass (cambio de kilometros flexibles) V.15 3" xfId="1660"/>
    <cellStyle name="_Plan Lanpass (cambio de kilometros flexibles) V.15 3 2" xfId="1661"/>
    <cellStyle name="_Plan Lanpass (cambio de kilometros flexibles) V.15 3 3" xfId="1662"/>
    <cellStyle name="_Plan Lanpass (cambio de kilometros flexibles) V.15 4" xfId="1663"/>
    <cellStyle name="_Plan Lanpass (cambio de kilometros flexibles) V.15 4 2" xfId="1664"/>
    <cellStyle name="_Plan Lanpass (cambio de kilometros flexibles) V.15 4 3" xfId="1665"/>
    <cellStyle name="_Plan Lanpass (cambio de kilometros flexibles) V.15 5" xfId="1666"/>
    <cellStyle name="_Plan Lanpass (cambio de kilometros flexibles) V.15 5 2" xfId="1667"/>
    <cellStyle name="_Plan Lanpass (cambio de kilometros flexibles) V.15 5 3" xfId="1668"/>
    <cellStyle name="_Plan Lanpass (cambio de kilometros flexibles) V.15 6" xfId="1669"/>
    <cellStyle name="_Plan Lanpass (cambio de kilometros flexibles) V.15 6 2" xfId="1670"/>
    <cellStyle name="_Plan Lanpass (cambio de kilometros flexibles) V.15 6 3" xfId="1671"/>
    <cellStyle name="_Plan Lanpass (cambio de kilometros flexibles) V.15 7" xfId="1672"/>
    <cellStyle name="_Plan Lanpass (cambio de kilometros flexibles) V.15 7 2" xfId="1673"/>
    <cellStyle name="_Plan Lanpass (cambio de kilometros flexibles) V.15 7 3" xfId="1674"/>
    <cellStyle name="_Plan Lanpass (cambio de kilometros flexibles) V.15 8" xfId="1675"/>
    <cellStyle name="_Plan Lanpass (cambio de kilometros flexibles) V.15 8 2" xfId="1676"/>
    <cellStyle name="_Plan Lanpass (cambio de kilometros flexibles) V.15 8 3" xfId="1677"/>
    <cellStyle name="_Plan Lanpass (cambio de kilometros flexibles) V.15 9" xfId="1678"/>
    <cellStyle name="_Plan Lanpass (cambio de kilometros flexibles) V.15 9 2" xfId="1679"/>
    <cellStyle name="_Plan Lanpass (cambio de kilometros flexibles) V.15 9 3" xfId="1680"/>
    <cellStyle name="_Plan Lanpass (cambio de kilometros flexibles) V.15_Mantencion P Turismo Septiembre V2 OK" xfId="1681"/>
    <cellStyle name="_Plan Lanpass (cambio de kilometros flexibles) V.15_Mantencion P Turismo Septiembre V2 OK 2" xfId="1682"/>
    <cellStyle name="_Plan Lanpass (cambio de kilometros flexibles) V.15_Mantencion P Turismo Septiembre V2 OK 3" xfId="1683"/>
    <cellStyle name="_Plan LANPASS Red de Acumulación TV 1" xfId="1684"/>
    <cellStyle name="_Plan LANPASS Red de Acumulación TV 1 2" xfId="1685"/>
    <cellStyle name="_Plan LANPASS Red de Acumulación TV 1 3" xfId="1686"/>
    <cellStyle name="_Plan LANPASS Red de Acumulación V2" xfId="1687"/>
    <cellStyle name="_Plan LANPASS Red de Acumulación V2 2" xfId="1688"/>
    <cellStyle name="_Plan LANPASS Red de Acumulación V2 3" xfId="1689"/>
    <cellStyle name="_Plan LANTOURS Anticipa Tu Verano V1" xfId="1690"/>
    <cellStyle name="_Plan LANTOURS Anticipa Tu Verano V1 2" xfId="1691"/>
    <cellStyle name="_Plan LANTOURS Anticipa Tu Verano V1 3" xfId="1692"/>
    <cellStyle name="_Plan LDI norte 4" xfId="1693"/>
    <cellStyle name="_Plan masivo  Agosto a Septiembre V.4" xfId="1694"/>
    <cellStyle name="_Plan masivo  Agosto a Septiembre V.4 2" xfId="1695"/>
    <cellStyle name="_Plan masivo  Agosto a Septiembre V.4 3" xfId="1696"/>
    <cellStyle name="_Plan Mi Primer Claro_Feb_Marzo 07_V4" xfId="1697"/>
    <cellStyle name="_Plan Model Fcst Q4FY07" xfId="1698"/>
    <cellStyle name="_Plan Model Fcst Q4FY07 calls" xfId="1699"/>
    <cellStyle name="_Plan Muévete por Chile LANTOURS - SERNATUR versión 1" xfId="1700"/>
    <cellStyle name="_Plan Muévete por Chile LANTOURS - SERNATUR versión 1 2" xfId="1701"/>
    <cellStyle name="_Plan Muévete por Chile LANTOURS - SERNATUR versión 1 3" xfId="1702"/>
    <cellStyle name="_Plan Muévete por Chile LANTOURS - SERNATUR versión 2" xfId="1703"/>
    <cellStyle name="_Plan Muévete por Chile LANTOURS - SERNATUR versión 2 2" xfId="1704"/>
    <cellStyle name="_Plan Muévete por Chile LANTOURS - SERNATUR versión 2 3" xfId="1705"/>
    <cellStyle name="_Plan Navidad_Dic 06_V5" xfId="1706"/>
    <cellStyle name="_Plan Navidad_Nov" xfId="1707"/>
    <cellStyle name="_Plan Prensa Junio V3" xfId="1708"/>
    <cellStyle name="_Plan Provida Ahorro 2010 V.3" xfId="1709"/>
    <cellStyle name="_Plan Provida Ahorro 2010 V.3 2" xfId="1710"/>
    <cellStyle name="_Plan Provida Ahorro 2010 V.3 3" xfId="1711"/>
    <cellStyle name="_Plan Provida Día de la Madre #V.2" xfId="1712"/>
    <cellStyle name="_Plan Provida Día de la Madre #V.2 2" xfId="1713"/>
    <cellStyle name="_Plan Provida Día de la Madre #V.2 3" xfId="1714"/>
    <cellStyle name="_Plan Radio Junio" xfId="1715"/>
    <cellStyle name="_Plan Real Lazn GSM_Oct_V1" xfId="1716"/>
    <cellStyle name="_Plan Recarga" xfId="1717"/>
    <cellStyle name="_Plan_Banda_Ancha_V13(Plan Final)" xfId="1718"/>
    <cellStyle name="_Plan_Banda_Ancha_V13(Plan Final) 2" xfId="1719"/>
    <cellStyle name="_Plan_Banda_Ancha_V13(Plan Final) 3" xfId="1720"/>
    <cellStyle name="_Plan_Banda_Ancha_V5" xfId="1721"/>
    <cellStyle name="_Plan_Banda_Ancha_V5 2" xfId="1722"/>
    <cellStyle name="_Plan_Banda_Ancha_V5 3" xfId="1723"/>
    <cellStyle name="_Plan_Banda_Ancha_V5(solo VP)" xfId="1724"/>
    <cellStyle name="_Plan_Banda_Ancha_V5(solo VP) 2" xfId="1725"/>
    <cellStyle name="_Plan_Banda_Ancha_V5(solo VP) 3" xfId="1726"/>
    <cellStyle name="_Plan_Video_Indiv.25-44_80K_v3" xfId="52999"/>
    <cellStyle name="_Propuesta de Medios Furia de Titanes v.6" xfId="1727"/>
    <cellStyle name="_Propuesta Radios 2 y 3 días v1" xfId="1728"/>
    <cellStyle name="_Propuesta Radios 2 y 3 días v1 2" xfId="1729"/>
    <cellStyle name="_Propuesta Radios 2 y 3 días v1 2 2" xfId="1730"/>
    <cellStyle name="_Propuesta Radios 2 y 3 días v1 3" xfId="1731"/>
    <cellStyle name="_Propuesta Radios 2 y 3 días v1_SISA Ofertas  23 al 26 Marzo V4 aprobado" xfId="1732"/>
    <cellStyle name="_prueba" xfId="3"/>
    <cellStyle name="_Pulso Socovesa - Almagro Semana 1  del 03 al 09 agosto" xfId="1733"/>
    <cellStyle name="_Pulso Socovesa - Almagro Semana 1  del 03 al 09 agosto 2" xfId="1734"/>
    <cellStyle name="_Pulso Socovesa - Almagro Semana 1  del 03 al 09 agosto 2 2" xfId="1735"/>
    <cellStyle name="_Pulso Socovesa - Almagro Semana 1  del 03 al 09 agosto 2 2 2" xfId="1736"/>
    <cellStyle name="_Pulso Socovesa - Almagro Semana 1  del 03 al 09 agosto 2 3" xfId="1737"/>
    <cellStyle name="_Pulso Socovesa - Almagro Semana 1  del 03 al 09 agosto_Pauta Libre 20 seg 21 -23 Diciembre V2" xfId="1738"/>
    <cellStyle name="_Pulso Socovesa - Almagro Semana 1  del 03 al 09 agosto_Pauta Libre 20 seg 21 -23 Diciembre V2 2" xfId="1739"/>
    <cellStyle name="_Pulso Socovesa - Almagro Semana 1  del 03 al 09 agosto_Pauta Libre 20 seg 21 -23 Diciembre V2 2 2" xfId="1740"/>
    <cellStyle name="_Pulso Socovesa - Almagro Semana 1  del 03 al 09 agosto_Pauta Libre 20 seg 21 -23 Diciembre V2 3" xfId="1741"/>
    <cellStyle name="_Pulso Socovesa - Almagro Semana 1  del 03 al 09 agosto_Pauta Libre 20 seg 21 -23 Diciembre V2_Antecedentes historicos" xfId="1742"/>
    <cellStyle name="_Pulso Socovesa - Almagro Semana 1  del 03 al 09 agosto_Pauta Libre 20 seg 21 -23 Diciembre V2_Antecedentes historicos 2" xfId="1743"/>
    <cellStyle name="_Pulso Socovesa - Almagro Semana 1  del 03 al 09 agosto_Pauta Libre 20 seg 21 -23 Diciembre V2_Antecedentes historicos 2 2" xfId="1744"/>
    <cellStyle name="_Pulso Socovesa - Almagro Semana 1  del 03 al 09 agosto_Pauta Libre 20 seg 21 -23 Diciembre V2_Antecedentes historicos 3" xfId="1745"/>
    <cellStyle name="_Pulso Socovesa - Almagro Semana 1  del 03 al 09 agosto_Pauta Libre 20 seg 21 -23 Diciembre V2_SISA Ofertas  02 al 05 Marzo V6" xfId="1746"/>
    <cellStyle name="_Pulso Socovesa - Almagro Semana 1  del 03 al 09 agosto_Pauta Libre 20 seg 21 -23 Diciembre V2_SISA Ofertas  02 al 05 Marzo V6 2" xfId="1747"/>
    <cellStyle name="_Pulso Socovesa - Almagro Semana 1  del 03 al 09 agosto_Pauta Libre 20 seg 21 -23 Diciembre V2_SISA Ofertas  02 al 05 Marzo V6 2 2" xfId="1748"/>
    <cellStyle name="_Pulso Socovesa - Almagro Semana 1  del 03 al 09 agosto_Pauta Libre 20 seg 21 -23 Diciembre V2_SISA Ofertas  02 al 05 Marzo V6 3" xfId="1749"/>
    <cellStyle name="_Pulso Socovesa - Almagro Semana 1  del 03 al 09 agosto_Pauta Libre 20 seg 21 -23 Diciembre V2_SISA Ofertas  16 al 19 Marzo V1" xfId="1750"/>
    <cellStyle name="_Pulso Socovesa - Almagro Semana 1  del 03 al 09 agosto_Pauta Libre 20 seg 21 -23 Diciembre V2_SISA Ofertas  16 al 19 Marzo V1 2" xfId="1751"/>
    <cellStyle name="_Pulso Socovesa - Almagro Semana 1  del 03 al 09 agosto_Pauta Libre 20 seg 21 -23 Diciembre V2_SISA Ofertas  16 al 19 Marzo V1 2 2" xfId="1752"/>
    <cellStyle name="_Pulso Socovesa - Almagro Semana 1  del 03 al 09 agosto_Pauta Libre 20 seg 21 -23 Diciembre V2_SISA Ofertas  16 al 19 Marzo V1 3" xfId="1753"/>
    <cellStyle name="_Pulso Socovesa - Almagro Semana 1  del 03 al 09 agosto_Pauta Libre 20 seg 21 -23 Diciembre V2_SISA Ofertas Verano 03 al 08 Enero  v1" xfId="1754"/>
    <cellStyle name="_Pulso Socovesa - Almagro Semana 1  del 03 al 09 agosto_Pauta Libre 20 seg 21 -23 Diciembre V2_SISA Ofertas Verano 03 al 08 Enero  v1 2" xfId="1755"/>
    <cellStyle name="_Pulso Socovesa - Almagro Semana 1  del 03 al 09 agosto_Pauta Libre 20 seg 21 -23 Diciembre V2_SISA Ofertas Verano 03 al 08 Enero  v1 2 2" xfId="1756"/>
    <cellStyle name="_Pulso Socovesa - Almagro Semana 1  del 03 al 09 agosto_Pauta Libre 20 seg 21 -23 Diciembre V2_SISA Ofertas Verano 03 al 08 Enero  v1 3" xfId="1757"/>
    <cellStyle name="_Pulso Socovesa - Almagro Semana 1  del 03 al 09 agosto_Plan de Medios Gama V1" xfId="1758"/>
    <cellStyle name="_Pulso Socovesa - Almagro Semana 1  del 03 al 09 agosto_Plan Gasco_V02" xfId="1759"/>
    <cellStyle name="_radio" xfId="1760"/>
    <cellStyle name="_radio 2" xfId="1761"/>
    <cellStyle name="_radio 3" xfId="1762"/>
    <cellStyle name="_Resumen Consumos Medios v.1" xfId="1763"/>
    <cellStyle name="_Royal Canin Overview_aktuell" xfId="53000"/>
    <cellStyle name="_SISA 24 al 25 Septiembre.v5" xfId="1764"/>
    <cellStyle name="_SISA A Tomar Once 12 y 13 de Julio V4" xfId="1765"/>
    <cellStyle name="_SISA campañas 5 al 20 nov" xfId="1766"/>
    <cellStyle name="_SISA campañas 5 al 20 nov 2" xfId="1767"/>
    <cellStyle name="_SISA campañas 5 al 20 nov 2 2" xfId="1768"/>
    <cellStyle name="_SISA campañas 5 al 20 nov 2 2 2" xfId="1769"/>
    <cellStyle name="_SISA campañas 5 al 20 nov 2 3" xfId="1770"/>
    <cellStyle name="_SISA campañas 5 al 20 nov_Pauta Libre 20 seg 21 -23 Diciembre V2" xfId="1771"/>
    <cellStyle name="_SISA campañas 5 al 20 nov_Pauta Libre 20 seg 21 -23 Diciembre V2 2" xfId="1772"/>
    <cellStyle name="_SISA campañas 5 al 20 nov_Pauta Libre 20 seg 21 -23 Diciembre V2 2 2" xfId="1773"/>
    <cellStyle name="_SISA campañas 5 al 20 nov_Pauta Libre 20 seg 21 -23 Diciembre V2 3" xfId="1774"/>
    <cellStyle name="_SISA campañas 5 al 20 nov_Pauta Libre 20 seg 21 -23 Diciembre V2_Antecedentes historicos" xfId="1775"/>
    <cellStyle name="_SISA campañas 5 al 20 nov_Pauta Libre 20 seg 21 -23 Diciembre V2_Antecedentes historicos 2" xfId="1776"/>
    <cellStyle name="_SISA campañas 5 al 20 nov_Pauta Libre 20 seg 21 -23 Diciembre V2_Antecedentes historicos 2 2" xfId="1777"/>
    <cellStyle name="_SISA campañas 5 al 20 nov_Pauta Libre 20 seg 21 -23 Diciembre V2_Antecedentes historicos 3" xfId="1778"/>
    <cellStyle name="_SISA campañas 5 al 20 nov_Pauta Libre 20 seg 21 -23 Diciembre V2_SISA Ofertas  02 al 05 Marzo V6" xfId="1779"/>
    <cellStyle name="_SISA campañas 5 al 20 nov_Pauta Libre 20 seg 21 -23 Diciembre V2_SISA Ofertas  02 al 05 Marzo V6 2" xfId="1780"/>
    <cellStyle name="_SISA campañas 5 al 20 nov_Pauta Libre 20 seg 21 -23 Diciembre V2_SISA Ofertas  02 al 05 Marzo V6 2 2" xfId="1781"/>
    <cellStyle name="_SISA campañas 5 al 20 nov_Pauta Libre 20 seg 21 -23 Diciembre V2_SISA Ofertas  02 al 05 Marzo V6 3" xfId="1782"/>
    <cellStyle name="_SISA campañas 5 al 20 nov_Pauta Libre 20 seg 21 -23 Diciembre V2_SISA Ofertas  16 al 19 Marzo V1" xfId="1783"/>
    <cellStyle name="_SISA campañas 5 al 20 nov_Pauta Libre 20 seg 21 -23 Diciembre V2_SISA Ofertas  16 al 19 Marzo V1 2" xfId="1784"/>
    <cellStyle name="_SISA campañas 5 al 20 nov_Pauta Libre 20 seg 21 -23 Diciembre V2_SISA Ofertas  16 al 19 Marzo V1 2 2" xfId="1785"/>
    <cellStyle name="_SISA campañas 5 al 20 nov_Pauta Libre 20 seg 21 -23 Diciembre V2_SISA Ofertas  16 al 19 Marzo V1 3" xfId="1786"/>
    <cellStyle name="_SISA campañas 5 al 20 nov_Pauta Libre 20 seg 21 -23 Diciembre V2_SISA Ofertas Verano 03 al 08 Enero  v1" xfId="1787"/>
    <cellStyle name="_SISA campañas 5 al 20 nov_Pauta Libre 20 seg 21 -23 Diciembre V2_SISA Ofertas Verano 03 al 08 Enero  v1 2" xfId="1788"/>
    <cellStyle name="_SISA campañas 5 al 20 nov_Pauta Libre 20 seg 21 -23 Diciembre V2_SISA Ofertas Verano 03 al 08 Enero  v1 2 2" xfId="1789"/>
    <cellStyle name="_SISA campañas 5 al 20 nov_Pauta Libre 20 seg 21 -23 Diciembre V2_SISA Ofertas Verano 03 al 08 Enero  v1 3" xfId="1790"/>
    <cellStyle name="_SISA campañas 5 al 20 nov_Plan de Medios Gama V1" xfId="1791"/>
    <cellStyle name="_SISA campañas 5 al 20 nov_Plan Gasco_V02" xfId="1792"/>
    <cellStyle name="_SISA campañas 5 al 30 nov" xfId="1793"/>
    <cellStyle name="_SISA campañas 5 al 30 nov 2" xfId="1794"/>
    <cellStyle name="_SISA campañas 5 al 30 nov 2 2" xfId="1795"/>
    <cellStyle name="_SISA campañas 5 al 30 nov 2 2 2" xfId="1796"/>
    <cellStyle name="_SISA campañas 5 al 30 nov 2 3" xfId="1797"/>
    <cellStyle name="_SISA campañas 5 al 30 nov_Pauta Libre 20 seg 21 -23 Diciembre V2" xfId="1798"/>
    <cellStyle name="_SISA campañas 5 al 30 nov_Pauta Libre 20 seg 21 -23 Diciembre V2 2" xfId="1799"/>
    <cellStyle name="_SISA campañas 5 al 30 nov_Pauta Libre 20 seg 21 -23 Diciembre V2 2 2" xfId="1800"/>
    <cellStyle name="_SISA campañas 5 al 30 nov_Pauta Libre 20 seg 21 -23 Diciembre V2 3" xfId="1801"/>
    <cellStyle name="_SISA campañas 5 al 30 nov_Pauta Libre 20 seg 21 -23 Diciembre V2_Antecedentes historicos" xfId="1802"/>
    <cellStyle name="_SISA campañas 5 al 30 nov_Pauta Libre 20 seg 21 -23 Diciembre V2_Antecedentes historicos 2" xfId="1803"/>
    <cellStyle name="_SISA campañas 5 al 30 nov_Pauta Libre 20 seg 21 -23 Diciembre V2_Antecedentes historicos 2 2" xfId="1804"/>
    <cellStyle name="_SISA campañas 5 al 30 nov_Pauta Libre 20 seg 21 -23 Diciembre V2_Antecedentes historicos 3" xfId="1805"/>
    <cellStyle name="_SISA campañas 5 al 30 nov_Pauta Libre 20 seg 21 -23 Diciembre V2_SISA Ofertas  02 al 05 Marzo V6" xfId="1806"/>
    <cellStyle name="_SISA campañas 5 al 30 nov_Pauta Libre 20 seg 21 -23 Diciembre V2_SISA Ofertas  02 al 05 Marzo V6 2" xfId="1807"/>
    <cellStyle name="_SISA campañas 5 al 30 nov_Pauta Libre 20 seg 21 -23 Diciembre V2_SISA Ofertas  02 al 05 Marzo V6 2 2" xfId="1808"/>
    <cellStyle name="_SISA campañas 5 al 30 nov_Pauta Libre 20 seg 21 -23 Diciembre V2_SISA Ofertas  02 al 05 Marzo V6 3" xfId="1809"/>
    <cellStyle name="_SISA campañas 5 al 30 nov_Pauta Libre 20 seg 21 -23 Diciembre V2_SISA Ofertas  16 al 19 Marzo V1" xfId="1810"/>
    <cellStyle name="_SISA campañas 5 al 30 nov_Pauta Libre 20 seg 21 -23 Diciembre V2_SISA Ofertas  16 al 19 Marzo V1 2" xfId="1811"/>
    <cellStyle name="_SISA campañas 5 al 30 nov_Pauta Libre 20 seg 21 -23 Diciembre V2_SISA Ofertas  16 al 19 Marzo V1 2 2" xfId="1812"/>
    <cellStyle name="_SISA campañas 5 al 30 nov_Pauta Libre 20 seg 21 -23 Diciembre V2_SISA Ofertas  16 al 19 Marzo V1 3" xfId="1813"/>
    <cellStyle name="_SISA campañas 5 al 30 nov_Pauta Libre 20 seg 21 -23 Diciembre V2_SISA Ofertas Verano 03 al 08 Enero  v1" xfId="1814"/>
    <cellStyle name="_SISA campañas 5 al 30 nov_Pauta Libre 20 seg 21 -23 Diciembre V2_SISA Ofertas Verano 03 al 08 Enero  v1 2" xfId="1815"/>
    <cellStyle name="_SISA campañas 5 al 30 nov_Pauta Libre 20 seg 21 -23 Diciembre V2_SISA Ofertas Verano 03 al 08 Enero  v1 2 2" xfId="1816"/>
    <cellStyle name="_SISA campañas 5 al 30 nov_Pauta Libre 20 seg 21 -23 Diciembre V2_SISA Ofertas Verano 03 al 08 Enero  v1 3" xfId="1817"/>
    <cellStyle name="_SISA campañas 5 al 30 nov_Plan de Medios Gama V1" xfId="1818"/>
    <cellStyle name="_SISA campañas 5 al 30 nov_Plan Gasco_V02" xfId="1819"/>
    <cellStyle name="_SISA Institucional Febrero-Marzo v.1" xfId="1820"/>
    <cellStyle name="_SISA Institucional Febrero-Marzo v.1 2" xfId="1821"/>
    <cellStyle name="_SISA Institucional Febrero-Marzo v.1 2 2" xfId="1822"/>
    <cellStyle name="_SISA Institucional Febrero-Marzo v.1 3" xfId="1823"/>
    <cellStyle name="_SISA Institucional Febrero-Marzo v.1_SISA Ofertas  23 al 26 Marzo V4 aprobado" xfId="1824"/>
    <cellStyle name="_SISA Ofertazo 18 Sept v.6" xfId="1825"/>
    <cellStyle name="_SISA Ofertazo 18 Sept v.6 2" xfId="1826"/>
    <cellStyle name="_SISA Ofertazo 18 Sept v.6 2 2" xfId="1827"/>
    <cellStyle name="_SISA Ofertazo 18 Sept v.6 3" xfId="1828"/>
    <cellStyle name="_SISA Ofertazo 18 Sept v.6 Lunes Noche_Domingo día" xfId="1829"/>
    <cellStyle name="_SISA Ofertazo 18 Sept v.6 Lunes Noche_Domingo día 2" xfId="1830"/>
    <cellStyle name="_SISA Ofertazo 18 Sept v.6 Lunes Noche_Domingo día 2 2" xfId="1831"/>
    <cellStyle name="_SISA Ofertazo 18 Sept v.6 Lunes Noche_Domingo día 3" xfId="1832"/>
    <cellStyle name="_SISA Ofertazo 18 Sept v.6 Lunes Noche_Domingo día_SISA Ofertas  23 al 26 Marzo V4 aprobado" xfId="1833"/>
    <cellStyle name="_SISA Ofertazo 18 Sept v.6_SISA Ofertas  23 al 26 Marzo V4 aprobado" xfId="1834"/>
    <cellStyle name="_SISA Ofertazo 19 al 23 Mayo.2" xfId="1835"/>
    <cellStyle name="_SISA Santa Yapa 25 Nov al 6 Dic .v5" xfId="1836"/>
    <cellStyle name="_SISA Santos 26 y 27 de Julio v1" xfId="1837"/>
    <cellStyle name="_TAPA" xfId="1838"/>
    <cellStyle name="_TAPA 2" xfId="1839"/>
    <cellStyle name="_TAPA 3" xfId="1840"/>
    <cellStyle name="_Techem Printplan 2009_26_mit Monatskosten" xfId="53001"/>
    <cellStyle name="_VIA PUBLICA  " xfId="1841"/>
    <cellStyle name="_VIA PUBLICA   2" xfId="1842"/>
    <cellStyle name="_VIA PUBLICA   3" xfId="1843"/>
    <cellStyle name="_Vía Publica Autopistas v.3" xfId="1844"/>
    <cellStyle name="_Vía Publica Autopistas v.3 2" xfId="1845"/>
    <cellStyle name="_Vía Publica Autopistas v.3 3" xfId="1846"/>
    <cellStyle name="_viapublica" xfId="1847"/>
    <cellStyle name="=C:\WINDOWS\SYSTEM32\COMMAND.COM" xfId="1848"/>
    <cellStyle name="=C:\WINDOWS\SYSTEM32\COMMAND.COM 2" xfId="1849"/>
    <cellStyle name="=C:\WINNT\SYSTEM32\COMMAND.COM" xfId="1850"/>
    <cellStyle name="=C:\WINNT\SYSTEM32\COMMAND.COM 10" xfId="1851"/>
    <cellStyle name="=C:\WINNT\SYSTEM32\COMMAND.COM 10 2" xfId="1852"/>
    <cellStyle name="=C:\WINNT\SYSTEM32\COMMAND.COM 10 2 2" xfId="1853"/>
    <cellStyle name="=C:\WINNT\SYSTEM32\COMMAND.COM 10 2 3" xfId="1854"/>
    <cellStyle name="=C:\WINNT\SYSTEM32\COMMAND.COM 10 3" xfId="1855"/>
    <cellStyle name="=C:\WINNT\SYSTEM32\COMMAND.COM 10 4" xfId="1856"/>
    <cellStyle name="=C:\WINNT\SYSTEM32\COMMAND.COM 2" xfId="1857"/>
    <cellStyle name="=C:\WINNT\SYSTEM32\COMMAND.COM 2 10" xfId="1858"/>
    <cellStyle name="=C:\WINNT\SYSTEM32\COMMAND.COM 2 11" xfId="1859"/>
    <cellStyle name="=C:\WINNT\SYSTEM32\COMMAND.COM 2 2" xfId="1860"/>
    <cellStyle name="=C:\WINNT\SYSTEM32\COMMAND.COM 2 2 2" xfId="1861"/>
    <cellStyle name="=C:\WINNT\SYSTEM32\COMMAND.COM 2 2 2 2" xfId="1862"/>
    <cellStyle name="=C:\WINNT\SYSTEM32\COMMAND.COM 2 2 2 3" xfId="1863"/>
    <cellStyle name="=C:\WINNT\SYSTEM32\COMMAND.COM 2 2 3" xfId="1864"/>
    <cellStyle name="=C:\WINNT\SYSTEM32\COMMAND.COM 2 2 4" xfId="1865"/>
    <cellStyle name="=C:\WINNT\SYSTEM32\COMMAND.COM 2 3" xfId="1866"/>
    <cellStyle name="=C:\WINNT\SYSTEM32\COMMAND.COM 2 3 2" xfId="1867"/>
    <cellStyle name="=C:\WINNT\SYSTEM32\COMMAND.COM 2 3 2 2" xfId="1868"/>
    <cellStyle name="=C:\WINNT\SYSTEM32\COMMAND.COM 2 3 2 3" xfId="1869"/>
    <cellStyle name="=C:\WINNT\SYSTEM32\COMMAND.COM 2 3 3" xfId="1870"/>
    <cellStyle name="=C:\WINNT\SYSTEM32\COMMAND.COM 2 3 4" xfId="1871"/>
    <cellStyle name="=C:\WINNT\SYSTEM32\COMMAND.COM 2 4" xfId="1872"/>
    <cellStyle name="=C:\WINNT\SYSTEM32\COMMAND.COM 2 4 2" xfId="1873"/>
    <cellStyle name="=C:\WINNT\SYSTEM32\COMMAND.COM 2 4 2 2" xfId="1874"/>
    <cellStyle name="=C:\WINNT\SYSTEM32\COMMAND.COM 2 4 2 3" xfId="1875"/>
    <cellStyle name="=C:\WINNT\SYSTEM32\COMMAND.COM 2 4 3" xfId="1876"/>
    <cellStyle name="=C:\WINNT\SYSTEM32\COMMAND.COM 2 4 4" xfId="1877"/>
    <cellStyle name="=C:\WINNT\SYSTEM32\COMMAND.COM 2 5" xfId="1878"/>
    <cellStyle name="=C:\WINNT\SYSTEM32\COMMAND.COM 2 5 2" xfId="1879"/>
    <cellStyle name="=C:\WINNT\SYSTEM32\COMMAND.COM 2 5 2 2" xfId="1880"/>
    <cellStyle name="=C:\WINNT\SYSTEM32\COMMAND.COM 2 5 2 3" xfId="1881"/>
    <cellStyle name="=C:\WINNT\SYSTEM32\COMMAND.COM 2 5 3" xfId="1882"/>
    <cellStyle name="=C:\WINNT\SYSTEM32\COMMAND.COM 2 5 4" xfId="1883"/>
    <cellStyle name="=C:\WINNT\SYSTEM32\COMMAND.COM 2 6" xfId="1884"/>
    <cellStyle name="=C:\WINNT\SYSTEM32\COMMAND.COM 2 6 2" xfId="1885"/>
    <cellStyle name="=C:\WINNT\SYSTEM32\COMMAND.COM 2 6 2 2" xfId="1886"/>
    <cellStyle name="=C:\WINNT\SYSTEM32\COMMAND.COM 2 6 2 3" xfId="1887"/>
    <cellStyle name="=C:\WINNT\SYSTEM32\COMMAND.COM 2 6 3" xfId="1888"/>
    <cellStyle name="=C:\WINNT\SYSTEM32\COMMAND.COM 2 6 4" xfId="1889"/>
    <cellStyle name="=C:\WINNT\SYSTEM32\COMMAND.COM 2 7" xfId="1890"/>
    <cellStyle name="=C:\WINNT\SYSTEM32\COMMAND.COM 2 7 2" xfId="1891"/>
    <cellStyle name="=C:\WINNT\SYSTEM32\COMMAND.COM 2 7 2 2" xfId="1892"/>
    <cellStyle name="=C:\WINNT\SYSTEM32\COMMAND.COM 2 7 2 3" xfId="1893"/>
    <cellStyle name="=C:\WINNT\SYSTEM32\COMMAND.COM 2 7 3" xfId="1894"/>
    <cellStyle name="=C:\WINNT\SYSTEM32\COMMAND.COM 2 7 4" xfId="1895"/>
    <cellStyle name="=C:\WINNT\SYSTEM32\COMMAND.COM 2 8" xfId="1896"/>
    <cellStyle name="=C:\WINNT\SYSTEM32\COMMAND.COM 2 8 2" xfId="1897"/>
    <cellStyle name="=C:\WINNT\SYSTEM32\COMMAND.COM 2 8 3" xfId="1898"/>
    <cellStyle name="=C:\WINNT\SYSTEM32\COMMAND.COM 2 9" xfId="1899"/>
    <cellStyle name="=C:\WINNT\SYSTEM32\COMMAND.COM 2_Campaña Proniño V9" xfId="1900"/>
    <cellStyle name="=C:\WINNT\SYSTEM32\COMMAND.COM 3" xfId="1901"/>
    <cellStyle name="=C:\WINNT\SYSTEM32\COMMAND.COM 3 2" xfId="1902"/>
    <cellStyle name="=C:\WINNT\SYSTEM32\COMMAND.COM 3 2 2" xfId="1903"/>
    <cellStyle name="=C:\WINNT\SYSTEM32\COMMAND.COM 3 2 3" xfId="1904"/>
    <cellStyle name="=C:\WINNT\SYSTEM32\COMMAND.COM 3 3" xfId="1905"/>
    <cellStyle name="=C:\WINNT\SYSTEM32\COMMAND.COM 3 4" xfId="1906"/>
    <cellStyle name="=C:\WINNT\SYSTEM32\COMMAND.COM 4" xfId="1907"/>
    <cellStyle name="=C:\WINNT\SYSTEM32\COMMAND.COM 4 2" xfId="1908"/>
    <cellStyle name="=C:\WINNT\SYSTEM32\COMMAND.COM 4 2 2" xfId="1909"/>
    <cellStyle name="=C:\WINNT\SYSTEM32\COMMAND.COM 4 2 3" xfId="1910"/>
    <cellStyle name="=C:\WINNT\SYSTEM32\COMMAND.COM 4 3" xfId="1911"/>
    <cellStyle name="=C:\WINNT\SYSTEM32\COMMAND.COM 4 4" xfId="1912"/>
    <cellStyle name="=C:\WINNT\SYSTEM32\COMMAND.COM 5" xfId="1913"/>
    <cellStyle name="=C:\WINNT\SYSTEM32\COMMAND.COM 5 2" xfId="1914"/>
    <cellStyle name="=C:\WINNT\SYSTEM32\COMMAND.COM 5 2 2" xfId="1915"/>
    <cellStyle name="=C:\WINNT\SYSTEM32\COMMAND.COM 5 2 3" xfId="1916"/>
    <cellStyle name="=C:\WINNT\SYSTEM32\COMMAND.COM 5 3" xfId="1917"/>
    <cellStyle name="=C:\WINNT\SYSTEM32\COMMAND.COM 5 4" xfId="1918"/>
    <cellStyle name="=C:\WINNT\SYSTEM32\COMMAND.COM 6" xfId="1919"/>
    <cellStyle name="=C:\WINNT\SYSTEM32\COMMAND.COM 6 2" xfId="1920"/>
    <cellStyle name="=C:\WINNT\SYSTEM32\COMMAND.COM 6 3" xfId="1921"/>
    <cellStyle name="=C:\WINNT\SYSTEM32\COMMAND.COM 7" xfId="1922"/>
    <cellStyle name="=C:\WINNT\SYSTEM32\COMMAND.COM 8" xfId="1923"/>
    <cellStyle name="=C:\WINNT\SYSTEM32\COMMAND.COM 8 2" xfId="1924"/>
    <cellStyle name="=C:\WINNT\SYSTEM32\COMMAND.COM 8 2 2" xfId="1925"/>
    <cellStyle name="=C:\WINNT\SYSTEM32\COMMAND.COM 8 2 3" xfId="1926"/>
    <cellStyle name="=C:\WINNT\SYSTEM32\COMMAND.COM 8 3" xfId="1927"/>
    <cellStyle name="=C:\WINNT\SYSTEM32\COMMAND.COM 8 4" xfId="1928"/>
    <cellStyle name="=C:\WINNT\SYSTEM32\COMMAND.COM 9" xfId="1929"/>
    <cellStyle name="=C:\WINNT\SYSTEM32\COMMAND.COM?AVD=3?CDSRV=Embla?COMPUTERNAME=W5013" xfId="53002"/>
    <cellStyle name="=C:\WINNT\SYSTEM32\COMMAND.COM_Ad_Serving_Spec_Starmedia_v4" xfId="1930"/>
    <cellStyle name="•W_laroux" xfId="1931"/>
    <cellStyle name="0,0_x000a__x000a_NA_x000a__x000a_" xfId="1932"/>
    <cellStyle name="0,0_x000a__x000a_NA_x000a__x000a_ 2" xfId="1933"/>
    <cellStyle name="0,0_x000a__x000a_NA_x000a__x000a_ 3" xfId="1934"/>
    <cellStyle name="0,0_x000a__x000a_NA_x000a__x000a__Pautas AD Pack" xfId="1935"/>
    <cellStyle name="0,0_x000d__x000a_NA_x000d__x000a_" xfId="4"/>
    <cellStyle name="0,0_x000d__x000a_NA_x000d__x000a_ 2" xfId="1936"/>
    <cellStyle name="0,0_x000d__x000a_NA_x000d__x000a_ 2 2" xfId="1937"/>
    <cellStyle name="0,0_x000d__x000a_NA_x000d__x000a_ 2 2 2" xfId="1938"/>
    <cellStyle name="0,0_x000d__x000a_NA_x000d__x000a_ 2 2 3" xfId="1939"/>
    <cellStyle name="0,0_x000d__x000a_NA_x000d__x000a_ 2 3" xfId="1940"/>
    <cellStyle name="0,0_x000d__x000a_NA_x000d__x000a_ 2 4" xfId="1941"/>
    <cellStyle name="0,0_x000d__x000a_NA_x000d__x000a_ 3" xfId="1942"/>
    <cellStyle name="0,0_x000d__x000a_NA_x000d__x000a_ 3 2" xfId="1943"/>
    <cellStyle name="0,0_x000d__x000a_NA_x000d__x000a_ 3 3" xfId="1944"/>
    <cellStyle name="0,0_x000d__x000a_NA_x000d__x000a_ 4" xfId="1945"/>
    <cellStyle name="0,0_x000d__x000a_NA_x000d__x000a_ 4 2" xfId="1946"/>
    <cellStyle name="0,0_x000d__x000a_NA_x000d__x000a_ 4 3" xfId="1947"/>
    <cellStyle name="0,0_x000d__x000a_NA_x000d__x000a_ 5" xfId="1948"/>
    <cellStyle name="0,0_x000d__x000a_NA_x000d__x000a_ 6" xfId="1949"/>
    <cellStyle name="0,0_x000d__x000a_NA_x000d__x000a_ 7" xfId="1950"/>
    <cellStyle name="0,0_x000d__x000a_NA_x000d__x000a__carta GANTT DIARIO EL PAIS v2" xfId="1951"/>
    <cellStyle name="1" xfId="1952"/>
    <cellStyle name="1 10" xfId="1953"/>
    <cellStyle name="1 10 2" xfId="1954"/>
    <cellStyle name="1 10 3" xfId="1955"/>
    <cellStyle name="1 10 4" xfId="1956"/>
    <cellStyle name="1 11" xfId="1957"/>
    <cellStyle name="1 12" xfId="1958"/>
    <cellStyle name="1 2" xfId="1959"/>
    <cellStyle name="1 2 2" xfId="1960"/>
    <cellStyle name="1 2 2 2" xfId="1961"/>
    <cellStyle name="1 2 2 2 2" xfId="1962"/>
    <cellStyle name="1 2 2 2 3" xfId="1963"/>
    <cellStyle name="1 2 2 2 4" xfId="1964"/>
    <cellStyle name="1 2 2 3" xfId="1965"/>
    <cellStyle name="1 2 2 3 2" xfId="1966"/>
    <cellStyle name="1 2 2 3 3" xfId="1967"/>
    <cellStyle name="1 2 2 3 4" xfId="1968"/>
    <cellStyle name="1 2 2 4" xfId="1969"/>
    <cellStyle name="1 2 2 4 2" xfId="1970"/>
    <cellStyle name="1 2 2 4 3" xfId="1971"/>
    <cellStyle name="1 2 2 4 4" xfId="1972"/>
    <cellStyle name="1 2 2 5" xfId="1973"/>
    <cellStyle name="1 2 2 6" xfId="1974"/>
    <cellStyle name="1 2 2 7" xfId="1975"/>
    <cellStyle name="1 2 2 8" xfId="1976"/>
    <cellStyle name="1 2 3" xfId="1977"/>
    <cellStyle name="1 2 3 2" xfId="1978"/>
    <cellStyle name="1 2 3 2 2" xfId="1979"/>
    <cellStyle name="1 2 3 2 3" xfId="1980"/>
    <cellStyle name="1 2 3 2 4" xfId="1981"/>
    <cellStyle name="1 2 3 3" xfId="1982"/>
    <cellStyle name="1 2 3 3 2" xfId="1983"/>
    <cellStyle name="1 2 3 3 3" xfId="1984"/>
    <cellStyle name="1 2 3 3 4" xfId="1985"/>
    <cellStyle name="1 2 3 4" xfId="1986"/>
    <cellStyle name="1 2 3 4 2" xfId="1987"/>
    <cellStyle name="1 2 3 4 3" xfId="1988"/>
    <cellStyle name="1 2 3 4 4" xfId="1989"/>
    <cellStyle name="1 2 3 5" xfId="1990"/>
    <cellStyle name="1 2 3 6" xfId="1991"/>
    <cellStyle name="1 2 3 7" xfId="1992"/>
    <cellStyle name="1 2 3 8" xfId="1993"/>
    <cellStyle name="1 2 4" xfId="1994"/>
    <cellStyle name="1 2 4 2" xfId="1995"/>
    <cellStyle name="1 2 4 2 2" xfId="1996"/>
    <cellStyle name="1 2 4 2 3" xfId="1997"/>
    <cellStyle name="1 2 4 2 4" xfId="1998"/>
    <cellStyle name="1 2 4 3" xfId="1999"/>
    <cellStyle name="1 2 4 3 2" xfId="2000"/>
    <cellStyle name="1 2 4 3 3" xfId="2001"/>
    <cellStyle name="1 2 4 3 4" xfId="2002"/>
    <cellStyle name="1 2 4 4" xfId="2003"/>
    <cellStyle name="1 2 4 4 2" xfId="2004"/>
    <cellStyle name="1 2 4 4 3" xfId="2005"/>
    <cellStyle name="1 2 4 4 4" xfId="2006"/>
    <cellStyle name="1 2 4 5" xfId="2007"/>
    <cellStyle name="1 2 4 6" xfId="2008"/>
    <cellStyle name="1 2 4 7" xfId="2009"/>
    <cellStyle name="1 2 4 8" xfId="2010"/>
    <cellStyle name="1 2 5" xfId="2011"/>
    <cellStyle name="1 2 5 2" xfId="2012"/>
    <cellStyle name="1 2 5 3" xfId="2013"/>
    <cellStyle name="1 2 5 4" xfId="2014"/>
    <cellStyle name="1 2 6" xfId="2015"/>
    <cellStyle name="1 2 6 2" xfId="2016"/>
    <cellStyle name="1 2 6 3" xfId="2017"/>
    <cellStyle name="1 2 6 4" xfId="2018"/>
    <cellStyle name="1 2 7" xfId="2019"/>
    <cellStyle name="1 2 8" xfId="2020"/>
    <cellStyle name="1 3" xfId="2021"/>
    <cellStyle name="1 3 2" xfId="2022"/>
    <cellStyle name="1 3 2 2" xfId="2023"/>
    <cellStyle name="1 3 2 3" xfId="2024"/>
    <cellStyle name="1 3 2 4" xfId="2025"/>
    <cellStyle name="1 3 3" xfId="2026"/>
    <cellStyle name="1 3 3 2" xfId="2027"/>
    <cellStyle name="1 3 3 3" xfId="2028"/>
    <cellStyle name="1 3 3 4" xfId="2029"/>
    <cellStyle name="1 3 4" xfId="2030"/>
    <cellStyle name="1 3 5" xfId="2031"/>
    <cellStyle name="1 3 6" xfId="2032"/>
    <cellStyle name="1 3 7" xfId="2033"/>
    <cellStyle name="1 4" xfId="2034"/>
    <cellStyle name="1 4 2" xfId="2035"/>
    <cellStyle name="1 4 2 2" xfId="2036"/>
    <cellStyle name="1 4 2 3" xfId="2037"/>
    <cellStyle name="1 4 2 4" xfId="2038"/>
    <cellStyle name="1 4 3" xfId="2039"/>
    <cellStyle name="1 4 3 2" xfId="2040"/>
    <cellStyle name="1 4 3 3" xfId="2041"/>
    <cellStyle name="1 4 3 4" xfId="2042"/>
    <cellStyle name="1 4 4" xfId="2043"/>
    <cellStyle name="1 4 4 2" xfId="2044"/>
    <cellStyle name="1 4 4 3" xfId="2045"/>
    <cellStyle name="1 4 4 4" xfId="2046"/>
    <cellStyle name="1 4 5" xfId="2047"/>
    <cellStyle name="1 4 6" xfId="2048"/>
    <cellStyle name="1 4 7" xfId="2049"/>
    <cellStyle name="1 4 8" xfId="2050"/>
    <cellStyle name="1 5" xfId="2051"/>
    <cellStyle name="1 5 2" xfId="2052"/>
    <cellStyle name="1 5 2 2" xfId="2053"/>
    <cellStyle name="1 5 2 3" xfId="2054"/>
    <cellStyle name="1 5 2 4" xfId="2055"/>
    <cellStyle name="1 5 3" xfId="2056"/>
    <cellStyle name="1 5 3 2" xfId="2057"/>
    <cellStyle name="1 5 3 3" xfId="2058"/>
    <cellStyle name="1 5 3 4" xfId="2059"/>
    <cellStyle name="1 5 4" xfId="2060"/>
    <cellStyle name="1 5 4 2" xfId="2061"/>
    <cellStyle name="1 5 4 3" xfId="2062"/>
    <cellStyle name="1 5 4 4" xfId="2063"/>
    <cellStyle name="1 5 5" xfId="2064"/>
    <cellStyle name="1 5 6" xfId="2065"/>
    <cellStyle name="1 5 7" xfId="2066"/>
    <cellStyle name="1 5 8" xfId="2067"/>
    <cellStyle name="1 6" xfId="2068"/>
    <cellStyle name="1 6 2" xfId="2069"/>
    <cellStyle name="1 6 2 2" xfId="2070"/>
    <cellStyle name="1 6 2 3" xfId="2071"/>
    <cellStyle name="1 6 2 4" xfId="2072"/>
    <cellStyle name="1 6 3" xfId="2073"/>
    <cellStyle name="1 6 3 2" xfId="2074"/>
    <cellStyle name="1 6 3 3" xfId="2075"/>
    <cellStyle name="1 6 3 4" xfId="2076"/>
    <cellStyle name="1 6 4" xfId="2077"/>
    <cellStyle name="1 6 4 2" xfId="2078"/>
    <cellStyle name="1 6 4 3" xfId="2079"/>
    <cellStyle name="1 6 4 4" xfId="2080"/>
    <cellStyle name="1 6 5" xfId="2081"/>
    <cellStyle name="1 6 6" xfId="2082"/>
    <cellStyle name="1 6 7" xfId="2083"/>
    <cellStyle name="1 6 8" xfId="2084"/>
    <cellStyle name="1 7" xfId="2085"/>
    <cellStyle name="1 7 2" xfId="2086"/>
    <cellStyle name="1 7 3" xfId="2087"/>
    <cellStyle name="1 7 4" xfId="2088"/>
    <cellStyle name="1 8" xfId="2089"/>
    <cellStyle name="1 8 2" xfId="2090"/>
    <cellStyle name="1 8 3" xfId="2091"/>
    <cellStyle name="1 8 4" xfId="2092"/>
    <cellStyle name="1 9" xfId="2093"/>
    <cellStyle name="1 9 2" xfId="2094"/>
    <cellStyle name="1 9 3" xfId="2095"/>
    <cellStyle name="1 9 4" xfId="2096"/>
    <cellStyle name="10" xfId="2097"/>
    <cellStyle name="11" xfId="2098"/>
    <cellStyle name="12" xfId="2099"/>
    <cellStyle name="13" xfId="2100"/>
    <cellStyle name="14" xfId="2101"/>
    <cellStyle name="14 10" xfId="2102"/>
    <cellStyle name="14 10 2" xfId="2103"/>
    <cellStyle name="14 10 3" xfId="2104"/>
    <cellStyle name="14 10 4" xfId="2105"/>
    <cellStyle name="14 11" xfId="2106"/>
    <cellStyle name="14 12" xfId="2107"/>
    <cellStyle name="14 2" xfId="2108"/>
    <cellStyle name="14 2 2" xfId="2109"/>
    <cellStyle name="14 2 2 2" xfId="2110"/>
    <cellStyle name="14 2 2 2 2" xfId="2111"/>
    <cellStyle name="14 2 2 2 3" xfId="2112"/>
    <cellStyle name="14 2 2 2 4" xfId="2113"/>
    <cellStyle name="14 2 2 3" xfId="2114"/>
    <cellStyle name="14 2 2 3 2" xfId="2115"/>
    <cellStyle name="14 2 2 3 3" xfId="2116"/>
    <cellStyle name="14 2 2 3 4" xfId="2117"/>
    <cellStyle name="14 2 2 4" xfId="2118"/>
    <cellStyle name="14 2 2 4 2" xfId="2119"/>
    <cellStyle name="14 2 2 4 3" xfId="2120"/>
    <cellStyle name="14 2 2 4 4" xfId="2121"/>
    <cellStyle name="14 2 2 5" xfId="2122"/>
    <cellStyle name="14 2 2 6" xfId="2123"/>
    <cellStyle name="14 2 2 7" xfId="2124"/>
    <cellStyle name="14 2 2 8" xfId="2125"/>
    <cellStyle name="14 2 3" xfId="2126"/>
    <cellStyle name="14 2 3 2" xfId="2127"/>
    <cellStyle name="14 2 3 2 2" xfId="2128"/>
    <cellStyle name="14 2 3 2 3" xfId="2129"/>
    <cellStyle name="14 2 3 2 4" xfId="2130"/>
    <cellStyle name="14 2 3 3" xfId="2131"/>
    <cellStyle name="14 2 3 3 2" xfId="2132"/>
    <cellStyle name="14 2 3 3 3" xfId="2133"/>
    <cellStyle name="14 2 3 3 4" xfId="2134"/>
    <cellStyle name="14 2 3 4" xfId="2135"/>
    <cellStyle name="14 2 3 4 2" xfId="2136"/>
    <cellStyle name="14 2 3 4 3" xfId="2137"/>
    <cellStyle name="14 2 3 4 4" xfId="2138"/>
    <cellStyle name="14 2 3 5" xfId="2139"/>
    <cellStyle name="14 2 3 6" xfId="2140"/>
    <cellStyle name="14 2 3 7" xfId="2141"/>
    <cellStyle name="14 2 3 8" xfId="2142"/>
    <cellStyle name="14 2 4" xfId="2143"/>
    <cellStyle name="14 2 4 2" xfId="2144"/>
    <cellStyle name="14 2 4 2 2" xfId="2145"/>
    <cellStyle name="14 2 4 2 3" xfId="2146"/>
    <cellStyle name="14 2 4 2 4" xfId="2147"/>
    <cellStyle name="14 2 4 3" xfId="2148"/>
    <cellStyle name="14 2 4 3 2" xfId="2149"/>
    <cellStyle name="14 2 4 3 3" xfId="2150"/>
    <cellStyle name="14 2 4 3 4" xfId="2151"/>
    <cellStyle name="14 2 4 4" xfId="2152"/>
    <cellStyle name="14 2 4 4 2" xfId="2153"/>
    <cellStyle name="14 2 4 4 3" xfId="2154"/>
    <cellStyle name="14 2 4 4 4" xfId="2155"/>
    <cellStyle name="14 2 4 5" xfId="2156"/>
    <cellStyle name="14 2 4 6" xfId="2157"/>
    <cellStyle name="14 2 4 7" xfId="2158"/>
    <cellStyle name="14 2 4 8" xfId="2159"/>
    <cellStyle name="14 2 5" xfId="2160"/>
    <cellStyle name="14 2 5 2" xfId="2161"/>
    <cellStyle name="14 2 5 3" xfId="2162"/>
    <cellStyle name="14 2 5 4" xfId="2163"/>
    <cellStyle name="14 2 6" xfId="2164"/>
    <cellStyle name="14 2 6 2" xfId="2165"/>
    <cellStyle name="14 2 6 3" xfId="2166"/>
    <cellStyle name="14 2 6 4" xfId="2167"/>
    <cellStyle name="14 2 7" xfId="2168"/>
    <cellStyle name="14 2 8" xfId="2169"/>
    <cellStyle name="14 3" xfId="2170"/>
    <cellStyle name="14 3 2" xfId="2171"/>
    <cellStyle name="14 3 2 2" xfId="2172"/>
    <cellStyle name="14 3 2 3" xfId="2173"/>
    <cellStyle name="14 3 2 4" xfId="2174"/>
    <cellStyle name="14 3 3" xfId="2175"/>
    <cellStyle name="14 3 3 2" xfId="2176"/>
    <cellStyle name="14 3 3 3" xfId="2177"/>
    <cellStyle name="14 3 3 4" xfId="2178"/>
    <cellStyle name="14 3 4" xfId="2179"/>
    <cellStyle name="14 3 5" xfId="2180"/>
    <cellStyle name="14 3 6" xfId="2181"/>
    <cellStyle name="14 3 7" xfId="2182"/>
    <cellStyle name="14 4" xfId="2183"/>
    <cellStyle name="14 4 2" xfId="2184"/>
    <cellStyle name="14 4 2 2" xfId="2185"/>
    <cellStyle name="14 4 2 3" xfId="2186"/>
    <cellStyle name="14 4 2 4" xfId="2187"/>
    <cellStyle name="14 4 3" xfId="2188"/>
    <cellStyle name="14 4 3 2" xfId="2189"/>
    <cellStyle name="14 4 3 3" xfId="2190"/>
    <cellStyle name="14 4 3 4" xfId="2191"/>
    <cellStyle name="14 4 4" xfId="2192"/>
    <cellStyle name="14 4 4 2" xfId="2193"/>
    <cellStyle name="14 4 4 3" xfId="2194"/>
    <cellStyle name="14 4 4 4" xfId="2195"/>
    <cellStyle name="14 4 5" xfId="2196"/>
    <cellStyle name="14 4 6" xfId="2197"/>
    <cellStyle name="14 4 7" xfId="2198"/>
    <cellStyle name="14 4 8" xfId="2199"/>
    <cellStyle name="14 5" xfId="2200"/>
    <cellStyle name="14 5 2" xfId="2201"/>
    <cellStyle name="14 5 2 2" xfId="2202"/>
    <cellStyle name="14 5 2 3" xfId="2203"/>
    <cellStyle name="14 5 2 4" xfId="2204"/>
    <cellStyle name="14 5 3" xfId="2205"/>
    <cellStyle name="14 5 3 2" xfId="2206"/>
    <cellStyle name="14 5 3 3" xfId="2207"/>
    <cellStyle name="14 5 3 4" xfId="2208"/>
    <cellStyle name="14 5 4" xfId="2209"/>
    <cellStyle name="14 5 4 2" xfId="2210"/>
    <cellStyle name="14 5 4 3" xfId="2211"/>
    <cellStyle name="14 5 4 4" xfId="2212"/>
    <cellStyle name="14 5 5" xfId="2213"/>
    <cellStyle name="14 5 6" xfId="2214"/>
    <cellStyle name="14 5 7" xfId="2215"/>
    <cellStyle name="14 5 8" xfId="2216"/>
    <cellStyle name="14 6" xfId="2217"/>
    <cellStyle name="14 6 2" xfId="2218"/>
    <cellStyle name="14 6 2 2" xfId="2219"/>
    <cellStyle name="14 6 2 3" xfId="2220"/>
    <cellStyle name="14 6 2 4" xfId="2221"/>
    <cellStyle name="14 6 3" xfId="2222"/>
    <cellStyle name="14 6 3 2" xfId="2223"/>
    <cellStyle name="14 6 3 3" xfId="2224"/>
    <cellStyle name="14 6 3 4" xfId="2225"/>
    <cellStyle name="14 6 4" xfId="2226"/>
    <cellStyle name="14 6 4 2" xfId="2227"/>
    <cellStyle name="14 6 4 3" xfId="2228"/>
    <cellStyle name="14 6 4 4" xfId="2229"/>
    <cellStyle name="14 6 5" xfId="2230"/>
    <cellStyle name="14 6 6" xfId="2231"/>
    <cellStyle name="14 6 7" xfId="2232"/>
    <cellStyle name="14 6 8" xfId="2233"/>
    <cellStyle name="14 7" xfId="2234"/>
    <cellStyle name="14 7 2" xfId="2235"/>
    <cellStyle name="14 7 3" xfId="2236"/>
    <cellStyle name="14 7 4" xfId="2237"/>
    <cellStyle name="14 8" xfId="2238"/>
    <cellStyle name="14 8 2" xfId="2239"/>
    <cellStyle name="14 8 3" xfId="2240"/>
    <cellStyle name="14 8 4" xfId="2241"/>
    <cellStyle name="14 9" xfId="2242"/>
    <cellStyle name="14 9 2" xfId="2243"/>
    <cellStyle name="14 9 3" xfId="2244"/>
    <cellStyle name="14 9 4" xfId="2245"/>
    <cellStyle name="2" xfId="2246"/>
    <cellStyle name="2 2" xfId="2247"/>
    <cellStyle name="2 2 2" xfId="2248"/>
    <cellStyle name="2 2 2 2" xfId="2249"/>
    <cellStyle name="2 2 2 2 2" xfId="2250"/>
    <cellStyle name="2 2 2 2 3" xfId="2251"/>
    <cellStyle name="2 2 2 2 4" xfId="2252"/>
    <cellStyle name="2 2 2 3" xfId="2253"/>
    <cellStyle name="2 2 2 3 2" xfId="2254"/>
    <cellStyle name="2 2 2 3 3" xfId="2255"/>
    <cellStyle name="2 2 2 3 4" xfId="2256"/>
    <cellStyle name="2 2 2 4" xfId="2257"/>
    <cellStyle name="2 2 2 4 2" xfId="2258"/>
    <cellStyle name="2 2 2 4 3" xfId="2259"/>
    <cellStyle name="2 2 2 4 4" xfId="2260"/>
    <cellStyle name="2 2 2 5" xfId="2261"/>
    <cellStyle name="2 2 2 6" xfId="2262"/>
    <cellStyle name="2 2 2 7" xfId="2263"/>
    <cellStyle name="2 2 2 8" xfId="2264"/>
    <cellStyle name="2 2 3" xfId="2265"/>
    <cellStyle name="2 2 3 2" xfId="2266"/>
    <cellStyle name="2 2 3 2 2" xfId="2267"/>
    <cellStyle name="2 2 3 2 3" xfId="2268"/>
    <cellStyle name="2 2 3 2 4" xfId="2269"/>
    <cellStyle name="2 2 3 3" xfId="2270"/>
    <cellStyle name="2 2 3 3 2" xfId="2271"/>
    <cellStyle name="2 2 3 3 3" xfId="2272"/>
    <cellStyle name="2 2 3 3 4" xfId="2273"/>
    <cellStyle name="2 2 3 4" xfId="2274"/>
    <cellStyle name="2 2 3 4 2" xfId="2275"/>
    <cellStyle name="2 2 3 4 3" xfId="2276"/>
    <cellStyle name="2 2 3 4 4" xfId="2277"/>
    <cellStyle name="2 2 3 5" xfId="2278"/>
    <cellStyle name="2 2 3 6" xfId="2279"/>
    <cellStyle name="2 2 3 7" xfId="2280"/>
    <cellStyle name="2 2 3 8" xfId="2281"/>
    <cellStyle name="2 2 4" xfId="2282"/>
    <cellStyle name="2 2 4 2" xfId="2283"/>
    <cellStyle name="2 2 4 2 2" xfId="2284"/>
    <cellStyle name="2 2 4 2 3" xfId="2285"/>
    <cellStyle name="2 2 4 2 4" xfId="2286"/>
    <cellStyle name="2 2 4 3" xfId="2287"/>
    <cellStyle name="2 2 4 3 2" xfId="2288"/>
    <cellStyle name="2 2 4 3 3" xfId="2289"/>
    <cellStyle name="2 2 4 3 4" xfId="2290"/>
    <cellStyle name="2 2 4 4" xfId="2291"/>
    <cellStyle name="2 2 4 4 2" xfId="2292"/>
    <cellStyle name="2 2 4 4 3" xfId="2293"/>
    <cellStyle name="2 2 4 4 4" xfId="2294"/>
    <cellStyle name="2 2 4 5" xfId="2295"/>
    <cellStyle name="2 2 4 6" xfId="2296"/>
    <cellStyle name="2 2 4 7" xfId="2297"/>
    <cellStyle name="2 2 4 8" xfId="2298"/>
    <cellStyle name="2 2 5" xfId="2299"/>
    <cellStyle name="2 2 5 2" xfId="2300"/>
    <cellStyle name="2 2 5 3" xfId="2301"/>
    <cellStyle name="2 2 5 4" xfId="2302"/>
    <cellStyle name="2 2 6" xfId="2303"/>
    <cellStyle name="2 2 6 2" xfId="2304"/>
    <cellStyle name="2 2 6 3" xfId="2305"/>
    <cellStyle name="2 2 6 4" xfId="2306"/>
    <cellStyle name="2 2 7" xfId="2307"/>
    <cellStyle name="2 2 8" xfId="2308"/>
    <cellStyle name="2 3" xfId="2309"/>
    <cellStyle name="2 3 2" xfId="2310"/>
    <cellStyle name="2 3 2 2" xfId="2311"/>
    <cellStyle name="2 3 2 3" xfId="2312"/>
    <cellStyle name="2 3 2 4" xfId="2313"/>
    <cellStyle name="2 3 3" xfId="2314"/>
    <cellStyle name="2 3 3 2" xfId="2315"/>
    <cellStyle name="2 3 3 3" xfId="2316"/>
    <cellStyle name="2 3 3 4" xfId="2317"/>
    <cellStyle name="2 3 4" xfId="2318"/>
    <cellStyle name="2 3 4 2" xfId="2319"/>
    <cellStyle name="2 3 4 3" xfId="2320"/>
    <cellStyle name="2 3 4 4" xfId="2321"/>
    <cellStyle name="2 3 5" xfId="2322"/>
    <cellStyle name="2 3 6" xfId="2323"/>
    <cellStyle name="2 3 7" xfId="2324"/>
    <cellStyle name="2 3 8" xfId="2325"/>
    <cellStyle name="2 4" xfId="2326"/>
    <cellStyle name="2 4 2" xfId="2327"/>
    <cellStyle name="2 4 2 2" xfId="2328"/>
    <cellStyle name="2 4 2 3" xfId="2329"/>
    <cellStyle name="2 4 2 4" xfId="2330"/>
    <cellStyle name="2 4 3" xfId="2331"/>
    <cellStyle name="2 4 3 2" xfId="2332"/>
    <cellStyle name="2 4 3 3" xfId="2333"/>
    <cellStyle name="2 4 3 4" xfId="2334"/>
    <cellStyle name="2 4 4" xfId="2335"/>
    <cellStyle name="2 4 4 2" xfId="2336"/>
    <cellStyle name="2 4 4 3" xfId="2337"/>
    <cellStyle name="2 4 4 4" xfId="2338"/>
    <cellStyle name="2 4 5" xfId="2339"/>
    <cellStyle name="2 4 6" xfId="2340"/>
    <cellStyle name="2 4 7" xfId="2341"/>
    <cellStyle name="2 4 8" xfId="2342"/>
    <cellStyle name="2 5" xfId="2343"/>
    <cellStyle name="2 5 2" xfId="2344"/>
    <cellStyle name="2 5 2 2" xfId="2345"/>
    <cellStyle name="2 5 2 3" xfId="2346"/>
    <cellStyle name="2 5 2 4" xfId="2347"/>
    <cellStyle name="2 5 3" xfId="2348"/>
    <cellStyle name="2 5 3 2" xfId="2349"/>
    <cellStyle name="2 5 3 3" xfId="2350"/>
    <cellStyle name="2 5 3 4" xfId="2351"/>
    <cellStyle name="2 5 4" xfId="2352"/>
    <cellStyle name="2 5 4 2" xfId="2353"/>
    <cellStyle name="2 5 4 3" xfId="2354"/>
    <cellStyle name="2 5 4 4" xfId="2355"/>
    <cellStyle name="2 5 5" xfId="2356"/>
    <cellStyle name="2 5 6" xfId="2357"/>
    <cellStyle name="2 5 7" xfId="2358"/>
    <cellStyle name="2 5 8" xfId="2359"/>
    <cellStyle name="2 6" xfId="2360"/>
    <cellStyle name="2 6 2" xfId="2361"/>
    <cellStyle name="2 6 3" xfId="2362"/>
    <cellStyle name="2 6 4" xfId="2363"/>
    <cellStyle name="2 7" xfId="2364"/>
    <cellStyle name="2 7 2" xfId="2365"/>
    <cellStyle name="2 7 3" xfId="2366"/>
    <cellStyle name="2 7 4" xfId="2367"/>
    <cellStyle name="2 8" xfId="2368"/>
    <cellStyle name="2 9" xfId="2369"/>
    <cellStyle name="20 % - Markeringsfarve1" xfId="53003"/>
    <cellStyle name="20 % - Markeringsfarve1 2" xfId="53004"/>
    <cellStyle name="20 % - Markeringsfarve2" xfId="53005"/>
    <cellStyle name="20 % - Markeringsfarve2 2" xfId="53006"/>
    <cellStyle name="20 % - Markeringsfarve3" xfId="53007"/>
    <cellStyle name="20 % - Markeringsfarve3 2" xfId="53008"/>
    <cellStyle name="20 % - Markeringsfarve4" xfId="53009"/>
    <cellStyle name="20 % - Markeringsfarve4 2" xfId="53010"/>
    <cellStyle name="20 % - Markeringsfarve5" xfId="53011"/>
    <cellStyle name="20 % - Markeringsfarve5 2" xfId="53012"/>
    <cellStyle name="20 % - Markeringsfarve6" xfId="53013"/>
    <cellStyle name="20 % - Markeringsfarve6 2" xfId="53014"/>
    <cellStyle name="20 % - Accent1" xfId="53015"/>
    <cellStyle name="20 % - Accent1 2" xfId="53016"/>
    <cellStyle name="20 % - Accent2" xfId="53017"/>
    <cellStyle name="20 % - Accent2 2" xfId="53018"/>
    <cellStyle name="20 % - Accent3" xfId="53019"/>
    <cellStyle name="20 % - Accent3 2" xfId="53020"/>
    <cellStyle name="20 % - Accent4" xfId="53021"/>
    <cellStyle name="20 % - Accent4 2" xfId="53022"/>
    <cellStyle name="20 % - Accent5" xfId="53023"/>
    <cellStyle name="20 % - Accent5 2" xfId="53024"/>
    <cellStyle name="20 % - Accent6" xfId="53025"/>
    <cellStyle name="20 % - Accent6 2" xfId="53026"/>
    <cellStyle name="20% - Accent1" xfId="2370"/>
    <cellStyle name="20% - Accent1 10" xfId="2371"/>
    <cellStyle name="20% - Accent1 11" xfId="2372"/>
    <cellStyle name="20% - Accent1 2" xfId="2373"/>
    <cellStyle name="20% - Accent1 2 2" xfId="2374"/>
    <cellStyle name="20% - Accent1 2 2 2" xfId="2375"/>
    <cellStyle name="20% - Accent1 2 2 2 2" xfId="2376"/>
    <cellStyle name="20% - Accent1 2 2 2 2 2" xfId="2377"/>
    <cellStyle name="20% - Accent1 2 2 2 2 2 2" xfId="2378"/>
    <cellStyle name="20% - Accent1 2 2 2 2 3" xfId="2379"/>
    <cellStyle name="20% - Accent1 2 2 2 3" xfId="2380"/>
    <cellStyle name="20% - Accent1 2 2 2 3 2" xfId="2381"/>
    <cellStyle name="20% - Accent1 2 2 2 4" xfId="2382"/>
    <cellStyle name="20% - Accent1 2 2 3" xfId="2383"/>
    <cellStyle name="20% - Accent1 2 2 3 2" xfId="2384"/>
    <cellStyle name="20% - Accent1 2 2 3 2 2" xfId="2385"/>
    <cellStyle name="20% - Accent1 2 2 3 3" xfId="2386"/>
    <cellStyle name="20% - Accent1 2 2 4" xfId="2387"/>
    <cellStyle name="20% - Accent1 2 2 4 2" xfId="2388"/>
    <cellStyle name="20% - Accent1 2 2 5" xfId="2389"/>
    <cellStyle name="20% - Accent1 2 3" xfId="2390"/>
    <cellStyle name="20% - Accent1 2 3 2" xfId="2391"/>
    <cellStyle name="20% - Accent1 2 3 2 2" xfId="2392"/>
    <cellStyle name="20% - Accent1 2 3 2 2 2" xfId="2393"/>
    <cellStyle name="20% - Accent1 2 3 2 3" xfId="2394"/>
    <cellStyle name="20% - Accent1 2 3 3" xfId="2395"/>
    <cellStyle name="20% - Accent1 2 3 3 2" xfId="2396"/>
    <cellStyle name="20% - Accent1 2 3 4" xfId="2397"/>
    <cellStyle name="20% - Accent1 2 4" xfId="2398"/>
    <cellStyle name="20% - Accent1 2 4 2" xfId="2399"/>
    <cellStyle name="20% - Accent1 2 4 2 2" xfId="2400"/>
    <cellStyle name="20% - Accent1 2 4 3" xfId="2401"/>
    <cellStyle name="20% - Accent1 2 5" xfId="2402"/>
    <cellStyle name="20% - Accent1 2 5 2" xfId="2403"/>
    <cellStyle name="20% - Accent1 2 5 3" xfId="2404"/>
    <cellStyle name="20% - Accent1 2 6" xfId="2405"/>
    <cellStyle name="20% - Accent1 2 6 2" xfId="2406"/>
    <cellStyle name="20% - Accent1 2 6 3" xfId="2407"/>
    <cellStyle name="20% - Accent1 2 7" xfId="2408"/>
    <cellStyle name="20% - Accent1 2 7 2" xfId="2409"/>
    <cellStyle name="20% - Accent1 2 7 3" xfId="2410"/>
    <cellStyle name="20% - Accent1 2 8" xfId="2411"/>
    <cellStyle name="20% - Accent1 2 9" xfId="2412"/>
    <cellStyle name="20% - Accent1 3" xfId="2413"/>
    <cellStyle name="20% - Accent1 3 2" xfId="2414"/>
    <cellStyle name="20% - Accent1 3 2 2" xfId="2415"/>
    <cellStyle name="20% - Accent1 3 2 2 2" xfId="2416"/>
    <cellStyle name="20% - Accent1 3 2 2 2 2" xfId="2417"/>
    <cellStyle name="20% - Accent1 3 2 2 2 2 2" xfId="2418"/>
    <cellStyle name="20% - Accent1 3 2 2 2 3" xfId="2419"/>
    <cellStyle name="20% - Accent1 3 2 2 3" xfId="2420"/>
    <cellStyle name="20% - Accent1 3 2 2 3 2" xfId="2421"/>
    <cellStyle name="20% - Accent1 3 2 2 4" xfId="2422"/>
    <cellStyle name="20% - Accent1 3 2 3" xfId="2423"/>
    <cellStyle name="20% - Accent1 3 2 3 2" xfId="2424"/>
    <cellStyle name="20% - Accent1 3 2 3 2 2" xfId="2425"/>
    <cellStyle name="20% - Accent1 3 2 3 3" xfId="2426"/>
    <cellStyle name="20% - Accent1 3 2 4" xfId="2427"/>
    <cellStyle name="20% - Accent1 3 2 4 2" xfId="2428"/>
    <cellStyle name="20% - Accent1 3 2 5" xfId="2429"/>
    <cellStyle name="20% - Accent1 3 3" xfId="2430"/>
    <cellStyle name="20% - Accent1 3 3 2" xfId="2431"/>
    <cellStyle name="20% - Accent1 3 3 2 2" xfId="2432"/>
    <cellStyle name="20% - Accent1 3 3 2 2 2" xfId="2433"/>
    <cellStyle name="20% - Accent1 3 3 2 3" xfId="2434"/>
    <cellStyle name="20% - Accent1 3 3 3" xfId="2435"/>
    <cellStyle name="20% - Accent1 3 3 3 2" xfId="2436"/>
    <cellStyle name="20% - Accent1 3 3 4" xfId="2437"/>
    <cellStyle name="20% - Accent1 3 4" xfId="2438"/>
    <cellStyle name="20% - Accent1 3 4 2" xfId="2439"/>
    <cellStyle name="20% - Accent1 3 4 2 2" xfId="2440"/>
    <cellStyle name="20% - Accent1 3 4 3" xfId="2441"/>
    <cellStyle name="20% - Accent1 3 5" xfId="2442"/>
    <cellStyle name="20% - Accent1 3 5 2" xfId="2443"/>
    <cellStyle name="20% - Accent1 3 5 3" xfId="2444"/>
    <cellStyle name="20% - Accent1 3 6" xfId="2445"/>
    <cellStyle name="20% - Accent1 3 6 2" xfId="2446"/>
    <cellStyle name="20% - Accent1 3 6 3" xfId="2447"/>
    <cellStyle name="20% - Accent1 3 7" xfId="2448"/>
    <cellStyle name="20% - Accent1 3 7 2" xfId="2449"/>
    <cellStyle name="20% - Accent1 3 7 3" xfId="2450"/>
    <cellStyle name="20% - Accent1 3 8" xfId="2451"/>
    <cellStyle name="20% - Accent1 3 9" xfId="2452"/>
    <cellStyle name="20% - Accent1 4" xfId="2453"/>
    <cellStyle name="20% - Accent1 4 2" xfId="2454"/>
    <cellStyle name="20% - Accent1 4 2 2" xfId="2455"/>
    <cellStyle name="20% - Accent1 4 2 2 2" xfId="2456"/>
    <cellStyle name="20% - Accent1 4 2 2 2 2" xfId="2457"/>
    <cellStyle name="20% - Accent1 4 2 2 3" xfId="2458"/>
    <cellStyle name="20% - Accent1 4 2 3" xfId="2459"/>
    <cellStyle name="20% - Accent1 4 2 3 2" xfId="2460"/>
    <cellStyle name="20% - Accent1 4 2 4" xfId="2461"/>
    <cellStyle name="20% - Accent1 4 3" xfId="2462"/>
    <cellStyle name="20% - Accent1 4 3 2" xfId="2463"/>
    <cellStyle name="20% - Accent1 4 3 2 2" xfId="2464"/>
    <cellStyle name="20% - Accent1 4 3 3" xfId="2465"/>
    <cellStyle name="20% - Accent1 4 4" xfId="2466"/>
    <cellStyle name="20% - Accent1 4 4 2" xfId="2467"/>
    <cellStyle name="20% - Accent1 4 5" xfId="2468"/>
    <cellStyle name="20% - Accent1 5" xfId="2469"/>
    <cellStyle name="20% - Accent1 5 2" xfId="2470"/>
    <cellStyle name="20% - Accent1 5 2 2" xfId="2471"/>
    <cellStyle name="20% - Accent1 5 2 2 2" xfId="2472"/>
    <cellStyle name="20% - Accent1 5 2 3" xfId="2473"/>
    <cellStyle name="20% - Accent1 5 3" xfId="2474"/>
    <cellStyle name="20% - Accent1 5 3 2" xfId="2475"/>
    <cellStyle name="20% - Accent1 5 4" xfId="2476"/>
    <cellStyle name="20% - Accent1 6" xfId="2477"/>
    <cellStyle name="20% - Accent1 6 2" xfId="2478"/>
    <cellStyle name="20% - Accent1 6 2 2" xfId="2479"/>
    <cellStyle name="20% - Accent1 6 3" xfId="2480"/>
    <cellStyle name="20% - Accent1 7" xfId="2481"/>
    <cellStyle name="20% - Accent1 7 2" xfId="2482"/>
    <cellStyle name="20% - Accent1 7 3" xfId="2483"/>
    <cellStyle name="20% - Accent1 8" xfId="2484"/>
    <cellStyle name="20% - Accent1 8 2" xfId="2485"/>
    <cellStyle name="20% - Accent1 8 3" xfId="2486"/>
    <cellStyle name="20% - Accent1 9" xfId="2487"/>
    <cellStyle name="20% - Accent1 9 2" xfId="2488"/>
    <cellStyle name="20% - Accent1 9 3" xfId="2489"/>
    <cellStyle name="20% - Accent1_Plan Campaña Día de la Madre 2010 - v2" xfId="2490"/>
    <cellStyle name="20% - Accent2" xfId="2491"/>
    <cellStyle name="20% - Accent2 10" xfId="2492"/>
    <cellStyle name="20% - Accent2 11" xfId="2493"/>
    <cellStyle name="20% - Accent2 2" xfId="2494"/>
    <cellStyle name="20% - Accent2 2 2" xfId="2495"/>
    <cellStyle name="20% - Accent2 2 2 2" xfId="2496"/>
    <cellStyle name="20% - Accent2 2 2 2 2" xfId="2497"/>
    <cellStyle name="20% - Accent2 2 2 2 2 2" xfId="2498"/>
    <cellStyle name="20% - Accent2 2 2 2 2 2 2" xfId="2499"/>
    <cellStyle name="20% - Accent2 2 2 2 2 3" xfId="2500"/>
    <cellStyle name="20% - Accent2 2 2 2 3" xfId="2501"/>
    <cellStyle name="20% - Accent2 2 2 2 3 2" xfId="2502"/>
    <cellStyle name="20% - Accent2 2 2 2 4" xfId="2503"/>
    <cellStyle name="20% - Accent2 2 2 3" xfId="2504"/>
    <cellStyle name="20% - Accent2 2 2 3 2" xfId="2505"/>
    <cellStyle name="20% - Accent2 2 2 3 2 2" xfId="2506"/>
    <cellStyle name="20% - Accent2 2 2 3 3" xfId="2507"/>
    <cellStyle name="20% - Accent2 2 2 4" xfId="2508"/>
    <cellStyle name="20% - Accent2 2 2 4 2" xfId="2509"/>
    <cellStyle name="20% - Accent2 2 2 5" xfId="2510"/>
    <cellStyle name="20% - Accent2 2 3" xfId="2511"/>
    <cellStyle name="20% - Accent2 2 3 2" xfId="2512"/>
    <cellStyle name="20% - Accent2 2 3 2 2" xfId="2513"/>
    <cellStyle name="20% - Accent2 2 3 2 2 2" xfId="2514"/>
    <cellStyle name="20% - Accent2 2 3 2 3" xfId="2515"/>
    <cellStyle name="20% - Accent2 2 3 3" xfId="2516"/>
    <cellStyle name="20% - Accent2 2 3 3 2" xfId="2517"/>
    <cellStyle name="20% - Accent2 2 3 4" xfId="2518"/>
    <cellStyle name="20% - Accent2 2 4" xfId="2519"/>
    <cellStyle name="20% - Accent2 2 4 2" xfId="2520"/>
    <cellStyle name="20% - Accent2 2 4 2 2" xfId="2521"/>
    <cellStyle name="20% - Accent2 2 4 3" xfId="2522"/>
    <cellStyle name="20% - Accent2 2 5" xfId="2523"/>
    <cellStyle name="20% - Accent2 2 5 2" xfId="2524"/>
    <cellStyle name="20% - Accent2 2 5 3" xfId="2525"/>
    <cellStyle name="20% - Accent2 2 6" xfId="2526"/>
    <cellStyle name="20% - Accent2 2 6 2" xfId="2527"/>
    <cellStyle name="20% - Accent2 2 6 3" xfId="2528"/>
    <cellStyle name="20% - Accent2 2 7" xfId="2529"/>
    <cellStyle name="20% - Accent2 2 7 2" xfId="2530"/>
    <cellStyle name="20% - Accent2 2 7 3" xfId="2531"/>
    <cellStyle name="20% - Accent2 2 8" xfId="2532"/>
    <cellStyle name="20% - Accent2 2 9" xfId="2533"/>
    <cellStyle name="20% - Accent2 3" xfId="2534"/>
    <cellStyle name="20% - Accent2 3 2" xfId="2535"/>
    <cellStyle name="20% - Accent2 3 2 2" xfId="2536"/>
    <cellStyle name="20% - Accent2 3 2 2 2" xfId="2537"/>
    <cellStyle name="20% - Accent2 3 2 2 2 2" xfId="2538"/>
    <cellStyle name="20% - Accent2 3 2 2 2 2 2" xfId="2539"/>
    <cellStyle name="20% - Accent2 3 2 2 2 3" xfId="2540"/>
    <cellStyle name="20% - Accent2 3 2 2 3" xfId="2541"/>
    <cellStyle name="20% - Accent2 3 2 2 3 2" xfId="2542"/>
    <cellStyle name="20% - Accent2 3 2 2 4" xfId="2543"/>
    <cellStyle name="20% - Accent2 3 2 3" xfId="2544"/>
    <cellStyle name="20% - Accent2 3 2 3 2" xfId="2545"/>
    <cellStyle name="20% - Accent2 3 2 3 2 2" xfId="2546"/>
    <cellStyle name="20% - Accent2 3 2 3 3" xfId="2547"/>
    <cellStyle name="20% - Accent2 3 2 4" xfId="2548"/>
    <cellStyle name="20% - Accent2 3 2 4 2" xfId="2549"/>
    <cellStyle name="20% - Accent2 3 2 5" xfId="2550"/>
    <cellStyle name="20% - Accent2 3 3" xfId="2551"/>
    <cellStyle name="20% - Accent2 3 3 2" xfId="2552"/>
    <cellStyle name="20% - Accent2 3 3 2 2" xfId="2553"/>
    <cellStyle name="20% - Accent2 3 3 2 2 2" xfId="2554"/>
    <cellStyle name="20% - Accent2 3 3 2 3" xfId="2555"/>
    <cellStyle name="20% - Accent2 3 3 3" xfId="2556"/>
    <cellStyle name="20% - Accent2 3 3 3 2" xfId="2557"/>
    <cellStyle name="20% - Accent2 3 3 4" xfId="2558"/>
    <cellStyle name="20% - Accent2 3 4" xfId="2559"/>
    <cellStyle name="20% - Accent2 3 4 2" xfId="2560"/>
    <cellStyle name="20% - Accent2 3 4 2 2" xfId="2561"/>
    <cellStyle name="20% - Accent2 3 4 3" xfId="2562"/>
    <cellStyle name="20% - Accent2 3 5" xfId="2563"/>
    <cellStyle name="20% - Accent2 3 5 2" xfId="2564"/>
    <cellStyle name="20% - Accent2 3 5 3" xfId="2565"/>
    <cellStyle name="20% - Accent2 3 6" xfId="2566"/>
    <cellStyle name="20% - Accent2 3 6 2" xfId="2567"/>
    <cellStyle name="20% - Accent2 3 6 3" xfId="2568"/>
    <cellStyle name="20% - Accent2 3 7" xfId="2569"/>
    <cellStyle name="20% - Accent2 3 7 2" xfId="2570"/>
    <cellStyle name="20% - Accent2 3 7 3" xfId="2571"/>
    <cellStyle name="20% - Accent2 3 8" xfId="2572"/>
    <cellStyle name="20% - Accent2 3 9" xfId="2573"/>
    <cellStyle name="20% - Accent2 4" xfId="2574"/>
    <cellStyle name="20% - Accent2 4 2" xfId="2575"/>
    <cellStyle name="20% - Accent2 4 2 2" xfId="2576"/>
    <cellStyle name="20% - Accent2 4 2 2 2" xfId="2577"/>
    <cellStyle name="20% - Accent2 4 2 2 2 2" xfId="2578"/>
    <cellStyle name="20% - Accent2 4 2 2 3" xfId="2579"/>
    <cellStyle name="20% - Accent2 4 2 3" xfId="2580"/>
    <cellStyle name="20% - Accent2 4 2 3 2" xfId="2581"/>
    <cellStyle name="20% - Accent2 4 2 4" xfId="2582"/>
    <cellStyle name="20% - Accent2 4 3" xfId="2583"/>
    <cellStyle name="20% - Accent2 4 3 2" xfId="2584"/>
    <cellStyle name="20% - Accent2 4 3 2 2" xfId="2585"/>
    <cellStyle name="20% - Accent2 4 3 3" xfId="2586"/>
    <cellStyle name="20% - Accent2 4 4" xfId="2587"/>
    <cellStyle name="20% - Accent2 4 4 2" xfId="2588"/>
    <cellStyle name="20% - Accent2 4 5" xfId="2589"/>
    <cellStyle name="20% - Accent2 5" xfId="2590"/>
    <cellStyle name="20% - Accent2 5 2" xfId="2591"/>
    <cellStyle name="20% - Accent2 5 2 2" xfId="2592"/>
    <cellStyle name="20% - Accent2 5 2 2 2" xfId="2593"/>
    <cellStyle name="20% - Accent2 5 2 3" xfId="2594"/>
    <cellStyle name="20% - Accent2 5 3" xfId="2595"/>
    <cellStyle name="20% - Accent2 5 3 2" xfId="2596"/>
    <cellStyle name="20% - Accent2 5 4" xfId="2597"/>
    <cellStyle name="20% - Accent2 6" xfId="2598"/>
    <cellStyle name="20% - Accent2 6 2" xfId="2599"/>
    <cellStyle name="20% - Accent2 6 2 2" xfId="2600"/>
    <cellStyle name="20% - Accent2 6 3" xfId="2601"/>
    <cellStyle name="20% - Accent2 7" xfId="2602"/>
    <cellStyle name="20% - Accent2 7 2" xfId="2603"/>
    <cellStyle name="20% - Accent2 7 3" xfId="2604"/>
    <cellStyle name="20% - Accent2 8" xfId="2605"/>
    <cellStyle name="20% - Accent2 8 2" xfId="2606"/>
    <cellStyle name="20% - Accent2 8 3" xfId="2607"/>
    <cellStyle name="20% - Accent2 9" xfId="2608"/>
    <cellStyle name="20% - Accent2 9 2" xfId="2609"/>
    <cellStyle name="20% - Accent2 9 3" xfId="2610"/>
    <cellStyle name="20% - Accent2_Plan Campaña Día de la Madre 2010 - v2" xfId="2611"/>
    <cellStyle name="20% - Accent3" xfId="2612"/>
    <cellStyle name="20% - Accent3 10" xfId="2613"/>
    <cellStyle name="20% - Accent3 11" xfId="2614"/>
    <cellStyle name="20% - Accent3 2" xfId="2615"/>
    <cellStyle name="20% - Accent3 2 2" xfId="2616"/>
    <cellStyle name="20% - Accent3 2 2 2" xfId="2617"/>
    <cellStyle name="20% - Accent3 2 2 2 2" xfId="2618"/>
    <cellStyle name="20% - Accent3 2 2 2 2 2" xfId="2619"/>
    <cellStyle name="20% - Accent3 2 2 2 2 2 2" xfId="2620"/>
    <cellStyle name="20% - Accent3 2 2 2 2 3" xfId="2621"/>
    <cellStyle name="20% - Accent3 2 2 2 3" xfId="2622"/>
    <cellStyle name="20% - Accent3 2 2 2 3 2" xfId="2623"/>
    <cellStyle name="20% - Accent3 2 2 2 4" xfId="2624"/>
    <cellStyle name="20% - Accent3 2 2 3" xfId="2625"/>
    <cellStyle name="20% - Accent3 2 2 3 2" xfId="2626"/>
    <cellStyle name="20% - Accent3 2 2 3 2 2" xfId="2627"/>
    <cellStyle name="20% - Accent3 2 2 3 3" xfId="2628"/>
    <cellStyle name="20% - Accent3 2 2 4" xfId="2629"/>
    <cellStyle name="20% - Accent3 2 2 4 2" xfId="2630"/>
    <cellStyle name="20% - Accent3 2 2 5" xfId="2631"/>
    <cellStyle name="20% - Accent3 2 3" xfId="2632"/>
    <cellStyle name="20% - Accent3 2 3 2" xfId="2633"/>
    <cellStyle name="20% - Accent3 2 3 2 2" xfId="2634"/>
    <cellStyle name="20% - Accent3 2 3 2 2 2" xfId="2635"/>
    <cellStyle name="20% - Accent3 2 3 2 3" xfId="2636"/>
    <cellStyle name="20% - Accent3 2 3 3" xfId="2637"/>
    <cellStyle name="20% - Accent3 2 3 3 2" xfId="2638"/>
    <cellStyle name="20% - Accent3 2 3 4" xfId="2639"/>
    <cellStyle name="20% - Accent3 2 4" xfId="2640"/>
    <cellStyle name="20% - Accent3 2 4 2" xfId="2641"/>
    <cellStyle name="20% - Accent3 2 4 2 2" xfId="2642"/>
    <cellStyle name="20% - Accent3 2 4 3" xfId="2643"/>
    <cellStyle name="20% - Accent3 2 5" xfId="2644"/>
    <cellStyle name="20% - Accent3 2 5 2" xfId="2645"/>
    <cellStyle name="20% - Accent3 2 5 3" xfId="2646"/>
    <cellStyle name="20% - Accent3 2 6" xfId="2647"/>
    <cellStyle name="20% - Accent3 2 6 2" xfId="2648"/>
    <cellStyle name="20% - Accent3 2 6 3" xfId="2649"/>
    <cellStyle name="20% - Accent3 2 7" xfId="2650"/>
    <cellStyle name="20% - Accent3 2 7 2" xfId="2651"/>
    <cellStyle name="20% - Accent3 2 7 3" xfId="2652"/>
    <cellStyle name="20% - Accent3 2 8" xfId="2653"/>
    <cellStyle name="20% - Accent3 2 9" xfId="2654"/>
    <cellStyle name="20% - Accent3 3" xfId="2655"/>
    <cellStyle name="20% - Accent3 3 2" xfId="2656"/>
    <cellStyle name="20% - Accent3 3 2 2" xfId="2657"/>
    <cellStyle name="20% - Accent3 3 2 2 2" xfId="2658"/>
    <cellStyle name="20% - Accent3 3 2 2 2 2" xfId="2659"/>
    <cellStyle name="20% - Accent3 3 2 2 2 2 2" xfId="2660"/>
    <cellStyle name="20% - Accent3 3 2 2 2 3" xfId="2661"/>
    <cellStyle name="20% - Accent3 3 2 2 3" xfId="2662"/>
    <cellStyle name="20% - Accent3 3 2 2 3 2" xfId="2663"/>
    <cellStyle name="20% - Accent3 3 2 2 4" xfId="2664"/>
    <cellStyle name="20% - Accent3 3 2 3" xfId="2665"/>
    <cellStyle name="20% - Accent3 3 2 3 2" xfId="2666"/>
    <cellStyle name="20% - Accent3 3 2 3 2 2" xfId="2667"/>
    <cellStyle name="20% - Accent3 3 2 3 3" xfId="2668"/>
    <cellStyle name="20% - Accent3 3 2 4" xfId="2669"/>
    <cellStyle name="20% - Accent3 3 2 4 2" xfId="2670"/>
    <cellStyle name="20% - Accent3 3 2 5" xfId="2671"/>
    <cellStyle name="20% - Accent3 3 3" xfId="2672"/>
    <cellStyle name="20% - Accent3 3 3 2" xfId="2673"/>
    <cellStyle name="20% - Accent3 3 3 2 2" xfId="2674"/>
    <cellStyle name="20% - Accent3 3 3 2 2 2" xfId="2675"/>
    <cellStyle name="20% - Accent3 3 3 2 3" xfId="2676"/>
    <cellStyle name="20% - Accent3 3 3 3" xfId="2677"/>
    <cellStyle name="20% - Accent3 3 3 3 2" xfId="2678"/>
    <cellStyle name="20% - Accent3 3 3 4" xfId="2679"/>
    <cellStyle name="20% - Accent3 3 4" xfId="2680"/>
    <cellStyle name="20% - Accent3 3 4 2" xfId="2681"/>
    <cellStyle name="20% - Accent3 3 4 2 2" xfId="2682"/>
    <cellStyle name="20% - Accent3 3 4 3" xfId="2683"/>
    <cellStyle name="20% - Accent3 3 5" xfId="2684"/>
    <cellStyle name="20% - Accent3 3 5 2" xfId="2685"/>
    <cellStyle name="20% - Accent3 3 5 3" xfId="2686"/>
    <cellStyle name="20% - Accent3 3 6" xfId="2687"/>
    <cellStyle name="20% - Accent3 3 6 2" xfId="2688"/>
    <cellStyle name="20% - Accent3 3 6 3" xfId="2689"/>
    <cellStyle name="20% - Accent3 3 7" xfId="2690"/>
    <cellStyle name="20% - Accent3 3 7 2" xfId="2691"/>
    <cellStyle name="20% - Accent3 3 7 3" xfId="2692"/>
    <cellStyle name="20% - Accent3 3 8" xfId="2693"/>
    <cellStyle name="20% - Accent3 3 9" xfId="2694"/>
    <cellStyle name="20% - Accent3 4" xfId="2695"/>
    <cellStyle name="20% - Accent3 4 2" xfId="2696"/>
    <cellStyle name="20% - Accent3 4 2 2" xfId="2697"/>
    <cellStyle name="20% - Accent3 4 2 2 2" xfId="2698"/>
    <cellStyle name="20% - Accent3 4 2 2 2 2" xfId="2699"/>
    <cellStyle name="20% - Accent3 4 2 2 3" xfId="2700"/>
    <cellStyle name="20% - Accent3 4 2 3" xfId="2701"/>
    <cellStyle name="20% - Accent3 4 2 3 2" xfId="2702"/>
    <cellStyle name="20% - Accent3 4 2 4" xfId="2703"/>
    <cellStyle name="20% - Accent3 4 3" xfId="2704"/>
    <cellStyle name="20% - Accent3 4 3 2" xfId="2705"/>
    <cellStyle name="20% - Accent3 4 3 2 2" xfId="2706"/>
    <cellStyle name="20% - Accent3 4 3 3" xfId="2707"/>
    <cellStyle name="20% - Accent3 4 4" xfId="2708"/>
    <cellStyle name="20% - Accent3 4 4 2" xfId="2709"/>
    <cellStyle name="20% - Accent3 4 5" xfId="2710"/>
    <cellStyle name="20% - Accent3 5" xfId="2711"/>
    <cellStyle name="20% - Accent3 5 2" xfId="2712"/>
    <cellStyle name="20% - Accent3 5 2 2" xfId="2713"/>
    <cellStyle name="20% - Accent3 5 2 2 2" xfId="2714"/>
    <cellStyle name="20% - Accent3 5 2 3" xfId="2715"/>
    <cellStyle name="20% - Accent3 5 3" xfId="2716"/>
    <cellStyle name="20% - Accent3 5 3 2" xfId="2717"/>
    <cellStyle name="20% - Accent3 5 4" xfId="2718"/>
    <cellStyle name="20% - Accent3 6" xfId="2719"/>
    <cellStyle name="20% - Accent3 6 2" xfId="2720"/>
    <cellStyle name="20% - Accent3 6 2 2" xfId="2721"/>
    <cellStyle name="20% - Accent3 6 3" xfId="2722"/>
    <cellStyle name="20% - Accent3 7" xfId="2723"/>
    <cellStyle name="20% - Accent3 7 2" xfId="2724"/>
    <cellStyle name="20% - Accent3 7 3" xfId="2725"/>
    <cellStyle name="20% - Accent3 8" xfId="2726"/>
    <cellStyle name="20% - Accent3 8 2" xfId="2727"/>
    <cellStyle name="20% - Accent3 8 3" xfId="2728"/>
    <cellStyle name="20% - Accent3 9" xfId="2729"/>
    <cellStyle name="20% - Accent3 9 2" xfId="2730"/>
    <cellStyle name="20% - Accent3 9 3" xfId="2731"/>
    <cellStyle name="20% - Accent3_Plan Campaña Día de la Madre 2010 - v2" xfId="2732"/>
    <cellStyle name="20% - Accent4" xfId="2733"/>
    <cellStyle name="20% - Accent4 10" xfId="2734"/>
    <cellStyle name="20% - Accent4 11" xfId="2735"/>
    <cellStyle name="20% - Accent4 2" xfId="2736"/>
    <cellStyle name="20% - Accent4 2 2" xfId="2737"/>
    <cellStyle name="20% - Accent4 2 2 2" xfId="2738"/>
    <cellStyle name="20% - Accent4 2 2 2 2" xfId="2739"/>
    <cellStyle name="20% - Accent4 2 2 2 2 2" xfId="2740"/>
    <cellStyle name="20% - Accent4 2 2 2 2 2 2" xfId="2741"/>
    <cellStyle name="20% - Accent4 2 2 2 2 3" xfId="2742"/>
    <cellStyle name="20% - Accent4 2 2 2 3" xfId="2743"/>
    <cellStyle name="20% - Accent4 2 2 2 3 2" xfId="2744"/>
    <cellStyle name="20% - Accent4 2 2 2 4" xfId="2745"/>
    <cellStyle name="20% - Accent4 2 2 3" xfId="2746"/>
    <cellStyle name="20% - Accent4 2 2 3 2" xfId="2747"/>
    <cellStyle name="20% - Accent4 2 2 3 2 2" xfId="2748"/>
    <cellStyle name="20% - Accent4 2 2 3 3" xfId="2749"/>
    <cellStyle name="20% - Accent4 2 2 4" xfId="2750"/>
    <cellStyle name="20% - Accent4 2 2 4 2" xfId="2751"/>
    <cellStyle name="20% - Accent4 2 2 5" xfId="2752"/>
    <cellStyle name="20% - Accent4 2 3" xfId="2753"/>
    <cellStyle name="20% - Accent4 2 3 2" xfId="2754"/>
    <cellStyle name="20% - Accent4 2 3 2 2" xfId="2755"/>
    <cellStyle name="20% - Accent4 2 3 2 2 2" xfId="2756"/>
    <cellStyle name="20% - Accent4 2 3 2 3" xfId="2757"/>
    <cellStyle name="20% - Accent4 2 3 3" xfId="2758"/>
    <cellStyle name="20% - Accent4 2 3 3 2" xfId="2759"/>
    <cellStyle name="20% - Accent4 2 3 4" xfId="2760"/>
    <cellStyle name="20% - Accent4 2 4" xfId="2761"/>
    <cellStyle name="20% - Accent4 2 4 2" xfId="2762"/>
    <cellStyle name="20% - Accent4 2 4 2 2" xfId="2763"/>
    <cellStyle name="20% - Accent4 2 4 3" xfId="2764"/>
    <cellStyle name="20% - Accent4 2 5" xfId="2765"/>
    <cellStyle name="20% - Accent4 2 5 2" xfId="2766"/>
    <cellStyle name="20% - Accent4 2 5 3" xfId="2767"/>
    <cellStyle name="20% - Accent4 2 6" xfId="2768"/>
    <cellStyle name="20% - Accent4 2 6 2" xfId="2769"/>
    <cellStyle name="20% - Accent4 2 6 3" xfId="2770"/>
    <cellStyle name="20% - Accent4 2 7" xfId="2771"/>
    <cellStyle name="20% - Accent4 2 7 2" xfId="2772"/>
    <cellStyle name="20% - Accent4 2 7 3" xfId="2773"/>
    <cellStyle name="20% - Accent4 2 8" xfId="2774"/>
    <cellStyle name="20% - Accent4 2 9" xfId="2775"/>
    <cellStyle name="20% - Accent4 3" xfId="2776"/>
    <cellStyle name="20% - Accent4 3 2" xfId="2777"/>
    <cellStyle name="20% - Accent4 3 2 2" xfId="2778"/>
    <cellStyle name="20% - Accent4 3 2 2 2" xfId="2779"/>
    <cellStyle name="20% - Accent4 3 2 2 2 2" xfId="2780"/>
    <cellStyle name="20% - Accent4 3 2 2 2 2 2" xfId="2781"/>
    <cellStyle name="20% - Accent4 3 2 2 2 3" xfId="2782"/>
    <cellStyle name="20% - Accent4 3 2 2 3" xfId="2783"/>
    <cellStyle name="20% - Accent4 3 2 2 3 2" xfId="2784"/>
    <cellStyle name="20% - Accent4 3 2 2 4" xfId="2785"/>
    <cellStyle name="20% - Accent4 3 2 3" xfId="2786"/>
    <cellStyle name="20% - Accent4 3 2 3 2" xfId="2787"/>
    <cellStyle name="20% - Accent4 3 2 3 2 2" xfId="2788"/>
    <cellStyle name="20% - Accent4 3 2 3 3" xfId="2789"/>
    <cellStyle name="20% - Accent4 3 2 4" xfId="2790"/>
    <cellStyle name="20% - Accent4 3 2 4 2" xfId="2791"/>
    <cellStyle name="20% - Accent4 3 2 5" xfId="2792"/>
    <cellStyle name="20% - Accent4 3 3" xfId="2793"/>
    <cellStyle name="20% - Accent4 3 3 2" xfId="2794"/>
    <cellStyle name="20% - Accent4 3 3 2 2" xfId="2795"/>
    <cellStyle name="20% - Accent4 3 3 2 2 2" xfId="2796"/>
    <cellStyle name="20% - Accent4 3 3 2 3" xfId="2797"/>
    <cellStyle name="20% - Accent4 3 3 3" xfId="2798"/>
    <cellStyle name="20% - Accent4 3 3 3 2" xfId="2799"/>
    <cellStyle name="20% - Accent4 3 3 4" xfId="2800"/>
    <cellStyle name="20% - Accent4 3 4" xfId="2801"/>
    <cellStyle name="20% - Accent4 3 4 2" xfId="2802"/>
    <cellStyle name="20% - Accent4 3 4 2 2" xfId="2803"/>
    <cellStyle name="20% - Accent4 3 4 3" xfId="2804"/>
    <cellStyle name="20% - Accent4 3 5" xfId="2805"/>
    <cellStyle name="20% - Accent4 3 5 2" xfId="2806"/>
    <cellStyle name="20% - Accent4 3 5 3" xfId="2807"/>
    <cellStyle name="20% - Accent4 3 6" xfId="2808"/>
    <cellStyle name="20% - Accent4 3 6 2" xfId="2809"/>
    <cellStyle name="20% - Accent4 3 6 3" xfId="2810"/>
    <cellStyle name="20% - Accent4 3 7" xfId="2811"/>
    <cellStyle name="20% - Accent4 3 7 2" xfId="2812"/>
    <cellStyle name="20% - Accent4 3 7 3" xfId="2813"/>
    <cellStyle name="20% - Accent4 3 8" xfId="2814"/>
    <cellStyle name="20% - Accent4 3 9" xfId="2815"/>
    <cellStyle name="20% - Accent4 4" xfId="2816"/>
    <cellStyle name="20% - Accent4 4 2" xfId="2817"/>
    <cellStyle name="20% - Accent4 4 2 2" xfId="2818"/>
    <cellStyle name="20% - Accent4 4 2 2 2" xfId="2819"/>
    <cellStyle name="20% - Accent4 4 2 2 2 2" xfId="2820"/>
    <cellStyle name="20% - Accent4 4 2 2 3" xfId="2821"/>
    <cellStyle name="20% - Accent4 4 2 3" xfId="2822"/>
    <cellStyle name="20% - Accent4 4 2 3 2" xfId="2823"/>
    <cellStyle name="20% - Accent4 4 2 4" xfId="2824"/>
    <cellStyle name="20% - Accent4 4 3" xfId="2825"/>
    <cellStyle name="20% - Accent4 4 3 2" xfId="2826"/>
    <cellStyle name="20% - Accent4 4 3 2 2" xfId="2827"/>
    <cellStyle name="20% - Accent4 4 3 3" xfId="2828"/>
    <cellStyle name="20% - Accent4 4 4" xfId="2829"/>
    <cellStyle name="20% - Accent4 4 4 2" xfId="2830"/>
    <cellStyle name="20% - Accent4 4 5" xfId="2831"/>
    <cellStyle name="20% - Accent4 5" xfId="2832"/>
    <cellStyle name="20% - Accent4 5 2" xfId="2833"/>
    <cellStyle name="20% - Accent4 5 2 2" xfId="2834"/>
    <cellStyle name="20% - Accent4 5 2 2 2" xfId="2835"/>
    <cellStyle name="20% - Accent4 5 2 3" xfId="2836"/>
    <cellStyle name="20% - Accent4 5 3" xfId="2837"/>
    <cellStyle name="20% - Accent4 5 3 2" xfId="2838"/>
    <cellStyle name="20% - Accent4 5 4" xfId="2839"/>
    <cellStyle name="20% - Accent4 6" xfId="2840"/>
    <cellStyle name="20% - Accent4 6 2" xfId="2841"/>
    <cellStyle name="20% - Accent4 6 2 2" xfId="2842"/>
    <cellStyle name="20% - Accent4 6 3" xfId="2843"/>
    <cellStyle name="20% - Accent4 7" xfId="2844"/>
    <cellStyle name="20% - Accent4 7 2" xfId="2845"/>
    <cellStyle name="20% - Accent4 7 3" xfId="2846"/>
    <cellStyle name="20% - Accent4 8" xfId="2847"/>
    <cellStyle name="20% - Accent4 8 2" xfId="2848"/>
    <cellStyle name="20% - Accent4 8 3" xfId="2849"/>
    <cellStyle name="20% - Accent4 9" xfId="2850"/>
    <cellStyle name="20% - Accent4 9 2" xfId="2851"/>
    <cellStyle name="20% - Accent4 9 3" xfId="2852"/>
    <cellStyle name="20% - Accent4_Plan Campaña Día de la Madre 2010 - v2" xfId="2853"/>
    <cellStyle name="20% - Accent5" xfId="2854"/>
    <cellStyle name="20% - Accent5 10" xfId="2855"/>
    <cellStyle name="20% - Accent5 11" xfId="2856"/>
    <cellStyle name="20% - Accent5 2" xfId="2857"/>
    <cellStyle name="20% - Accent5 2 2" xfId="2858"/>
    <cellStyle name="20% - Accent5 2 2 2" xfId="2859"/>
    <cellStyle name="20% - Accent5 2 2 2 2" xfId="2860"/>
    <cellStyle name="20% - Accent5 2 2 2 2 2" xfId="2861"/>
    <cellStyle name="20% - Accent5 2 2 2 2 2 2" xfId="2862"/>
    <cellStyle name="20% - Accent5 2 2 2 2 3" xfId="2863"/>
    <cellStyle name="20% - Accent5 2 2 2 3" xfId="2864"/>
    <cellStyle name="20% - Accent5 2 2 2 3 2" xfId="2865"/>
    <cellStyle name="20% - Accent5 2 2 2 4" xfId="2866"/>
    <cellStyle name="20% - Accent5 2 2 3" xfId="2867"/>
    <cellStyle name="20% - Accent5 2 2 3 2" xfId="2868"/>
    <cellStyle name="20% - Accent5 2 2 3 2 2" xfId="2869"/>
    <cellStyle name="20% - Accent5 2 2 3 3" xfId="2870"/>
    <cellStyle name="20% - Accent5 2 2 4" xfId="2871"/>
    <cellStyle name="20% - Accent5 2 2 4 2" xfId="2872"/>
    <cellStyle name="20% - Accent5 2 2 5" xfId="2873"/>
    <cellStyle name="20% - Accent5 2 3" xfId="2874"/>
    <cellStyle name="20% - Accent5 2 3 2" xfId="2875"/>
    <cellStyle name="20% - Accent5 2 3 2 2" xfId="2876"/>
    <cellStyle name="20% - Accent5 2 3 2 2 2" xfId="2877"/>
    <cellStyle name="20% - Accent5 2 3 2 3" xfId="2878"/>
    <cellStyle name="20% - Accent5 2 3 3" xfId="2879"/>
    <cellStyle name="20% - Accent5 2 3 3 2" xfId="2880"/>
    <cellStyle name="20% - Accent5 2 3 4" xfId="2881"/>
    <cellStyle name="20% - Accent5 2 4" xfId="2882"/>
    <cellStyle name="20% - Accent5 2 4 2" xfId="2883"/>
    <cellStyle name="20% - Accent5 2 4 2 2" xfId="2884"/>
    <cellStyle name="20% - Accent5 2 4 3" xfId="2885"/>
    <cellStyle name="20% - Accent5 2 5" xfId="2886"/>
    <cellStyle name="20% - Accent5 2 5 2" xfId="2887"/>
    <cellStyle name="20% - Accent5 2 5 3" xfId="2888"/>
    <cellStyle name="20% - Accent5 2 6" xfId="2889"/>
    <cellStyle name="20% - Accent5 2 6 2" xfId="2890"/>
    <cellStyle name="20% - Accent5 2 6 3" xfId="2891"/>
    <cellStyle name="20% - Accent5 2 7" xfId="2892"/>
    <cellStyle name="20% - Accent5 2 7 2" xfId="2893"/>
    <cellStyle name="20% - Accent5 2 7 3" xfId="2894"/>
    <cellStyle name="20% - Accent5 2 8" xfId="2895"/>
    <cellStyle name="20% - Accent5 2 9" xfId="2896"/>
    <cellStyle name="20% - Accent5 3" xfId="2897"/>
    <cellStyle name="20% - Accent5 3 2" xfId="2898"/>
    <cellStyle name="20% - Accent5 3 2 2" xfId="2899"/>
    <cellStyle name="20% - Accent5 3 2 2 2" xfId="2900"/>
    <cellStyle name="20% - Accent5 3 2 2 2 2" xfId="2901"/>
    <cellStyle name="20% - Accent5 3 2 2 2 2 2" xfId="2902"/>
    <cellStyle name="20% - Accent5 3 2 2 2 3" xfId="2903"/>
    <cellStyle name="20% - Accent5 3 2 2 3" xfId="2904"/>
    <cellStyle name="20% - Accent5 3 2 2 3 2" xfId="2905"/>
    <cellStyle name="20% - Accent5 3 2 2 4" xfId="2906"/>
    <cellStyle name="20% - Accent5 3 2 3" xfId="2907"/>
    <cellStyle name="20% - Accent5 3 2 3 2" xfId="2908"/>
    <cellStyle name="20% - Accent5 3 2 3 2 2" xfId="2909"/>
    <cellStyle name="20% - Accent5 3 2 3 3" xfId="2910"/>
    <cellStyle name="20% - Accent5 3 2 4" xfId="2911"/>
    <cellStyle name="20% - Accent5 3 2 4 2" xfId="2912"/>
    <cellStyle name="20% - Accent5 3 2 5" xfId="2913"/>
    <cellStyle name="20% - Accent5 3 3" xfId="2914"/>
    <cellStyle name="20% - Accent5 3 3 2" xfId="2915"/>
    <cellStyle name="20% - Accent5 3 3 2 2" xfId="2916"/>
    <cellStyle name="20% - Accent5 3 3 2 2 2" xfId="2917"/>
    <cellStyle name="20% - Accent5 3 3 2 3" xfId="2918"/>
    <cellStyle name="20% - Accent5 3 3 3" xfId="2919"/>
    <cellStyle name="20% - Accent5 3 3 3 2" xfId="2920"/>
    <cellStyle name="20% - Accent5 3 3 4" xfId="2921"/>
    <cellStyle name="20% - Accent5 3 4" xfId="2922"/>
    <cellStyle name="20% - Accent5 3 4 2" xfId="2923"/>
    <cellStyle name="20% - Accent5 3 4 2 2" xfId="2924"/>
    <cellStyle name="20% - Accent5 3 4 3" xfId="2925"/>
    <cellStyle name="20% - Accent5 3 5" xfId="2926"/>
    <cellStyle name="20% - Accent5 3 5 2" xfId="2927"/>
    <cellStyle name="20% - Accent5 3 5 3" xfId="2928"/>
    <cellStyle name="20% - Accent5 3 6" xfId="2929"/>
    <cellStyle name="20% - Accent5 3 6 2" xfId="2930"/>
    <cellStyle name="20% - Accent5 3 6 3" xfId="2931"/>
    <cellStyle name="20% - Accent5 3 7" xfId="2932"/>
    <cellStyle name="20% - Accent5 3 7 2" xfId="2933"/>
    <cellStyle name="20% - Accent5 3 7 3" xfId="2934"/>
    <cellStyle name="20% - Accent5 3 8" xfId="2935"/>
    <cellStyle name="20% - Accent5 3 9" xfId="2936"/>
    <cellStyle name="20% - Accent5 4" xfId="2937"/>
    <cellStyle name="20% - Accent5 4 2" xfId="2938"/>
    <cellStyle name="20% - Accent5 4 2 2" xfId="2939"/>
    <cellStyle name="20% - Accent5 4 2 2 2" xfId="2940"/>
    <cellStyle name="20% - Accent5 4 2 2 2 2" xfId="2941"/>
    <cellStyle name="20% - Accent5 4 2 2 3" xfId="2942"/>
    <cellStyle name="20% - Accent5 4 2 3" xfId="2943"/>
    <cellStyle name="20% - Accent5 4 2 3 2" xfId="2944"/>
    <cellStyle name="20% - Accent5 4 2 4" xfId="2945"/>
    <cellStyle name="20% - Accent5 4 3" xfId="2946"/>
    <cellStyle name="20% - Accent5 4 3 2" xfId="2947"/>
    <cellStyle name="20% - Accent5 4 3 2 2" xfId="2948"/>
    <cellStyle name="20% - Accent5 4 3 3" xfId="2949"/>
    <cellStyle name="20% - Accent5 4 4" xfId="2950"/>
    <cellStyle name="20% - Accent5 4 4 2" xfId="2951"/>
    <cellStyle name="20% - Accent5 4 5" xfId="2952"/>
    <cellStyle name="20% - Accent5 5" xfId="2953"/>
    <cellStyle name="20% - Accent5 5 2" xfId="2954"/>
    <cellStyle name="20% - Accent5 5 2 2" xfId="2955"/>
    <cellStyle name="20% - Accent5 5 2 2 2" xfId="2956"/>
    <cellStyle name="20% - Accent5 5 2 3" xfId="2957"/>
    <cellStyle name="20% - Accent5 5 3" xfId="2958"/>
    <cellStyle name="20% - Accent5 5 3 2" xfId="2959"/>
    <cellStyle name="20% - Accent5 5 4" xfId="2960"/>
    <cellStyle name="20% - Accent5 6" xfId="2961"/>
    <cellStyle name="20% - Accent5 6 2" xfId="2962"/>
    <cellStyle name="20% - Accent5 6 2 2" xfId="2963"/>
    <cellStyle name="20% - Accent5 6 3" xfId="2964"/>
    <cellStyle name="20% - Accent5 7" xfId="2965"/>
    <cellStyle name="20% - Accent5 7 2" xfId="2966"/>
    <cellStyle name="20% - Accent5 7 3" xfId="2967"/>
    <cellStyle name="20% - Accent5 8" xfId="2968"/>
    <cellStyle name="20% - Accent5 8 2" xfId="2969"/>
    <cellStyle name="20% - Accent5 8 3" xfId="2970"/>
    <cellStyle name="20% - Accent5 9" xfId="2971"/>
    <cellStyle name="20% - Accent5 9 2" xfId="2972"/>
    <cellStyle name="20% - Accent5 9 3" xfId="2973"/>
    <cellStyle name="20% - Accent5_Plan Campaña Día de la Madre 2010 - v2" xfId="2974"/>
    <cellStyle name="20% - Accent6" xfId="2975"/>
    <cellStyle name="20% - Accent6 10" xfId="2976"/>
    <cellStyle name="20% - Accent6 11" xfId="2977"/>
    <cellStyle name="20% - Accent6 2" xfId="2978"/>
    <cellStyle name="20% - Accent6 2 2" xfId="2979"/>
    <cellStyle name="20% - Accent6 2 2 2" xfId="2980"/>
    <cellStyle name="20% - Accent6 2 2 2 2" xfId="2981"/>
    <cellStyle name="20% - Accent6 2 2 2 2 2" xfId="2982"/>
    <cellStyle name="20% - Accent6 2 2 2 2 2 2" xfId="2983"/>
    <cellStyle name="20% - Accent6 2 2 2 2 3" xfId="2984"/>
    <cellStyle name="20% - Accent6 2 2 2 3" xfId="2985"/>
    <cellStyle name="20% - Accent6 2 2 2 3 2" xfId="2986"/>
    <cellStyle name="20% - Accent6 2 2 2 4" xfId="2987"/>
    <cellStyle name="20% - Accent6 2 2 3" xfId="2988"/>
    <cellStyle name="20% - Accent6 2 2 3 2" xfId="2989"/>
    <cellStyle name="20% - Accent6 2 2 3 2 2" xfId="2990"/>
    <cellStyle name="20% - Accent6 2 2 3 3" xfId="2991"/>
    <cellStyle name="20% - Accent6 2 2 4" xfId="2992"/>
    <cellStyle name="20% - Accent6 2 2 4 2" xfId="2993"/>
    <cellStyle name="20% - Accent6 2 2 5" xfId="2994"/>
    <cellStyle name="20% - Accent6 2 3" xfId="2995"/>
    <cellStyle name="20% - Accent6 2 3 2" xfId="2996"/>
    <cellStyle name="20% - Accent6 2 3 2 2" xfId="2997"/>
    <cellStyle name="20% - Accent6 2 3 2 2 2" xfId="2998"/>
    <cellStyle name="20% - Accent6 2 3 2 3" xfId="2999"/>
    <cellStyle name="20% - Accent6 2 3 3" xfId="3000"/>
    <cellStyle name="20% - Accent6 2 3 3 2" xfId="3001"/>
    <cellStyle name="20% - Accent6 2 3 4" xfId="3002"/>
    <cellStyle name="20% - Accent6 2 4" xfId="3003"/>
    <cellStyle name="20% - Accent6 2 4 2" xfId="3004"/>
    <cellStyle name="20% - Accent6 2 4 2 2" xfId="3005"/>
    <cellStyle name="20% - Accent6 2 4 3" xfId="3006"/>
    <cellStyle name="20% - Accent6 2 5" xfId="3007"/>
    <cellStyle name="20% - Accent6 2 5 2" xfId="3008"/>
    <cellStyle name="20% - Accent6 2 5 3" xfId="3009"/>
    <cellStyle name="20% - Accent6 2 6" xfId="3010"/>
    <cellStyle name="20% - Accent6 2 6 2" xfId="3011"/>
    <cellStyle name="20% - Accent6 2 6 3" xfId="3012"/>
    <cellStyle name="20% - Accent6 2 7" xfId="3013"/>
    <cellStyle name="20% - Accent6 2 7 2" xfId="3014"/>
    <cellStyle name="20% - Accent6 2 7 3" xfId="3015"/>
    <cellStyle name="20% - Accent6 2 8" xfId="3016"/>
    <cellStyle name="20% - Accent6 2 9" xfId="3017"/>
    <cellStyle name="20% - Accent6 3" xfId="3018"/>
    <cellStyle name="20% - Accent6 3 2" xfId="3019"/>
    <cellStyle name="20% - Accent6 3 2 2" xfId="3020"/>
    <cellStyle name="20% - Accent6 3 2 2 2" xfId="3021"/>
    <cellStyle name="20% - Accent6 3 2 2 2 2" xfId="3022"/>
    <cellStyle name="20% - Accent6 3 2 2 2 2 2" xfId="3023"/>
    <cellStyle name="20% - Accent6 3 2 2 2 3" xfId="3024"/>
    <cellStyle name="20% - Accent6 3 2 2 3" xfId="3025"/>
    <cellStyle name="20% - Accent6 3 2 2 3 2" xfId="3026"/>
    <cellStyle name="20% - Accent6 3 2 2 4" xfId="3027"/>
    <cellStyle name="20% - Accent6 3 2 3" xfId="3028"/>
    <cellStyle name="20% - Accent6 3 2 3 2" xfId="3029"/>
    <cellStyle name="20% - Accent6 3 2 3 2 2" xfId="3030"/>
    <cellStyle name="20% - Accent6 3 2 3 3" xfId="3031"/>
    <cellStyle name="20% - Accent6 3 2 4" xfId="3032"/>
    <cellStyle name="20% - Accent6 3 2 4 2" xfId="3033"/>
    <cellStyle name="20% - Accent6 3 2 5" xfId="3034"/>
    <cellStyle name="20% - Accent6 3 3" xfId="3035"/>
    <cellStyle name="20% - Accent6 3 3 2" xfId="3036"/>
    <cellStyle name="20% - Accent6 3 3 2 2" xfId="3037"/>
    <cellStyle name="20% - Accent6 3 3 2 2 2" xfId="3038"/>
    <cellStyle name="20% - Accent6 3 3 2 3" xfId="3039"/>
    <cellStyle name="20% - Accent6 3 3 3" xfId="3040"/>
    <cellStyle name="20% - Accent6 3 3 3 2" xfId="3041"/>
    <cellStyle name="20% - Accent6 3 3 4" xfId="3042"/>
    <cellStyle name="20% - Accent6 3 4" xfId="3043"/>
    <cellStyle name="20% - Accent6 3 4 2" xfId="3044"/>
    <cellStyle name="20% - Accent6 3 4 2 2" xfId="3045"/>
    <cellStyle name="20% - Accent6 3 4 3" xfId="3046"/>
    <cellStyle name="20% - Accent6 3 5" xfId="3047"/>
    <cellStyle name="20% - Accent6 3 5 2" xfId="3048"/>
    <cellStyle name="20% - Accent6 3 5 3" xfId="3049"/>
    <cellStyle name="20% - Accent6 3 6" xfId="3050"/>
    <cellStyle name="20% - Accent6 3 6 2" xfId="3051"/>
    <cellStyle name="20% - Accent6 3 6 3" xfId="3052"/>
    <cellStyle name="20% - Accent6 3 7" xfId="3053"/>
    <cellStyle name="20% - Accent6 3 7 2" xfId="3054"/>
    <cellStyle name="20% - Accent6 3 7 3" xfId="3055"/>
    <cellStyle name="20% - Accent6 3 8" xfId="3056"/>
    <cellStyle name="20% - Accent6 3 9" xfId="3057"/>
    <cellStyle name="20% - Accent6 4" xfId="3058"/>
    <cellStyle name="20% - Accent6 4 2" xfId="3059"/>
    <cellStyle name="20% - Accent6 4 2 2" xfId="3060"/>
    <cellStyle name="20% - Accent6 4 2 2 2" xfId="3061"/>
    <cellStyle name="20% - Accent6 4 2 2 2 2" xfId="3062"/>
    <cellStyle name="20% - Accent6 4 2 2 3" xfId="3063"/>
    <cellStyle name="20% - Accent6 4 2 3" xfId="3064"/>
    <cellStyle name="20% - Accent6 4 2 3 2" xfId="3065"/>
    <cellStyle name="20% - Accent6 4 2 4" xfId="3066"/>
    <cellStyle name="20% - Accent6 4 3" xfId="3067"/>
    <cellStyle name="20% - Accent6 4 3 2" xfId="3068"/>
    <cellStyle name="20% - Accent6 4 3 2 2" xfId="3069"/>
    <cellStyle name="20% - Accent6 4 3 3" xfId="3070"/>
    <cellStyle name="20% - Accent6 4 4" xfId="3071"/>
    <cellStyle name="20% - Accent6 4 4 2" xfId="3072"/>
    <cellStyle name="20% - Accent6 4 5" xfId="3073"/>
    <cellStyle name="20% - Accent6 5" xfId="3074"/>
    <cellStyle name="20% - Accent6 5 2" xfId="3075"/>
    <cellStyle name="20% - Accent6 5 2 2" xfId="3076"/>
    <cellStyle name="20% - Accent6 5 2 2 2" xfId="3077"/>
    <cellStyle name="20% - Accent6 5 2 3" xfId="3078"/>
    <cellStyle name="20% - Accent6 5 3" xfId="3079"/>
    <cellStyle name="20% - Accent6 5 3 2" xfId="3080"/>
    <cellStyle name="20% - Accent6 5 4" xfId="3081"/>
    <cellStyle name="20% - Accent6 6" xfId="3082"/>
    <cellStyle name="20% - Accent6 6 2" xfId="3083"/>
    <cellStyle name="20% - Accent6 6 2 2" xfId="3084"/>
    <cellStyle name="20% - Accent6 6 3" xfId="3085"/>
    <cellStyle name="20% - Accent6 7" xfId="3086"/>
    <cellStyle name="20% - Accent6 7 2" xfId="3087"/>
    <cellStyle name="20% - Accent6 7 3" xfId="3088"/>
    <cellStyle name="20% - Accent6 8" xfId="3089"/>
    <cellStyle name="20% - Accent6 8 2" xfId="3090"/>
    <cellStyle name="20% - Accent6 8 3" xfId="3091"/>
    <cellStyle name="20% - Accent6 9" xfId="3092"/>
    <cellStyle name="20% - Accent6 9 2" xfId="3093"/>
    <cellStyle name="20% - Accent6 9 3" xfId="3094"/>
    <cellStyle name="20% - Accent6_Plan Campaña Día de la Madre 2010 - v2" xfId="3095"/>
    <cellStyle name="20% - akcent 1" xfId="53027"/>
    <cellStyle name="20% - akcent 2" xfId="53028"/>
    <cellStyle name="20% - akcent 3" xfId="53029"/>
    <cellStyle name="20% - akcent 4" xfId="53030"/>
    <cellStyle name="20% - akcent 5" xfId="53031"/>
    <cellStyle name="20% - akcent 6" xfId="53032"/>
    <cellStyle name="20% - Akzent1" xfId="3096"/>
    <cellStyle name="20% - Akzent1 2" xfId="3097"/>
    <cellStyle name="20% - Akzent1 3" xfId="3098"/>
    <cellStyle name="20% - Akzent2" xfId="3099"/>
    <cellStyle name="20% - Akzent2 2" xfId="3100"/>
    <cellStyle name="20% - Akzent2 3" xfId="3101"/>
    <cellStyle name="20% - Akzent3" xfId="3102"/>
    <cellStyle name="20% - Akzent3 2" xfId="3103"/>
    <cellStyle name="20% - Akzent3 3" xfId="3104"/>
    <cellStyle name="20% - Akzent4" xfId="3105"/>
    <cellStyle name="20% - Akzent4 2" xfId="3106"/>
    <cellStyle name="20% - Akzent4 3" xfId="3107"/>
    <cellStyle name="20% - Akzent5" xfId="3108"/>
    <cellStyle name="20% - Akzent5 2" xfId="3109"/>
    <cellStyle name="20% - Akzent5 3" xfId="3110"/>
    <cellStyle name="20% - Akzent6" xfId="3111"/>
    <cellStyle name="20% - Akzent6 2" xfId="3112"/>
    <cellStyle name="20% - Akzent6 3" xfId="3113"/>
    <cellStyle name="20% - Ênfase1" xfId="3114"/>
    <cellStyle name="20% - Ênfase1 2" xfId="3115"/>
    <cellStyle name="20% - Ênfase1 3" xfId="3116"/>
    <cellStyle name="20% - Ênfase2" xfId="3117"/>
    <cellStyle name="20% - Ênfase2 2" xfId="3118"/>
    <cellStyle name="20% - Ênfase2 3" xfId="3119"/>
    <cellStyle name="20% - Ênfase3" xfId="3120"/>
    <cellStyle name="20% - Ênfase3 2" xfId="3121"/>
    <cellStyle name="20% - Ênfase3 3" xfId="3122"/>
    <cellStyle name="20% - Ênfase4" xfId="3123"/>
    <cellStyle name="20% - Ênfase4 2" xfId="3124"/>
    <cellStyle name="20% - Ênfase4 3" xfId="3125"/>
    <cellStyle name="20% - Ênfase5" xfId="3126"/>
    <cellStyle name="20% - Ênfase5 2" xfId="3127"/>
    <cellStyle name="20% - Ênfase5 3" xfId="3128"/>
    <cellStyle name="20% - Ênfase6" xfId="3129"/>
    <cellStyle name="20% - Ênfase6 2" xfId="3130"/>
    <cellStyle name="20% - Ênfase6 3" xfId="3131"/>
    <cellStyle name="20% - Énfasis1 2" xfId="3132"/>
    <cellStyle name="20% - Énfasis1 2 2" xfId="3133"/>
    <cellStyle name="20% - Énfasis1 2 2 2" xfId="3134"/>
    <cellStyle name="20% - Énfasis1 2 2 2 2" xfId="3135"/>
    <cellStyle name="20% - Énfasis1 2 2 2 2 2" xfId="3136"/>
    <cellStyle name="20% - Énfasis1 2 2 2 2 2 2" xfId="3137"/>
    <cellStyle name="20% - Énfasis1 2 2 2 2 3" xfId="3138"/>
    <cellStyle name="20% - Énfasis1 2 2 2 3" xfId="3139"/>
    <cellStyle name="20% - Énfasis1 2 2 2 3 2" xfId="3140"/>
    <cellStyle name="20% - Énfasis1 2 2 2 4" xfId="3141"/>
    <cellStyle name="20% - Énfasis1 2 2 3" xfId="3142"/>
    <cellStyle name="20% - Énfasis1 2 2 3 2" xfId="3143"/>
    <cellStyle name="20% - Énfasis1 2 2 3 2 2" xfId="3144"/>
    <cellStyle name="20% - Énfasis1 2 2 3 3" xfId="3145"/>
    <cellStyle name="20% - Énfasis1 2 2 4" xfId="3146"/>
    <cellStyle name="20% - Énfasis1 2 2 4 2" xfId="3147"/>
    <cellStyle name="20% - Énfasis1 2 2 5" xfId="3148"/>
    <cellStyle name="20% - Énfasis1 2 3" xfId="3149"/>
    <cellStyle name="20% - Énfasis1 2 3 2" xfId="3150"/>
    <cellStyle name="20% - Énfasis1 2 3 2 2" xfId="3151"/>
    <cellStyle name="20% - Énfasis1 2 3 2 2 2" xfId="3152"/>
    <cellStyle name="20% - Énfasis1 2 3 2 3" xfId="3153"/>
    <cellStyle name="20% - Énfasis1 2 3 3" xfId="3154"/>
    <cellStyle name="20% - Énfasis1 2 3 3 2" xfId="3155"/>
    <cellStyle name="20% - Énfasis1 2 3 4" xfId="3156"/>
    <cellStyle name="20% - Énfasis1 2 4" xfId="3157"/>
    <cellStyle name="20% - Énfasis1 2 4 2" xfId="3158"/>
    <cellStyle name="20% - Énfasis1 2 4 2 2" xfId="3159"/>
    <cellStyle name="20% - Énfasis1 2 4 3" xfId="3160"/>
    <cellStyle name="20% - Énfasis1 2 5" xfId="3161"/>
    <cellStyle name="20% - Énfasis1 2 5 2" xfId="3162"/>
    <cellStyle name="20% - Énfasis1 2 6" xfId="3163"/>
    <cellStyle name="20% - Énfasis1 3" xfId="3164"/>
    <cellStyle name="20% - Énfasis1 3 2" xfId="3165"/>
    <cellStyle name="20% - Énfasis1 3 3" xfId="3166"/>
    <cellStyle name="20% - Énfasis1 4" xfId="3167"/>
    <cellStyle name="20% - Énfasis1 4 2" xfId="3168"/>
    <cellStyle name="20% - Énfasis1 5" xfId="3169"/>
    <cellStyle name="20% - Énfasis1 5 2" xfId="3170"/>
    <cellStyle name="20% - Énfasis1 6" xfId="3171"/>
    <cellStyle name="20% - Énfasis2 2" xfId="3172"/>
    <cellStyle name="20% - Énfasis2 2 2" xfId="3173"/>
    <cellStyle name="20% - Énfasis2 2 2 2" xfId="3174"/>
    <cellStyle name="20% - Énfasis2 2 2 2 2" xfId="3175"/>
    <cellStyle name="20% - Énfasis2 2 2 2 2 2" xfId="3176"/>
    <cellStyle name="20% - Énfasis2 2 2 2 2 2 2" xfId="3177"/>
    <cellStyle name="20% - Énfasis2 2 2 2 2 3" xfId="3178"/>
    <cellStyle name="20% - Énfasis2 2 2 2 3" xfId="3179"/>
    <cellStyle name="20% - Énfasis2 2 2 2 3 2" xfId="3180"/>
    <cellStyle name="20% - Énfasis2 2 2 2 4" xfId="3181"/>
    <cellStyle name="20% - Énfasis2 2 2 3" xfId="3182"/>
    <cellStyle name="20% - Énfasis2 2 2 3 2" xfId="3183"/>
    <cellStyle name="20% - Énfasis2 2 2 3 2 2" xfId="3184"/>
    <cellStyle name="20% - Énfasis2 2 2 3 3" xfId="3185"/>
    <cellStyle name="20% - Énfasis2 2 2 4" xfId="3186"/>
    <cellStyle name="20% - Énfasis2 2 2 4 2" xfId="3187"/>
    <cellStyle name="20% - Énfasis2 2 2 5" xfId="3188"/>
    <cellStyle name="20% - Énfasis2 2 3" xfId="3189"/>
    <cellStyle name="20% - Énfasis2 2 3 2" xfId="3190"/>
    <cellStyle name="20% - Énfasis2 2 3 2 2" xfId="3191"/>
    <cellStyle name="20% - Énfasis2 2 3 2 2 2" xfId="3192"/>
    <cellStyle name="20% - Énfasis2 2 3 2 3" xfId="3193"/>
    <cellStyle name="20% - Énfasis2 2 3 3" xfId="3194"/>
    <cellStyle name="20% - Énfasis2 2 3 3 2" xfId="3195"/>
    <cellStyle name="20% - Énfasis2 2 3 4" xfId="3196"/>
    <cellStyle name="20% - Énfasis2 2 4" xfId="3197"/>
    <cellStyle name="20% - Énfasis2 2 4 2" xfId="3198"/>
    <cellStyle name="20% - Énfasis2 2 4 2 2" xfId="3199"/>
    <cellStyle name="20% - Énfasis2 2 4 3" xfId="3200"/>
    <cellStyle name="20% - Énfasis2 2 5" xfId="3201"/>
    <cellStyle name="20% - Énfasis2 2 5 2" xfId="3202"/>
    <cellStyle name="20% - Énfasis2 2 6" xfId="3203"/>
    <cellStyle name="20% - Énfasis2 3" xfId="3204"/>
    <cellStyle name="20% - Énfasis2 3 2" xfId="3205"/>
    <cellStyle name="20% - Énfasis2 3 3" xfId="3206"/>
    <cellStyle name="20% - Énfasis2 4" xfId="3207"/>
    <cellStyle name="20% - Énfasis2 4 2" xfId="3208"/>
    <cellStyle name="20% - Énfasis2 5" xfId="3209"/>
    <cellStyle name="20% - Énfasis2 5 2" xfId="3210"/>
    <cellStyle name="20% - Énfasis2 6" xfId="3211"/>
    <cellStyle name="20% - Énfasis2 7" xfId="3212"/>
    <cellStyle name="20% - Énfasis3 2" xfId="3213"/>
    <cellStyle name="20% - Énfasis3 2 2" xfId="3214"/>
    <cellStyle name="20% - Énfasis3 2 2 2" xfId="3215"/>
    <cellStyle name="20% - Énfasis3 2 2 2 2" xfId="3216"/>
    <cellStyle name="20% - Énfasis3 2 2 2 2 2" xfId="3217"/>
    <cellStyle name="20% - Énfasis3 2 2 2 2 2 2" xfId="3218"/>
    <cellStyle name="20% - Énfasis3 2 2 2 2 3" xfId="3219"/>
    <cellStyle name="20% - Énfasis3 2 2 2 3" xfId="3220"/>
    <cellStyle name="20% - Énfasis3 2 2 2 3 2" xfId="3221"/>
    <cellStyle name="20% - Énfasis3 2 2 2 4" xfId="3222"/>
    <cellStyle name="20% - Énfasis3 2 2 3" xfId="3223"/>
    <cellStyle name="20% - Énfasis3 2 2 3 2" xfId="3224"/>
    <cellStyle name="20% - Énfasis3 2 2 3 2 2" xfId="3225"/>
    <cellStyle name="20% - Énfasis3 2 2 3 3" xfId="3226"/>
    <cellStyle name="20% - Énfasis3 2 2 4" xfId="3227"/>
    <cellStyle name="20% - Énfasis3 2 2 4 2" xfId="3228"/>
    <cellStyle name="20% - Énfasis3 2 2 5" xfId="3229"/>
    <cellStyle name="20% - Énfasis3 2 3" xfId="3230"/>
    <cellStyle name="20% - Énfasis3 2 3 2" xfId="3231"/>
    <cellStyle name="20% - Énfasis3 2 3 2 2" xfId="3232"/>
    <cellStyle name="20% - Énfasis3 2 3 2 2 2" xfId="3233"/>
    <cellStyle name="20% - Énfasis3 2 3 2 3" xfId="3234"/>
    <cellStyle name="20% - Énfasis3 2 3 3" xfId="3235"/>
    <cellStyle name="20% - Énfasis3 2 3 3 2" xfId="3236"/>
    <cellStyle name="20% - Énfasis3 2 3 4" xfId="3237"/>
    <cellStyle name="20% - Énfasis3 2 4" xfId="3238"/>
    <cellStyle name="20% - Énfasis3 2 4 2" xfId="3239"/>
    <cellStyle name="20% - Énfasis3 2 4 2 2" xfId="3240"/>
    <cellStyle name="20% - Énfasis3 2 4 3" xfId="3241"/>
    <cellStyle name="20% - Énfasis3 2 5" xfId="3242"/>
    <cellStyle name="20% - Énfasis3 2 5 2" xfId="3243"/>
    <cellStyle name="20% - Énfasis3 2 6" xfId="3244"/>
    <cellStyle name="20% - Énfasis3 3" xfId="3245"/>
    <cellStyle name="20% - Énfasis3 3 2" xfId="3246"/>
    <cellStyle name="20% - Énfasis3 3 3" xfId="3247"/>
    <cellStyle name="20% - Énfasis3 4" xfId="3248"/>
    <cellStyle name="20% - Énfasis3 4 2" xfId="3249"/>
    <cellStyle name="20% - Énfasis3 5" xfId="3250"/>
    <cellStyle name="20% - Énfasis3 5 2" xfId="3251"/>
    <cellStyle name="20% - Énfasis3 6" xfId="3252"/>
    <cellStyle name="20% - Énfasis4 2" xfId="3253"/>
    <cellStyle name="20% - Énfasis4 2 2" xfId="3254"/>
    <cellStyle name="20% - Énfasis4 2 2 2" xfId="3255"/>
    <cellStyle name="20% - Énfasis4 2 2 2 2" xfId="3256"/>
    <cellStyle name="20% - Énfasis4 2 2 2 2 2" xfId="3257"/>
    <cellStyle name="20% - Énfasis4 2 2 2 2 2 2" xfId="3258"/>
    <cellStyle name="20% - Énfasis4 2 2 2 2 3" xfId="3259"/>
    <cellStyle name="20% - Énfasis4 2 2 2 3" xfId="3260"/>
    <cellStyle name="20% - Énfasis4 2 2 2 3 2" xfId="3261"/>
    <cellStyle name="20% - Énfasis4 2 2 2 4" xfId="3262"/>
    <cellStyle name="20% - Énfasis4 2 2 3" xfId="3263"/>
    <cellStyle name="20% - Énfasis4 2 2 3 2" xfId="3264"/>
    <cellStyle name="20% - Énfasis4 2 2 3 2 2" xfId="3265"/>
    <cellStyle name="20% - Énfasis4 2 2 3 3" xfId="3266"/>
    <cellStyle name="20% - Énfasis4 2 2 4" xfId="3267"/>
    <cellStyle name="20% - Énfasis4 2 2 4 2" xfId="3268"/>
    <cellStyle name="20% - Énfasis4 2 2 5" xfId="3269"/>
    <cellStyle name="20% - Énfasis4 2 3" xfId="3270"/>
    <cellStyle name="20% - Énfasis4 2 3 2" xfId="3271"/>
    <cellStyle name="20% - Énfasis4 2 3 2 2" xfId="3272"/>
    <cellStyle name="20% - Énfasis4 2 3 2 2 2" xfId="3273"/>
    <cellStyle name="20% - Énfasis4 2 3 2 3" xfId="3274"/>
    <cellStyle name="20% - Énfasis4 2 3 3" xfId="3275"/>
    <cellStyle name="20% - Énfasis4 2 3 3 2" xfId="3276"/>
    <cellStyle name="20% - Énfasis4 2 3 4" xfId="3277"/>
    <cellStyle name="20% - Énfasis4 2 4" xfId="3278"/>
    <cellStyle name="20% - Énfasis4 2 4 2" xfId="3279"/>
    <cellStyle name="20% - Énfasis4 2 4 2 2" xfId="3280"/>
    <cellStyle name="20% - Énfasis4 2 4 3" xfId="3281"/>
    <cellStyle name="20% - Énfasis4 2 5" xfId="3282"/>
    <cellStyle name="20% - Énfasis4 2 5 2" xfId="3283"/>
    <cellStyle name="20% - Énfasis4 2 6" xfId="3284"/>
    <cellStyle name="20% - Énfasis4 3" xfId="3285"/>
    <cellStyle name="20% - Énfasis4 3 2" xfId="3286"/>
    <cellStyle name="20% - Énfasis4 3 3" xfId="3287"/>
    <cellStyle name="20% - Énfasis4 4" xfId="3288"/>
    <cellStyle name="20% - Énfasis4 4 2" xfId="3289"/>
    <cellStyle name="20% - Énfasis4 5" xfId="3290"/>
    <cellStyle name="20% - Énfasis4 5 2" xfId="3291"/>
    <cellStyle name="20% - Énfasis4 6" xfId="3292"/>
    <cellStyle name="20% - Énfasis5 2" xfId="3293"/>
    <cellStyle name="20% - Énfasis5 2 2" xfId="3294"/>
    <cellStyle name="20% - Énfasis5 2 2 2" xfId="3295"/>
    <cellStyle name="20% - Énfasis5 2 2 2 2" xfId="3296"/>
    <cellStyle name="20% - Énfasis5 2 2 2 2 2" xfId="3297"/>
    <cellStyle name="20% - Énfasis5 2 2 2 2 2 2" xfId="3298"/>
    <cellStyle name="20% - Énfasis5 2 2 2 2 3" xfId="3299"/>
    <cellStyle name="20% - Énfasis5 2 2 2 3" xfId="3300"/>
    <cellStyle name="20% - Énfasis5 2 2 2 3 2" xfId="3301"/>
    <cellStyle name="20% - Énfasis5 2 2 2 4" xfId="3302"/>
    <cellStyle name="20% - Énfasis5 2 2 3" xfId="3303"/>
    <cellStyle name="20% - Énfasis5 2 2 3 2" xfId="3304"/>
    <cellStyle name="20% - Énfasis5 2 2 3 2 2" xfId="3305"/>
    <cellStyle name="20% - Énfasis5 2 2 3 3" xfId="3306"/>
    <cellStyle name="20% - Énfasis5 2 2 4" xfId="3307"/>
    <cellStyle name="20% - Énfasis5 2 2 4 2" xfId="3308"/>
    <cellStyle name="20% - Énfasis5 2 2 5" xfId="3309"/>
    <cellStyle name="20% - Énfasis5 2 3" xfId="3310"/>
    <cellStyle name="20% - Énfasis5 2 3 2" xfId="3311"/>
    <cellStyle name="20% - Énfasis5 2 3 2 2" xfId="3312"/>
    <cellStyle name="20% - Énfasis5 2 3 2 2 2" xfId="3313"/>
    <cellStyle name="20% - Énfasis5 2 3 2 3" xfId="3314"/>
    <cellStyle name="20% - Énfasis5 2 3 3" xfId="3315"/>
    <cellStyle name="20% - Énfasis5 2 3 3 2" xfId="3316"/>
    <cellStyle name="20% - Énfasis5 2 3 4" xfId="3317"/>
    <cellStyle name="20% - Énfasis5 2 4" xfId="3318"/>
    <cellStyle name="20% - Énfasis5 2 4 2" xfId="3319"/>
    <cellStyle name="20% - Énfasis5 2 4 2 2" xfId="3320"/>
    <cellStyle name="20% - Énfasis5 2 4 3" xfId="3321"/>
    <cellStyle name="20% - Énfasis5 2 5" xfId="3322"/>
    <cellStyle name="20% - Énfasis5 2 5 2" xfId="3323"/>
    <cellStyle name="20% - Énfasis5 2 6" xfId="3324"/>
    <cellStyle name="20% - Énfasis5 3" xfId="3325"/>
    <cellStyle name="20% - Énfasis5 3 2" xfId="3326"/>
    <cellStyle name="20% - Énfasis5 3 3" xfId="3327"/>
    <cellStyle name="20% - Énfasis5 4" xfId="3328"/>
    <cellStyle name="20% - Énfasis5 4 2" xfId="3329"/>
    <cellStyle name="20% - Énfasis5 5" xfId="3330"/>
    <cellStyle name="20% - Énfasis5 5 2" xfId="3331"/>
    <cellStyle name="20% - Énfasis5 6" xfId="3332"/>
    <cellStyle name="20% - Énfasis5 7" xfId="3333"/>
    <cellStyle name="20% - Énfasis6 2" xfId="3334"/>
    <cellStyle name="20% - Énfasis6 2 2" xfId="3335"/>
    <cellStyle name="20% - Énfasis6 2 2 2" xfId="3336"/>
    <cellStyle name="20% - Énfasis6 2 2 2 2" xfId="3337"/>
    <cellStyle name="20% - Énfasis6 2 2 2 2 2" xfId="3338"/>
    <cellStyle name="20% - Énfasis6 2 2 2 2 2 2" xfId="3339"/>
    <cellStyle name="20% - Énfasis6 2 2 2 2 3" xfId="3340"/>
    <cellStyle name="20% - Énfasis6 2 2 2 3" xfId="3341"/>
    <cellStyle name="20% - Énfasis6 2 2 2 3 2" xfId="3342"/>
    <cellStyle name="20% - Énfasis6 2 2 2 4" xfId="3343"/>
    <cellStyle name="20% - Énfasis6 2 2 3" xfId="3344"/>
    <cellStyle name="20% - Énfasis6 2 2 3 2" xfId="3345"/>
    <cellStyle name="20% - Énfasis6 2 2 3 2 2" xfId="3346"/>
    <cellStyle name="20% - Énfasis6 2 2 3 3" xfId="3347"/>
    <cellStyle name="20% - Énfasis6 2 2 4" xfId="3348"/>
    <cellStyle name="20% - Énfasis6 2 2 4 2" xfId="3349"/>
    <cellStyle name="20% - Énfasis6 2 2 5" xfId="3350"/>
    <cellStyle name="20% - Énfasis6 2 3" xfId="3351"/>
    <cellStyle name="20% - Énfasis6 2 3 2" xfId="3352"/>
    <cellStyle name="20% - Énfasis6 2 3 2 2" xfId="3353"/>
    <cellStyle name="20% - Énfasis6 2 3 2 2 2" xfId="3354"/>
    <cellStyle name="20% - Énfasis6 2 3 2 3" xfId="3355"/>
    <cellStyle name="20% - Énfasis6 2 3 3" xfId="3356"/>
    <cellStyle name="20% - Énfasis6 2 3 3 2" xfId="3357"/>
    <cellStyle name="20% - Énfasis6 2 3 4" xfId="3358"/>
    <cellStyle name="20% - Énfasis6 2 4" xfId="3359"/>
    <cellStyle name="20% - Énfasis6 2 4 2" xfId="3360"/>
    <cellStyle name="20% - Énfasis6 2 4 2 2" xfId="3361"/>
    <cellStyle name="20% - Énfasis6 2 4 3" xfId="3362"/>
    <cellStyle name="20% - Énfasis6 2 5" xfId="3363"/>
    <cellStyle name="20% - Énfasis6 2 5 2" xfId="3364"/>
    <cellStyle name="20% - Énfasis6 2 6" xfId="3365"/>
    <cellStyle name="20% - Énfasis6 2 7" xfId="3366"/>
    <cellStyle name="20% - Énfasis6 3" xfId="3367"/>
    <cellStyle name="20% - Énfasis6 3 2" xfId="3368"/>
    <cellStyle name="20% - Énfasis6 3 3" xfId="3369"/>
    <cellStyle name="20% - Énfasis6 4" xfId="3370"/>
    <cellStyle name="20% - Énfasis6 4 2" xfId="3371"/>
    <cellStyle name="20% - Énfasis6 5" xfId="3372"/>
    <cellStyle name="20% - Énfasis6 5 2" xfId="3373"/>
    <cellStyle name="20% - Énfasis6 6" xfId="3374"/>
    <cellStyle name="20% - 强调文字颜色 1" xfId="53033"/>
    <cellStyle name="20% - 强调文字颜色 2" xfId="53034"/>
    <cellStyle name="20% - 强调文字颜色 3" xfId="53035"/>
    <cellStyle name="20% - 强调文字颜色 4" xfId="53036"/>
    <cellStyle name="20% - 强调文字颜色 5" xfId="53037"/>
    <cellStyle name="20% - 强调文字颜色 6" xfId="53038"/>
    <cellStyle name="3" xfId="3375"/>
    <cellStyle name="3 10" xfId="3376"/>
    <cellStyle name="3 11" xfId="3377"/>
    <cellStyle name="3 2" xfId="3378"/>
    <cellStyle name="3 2 2" xfId="3379"/>
    <cellStyle name="3 2 2 2" xfId="3380"/>
    <cellStyle name="3 2 2 2 2" xfId="3381"/>
    <cellStyle name="3 2 2 2 3" xfId="3382"/>
    <cellStyle name="3 2 2 2 4" xfId="3383"/>
    <cellStyle name="3 2 2 3" xfId="3384"/>
    <cellStyle name="3 2 2 3 2" xfId="3385"/>
    <cellStyle name="3 2 2 3 3" xfId="3386"/>
    <cellStyle name="3 2 2 3 4" xfId="3387"/>
    <cellStyle name="3 2 2 4" xfId="3388"/>
    <cellStyle name="3 2 2 4 2" xfId="3389"/>
    <cellStyle name="3 2 2 4 3" xfId="3390"/>
    <cellStyle name="3 2 2 4 4" xfId="3391"/>
    <cellStyle name="3 2 2 5" xfId="3392"/>
    <cellStyle name="3 2 2 6" xfId="3393"/>
    <cellStyle name="3 2 2 7" xfId="3394"/>
    <cellStyle name="3 2 2 8" xfId="3395"/>
    <cellStyle name="3 2 3" xfId="3396"/>
    <cellStyle name="3 2 3 2" xfId="3397"/>
    <cellStyle name="3 2 3 2 2" xfId="3398"/>
    <cellStyle name="3 2 3 2 3" xfId="3399"/>
    <cellStyle name="3 2 3 2 4" xfId="3400"/>
    <cellStyle name="3 2 3 3" xfId="3401"/>
    <cellStyle name="3 2 3 3 2" xfId="3402"/>
    <cellStyle name="3 2 3 3 3" xfId="3403"/>
    <cellStyle name="3 2 3 3 4" xfId="3404"/>
    <cellStyle name="3 2 3 4" xfId="3405"/>
    <cellStyle name="3 2 3 4 2" xfId="3406"/>
    <cellStyle name="3 2 3 4 3" xfId="3407"/>
    <cellStyle name="3 2 3 4 4" xfId="3408"/>
    <cellStyle name="3 2 3 5" xfId="3409"/>
    <cellStyle name="3 2 3 6" xfId="3410"/>
    <cellStyle name="3 2 3 7" xfId="3411"/>
    <cellStyle name="3 2 3 8" xfId="3412"/>
    <cellStyle name="3 2 4" xfId="3413"/>
    <cellStyle name="3 2 4 2" xfId="3414"/>
    <cellStyle name="3 2 4 2 2" xfId="3415"/>
    <cellStyle name="3 2 4 2 3" xfId="3416"/>
    <cellStyle name="3 2 4 2 4" xfId="3417"/>
    <cellStyle name="3 2 4 3" xfId="3418"/>
    <cellStyle name="3 2 4 3 2" xfId="3419"/>
    <cellStyle name="3 2 4 3 3" xfId="3420"/>
    <cellStyle name="3 2 4 3 4" xfId="3421"/>
    <cellStyle name="3 2 4 4" xfId="3422"/>
    <cellStyle name="3 2 4 4 2" xfId="3423"/>
    <cellStyle name="3 2 4 4 3" xfId="3424"/>
    <cellStyle name="3 2 4 4 4" xfId="3425"/>
    <cellStyle name="3 2 4 5" xfId="3426"/>
    <cellStyle name="3 2 4 6" xfId="3427"/>
    <cellStyle name="3 2 4 7" xfId="3428"/>
    <cellStyle name="3 2 4 8" xfId="3429"/>
    <cellStyle name="3 2 5" xfId="3430"/>
    <cellStyle name="3 2 5 2" xfId="3431"/>
    <cellStyle name="3 2 5 3" xfId="3432"/>
    <cellStyle name="3 2 5 4" xfId="3433"/>
    <cellStyle name="3 2 6" xfId="3434"/>
    <cellStyle name="3 2 6 2" xfId="3435"/>
    <cellStyle name="3 2 6 3" xfId="3436"/>
    <cellStyle name="3 2 6 4" xfId="3437"/>
    <cellStyle name="3 2 7" xfId="3438"/>
    <cellStyle name="3 2 8" xfId="3439"/>
    <cellStyle name="3 3" xfId="3440"/>
    <cellStyle name="3 3 2" xfId="3441"/>
    <cellStyle name="3 3 2 2" xfId="3442"/>
    <cellStyle name="3 3 2 3" xfId="3443"/>
    <cellStyle name="3 3 2 4" xfId="3444"/>
    <cellStyle name="3 3 3" xfId="3445"/>
    <cellStyle name="3 3 3 2" xfId="3446"/>
    <cellStyle name="3 3 3 3" xfId="3447"/>
    <cellStyle name="3 3 3 4" xfId="3448"/>
    <cellStyle name="3 3 4" xfId="3449"/>
    <cellStyle name="3 3 5" xfId="3450"/>
    <cellStyle name="3 3 6" xfId="3451"/>
    <cellStyle name="3 3 7" xfId="3452"/>
    <cellStyle name="3 4" xfId="3453"/>
    <cellStyle name="3 4 2" xfId="3454"/>
    <cellStyle name="3 4 2 2" xfId="3455"/>
    <cellStyle name="3 4 2 3" xfId="3456"/>
    <cellStyle name="3 4 2 4" xfId="3457"/>
    <cellStyle name="3 4 3" xfId="3458"/>
    <cellStyle name="3 4 3 2" xfId="3459"/>
    <cellStyle name="3 4 3 3" xfId="3460"/>
    <cellStyle name="3 4 3 4" xfId="3461"/>
    <cellStyle name="3 4 4" xfId="3462"/>
    <cellStyle name="3 4 4 2" xfId="3463"/>
    <cellStyle name="3 4 4 3" xfId="3464"/>
    <cellStyle name="3 4 4 4" xfId="3465"/>
    <cellStyle name="3 4 5" xfId="3466"/>
    <cellStyle name="3 4 6" xfId="3467"/>
    <cellStyle name="3 4 7" xfId="3468"/>
    <cellStyle name="3 4 8" xfId="3469"/>
    <cellStyle name="3 5" xfId="3470"/>
    <cellStyle name="3 5 2" xfId="3471"/>
    <cellStyle name="3 5 2 2" xfId="3472"/>
    <cellStyle name="3 5 2 3" xfId="3473"/>
    <cellStyle name="3 5 2 4" xfId="3474"/>
    <cellStyle name="3 5 3" xfId="3475"/>
    <cellStyle name="3 5 3 2" xfId="3476"/>
    <cellStyle name="3 5 3 3" xfId="3477"/>
    <cellStyle name="3 5 3 4" xfId="3478"/>
    <cellStyle name="3 5 4" xfId="3479"/>
    <cellStyle name="3 5 4 2" xfId="3480"/>
    <cellStyle name="3 5 4 3" xfId="3481"/>
    <cellStyle name="3 5 4 4" xfId="3482"/>
    <cellStyle name="3 5 5" xfId="3483"/>
    <cellStyle name="3 5 6" xfId="3484"/>
    <cellStyle name="3 5 7" xfId="3485"/>
    <cellStyle name="3 5 8" xfId="3486"/>
    <cellStyle name="3 6" xfId="3487"/>
    <cellStyle name="3 6 2" xfId="3488"/>
    <cellStyle name="3 6 2 2" xfId="3489"/>
    <cellStyle name="3 6 2 3" xfId="3490"/>
    <cellStyle name="3 6 2 4" xfId="3491"/>
    <cellStyle name="3 6 3" xfId="3492"/>
    <cellStyle name="3 6 3 2" xfId="3493"/>
    <cellStyle name="3 6 3 3" xfId="3494"/>
    <cellStyle name="3 6 3 4" xfId="3495"/>
    <cellStyle name="3 6 4" xfId="3496"/>
    <cellStyle name="3 6 4 2" xfId="3497"/>
    <cellStyle name="3 6 4 3" xfId="3498"/>
    <cellStyle name="3 6 4 4" xfId="3499"/>
    <cellStyle name="3 6 5" xfId="3500"/>
    <cellStyle name="3 6 6" xfId="3501"/>
    <cellStyle name="3 6 7" xfId="3502"/>
    <cellStyle name="3 6 8" xfId="3503"/>
    <cellStyle name="3 7" xfId="3504"/>
    <cellStyle name="3 7 2" xfId="3505"/>
    <cellStyle name="3 7 3" xfId="3506"/>
    <cellStyle name="3 7 4" xfId="3507"/>
    <cellStyle name="3 8" xfId="3508"/>
    <cellStyle name="3 8 2" xfId="3509"/>
    <cellStyle name="3 8 3" xfId="3510"/>
    <cellStyle name="3 8 4" xfId="3511"/>
    <cellStyle name="3 9" xfId="3512"/>
    <cellStyle name="3 9 2" xfId="3513"/>
    <cellStyle name="3 9 3" xfId="3514"/>
    <cellStyle name="3 9 4" xfId="3515"/>
    <cellStyle name="3_Plan 123 Larga Distancia v4 (AS)" xfId="3516"/>
    <cellStyle name="3_Plan 123 Larga Distancia v4 (AS) 10" xfId="3517"/>
    <cellStyle name="3_Plan 123 Larga Distancia v4 (AS) 11" xfId="3518"/>
    <cellStyle name="3_Plan 123 Larga Distancia v4 (AS) 2" xfId="3519"/>
    <cellStyle name="3_Plan 123 Larga Distancia v4 (AS) 2 2" xfId="3520"/>
    <cellStyle name="3_Plan 123 Larga Distancia v4 (AS) 2 2 2" xfId="3521"/>
    <cellStyle name="3_Plan 123 Larga Distancia v4 (AS) 2 2 2 2" xfId="3522"/>
    <cellStyle name="3_Plan 123 Larga Distancia v4 (AS) 2 2 2 3" xfId="3523"/>
    <cellStyle name="3_Plan 123 Larga Distancia v4 (AS) 2 2 2 4" xfId="3524"/>
    <cellStyle name="3_Plan 123 Larga Distancia v4 (AS) 2 2 3" xfId="3525"/>
    <cellStyle name="3_Plan 123 Larga Distancia v4 (AS) 2 2 3 2" xfId="3526"/>
    <cellStyle name="3_Plan 123 Larga Distancia v4 (AS) 2 2 3 3" xfId="3527"/>
    <cellStyle name="3_Plan 123 Larga Distancia v4 (AS) 2 2 3 4" xfId="3528"/>
    <cellStyle name="3_Plan 123 Larga Distancia v4 (AS) 2 2 4" xfId="3529"/>
    <cellStyle name="3_Plan 123 Larga Distancia v4 (AS) 2 2 4 2" xfId="3530"/>
    <cellStyle name="3_Plan 123 Larga Distancia v4 (AS) 2 2 4 3" xfId="3531"/>
    <cellStyle name="3_Plan 123 Larga Distancia v4 (AS) 2 2 4 4" xfId="3532"/>
    <cellStyle name="3_Plan 123 Larga Distancia v4 (AS) 2 2 5" xfId="3533"/>
    <cellStyle name="3_Plan 123 Larga Distancia v4 (AS) 2 2 6" xfId="3534"/>
    <cellStyle name="3_Plan 123 Larga Distancia v4 (AS) 2 2 7" xfId="3535"/>
    <cellStyle name="3_Plan 123 Larga Distancia v4 (AS) 2 2 8" xfId="3536"/>
    <cellStyle name="3_Plan 123 Larga Distancia v4 (AS) 2 3" xfId="3537"/>
    <cellStyle name="3_Plan 123 Larga Distancia v4 (AS) 2 3 2" xfId="3538"/>
    <cellStyle name="3_Plan 123 Larga Distancia v4 (AS) 2 3 2 2" xfId="3539"/>
    <cellStyle name="3_Plan 123 Larga Distancia v4 (AS) 2 3 2 3" xfId="3540"/>
    <cellStyle name="3_Plan 123 Larga Distancia v4 (AS) 2 3 2 4" xfId="3541"/>
    <cellStyle name="3_Plan 123 Larga Distancia v4 (AS) 2 3 3" xfId="3542"/>
    <cellStyle name="3_Plan 123 Larga Distancia v4 (AS) 2 3 3 2" xfId="3543"/>
    <cellStyle name="3_Plan 123 Larga Distancia v4 (AS) 2 3 3 3" xfId="3544"/>
    <cellStyle name="3_Plan 123 Larga Distancia v4 (AS) 2 3 3 4" xfId="3545"/>
    <cellStyle name="3_Plan 123 Larga Distancia v4 (AS) 2 3 4" xfId="3546"/>
    <cellStyle name="3_Plan 123 Larga Distancia v4 (AS) 2 3 4 2" xfId="3547"/>
    <cellStyle name="3_Plan 123 Larga Distancia v4 (AS) 2 3 4 3" xfId="3548"/>
    <cellStyle name="3_Plan 123 Larga Distancia v4 (AS) 2 3 4 4" xfId="3549"/>
    <cellStyle name="3_Plan 123 Larga Distancia v4 (AS) 2 3 5" xfId="3550"/>
    <cellStyle name="3_Plan 123 Larga Distancia v4 (AS) 2 3 6" xfId="3551"/>
    <cellStyle name="3_Plan 123 Larga Distancia v4 (AS) 2 3 7" xfId="3552"/>
    <cellStyle name="3_Plan 123 Larga Distancia v4 (AS) 2 3 8" xfId="3553"/>
    <cellStyle name="3_Plan 123 Larga Distancia v4 (AS) 2 4" xfId="3554"/>
    <cellStyle name="3_Plan 123 Larga Distancia v4 (AS) 2 4 2" xfId="3555"/>
    <cellStyle name="3_Plan 123 Larga Distancia v4 (AS) 2 4 2 2" xfId="3556"/>
    <cellStyle name="3_Plan 123 Larga Distancia v4 (AS) 2 4 2 3" xfId="3557"/>
    <cellStyle name="3_Plan 123 Larga Distancia v4 (AS) 2 4 2 4" xfId="3558"/>
    <cellStyle name="3_Plan 123 Larga Distancia v4 (AS) 2 4 3" xfId="3559"/>
    <cellStyle name="3_Plan 123 Larga Distancia v4 (AS) 2 4 3 2" xfId="3560"/>
    <cellStyle name="3_Plan 123 Larga Distancia v4 (AS) 2 4 3 3" xfId="3561"/>
    <cellStyle name="3_Plan 123 Larga Distancia v4 (AS) 2 4 3 4" xfId="3562"/>
    <cellStyle name="3_Plan 123 Larga Distancia v4 (AS) 2 4 4" xfId="3563"/>
    <cellStyle name="3_Plan 123 Larga Distancia v4 (AS) 2 4 4 2" xfId="3564"/>
    <cellStyle name="3_Plan 123 Larga Distancia v4 (AS) 2 4 4 3" xfId="3565"/>
    <cellStyle name="3_Plan 123 Larga Distancia v4 (AS) 2 4 4 4" xfId="3566"/>
    <cellStyle name="3_Plan 123 Larga Distancia v4 (AS) 2 4 5" xfId="3567"/>
    <cellStyle name="3_Plan 123 Larga Distancia v4 (AS) 2 4 6" xfId="3568"/>
    <cellStyle name="3_Plan 123 Larga Distancia v4 (AS) 2 4 7" xfId="3569"/>
    <cellStyle name="3_Plan 123 Larga Distancia v4 (AS) 2 4 8" xfId="3570"/>
    <cellStyle name="3_Plan 123 Larga Distancia v4 (AS) 2 5" xfId="3571"/>
    <cellStyle name="3_Plan 123 Larga Distancia v4 (AS) 2 5 2" xfId="3572"/>
    <cellStyle name="3_Plan 123 Larga Distancia v4 (AS) 2 5 3" xfId="3573"/>
    <cellStyle name="3_Plan 123 Larga Distancia v4 (AS) 2 5 4" xfId="3574"/>
    <cellStyle name="3_Plan 123 Larga Distancia v4 (AS) 2 6" xfId="3575"/>
    <cellStyle name="3_Plan 123 Larga Distancia v4 (AS) 2 6 2" xfId="3576"/>
    <cellStyle name="3_Plan 123 Larga Distancia v4 (AS) 2 6 3" xfId="3577"/>
    <cellStyle name="3_Plan 123 Larga Distancia v4 (AS) 2 6 4" xfId="3578"/>
    <cellStyle name="3_Plan 123 Larga Distancia v4 (AS) 2 7" xfId="3579"/>
    <cellStyle name="3_Plan 123 Larga Distancia v4 (AS) 2 8" xfId="3580"/>
    <cellStyle name="3_Plan 123 Larga Distancia v4 (AS) 3" xfId="3581"/>
    <cellStyle name="3_Plan 123 Larga Distancia v4 (AS) 3 2" xfId="3582"/>
    <cellStyle name="3_Plan 123 Larga Distancia v4 (AS) 3 2 2" xfId="3583"/>
    <cellStyle name="3_Plan 123 Larga Distancia v4 (AS) 3 2 3" xfId="3584"/>
    <cellStyle name="3_Plan 123 Larga Distancia v4 (AS) 3 2 4" xfId="3585"/>
    <cellStyle name="3_Plan 123 Larga Distancia v4 (AS) 3 3" xfId="3586"/>
    <cellStyle name="3_Plan 123 Larga Distancia v4 (AS) 3 3 2" xfId="3587"/>
    <cellStyle name="3_Plan 123 Larga Distancia v4 (AS) 3 3 3" xfId="3588"/>
    <cellStyle name="3_Plan 123 Larga Distancia v4 (AS) 3 3 4" xfId="3589"/>
    <cellStyle name="3_Plan 123 Larga Distancia v4 (AS) 3 4" xfId="3590"/>
    <cellStyle name="3_Plan 123 Larga Distancia v4 (AS) 3 5" xfId="3591"/>
    <cellStyle name="3_Plan 123 Larga Distancia v4 (AS) 3 6" xfId="3592"/>
    <cellStyle name="3_Plan 123 Larga Distancia v4 (AS) 3 7" xfId="3593"/>
    <cellStyle name="3_Plan 123 Larga Distancia v4 (AS) 4" xfId="3594"/>
    <cellStyle name="3_Plan 123 Larga Distancia v4 (AS) 4 2" xfId="3595"/>
    <cellStyle name="3_Plan 123 Larga Distancia v4 (AS) 4 2 2" xfId="3596"/>
    <cellStyle name="3_Plan 123 Larga Distancia v4 (AS) 4 2 3" xfId="3597"/>
    <cellStyle name="3_Plan 123 Larga Distancia v4 (AS) 4 2 4" xfId="3598"/>
    <cellStyle name="3_Plan 123 Larga Distancia v4 (AS) 4 3" xfId="3599"/>
    <cellStyle name="3_Plan 123 Larga Distancia v4 (AS) 4 3 2" xfId="3600"/>
    <cellStyle name="3_Plan 123 Larga Distancia v4 (AS) 4 3 3" xfId="3601"/>
    <cellStyle name="3_Plan 123 Larga Distancia v4 (AS) 4 3 4" xfId="3602"/>
    <cellStyle name="3_Plan 123 Larga Distancia v4 (AS) 4 4" xfId="3603"/>
    <cellStyle name="3_Plan 123 Larga Distancia v4 (AS) 4 4 2" xfId="3604"/>
    <cellStyle name="3_Plan 123 Larga Distancia v4 (AS) 4 4 3" xfId="3605"/>
    <cellStyle name="3_Plan 123 Larga Distancia v4 (AS) 4 4 4" xfId="3606"/>
    <cellStyle name="3_Plan 123 Larga Distancia v4 (AS) 4 5" xfId="3607"/>
    <cellStyle name="3_Plan 123 Larga Distancia v4 (AS) 4 6" xfId="3608"/>
    <cellStyle name="3_Plan 123 Larga Distancia v4 (AS) 4 7" xfId="3609"/>
    <cellStyle name="3_Plan 123 Larga Distancia v4 (AS) 4 8" xfId="3610"/>
    <cellStyle name="3_Plan 123 Larga Distancia v4 (AS) 5" xfId="3611"/>
    <cellStyle name="3_Plan 123 Larga Distancia v4 (AS) 5 2" xfId="3612"/>
    <cellStyle name="3_Plan 123 Larga Distancia v4 (AS) 5 2 2" xfId="3613"/>
    <cellStyle name="3_Plan 123 Larga Distancia v4 (AS) 5 2 3" xfId="3614"/>
    <cellStyle name="3_Plan 123 Larga Distancia v4 (AS) 5 2 4" xfId="3615"/>
    <cellStyle name="3_Plan 123 Larga Distancia v4 (AS) 5 3" xfId="3616"/>
    <cellStyle name="3_Plan 123 Larga Distancia v4 (AS) 5 3 2" xfId="3617"/>
    <cellStyle name="3_Plan 123 Larga Distancia v4 (AS) 5 3 3" xfId="3618"/>
    <cellStyle name="3_Plan 123 Larga Distancia v4 (AS) 5 3 4" xfId="3619"/>
    <cellStyle name="3_Plan 123 Larga Distancia v4 (AS) 5 4" xfId="3620"/>
    <cellStyle name="3_Plan 123 Larga Distancia v4 (AS) 5 4 2" xfId="3621"/>
    <cellStyle name="3_Plan 123 Larga Distancia v4 (AS) 5 4 3" xfId="3622"/>
    <cellStyle name="3_Plan 123 Larga Distancia v4 (AS) 5 4 4" xfId="3623"/>
    <cellStyle name="3_Plan 123 Larga Distancia v4 (AS) 5 5" xfId="3624"/>
    <cellStyle name="3_Plan 123 Larga Distancia v4 (AS) 5 6" xfId="3625"/>
    <cellStyle name="3_Plan 123 Larga Distancia v4 (AS) 5 7" xfId="3626"/>
    <cellStyle name="3_Plan 123 Larga Distancia v4 (AS) 5 8" xfId="3627"/>
    <cellStyle name="3_Plan 123 Larga Distancia v4 (AS) 6" xfId="3628"/>
    <cellStyle name="3_Plan 123 Larga Distancia v4 (AS) 6 2" xfId="3629"/>
    <cellStyle name="3_Plan 123 Larga Distancia v4 (AS) 6 2 2" xfId="3630"/>
    <cellStyle name="3_Plan 123 Larga Distancia v4 (AS) 6 2 3" xfId="3631"/>
    <cellStyle name="3_Plan 123 Larga Distancia v4 (AS) 6 2 4" xfId="3632"/>
    <cellStyle name="3_Plan 123 Larga Distancia v4 (AS) 6 3" xfId="3633"/>
    <cellStyle name="3_Plan 123 Larga Distancia v4 (AS) 6 3 2" xfId="3634"/>
    <cellStyle name="3_Plan 123 Larga Distancia v4 (AS) 6 3 3" xfId="3635"/>
    <cellStyle name="3_Plan 123 Larga Distancia v4 (AS) 6 3 4" xfId="3636"/>
    <cellStyle name="3_Plan 123 Larga Distancia v4 (AS) 6 4" xfId="3637"/>
    <cellStyle name="3_Plan 123 Larga Distancia v4 (AS) 6 4 2" xfId="3638"/>
    <cellStyle name="3_Plan 123 Larga Distancia v4 (AS) 6 4 3" xfId="3639"/>
    <cellStyle name="3_Plan 123 Larga Distancia v4 (AS) 6 4 4" xfId="3640"/>
    <cellStyle name="3_Plan 123 Larga Distancia v4 (AS) 6 5" xfId="3641"/>
    <cellStyle name="3_Plan 123 Larga Distancia v4 (AS) 6 6" xfId="3642"/>
    <cellStyle name="3_Plan 123 Larga Distancia v4 (AS) 6 7" xfId="3643"/>
    <cellStyle name="3_Plan 123 Larga Distancia v4 (AS) 6 8" xfId="3644"/>
    <cellStyle name="3_Plan 123 Larga Distancia v4 (AS) 7" xfId="3645"/>
    <cellStyle name="3_Plan 123 Larga Distancia v4 (AS) 7 2" xfId="3646"/>
    <cellStyle name="3_Plan 123 Larga Distancia v4 (AS) 7 3" xfId="3647"/>
    <cellStyle name="3_Plan 123 Larga Distancia v4 (AS) 7 4" xfId="3648"/>
    <cellStyle name="3_Plan 123 Larga Distancia v4 (AS) 8" xfId="3649"/>
    <cellStyle name="3_Plan 123 Larga Distancia v4 (AS) 8 2" xfId="3650"/>
    <cellStyle name="3_Plan 123 Larga Distancia v4 (AS) 8 3" xfId="3651"/>
    <cellStyle name="3_Plan 123 Larga Distancia v4 (AS) 8 4" xfId="3652"/>
    <cellStyle name="3_Plan 123 Larga Distancia v4 (AS) 9" xfId="3653"/>
    <cellStyle name="3_Plan 123 Larga Distancia v4 (AS) 9 2" xfId="3654"/>
    <cellStyle name="3_Plan 123 Larga Distancia v4 (AS) 9 3" xfId="3655"/>
    <cellStyle name="3_Plan 123 Larga Distancia v4 (AS) 9 4" xfId="3656"/>
    <cellStyle name="4" xfId="3657"/>
    <cellStyle name="4 2" xfId="3658"/>
    <cellStyle name="4 2 2" xfId="3659"/>
    <cellStyle name="4 2 2 2" xfId="3660"/>
    <cellStyle name="4 2 2 2 2" xfId="3661"/>
    <cellStyle name="4 2 2 2 3" xfId="3662"/>
    <cellStyle name="4 2 2 2 4" xfId="3663"/>
    <cellStyle name="4 2 2 3" xfId="3664"/>
    <cellStyle name="4 2 2 3 2" xfId="3665"/>
    <cellStyle name="4 2 2 3 3" xfId="3666"/>
    <cellStyle name="4 2 2 3 4" xfId="3667"/>
    <cellStyle name="4 2 2 4" xfId="3668"/>
    <cellStyle name="4 2 2 4 2" xfId="3669"/>
    <cellStyle name="4 2 2 4 3" xfId="3670"/>
    <cellStyle name="4 2 2 4 4" xfId="3671"/>
    <cellStyle name="4 2 2 5" xfId="3672"/>
    <cellStyle name="4 2 2 6" xfId="3673"/>
    <cellStyle name="4 2 2 7" xfId="3674"/>
    <cellStyle name="4 2 2 8" xfId="3675"/>
    <cellStyle name="4 2 3" xfId="3676"/>
    <cellStyle name="4 2 3 2" xfId="3677"/>
    <cellStyle name="4 2 3 2 2" xfId="3678"/>
    <cellStyle name="4 2 3 2 3" xfId="3679"/>
    <cellStyle name="4 2 3 2 4" xfId="3680"/>
    <cellStyle name="4 2 3 3" xfId="3681"/>
    <cellStyle name="4 2 3 3 2" xfId="3682"/>
    <cellStyle name="4 2 3 3 3" xfId="3683"/>
    <cellStyle name="4 2 3 3 4" xfId="3684"/>
    <cellStyle name="4 2 3 4" xfId="3685"/>
    <cellStyle name="4 2 3 4 2" xfId="3686"/>
    <cellStyle name="4 2 3 4 3" xfId="3687"/>
    <cellStyle name="4 2 3 4 4" xfId="3688"/>
    <cellStyle name="4 2 3 5" xfId="3689"/>
    <cellStyle name="4 2 3 6" xfId="3690"/>
    <cellStyle name="4 2 3 7" xfId="3691"/>
    <cellStyle name="4 2 3 8" xfId="3692"/>
    <cellStyle name="4 2 4" xfId="3693"/>
    <cellStyle name="4 2 4 2" xfId="3694"/>
    <cellStyle name="4 2 4 2 2" xfId="3695"/>
    <cellStyle name="4 2 4 2 3" xfId="3696"/>
    <cellStyle name="4 2 4 2 4" xfId="3697"/>
    <cellStyle name="4 2 4 3" xfId="3698"/>
    <cellStyle name="4 2 4 3 2" xfId="3699"/>
    <cellStyle name="4 2 4 3 3" xfId="3700"/>
    <cellStyle name="4 2 4 3 4" xfId="3701"/>
    <cellStyle name="4 2 4 4" xfId="3702"/>
    <cellStyle name="4 2 4 4 2" xfId="3703"/>
    <cellStyle name="4 2 4 4 3" xfId="3704"/>
    <cellStyle name="4 2 4 4 4" xfId="3705"/>
    <cellStyle name="4 2 4 5" xfId="3706"/>
    <cellStyle name="4 2 4 6" xfId="3707"/>
    <cellStyle name="4 2 4 7" xfId="3708"/>
    <cellStyle name="4 2 4 8" xfId="3709"/>
    <cellStyle name="4 2 5" xfId="3710"/>
    <cellStyle name="4 2 5 2" xfId="3711"/>
    <cellStyle name="4 2 5 3" xfId="3712"/>
    <cellStyle name="4 2 5 4" xfId="3713"/>
    <cellStyle name="4 2 6" xfId="3714"/>
    <cellStyle name="4 2 6 2" xfId="3715"/>
    <cellStyle name="4 2 6 3" xfId="3716"/>
    <cellStyle name="4 2 6 4" xfId="3717"/>
    <cellStyle name="4 2 7" xfId="3718"/>
    <cellStyle name="4 2 8" xfId="3719"/>
    <cellStyle name="4 3" xfId="3720"/>
    <cellStyle name="4 3 2" xfId="3721"/>
    <cellStyle name="4 3 2 2" xfId="3722"/>
    <cellStyle name="4 3 2 3" xfId="3723"/>
    <cellStyle name="4 3 2 4" xfId="3724"/>
    <cellStyle name="4 3 3" xfId="3725"/>
    <cellStyle name="4 3 3 2" xfId="3726"/>
    <cellStyle name="4 3 3 3" xfId="3727"/>
    <cellStyle name="4 3 3 4" xfId="3728"/>
    <cellStyle name="4 3 4" xfId="3729"/>
    <cellStyle name="4 3 4 2" xfId="3730"/>
    <cellStyle name="4 3 4 3" xfId="3731"/>
    <cellStyle name="4 3 4 4" xfId="3732"/>
    <cellStyle name="4 3 5" xfId="3733"/>
    <cellStyle name="4 3 6" xfId="3734"/>
    <cellStyle name="4 3 7" xfId="3735"/>
    <cellStyle name="4 3 8" xfId="3736"/>
    <cellStyle name="4 4" xfId="3737"/>
    <cellStyle name="4 4 2" xfId="3738"/>
    <cellStyle name="4 4 2 2" xfId="3739"/>
    <cellStyle name="4 4 2 3" xfId="3740"/>
    <cellStyle name="4 4 2 4" xfId="3741"/>
    <cellStyle name="4 4 3" xfId="3742"/>
    <cellStyle name="4 4 3 2" xfId="3743"/>
    <cellStyle name="4 4 3 3" xfId="3744"/>
    <cellStyle name="4 4 3 4" xfId="3745"/>
    <cellStyle name="4 4 4" xfId="3746"/>
    <cellStyle name="4 4 4 2" xfId="3747"/>
    <cellStyle name="4 4 4 3" xfId="3748"/>
    <cellStyle name="4 4 4 4" xfId="3749"/>
    <cellStyle name="4 4 5" xfId="3750"/>
    <cellStyle name="4 4 6" xfId="3751"/>
    <cellStyle name="4 4 7" xfId="3752"/>
    <cellStyle name="4 4 8" xfId="3753"/>
    <cellStyle name="4 5" xfId="3754"/>
    <cellStyle name="4 5 2" xfId="3755"/>
    <cellStyle name="4 5 2 2" xfId="3756"/>
    <cellStyle name="4 5 2 3" xfId="3757"/>
    <cellStyle name="4 5 2 4" xfId="3758"/>
    <cellStyle name="4 5 3" xfId="3759"/>
    <cellStyle name="4 5 3 2" xfId="3760"/>
    <cellStyle name="4 5 3 3" xfId="3761"/>
    <cellStyle name="4 5 3 4" xfId="3762"/>
    <cellStyle name="4 5 4" xfId="3763"/>
    <cellStyle name="4 5 4 2" xfId="3764"/>
    <cellStyle name="4 5 4 3" xfId="3765"/>
    <cellStyle name="4 5 4 4" xfId="3766"/>
    <cellStyle name="4 5 5" xfId="3767"/>
    <cellStyle name="4 5 6" xfId="3768"/>
    <cellStyle name="4 5 7" xfId="3769"/>
    <cellStyle name="4 5 8" xfId="3770"/>
    <cellStyle name="4 6" xfId="3771"/>
    <cellStyle name="4 6 2" xfId="3772"/>
    <cellStyle name="4 6 3" xfId="3773"/>
    <cellStyle name="4 6 4" xfId="3774"/>
    <cellStyle name="4 7" xfId="3775"/>
    <cellStyle name="4 7 2" xfId="3776"/>
    <cellStyle name="4 7 3" xfId="3777"/>
    <cellStyle name="4 7 4" xfId="3778"/>
    <cellStyle name="4 8" xfId="3779"/>
    <cellStyle name="4 9" xfId="3780"/>
    <cellStyle name="4_Plan 123 Larga Distancia v4 (AS)" xfId="3781"/>
    <cellStyle name="4_Plan 123 Larga Distancia v4 (AS) 2" xfId="3782"/>
    <cellStyle name="4_Plan 123 Larga Distancia v4 (AS) 2 2" xfId="3783"/>
    <cellStyle name="4_Plan 123 Larga Distancia v4 (AS) 2 2 2" xfId="3784"/>
    <cellStyle name="4_Plan 123 Larga Distancia v4 (AS) 2 2 2 2" xfId="3785"/>
    <cellStyle name="4_Plan 123 Larga Distancia v4 (AS) 2 2 2 3" xfId="3786"/>
    <cellStyle name="4_Plan 123 Larga Distancia v4 (AS) 2 2 2 4" xfId="3787"/>
    <cellStyle name="4_Plan 123 Larga Distancia v4 (AS) 2 2 3" xfId="3788"/>
    <cellStyle name="4_Plan 123 Larga Distancia v4 (AS) 2 2 3 2" xfId="3789"/>
    <cellStyle name="4_Plan 123 Larga Distancia v4 (AS) 2 2 3 3" xfId="3790"/>
    <cellStyle name="4_Plan 123 Larga Distancia v4 (AS) 2 2 3 4" xfId="3791"/>
    <cellStyle name="4_Plan 123 Larga Distancia v4 (AS) 2 2 4" xfId="3792"/>
    <cellStyle name="4_Plan 123 Larga Distancia v4 (AS) 2 2 4 2" xfId="3793"/>
    <cellStyle name="4_Plan 123 Larga Distancia v4 (AS) 2 2 4 3" xfId="3794"/>
    <cellStyle name="4_Plan 123 Larga Distancia v4 (AS) 2 2 4 4" xfId="3795"/>
    <cellStyle name="4_Plan 123 Larga Distancia v4 (AS) 2 2 5" xfId="3796"/>
    <cellStyle name="4_Plan 123 Larga Distancia v4 (AS) 2 2 6" xfId="3797"/>
    <cellStyle name="4_Plan 123 Larga Distancia v4 (AS) 2 2 7" xfId="3798"/>
    <cellStyle name="4_Plan 123 Larga Distancia v4 (AS) 2 2 8" xfId="3799"/>
    <cellStyle name="4_Plan 123 Larga Distancia v4 (AS) 2 3" xfId="3800"/>
    <cellStyle name="4_Plan 123 Larga Distancia v4 (AS) 2 3 2" xfId="3801"/>
    <cellStyle name="4_Plan 123 Larga Distancia v4 (AS) 2 3 2 2" xfId="3802"/>
    <cellStyle name="4_Plan 123 Larga Distancia v4 (AS) 2 3 2 3" xfId="3803"/>
    <cellStyle name="4_Plan 123 Larga Distancia v4 (AS) 2 3 2 4" xfId="3804"/>
    <cellStyle name="4_Plan 123 Larga Distancia v4 (AS) 2 3 3" xfId="3805"/>
    <cellStyle name="4_Plan 123 Larga Distancia v4 (AS) 2 3 3 2" xfId="3806"/>
    <cellStyle name="4_Plan 123 Larga Distancia v4 (AS) 2 3 3 3" xfId="3807"/>
    <cellStyle name="4_Plan 123 Larga Distancia v4 (AS) 2 3 3 4" xfId="3808"/>
    <cellStyle name="4_Plan 123 Larga Distancia v4 (AS) 2 3 4" xfId="3809"/>
    <cellStyle name="4_Plan 123 Larga Distancia v4 (AS) 2 3 4 2" xfId="3810"/>
    <cellStyle name="4_Plan 123 Larga Distancia v4 (AS) 2 3 4 3" xfId="3811"/>
    <cellStyle name="4_Plan 123 Larga Distancia v4 (AS) 2 3 4 4" xfId="3812"/>
    <cellStyle name="4_Plan 123 Larga Distancia v4 (AS) 2 3 5" xfId="3813"/>
    <cellStyle name="4_Plan 123 Larga Distancia v4 (AS) 2 3 6" xfId="3814"/>
    <cellStyle name="4_Plan 123 Larga Distancia v4 (AS) 2 3 7" xfId="3815"/>
    <cellStyle name="4_Plan 123 Larga Distancia v4 (AS) 2 3 8" xfId="3816"/>
    <cellStyle name="4_Plan 123 Larga Distancia v4 (AS) 2 4" xfId="3817"/>
    <cellStyle name="4_Plan 123 Larga Distancia v4 (AS) 2 4 2" xfId="3818"/>
    <cellStyle name="4_Plan 123 Larga Distancia v4 (AS) 2 4 2 2" xfId="3819"/>
    <cellStyle name="4_Plan 123 Larga Distancia v4 (AS) 2 4 2 3" xfId="3820"/>
    <cellStyle name="4_Plan 123 Larga Distancia v4 (AS) 2 4 2 4" xfId="3821"/>
    <cellStyle name="4_Plan 123 Larga Distancia v4 (AS) 2 4 3" xfId="3822"/>
    <cellStyle name="4_Plan 123 Larga Distancia v4 (AS) 2 4 3 2" xfId="3823"/>
    <cellStyle name="4_Plan 123 Larga Distancia v4 (AS) 2 4 3 3" xfId="3824"/>
    <cellStyle name="4_Plan 123 Larga Distancia v4 (AS) 2 4 3 4" xfId="3825"/>
    <cellStyle name="4_Plan 123 Larga Distancia v4 (AS) 2 4 4" xfId="3826"/>
    <cellStyle name="4_Plan 123 Larga Distancia v4 (AS) 2 4 4 2" xfId="3827"/>
    <cellStyle name="4_Plan 123 Larga Distancia v4 (AS) 2 4 4 3" xfId="3828"/>
    <cellStyle name="4_Plan 123 Larga Distancia v4 (AS) 2 4 4 4" xfId="3829"/>
    <cellStyle name="4_Plan 123 Larga Distancia v4 (AS) 2 4 5" xfId="3830"/>
    <cellStyle name="4_Plan 123 Larga Distancia v4 (AS) 2 4 6" xfId="3831"/>
    <cellStyle name="4_Plan 123 Larga Distancia v4 (AS) 2 4 7" xfId="3832"/>
    <cellStyle name="4_Plan 123 Larga Distancia v4 (AS) 2 4 8" xfId="3833"/>
    <cellStyle name="4_Plan 123 Larga Distancia v4 (AS) 2 5" xfId="3834"/>
    <cellStyle name="4_Plan 123 Larga Distancia v4 (AS) 2 5 2" xfId="3835"/>
    <cellStyle name="4_Plan 123 Larga Distancia v4 (AS) 2 5 3" xfId="3836"/>
    <cellStyle name="4_Plan 123 Larga Distancia v4 (AS) 2 5 4" xfId="3837"/>
    <cellStyle name="4_Plan 123 Larga Distancia v4 (AS) 2 6" xfId="3838"/>
    <cellStyle name="4_Plan 123 Larga Distancia v4 (AS) 2 6 2" xfId="3839"/>
    <cellStyle name="4_Plan 123 Larga Distancia v4 (AS) 2 6 3" xfId="3840"/>
    <cellStyle name="4_Plan 123 Larga Distancia v4 (AS) 2 6 4" xfId="3841"/>
    <cellStyle name="4_Plan 123 Larga Distancia v4 (AS) 2 7" xfId="3842"/>
    <cellStyle name="4_Plan 123 Larga Distancia v4 (AS) 2 8" xfId="3843"/>
    <cellStyle name="4_Plan 123 Larga Distancia v4 (AS) 3" xfId="3844"/>
    <cellStyle name="4_Plan 123 Larga Distancia v4 (AS) 3 2" xfId="3845"/>
    <cellStyle name="4_Plan 123 Larga Distancia v4 (AS) 3 2 2" xfId="3846"/>
    <cellStyle name="4_Plan 123 Larga Distancia v4 (AS) 3 2 3" xfId="3847"/>
    <cellStyle name="4_Plan 123 Larga Distancia v4 (AS) 3 2 4" xfId="3848"/>
    <cellStyle name="4_Plan 123 Larga Distancia v4 (AS) 3 3" xfId="3849"/>
    <cellStyle name="4_Plan 123 Larga Distancia v4 (AS) 3 3 2" xfId="3850"/>
    <cellStyle name="4_Plan 123 Larga Distancia v4 (AS) 3 3 3" xfId="3851"/>
    <cellStyle name="4_Plan 123 Larga Distancia v4 (AS) 3 3 4" xfId="3852"/>
    <cellStyle name="4_Plan 123 Larga Distancia v4 (AS) 3 4" xfId="3853"/>
    <cellStyle name="4_Plan 123 Larga Distancia v4 (AS) 3 4 2" xfId="3854"/>
    <cellStyle name="4_Plan 123 Larga Distancia v4 (AS) 3 4 3" xfId="3855"/>
    <cellStyle name="4_Plan 123 Larga Distancia v4 (AS) 3 4 4" xfId="3856"/>
    <cellStyle name="4_Plan 123 Larga Distancia v4 (AS) 3 5" xfId="3857"/>
    <cellStyle name="4_Plan 123 Larga Distancia v4 (AS) 3 6" xfId="3858"/>
    <cellStyle name="4_Plan 123 Larga Distancia v4 (AS) 3 7" xfId="3859"/>
    <cellStyle name="4_Plan 123 Larga Distancia v4 (AS) 3 8" xfId="3860"/>
    <cellStyle name="4_Plan 123 Larga Distancia v4 (AS) 4" xfId="3861"/>
    <cellStyle name="4_Plan 123 Larga Distancia v4 (AS) 4 2" xfId="3862"/>
    <cellStyle name="4_Plan 123 Larga Distancia v4 (AS) 4 2 2" xfId="3863"/>
    <cellStyle name="4_Plan 123 Larga Distancia v4 (AS) 4 2 3" xfId="3864"/>
    <cellStyle name="4_Plan 123 Larga Distancia v4 (AS) 4 2 4" xfId="3865"/>
    <cellStyle name="4_Plan 123 Larga Distancia v4 (AS) 4 3" xfId="3866"/>
    <cellStyle name="4_Plan 123 Larga Distancia v4 (AS) 4 3 2" xfId="3867"/>
    <cellStyle name="4_Plan 123 Larga Distancia v4 (AS) 4 3 3" xfId="3868"/>
    <cellStyle name="4_Plan 123 Larga Distancia v4 (AS) 4 3 4" xfId="3869"/>
    <cellStyle name="4_Plan 123 Larga Distancia v4 (AS) 4 4" xfId="3870"/>
    <cellStyle name="4_Plan 123 Larga Distancia v4 (AS) 4 4 2" xfId="3871"/>
    <cellStyle name="4_Plan 123 Larga Distancia v4 (AS) 4 4 3" xfId="3872"/>
    <cellStyle name="4_Plan 123 Larga Distancia v4 (AS) 4 4 4" xfId="3873"/>
    <cellStyle name="4_Plan 123 Larga Distancia v4 (AS) 4 5" xfId="3874"/>
    <cellStyle name="4_Plan 123 Larga Distancia v4 (AS) 4 6" xfId="3875"/>
    <cellStyle name="4_Plan 123 Larga Distancia v4 (AS) 4 7" xfId="3876"/>
    <cellStyle name="4_Plan 123 Larga Distancia v4 (AS) 4 8" xfId="3877"/>
    <cellStyle name="4_Plan 123 Larga Distancia v4 (AS) 5" xfId="3878"/>
    <cellStyle name="4_Plan 123 Larga Distancia v4 (AS) 5 2" xfId="3879"/>
    <cellStyle name="4_Plan 123 Larga Distancia v4 (AS) 5 2 2" xfId="3880"/>
    <cellStyle name="4_Plan 123 Larga Distancia v4 (AS) 5 2 3" xfId="3881"/>
    <cellStyle name="4_Plan 123 Larga Distancia v4 (AS) 5 2 4" xfId="3882"/>
    <cellStyle name="4_Plan 123 Larga Distancia v4 (AS) 5 3" xfId="3883"/>
    <cellStyle name="4_Plan 123 Larga Distancia v4 (AS) 5 3 2" xfId="3884"/>
    <cellStyle name="4_Plan 123 Larga Distancia v4 (AS) 5 3 3" xfId="3885"/>
    <cellStyle name="4_Plan 123 Larga Distancia v4 (AS) 5 3 4" xfId="3886"/>
    <cellStyle name="4_Plan 123 Larga Distancia v4 (AS) 5 4" xfId="3887"/>
    <cellStyle name="4_Plan 123 Larga Distancia v4 (AS) 5 4 2" xfId="3888"/>
    <cellStyle name="4_Plan 123 Larga Distancia v4 (AS) 5 4 3" xfId="3889"/>
    <cellStyle name="4_Plan 123 Larga Distancia v4 (AS) 5 4 4" xfId="3890"/>
    <cellStyle name="4_Plan 123 Larga Distancia v4 (AS) 5 5" xfId="3891"/>
    <cellStyle name="4_Plan 123 Larga Distancia v4 (AS) 5 6" xfId="3892"/>
    <cellStyle name="4_Plan 123 Larga Distancia v4 (AS) 5 7" xfId="3893"/>
    <cellStyle name="4_Plan 123 Larga Distancia v4 (AS) 5 8" xfId="3894"/>
    <cellStyle name="4_Plan 123 Larga Distancia v4 (AS) 6" xfId="3895"/>
    <cellStyle name="4_Plan 123 Larga Distancia v4 (AS) 6 2" xfId="3896"/>
    <cellStyle name="4_Plan 123 Larga Distancia v4 (AS) 6 3" xfId="3897"/>
    <cellStyle name="4_Plan 123 Larga Distancia v4 (AS) 6 4" xfId="3898"/>
    <cellStyle name="4_Plan 123 Larga Distancia v4 (AS) 7" xfId="3899"/>
    <cellStyle name="4_Plan 123 Larga Distancia v4 (AS) 7 2" xfId="3900"/>
    <cellStyle name="4_Plan 123 Larga Distancia v4 (AS) 7 3" xfId="3901"/>
    <cellStyle name="4_Plan 123 Larga Distancia v4 (AS) 7 4" xfId="3902"/>
    <cellStyle name="4_Plan 123 Larga Distancia v4 (AS) 8" xfId="3903"/>
    <cellStyle name="4_Plan 123 Larga Distancia v4 (AS) 9" xfId="3904"/>
    <cellStyle name="40 % - Markeringsfarve1" xfId="53039"/>
    <cellStyle name="40 % - Markeringsfarve1 2" xfId="53040"/>
    <cellStyle name="40 % - Markeringsfarve2" xfId="53041"/>
    <cellStyle name="40 % - Markeringsfarve2 2" xfId="53042"/>
    <cellStyle name="40 % - Markeringsfarve3" xfId="53043"/>
    <cellStyle name="40 % - Markeringsfarve3 2" xfId="53044"/>
    <cellStyle name="40 % - Markeringsfarve4" xfId="53045"/>
    <cellStyle name="40 % - Markeringsfarve4 2" xfId="53046"/>
    <cellStyle name="40 % - Markeringsfarve5" xfId="53047"/>
    <cellStyle name="40 % - Markeringsfarve5 2" xfId="53048"/>
    <cellStyle name="40 % - Markeringsfarve6" xfId="53049"/>
    <cellStyle name="40 % - Markeringsfarve6 2" xfId="53050"/>
    <cellStyle name="40 % - Accent1" xfId="53051"/>
    <cellStyle name="40 % - Accent1 2" xfId="53052"/>
    <cellStyle name="40 % - Accent2" xfId="53053"/>
    <cellStyle name="40 % - Accent2 2" xfId="53054"/>
    <cellStyle name="40 % - Accent3" xfId="53055"/>
    <cellStyle name="40 % - Accent3 2" xfId="53056"/>
    <cellStyle name="40 % - Accent4" xfId="53057"/>
    <cellStyle name="40 % - Accent4 2" xfId="53058"/>
    <cellStyle name="40 % - Accent5" xfId="53059"/>
    <cellStyle name="40 % - Accent5 2" xfId="53060"/>
    <cellStyle name="40 % - Accent6" xfId="53061"/>
    <cellStyle name="40 % - Accent6 2" xfId="53062"/>
    <cellStyle name="40% - Accent1" xfId="3905"/>
    <cellStyle name="40% - Accent1 10" xfId="3906"/>
    <cellStyle name="40% - Accent1 11" xfId="3907"/>
    <cellStyle name="40% - Accent1 2" xfId="3908"/>
    <cellStyle name="40% - Accent1 2 2" xfId="3909"/>
    <cellStyle name="40% - Accent1 2 2 2" xfId="3910"/>
    <cellStyle name="40% - Accent1 2 2 2 2" xfId="3911"/>
    <cellStyle name="40% - Accent1 2 2 2 2 2" xfId="3912"/>
    <cellStyle name="40% - Accent1 2 2 2 2 2 2" xfId="3913"/>
    <cellStyle name="40% - Accent1 2 2 2 2 3" xfId="3914"/>
    <cellStyle name="40% - Accent1 2 2 2 3" xfId="3915"/>
    <cellStyle name="40% - Accent1 2 2 2 3 2" xfId="3916"/>
    <cellStyle name="40% - Accent1 2 2 2 4" xfId="3917"/>
    <cellStyle name="40% - Accent1 2 2 3" xfId="3918"/>
    <cellStyle name="40% - Accent1 2 2 3 2" xfId="3919"/>
    <cellStyle name="40% - Accent1 2 2 3 2 2" xfId="3920"/>
    <cellStyle name="40% - Accent1 2 2 3 3" xfId="3921"/>
    <cellStyle name="40% - Accent1 2 2 4" xfId="3922"/>
    <cellStyle name="40% - Accent1 2 2 4 2" xfId="3923"/>
    <cellStyle name="40% - Accent1 2 2 5" xfId="3924"/>
    <cellStyle name="40% - Accent1 2 3" xfId="3925"/>
    <cellStyle name="40% - Accent1 2 3 2" xfId="3926"/>
    <cellStyle name="40% - Accent1 2 3 2 2" xfId="3927"/>
    <cellStyle name="40% - Accent1 2 3 2 2 2" xfId="3928"/>
    <cellStyle name="40% - Accent1 2 3 2 3" xfId="3929"/>
    <cellStyle name="40% - Accent1 2 3 3" xfId="3930"/>
    <cellStyle name="40% - Accent1 2 3 3 2" xfId="3931"/>
    <cellStyle name="40% - Accent1 2 3 4" xfId="3932"/>
    <cellStyle name="40% - Accent1 2 4" xfId="3933"/>
    <cellStyle name="40% - Accent1 2 4 2" xfId="3934"/>
    <cellStyle name="40% - Accent1 2 4 2 2" xfId="3935"/>
    <cellStyle name="40% - Accent1 2 4 3" xfId="3936"/>
    <cellStyle name="40% - Accent1 2 5" xfId="3937"/>
    <cellStyle name="40% - Accent1 2 5 2" xfId="3938"/>
    <cellStyle name="40% - Accent1 2 5 3" xfId="3939"/>
    <cellStyle name="40% - Accent1 2 6" xfId="3940"/>
    <cellStyle name="40% - Accent1 2 6 2" xfId="3941"/>
    <cellStyle name="40% - Accent1 2 6 3" xfId="3942"/>
    <cellStyle name="40% - Accent1 2 7" xfId="3943"/>
    <cellStyle name="40% - Accent1 2 7 2" xfId="3944"/>
    <cellStyle name="40% - Accent1 2 7 3" xfId="3945"/>
    <cellStyle name="40% - Accent1 2 8" xfId="3946"/>
    <cellStyle name="40% - Accent1 2 9" xfId="3947"/>
    <cellStyle name="40% - Accent1 3" xfId="3948"/>
    <cellStyle name="40% - Accent1 3 2" xfId="3949"/>
    <cellStyle name="40% - Accent1 3 2 2" xfId="3950"/>
    <cellStyle name="40% - Accent1 3 2 2 2" xfId="3951"/>
    <cellStyle name="40% - Accent1 3 2 2 2 2" xfId="3952"/>
    <cellStyle name="40% - Accent1 3 2 2 2 2 2" xfId="3953"/>
    <cellStyle name="40% - Accent1 3 2 2 2 3" xfId="3954"/>
    <cellStyle name="40% - Accent1 3 2 2 3" xfId="3955"/>
    <cellStyle name="40% - Accent1 3 2 2 3 2" xfId="3956"/>
    <cellStyle name="40% - Accent1 3 2 2 4" xfId="3957"/>
    <cellStyle name="40% - Accent1 3 2 3" xfId="3958"/>
    <cellStyle name="40% - Accent1 3 2 3 2" xfId="3959"/>
    <cellStyle name="40% - Accent1 3 2 3 2 2" xfId="3960"/>
    <cellStyle name="40% - Accent1 3 2 3 3" xfId="3961"/>
    <cellStyle name="40% - Accent1 3 2 4" xfId="3962"/>
    <cellStyle name="40% - Accent1 3 2 4 2" xfId="3963"/>
    <cellStyle name="40% - Accent1 3 2 5" xfId="3964"/>
    <cellStyle name="40% - Accent1 3 3" xfId="3965"/>
    <cellStyle name="40% - Accent1 3 3 2" xfId="3966"/>
    <cellStyle name="40% - Accent1 3 3 2 2" xfId="3967"/>
    <cellStyle name="40% - Accent1 3 3 2 2 2" xfId="3968"/>
    <cellStyle name="40% - Accent1 3 3 2 3" xfId="3969"/>
    <cellStyle name="40% - Accent1 3 3 3" xfId="3970"/>
    <cellStyle name="40% - Accent1 3 3 3 2" xfId="3971"/>
    <cellStyle name="40% - Accent1 3 3 4" xfId="3972"/>
    <cellStyle name="40% - Accent1 3 4" xfId="3973"/>
    <cellStyle name="40% - Accent1 3 4 2" xfId="3974"/>
    <cellStyle name="40% - Accent1 3 4 2 2" xfId="3975"/>
    <cellStyle name="40% - Accent1 3 4 3" xfId="3976"/>
    <cellStyle name="40% - Accent1 3 5" xfId="3977"/>
    <cellStyle name="40% - Accent1 3 5 2" xfId="3978"/>
    <cellStyle name="40% - Accent1 3 5 3" xfId="3979"/>
    <cellStyle name="40% - Accent1 3 6" xfId="3980"/>
    <cellStyle name="40% - Accent1 3 6 2" xfId="3981"/>
    <cellStyle name="40% - Accent1 3 6 3" xfId="3982"/>
    <cellStyle name="40% - Accent1 3 7" xfId="3983"/>
    <cellStyle name="40% - Accent1 3 7 2" xfId="3984"/>
    <cellStyle name="40% - Accent1 3 7 3" xfId="3985"/>
    <cellStyle name="40% - Accent1 3 8" xfId="3986"/>
    <cellStyle name="40% - Accent1 3 9" xfId="3987"/>
    <cellStyle name="40% - Accent1 4" xfId="3988"/>
    <cellStyle name="40% - Accent1 4 2" xfId="3989"/>
    <cellStyle name="40% - Accent1 4 2 2" xfId="3990"/>
    <cellStyle name="40% - Accent1 4 2 2 2" xfId="3991"/>
    <cellStyle name="40% - Accent1 4 2 2 2 2" xfId="3992"/>
    <cellStyle name="40% - Accent1 4 2 2 3" xfId="3993"/>
    <cellStyle name="40% - Accent1 4 2 3" xfId="3994"/>
    <cellStyle name="40% - Accent1 4 2 3 2" xfId="3995"/>
    <cellStyle name="40% - Accent1 4 2 4" xfId="3996"/>
    <cellStyle name="40% - Accent1 4 3" xfId="3997"/>
    <cellStyle name="40% - Accent1 4 3 2" xfId="3998"/>
    <cellStyle name="40% - Accent1 4 3 2 2" xfId="3999"/>
    <cellStyle name="40% - Accent1 4 3 3" xfId="4000"/>
    <cellStyle name="40% - Accent1 4 4" xfId="4001"/>
    <cellStyle name="40% - Accent1 4 4 2" xfId="4002"/>
    <cellStyle name="40% - Accent1 4 5" xfId="4003"/>
    <cellStyle name="40% - Accent1 5" xfId="4004"/>
    <cellStyle name="40% - Accent1 5 2" xfId="4005"/>
    <cellStyle name="40% - Accent1 5 2 2" xfId="4006"/>
    <cellStyle name="40% - Accent1 5 2 2 2" xfId="4007"/>
    <cellStyle name="40% - Accent1 5 2 3" xfId="4008"/>
    <cellStyle name="40% - Accent1 5 3" xfId="4009"/>
    <cellStyle name="40% - Accent1 5 3 2" xfId="4010"/>
    <cellStyle name="40% - Accent1 5 4" xfId="4011"/>
    <cellStyle name="40% - Accent1 6" xfId="4012"/>
    <cellStyle name="40% - Accent1 6 2" xfId="4013"/>
    <cellStyle name="40% - Accent1 6 2 2" xfId="4014"/>
    <cellStyle name="40% - Accent1 6 3" xfId="4015"/>
    <cellStyle name="40% - Accent1 7" xfId="4016"/>
    <cellStyle name="40% - Accent1 7 2" xfId="4017"/>
    <cellStyle name="40% - Accent1 7 3" xfId="4018"/>
    <cellStyle name="40% - Accent1 8" xfId="4019"/>
    <cellStyle name="40% - Accent1 8 2" xfId="4020"/>
    <cellStyle name="40% - Accent1 8 3" xfId="4021"/>
    <cellStyle name="40% - Accent1 9" xfId="4022"/>
    <cellStyle name="40% - Accent1 9 2" xfId="4023"/>
    <cellStyle name="40% - Accent1 9 3" xfId="4024"/>
    <cellStyle name="40% - Accent1_Plan Campaña Día de la Madre 2010 - v2" xfId="4025"/>
    <cellStyle name="40% - Accent2" xfId="4026"/>
    <cellStyle name="40% - Accent2 10" xfId="4027"/>
    <cellStyle name="40% - Accent2 11" xfId="4028"/>
    <cellStyle name="40% - Accent2 2" xfId="4029"/>
    <cellStyle name="40% - Accent2 2 2" xfId="4030"/>
    <cellStyle name="40% - Accent2 2 2 2" xfId="4031"/>
    <cellStyle name="40% - Accent2 2 2 2 2" xfId="4032"/>
    <cellStyle name="40% - Accent2 2 2 2 2 2" xfId="4033"/>
    <cellStyle name="40% - Accent2 2 2 2 2 2 2" xfId="4034"/>
    <cellStyle name="40% - Accent2 2 2 2 2 3" xfId="4035"/>
    <cellStyle name="40% - Accent2 2 2 2 3" xfId="4036"/>
    <cellStyle name="40% - Accent2 2 2 2 3 2" xfId="4037"/>
    <cellStyle name="40% - Accent2 2 2 2 4" xfId="4038"/>
    <cellStyle name="40% - Accent2 2 2 3" xfId="4039"/>
    <cellStyle name="40% - Accent2 2 2 3 2" xfId="4040"/>
    <cellStyle name="40% - Accent2 2 2 3 2 2" xfId="4041"/>
    <cellStyle name="40% - Accent2 2 2 3 3" xfId="4042"/>
    <cellStyle name="40% - Accent2 2 2 4" xfId="4043"/>
    <cellStyle name="40% - Accent2 2 2 4 2" xfId="4044"/>
    <cellStyle name="40% - Accent2 2 2 5" xfId="4045"/>
    <cellStyle name="40% - Accent2 2 3" xfId="4046"/>
    <cellStyle name="40% - Accent2 2 3 2" xfId="4047"/>
    <cellStyle name="40% - Accent2 2 3 2 2" xfId="4048"/>
    <cellStyle name="40% - Accent2 2 3 2 2 2" xfId="4049"/>
    <cellStyle name="40% - Accent2 2 3 2 3" xfId="4050"/>
    <cellStyle name="40% - Accent2 2 3 3" xfId="4051"/>
    <cellStyle name="40% - Accent2 2 3 3 2" xfId="4052"/>
    <cellStyle name="40% - Accent2 2 3 4" xfId="4053"/>
    <cellStyle name="40% - Accent2 2 4" xfId="4054"/>
    <cellStyle name="40% - Accent2 2 4 2" xfId="4055"/>
    <cellStyle name="40% - Accent2 2 4 2 2" xfId="4056"/>
    <cellStyle name="40% - Accent2 2 4 3" xfId="4057"/>
    <cellStyle name="40% - Accent2 2 5" xfId="4058"/>
    <cellStyle name="40% - Accent2 2 5 2" xfId="4059"/>
    <cellStyle name="40% - Accent2 2 5 3" xfId="4060"/>
    <cellStyle name="40% - Accent2 2 6" xfId="4061"/>
    <cellStyle name="40% - Accent2 2 6 2" xfId="4062"/>
    <cellStyle name="40% - Accent2 2 6 3" xfId="4063"/>
    <cellStyle name="40% - Accent2 2 7" xfId="4064"/>
    <cellStyle name="40% - Accent2 2 7 2" xfId="4065"/>
    <cellStyle name="40% - Accent2 2 7 3" xfId="4066"/>
    <cellStyle name="40% - Accent2 2 8" xfId="4067"/>
    <cellStyle name="40% - Accent2 2 9" xfId="4068"/>
    <cellStyle name="40% - Accent2 3" xfId="4069"/>
    <cellStyle name="40% - Accent2 3 2" xfId="4070"/>
    <cellStyle name="40% - Accent2 3 2 2" xfId="4071"/>
    <cellStyle name="40% - Accent2 3 2 2 2" xfId="4072"/>
    <cellStyle name="40% - Accent2 3 2 2 2 2" xfId="4073"/>
    <cellStyle name="40% - Accent2 3 2 2 2 2 2" xfId="4074"/>
    <cellStyle name="40% - Accent2 3 2 2 2 3" xfId="4075"/>
    <cellStyle name="40% - Accent2 3 2 2 3" xfId="4076"/>
    <cellStyle name="40% - Accent2 3 2 2 3 2" xfId="4077"/>
    <cellStyle name="40% - Accent2 3 2 2 4" xfId="4078"/>
    <cellStyle name="40% - Accent2 3 2 3" xfId="4079"/>
    <cellStyle name="40% - Accent2 3 2 3 2" xfId="4080"/>
    <cellStyle name="40% - Accent2 3 2 3 2 2" xfId="4081"/>
    <cellStyle name="40% - Accent2 3 2 3 3" xfId="4082"/>
    <cellStyle name="40% - Accent2 3 2 4" xfId="4083"/>
    <cellStyle name="40% - Accent2 3 2 4 2" xfId="4084"/>
    <cellStyle name="40% - Accent2 3 2 5" xfId="4085"/>
    <cellStyle name="40% - Accent2 3 3" xfId="4086"/>
    <cellStyle name="40% - Accent2 3 3 2" xfId="4087"/>
    <cellStyle name="40% - Accent2 3 3 2 2" xfId="4088"/>
    <cellStyle name="40% - Accent2 3 3 2 2 2" xfId="4089"/>
    <cellStyle name="40% - Accent2 3 3 2 3" xfId="4090"/>
    <cellStyle name="40% - Accent2 3 3 3" xfId="4091"/>
    <cellStyle name="40% - Accent2 3 3 3 2" xfId="4092"/>
    <cellStyle name="40% - Accent2 3 3 4" xfId="4093"/>
    <cellStyle name="40% - Accent2 3 4" xfId="4094"/>
    <cellStyle name="40% - Accent2 3 4 2" xfId="4095"/>
    <cellStyle name="40% - Accent2 3 4 2 2" xfId="4096"/>
    <cellStyle name="40% - Accent2 3 4 3" xfId="4097"/>
    <cellStyle name="40% - Accent2 3 5" xfId="4098"/>
    <cellStyle name="40% - Accent2 3 5 2" xfId="4099"/>
    <cellStyle name="40% - Accent2 3 5 3" xfId="4100"/>
    <cellStyle name="40% - Accent2 3 6" xfId="4101"/>
    <cellStyle name="40% - Accent2 3 6 2" xfId="4102"/>
    <cellStyle name="40% - Accent2 3 6 3" xfId="4103"/>
    <cellStyle name="40% - Accent2 3 7" xfId="4104"/>
    <cellStyle name="40% - Accent2 3 7 2" xfId="4105"/>
    <cellStyle name="40% - Accent2 3 7 3" xfId="4106"/>
    <cellStyle name="40% - Accent2 3 8" xfId="4107"/>
    <cellStyle name="40% - Accent2 3 9" xfId="4108"/>
    <cellStyle name="40% - Accent2 4" xfId="4109"/>
    <cellStyle name="40% - Accent2 4 2" xfId="4110"/>
    <cellStyle name="40% - Accent2 4 2 2" xfId="4111"/>
    <cellStyle name="40% - Accent2 4 2 2 2" xfId="4112"/>
    <cellStyle name="40% - Accent2 4 2 2 2 2" xfId="4113"/>
    <cellStyle name="40% - Accent2 4 2 2 3" xfId="4114"/>
    <cellStyle name="40% - Accent2 4 2 3" xfId="4115"/>
    <cellStyle name="40% - Accent2 4 2 3 2" xfId="4116"/>
    <cellStyle name="40% - Accent2 4 2 4" xfId="4117"/>
    <cellStyle name="40% - Accent2 4 3" xfId="4118"/>
    <cellStyle name="40% - Accent2 4 3 2" xfId="4119"/>
    <cellStyle name="40% - Accent2 4 3 2 2" xfId="4120"/>
    <cellStyle name="40% - Accent2 4 3 3" xfId="4121"/>
    <cellStyle name="40% - Accent2 4 4" xfId="4122"/>
    <cellStyle name="40% - Accent2 4 4 2" xfId="4123"/>
    <cellStyle name="40% - Accent2 4 5" xfId="4124"/>
    <cellStyle name="40% - Accent2 5" xfId="4125"/>
    <cellStyle name="40% - Accent2 5 2" xfId="4126"/>
    <cellStyle name="40% - Accent2 5 2 2" xfId="4127"/>
    <cellStyle name="40% - Accent2 5 2 2 2" xfId="4128"/>
    <cellStyle name="40% - Accent2 5 2 3" xfId="4129"/>
    <cellStyle name="40% - Accent2 5 3" xfId="4130"/>
    <cellStyle name="40% - Accent2 5 3 2" xfId="4131"/>
    <cellStyle name="40% - Accent2 5 4" xfId="4132"/>
    <cellStyle name="40% - Accent2 6" xfId="4133"/>
    <cellStyle name="40% - Accent2 6 2" xfId="4134"/>
    <cellStyle name="40% - Accent2 6 2 2" xfId="4135"/>
    <cellStyle name="40% - Accent2 6 3" xfId="4136"/>
    <cellStyle name="40% - Accent2 7" xfId="4137"/>
    <cellStyle name="40% - Accent2 7 2" xfId="4138"/>
    <cellStyle name="40% - Accent2 7 3" xfId="4139"/>
    <cellStyle name="40% - Accent2 8" xfId="4140"/>
    <cellStyle name="40% - Accent2 8 2" xfId="4141"/>
    <cellStyle name="40% - Accent2 8 3" xfId="4142"/>
    <cellStyle name="40% - Accent2 9" xfId="4143"/>
    <cellStyle name="40% - Accent2 9 2" xfId="4144"/>
    <cellStyle name="40% - Accent2 9 3" xfId="4145"/>
    <cellStyle name="40% - Accent2_Plan Campaña Día de la Madre 2010 - v2" xfId="4146"/>
    <cellStyle name="40% - Accent3" xfId="4147"/>
    <cellStyle name="40% - Accent3 10" xfId="4148"/>
    <cellStyle name="40% - Accent3 11" xfId="4149"/>
    <cellStyle name="40% - Accent3 2" xfId="4150"/>
    <cellStyle name="40% - Accent3 2 2" xfId="4151"/>
    <cellStyle name="40% - Accent3 2 2 2" xfId="4152"/>
    <cellStyle name="40% - Accent3 2 2 2 2" xfId="4153"/>
    <cellStyle name="40% - Accent3 2 2 2 2 2" xfId="4154"/>
    <cellStyle name="40% - Accent3 2 2 2 2 2 2" xfId="4155"/>
    <cellStyle name="40% - Accent3 2 2 2 2 3" xfId="4156"/>
    <cellStyle name="40% - Accent3 2 2 2 3" xfId="4157"/>
    <cellStyle name="40% - Accent3 2 2 2 3 2" xfId="4158"/>
    <cellStyle name="40% - Accent3 2 2 2 4" xfId="4159"/>
    <cellStyle name="40% - Accent3 2 2 3" xfId="4160"/>
    <cellStyle name="40% - Accent3 2 2 3 2" xfId="4161"/>
    <cellStyle name="40% - Accent3 2 2 3 2 2" xfId="4162"/>
    <cellStyle name="40% - Accent3 2 2 3 3" xfId="4163"/>
    <cellStyle name="40% - Accent3 2 2 4" xfId="4164"/>
    <cellStyle name="40% - Accent3 2 2 4 2" xfId="4165"/>
    <cellStyle name="40% - Accent3 2 2 5" xfId="4166"/>
    <cellStyle name="40% - Accent3 2 3" xfId="4167"/>
    <cellStyle name="40% - Accent3 2 3 2" xfId="4168"/>
    <cellStyle name="40% - Accent3 2 3 2 2" xfId="4169"/>
    <cellStyle name="40% - Accent3 2 3 2 2 2" xfId="4170"/>
    <cellStyle name="40% - Accent3 2 3 2 3" xfId="4171"/>
    <cellStyle name="40% - Accent3 2 3 3" xfId="4172"/>
    <cellStyle name="40% - Accent3 2 3 3 2" xfId="4173"/>
    <cellStyle name="40% - Accent3 2 3 4" xfId="4174"/>
    <cellStyle name="40% - Accent3 2 4" xfId="4175"/>
    <cellStyle name="40% - Accent3 2 4 2" xfId="4176"/>
    <cellStyle name="40% - Accent3 2 4 2 2" xfId="4177"/>
    <cellStyle name="40% - Accent3 2 4 3" xfId="4178"/>
    <cellStyle name="40% - Accent3 2 5" xfId="4179"/>
    <cellStyle name="40% - Accent3 2 5 2" xfId="4180"/>
    <cellStyle name="40% - Accent3 2 5 3" xfId="4181"/>
    <cellStyle name="40% - Accent3 2 6" xfId="4182"/>
    <cellStyle name="40% - Accent3 2 6 2" xfId="4183"/>
    <cellStyle name="40% - Accent3 2 6 3" xfId="4184"/>
    <cellStyle name="40% - Accent3 2 7" xfId="4185"/>
    <cellStyle name="40% - Accent3 2 7 2" xfId="4186"/>
    <cellStyle name="40% - Accent3 2 7 3" xfId="4187"/>
    <cellStyle name="40% - Accent3 2 8" xfId="4188"/>
    <cellStyle name="40% - Accent3 2 9" xfId="4189"/>
    <cellStyle name="40% - Accent3 3" xfId="4190"/>
    <cellStyle name="40% - Accent3 3 2" xfId="4191"/>
    <cellStyle name="40% - Accent3 3 2 2" xfId="4192"/>
    <cellStyle name="40% - Accent3 3 2 2 2" xfId="4193"/>
    <cellStyle name="40% - Accent3 3 2 2 2 2" xfId="4194"/>
    <cellStyle name="40% - Accent3 3 2 2 2 2 2" xfId="4195"/>
    <cellStyle name="40% - Accent3 3 2 2 2 3" xfId="4196"/>
    <cellStyle name="40% - Accent3 3 2 2 3" xfId="4197"/>
    <cellStyle name="40% - Accent3 3 2 2 3 2" xfId="4198"/>
    <cellStyle name="40% - Accent3 3 2 2 4" xfId="4199"/>
    <cellStyle name="40% - Accent3 3 2 3" xfId="4200"/>
    <cellStyle name="40% - Accent3 3 2 3 2" xfId="4201"/>
    <cellStyle name="40% - Accent3 3 2 3 2 2" xfId="4202"/>
    <cellStyle name="40% - Accent3 3 2 3 3" xfId="4203"/>
    <cellStyle name="40% - Accent3 3 2 4" xfId="4204"/>
    <cellStyle name="40% - Accent3 3 2 4 2" xfId="4205"/>
    <cellStyle name="40% - Accent3 3 2 5" xfId="4206"/>
    <cellStyle name="40% - Accent3 3 3" xfId="4207"/>
    <cellStyle name="40% - Accent3 3 3 2" xfId="4208"/>
    <cellStyle name="40% - Accent3 3 3 2 2" xfId="4209"/>
    <cellStyle name="40% - Accent3 3 3 2 2 2" xfId="4210"/>
    <cellStyle name="40% - Accent3 3 3 2 3" xfId="4211"/>
    <cellStyle name="40% - Accent3 3 3 3" xfId="4212"/>
    <cellStyle name="40% - Accent3 3 3 3 2" xfId="4213"/>
    <cellStyle name="40% - Accent3 3 3 4" xfId="4214"/>
    <cellStyle name="40% - Accent3 3 4" xfId="4215"/>
    <cellStyle name="40% - Accent3 3 4 2" xfId="4216"/>
    <cellStyle name="40% - Accent3 3 4 2 2" xfId="4217"/>
    <cellStyle name="40% - Accent3 3 4 3" xfId="4218"/>
    <cellStyle name="40% - Accent3 3 5" xfId="4219"/>
    <cellStyle name="40% - Accent3 3 5 2" xfId="4220"/>
    <cellStyle name="40% - Accent3 3 5 3" xfId="4221"/>
    <cellStyle name="40% - Accent3 3 6" xfId="4222"/>
    <cellStyle name="40% - Accent3 3 6 2" xfId="4223"/>
    <cellStyle name="40% - Accent3 3 6 3" xfId="4224"/>
    <cellStyle name="40% - Accent3 3 7" xfId="4225"/>
    <cellStyle name="40% - Accent3 3 7 2" xfId="4226"/>
    <cellStyle name="40% - Accent3 3 7 3" xfId="4227"/>
    <cellStyle name="40% - Accent3 3 8" xfId="4228"/>
    <cellStyle name="40% - Accent3 3 9" xfId="4229"/>
    <cellStyle name="40% - Accent3 4" xfId="4230"/>
    <cellStyle name="40% - Accent3 4 2" xfId="4231"/>
    <cellStyle name="40% - Accent3 4 2 2" xfId="4232"/>
    <cellStyle name="40% - Accent3 4 2 2 2" xfId="4233"/>
    <cellStyle name="40% - Accent3 4 2 2 2 2" xfId="4234"/>
    <cellStyle name="40% - Accent3 4 2 2 3" xfId="4235"/>
    <cellStyle name="40% - Accent3 4 2 3" xfId="4236"/>
    <cellStyle name="40% - Accent3 4 2 3 2" xfId="4237"/>
    <cellStyle name="40% - Accent3 4 2 4" xfId="4238"/>
    <cellStyle name="40% - Accent3 4 3" xfId="4239"/>
    <cellStyle name="40% - Accent3 4 3 2" xfId="4240"/>
    <cellStyle name="40% - Accent3 4 3 2 2" xfId="4241"/>
    <cellStyle name="40% - Accent3 4 3 3" xfId="4242"/>
    <cellStyle name="40% - Accent3 4 4" xfId="4243"/>
    <cellStyle name="40% - Accent3 4 4 2" xfId="4244"/>
    <cellStyle name="40% - Accent3 4 5" xfId="4245"/>
    <cellStyle name="40% - Accent3 5" xfId="4246"/>
    <cellStyle name="40% - Accent3 5 2" xfId="4247"/>
    <cellStyle name="40% - Accent3 5 2 2" xfId="4248"/>
    <cellStyle name="40% - Accent3 5 2 2 2" xfId="4249"/>
    <cellStyle name="40% - Accent3 5 2 3" xfId="4250"/>
    <cellStyle name="40% - Accent3 5 3" xfId="4251"/>
    <cellStyle name="40% - Accent3 5 3 2" xfId="4252"/>
    <cellStyle name="40% - Accent3 5 4" xfId="4253"/>
    <cellStyle name="40% - Accent3 6" xfId="4254"/>
    <cellStyle name="40% - Accent3 6 2" xfId="4255"/>
    <cellStyle name="40% - Accent3 6 2 2" xfId="4256"/>
    <cellStyle name="40% - Accent3 6 3" xfId="4257"/>
    <cellStyle name="40% - Accent3 7" xfId="4258"/>
    <cellStyle name="40% - Accent3 7 2" xfId="4259"/>
    <cellStyle name="40% - Accent3 7 3" xfId="4260"/>
    <cellStyle name="40% - Accent3 8" xfId="4261"/>
    <cellStyle name="40% - Accent3 8 2" xfId="4262"/>
    <cellStyle name="40% - Accent3 8 3" xfId="4263"/>
    <cellStyle name="40% - Accent3 9" xfId="4264"/>
    <cellStyle name="40% - Accent3 9 2" xfId="4265"/>
    <cellStyle name="40% - Accent3 9 3" xfId="4266"/>
    <cellStyle name="40% - Accent3_Plan Campaña Día de la Madre 2010 - v2" xfId="4267"/>
    <cellStyle name="40% - Accent4" xfId="4268"/>
    <cellStyle name="40% - Accent4 10" xfId="4269"/>
    <cellStyle name="40% - Accent4 11" xfId="4270"/>
    <cellStyle name="40% - Accent4 2" xfId="4271"/>
    <cellStyle name="40% - Accent4 2 2" xfId="4272"/>
    <cellStyle name="40% - Accent4 2 2 2" xfId="4273"/>
    <cellStyle name="40% - Accent4 2 2 2 2" xfId="4274"/>
    <cellStyle name="40% - Accent4 2 2 2 2 2" xfId="4275"/>
    <cellStyle name="40% - Accent4 2 2 2 2 2 2" xfId="4276"/>
    <cellStyle name="40% - Accent4 2 2 2 2 3" xfId="4277"/>
    <cellStyle name="40% - Accent4 2 2 2 3" xfId="4278"/>
    <cellStyle name="40% - Accent4 2 2 2 3 2" xfId="4279"/>
    <cellStyle name="40% - Accent4 2 2 2 4" xfId="4280"/>
    <cellStyle name="40% - Accent4 2 2 3" xfId="4281"/>
    <cellStyle name="40% - Accent4 2 2 3 2" xfId="4282"/>
    <cellStyle name="40% - Accent4 2 2 3 2 2" xfId="4283"/>
    <cellStyle name="40% - Accent4 2 2 3 3" xfId="4284"/>
    <cellStyle name="40% - Accent4 2 2 4" xfId="4285"/>
    <cellStyle name="40% - Accent4 2 2 4 2" xfId="4286"/>
    <cellStyle name="40% - Accent4 2 2 5" xfId="4287"/>
    <cellStyle name="40% - Accent4 2 3" xfId="4288"/>
    <cellStyle name="40% - Accent4 2 3 2" xfId="4289"/>
    <cellStyle name="40% - Accent4 2 3 2 2" xfId="4290"/>
    <cellStyle name="40% - Accent4 2 3 2 2 2" xfId="4291"/>
    <cellStyle name="40% - Accent4 2 3 2 3" xfId="4292"/>
    <cellStyle name="40% - Accent4 2 3 3" xfId="4293"/>
    <cellStyle name="40% - Accent4 2 3 3 2" xfId="4294"/>
    <cellStyle name="40% - Accent4 2 3 4" xfId="4295"/>
    <cellStyle name="40% - Accent4 2 4" xfId="4296"/>
    <cellStyle name="40% - Accent4 2 4 2" xfId="4297"/>
    <cellStyle name="40% - Accent4 2 4 2 2" xfId="4298"/>
    <cellStyle name="40% - Accent4 2 4 3" xfId="4299"/>
    <cellStyle name="40% - Accent4 2 5" xfId="4300"/>
    <cellStyle name="40% - Accent4 2 5 2" xfId="4301"/>
    <cellStyle name="40% - Accent4 2 5 3" xfId="4302"/>
    <cellStyle name="40% - Accent4 2 6" xfId="4303"/>
    <cellStyle name="40% - Accent4 2 6 2" xfId="4304"/>
    <cellStyle name="40% - Accent4 2 6 3" xfId="4305"/>
    <cellStyle name="40% - Accent4 2 7" xfId="4306"/>
    <cellStyle name="40% - Accent4 2 7 2" xfId="4307"/>
    <cellStyle name="40% - Accent4 2 7 3" xfId="4308"/>
    <cellStyle name="40% - Accent4 2 8" xfId="4309"/>
    <cellStyle name="40% - Accent4 2 9" xfId="4310"/>
    <cellStyle name="40% - Accent4 3" xfId="4311"/>
    <cellStyle name="40% - Accent4 3 2" xfId="4312"/>
    <cellStyle name="40% - Accent4 3 2 2" xfId="4313"/>
    <cellStyle name="40% - Accent4 3 2 2 2" xfId="4314"/>
    <cellStyle name="40% - Accent4 3 2 2 2 2" xfId="4315"/>
    <cellStyle name="40% - Accent4 3 2 2 2 2 2" xfId="4316"/>
    <cellStyle name="40% - Accent4 3 2 2 2 3" xfId="4317"/>
    <cellStyle name="40% - Accent4 3 2 2 3" xfId="4318"/>
    <cellStyle name="40% - Accent4 3 2 2 3 2" xfId="4319"/>
    <cellStyle name="40% - Accent4 3 2 2 4" xfId="4320"/>
    <cellStyle name="40% - Accent4 3 2 3" xfId="4321"/>
    <cellStyle name="40% - Accent4 3 2 3 2" xfId="4322"/>
    <cellStyle name="40% - Accent4 3 2 3 2 2" xfId="4323"/>
    <cellStyle name="40% - Accent4 3 2 3 3" xfId="4324"/>
    <cellStyle name="40% - Accent4 3 2 4" xfId="4325"/>
    <cellStyle name="40% - Accent4 3 2 4 2" xfId="4326"/>
    <cellStyle name="40% - Accent4 3 2 5" xfId="4327"/>
    <cellStyle name="40% - Accent4 3 3" xfId="4328"/>
    <cellStyle name="40% - Accent4 3 3 2" xfId="4329"/>
    <cellStyle name="40% - Accent4 3 3 2 2" xfId="4330"/>
    <cellStyle name="40% - Accent4 3 3 2 2 2" xfId="4331"/>
    <cellStyle name="40% - Accent4 3 3 2 3" xfId="4332"/>
    <cellStyle name="40% - Accent4 3 3 3" xfId="4333"/>
    <cellStyle name="40% - Accent4 3 3 3 2" xfId="4334"/>
    <cellStyle name="40% - Accent4 3 3 4" xfId="4335"/>
    <cellStyle name="40% - Accent4 3 4" xfId="4336"/>
    <cellStyle name="40% - Accent4 3 4 2" xfId="4337"/>
    <cellStyle name="40% - Accent4 3 4 2 2" xfId="4338"/>
    <cellStyle name="40% - Accent4 3 4 3" xfId="4339"/>
    <cellStyle name="40% - Accent4 3 5" xfId="4340"/>
    <cellStyle name="40% - Accent4 3 5 2" xfId="4341"/>
    <cellStyle name="40% - Accent4 3 5 3" xfId="4342"/>
    <cellStyle name="40% - Accent4 3 6" xfId="4343"/>
    <cellStyle name="40% - Accent4 3 6 2" xfId="4344"/>
    <cellStyle name="40% - Accent4 3 6 3" xfId="4345"/>
    <cellStyle name="40% - Accent4 3 7" xfId="4346"/>
    <cellStyle name="40% - Accent4 3 7 2" xfId="4347"/>
    <cellStyle name="40% - Accent4 3 7 3" xfId="4348"/>
    <cellStyle name="40% - Accent4 3 8" xfId="4349"/>
    <cellStyle name="40% - Accent4 3 9" xfId="4350"/>
    <cellStyle name="40% - Accent4 4" xfId="4351"/>
    <cellStyle name="40% - Accent4 4 2" xfId="4352"/>
    <cellStyle name="40% - Accent4 4 2 2" xfId="4353"/>
    <cellStyle name="40% - Accent4 4 2 2 2" xfId="4354"/>
    <cellStyle name="40% - Accent4 4 2 2 2 2" xfId="4355"/>
    <cellStyle name="40% - Accent4 4 2 2 3" xfId="4356"/>
    <cellStyle name="40% - Accent4 4 2 3" xfId="4357"/>
    <cellStyle name="40% - Accent4 4 2 3 2" xfId="4358"/>
    <cellStyle name="40% - Accent4 4 2 4" xfId="4359"/>
    <cellStyle name="40% - Accent4 4 3" xfId="4360"/>
    <cellStyle name="40% - Accent4 4 3 2" xfId="4361"/>
    <cellStyle name="40% - Accent4 4 3 2 2" xfId="4362"/>
    <cellStyle name="40% - Accent4 4 3 3" xfId="4363"/>
    <cellStyle name="40% - Accent4 4 4" xfId="4364"/>
    <cellStyle name="40% - Accent4 4 4 2" xfId="4365"/>
    <cellStyle name="40% - Accent4 4 5" xfId="4366"/>
    <cellStyle name="40% - Accent4 5" xfId="4367"/>
    <cellStyle name="40% - Accent4 5 2" xfId="4368"/>
    <cellStyle name="40% - Accent4 5 2 2" xfId="4369"/>
    <cellStyle name="40% - Accent4 5 2 2 2" xfId="4370"/>
    <cellStyle name="40% - Accent4 5 2 3" xfId="4371"/>
    <cellStyle name="40% - Accent4 5 3" xfId="4372"/>
    <cellStyle name="40% - Accent4 5 3 2" xfId="4373"/>
    <cellStyle name="40% - Accent4 5 4" xfId="4374"/>
    <cellStyle name="40% - Accent4 6" xfId="4375"/>
    <cellStyle name="40% - Accent4 6 2" xfId="4376"/>
    <cellStyle name="40% - Accent4 6 2 2" xfId="4377"/>
    <cellStyle name="40% - Accent4 6 3" xfId="4378"/>
    <cellStyle name="40% - Accent4 7" xfId="4379"/>
    <cellStyle name="40% - Accent4 7 2" xfId="4380"/>
    <cellStyle name="40% - Accent4 7 3" xfId="4381"/>
    <cellStyle name="40% - Accent4 8" xfId="4382"/>
    <cellStyle name="40% - Accent4 8 2" xfId="4383"/>
    <cellStyle name="40% - Accent4 8 3" xfId="4384"/>
    <cellStyle name="40% - Accent4 9" xfId="4385"/>
    <cellStyle name="40% - Accent4 9 2" xfId="4386"/>
    <cellStyle name="40% - Accent4 9 3" xfId="4387"/>
    <cellStyle name="40% - Accent4_Plan Campaña Día de la Madre 2010 - v2" xfId="4388"/>
    <cellStyle name="40% - Accent5" xfId="4389"/>
    <cellStyle name="40% - Accent5 10" xfId="4390"/>
    <cellStyle name="40% - Accent5 11" xfId="4391"/>
    <cellStyle name="40% - Accent5 2" xfId="4392"/>
    <cellStyle name="40% - Accent5 2 2" xfId="4393"/>
    <cellStyle name="40% - Accent5 2 2 2" xfId="4394"/>
    <cellStyle name="40% - Accent5 2 2 2 2" xfId="4395"/>
    <cellStyle name="40% - Accent5 2 2 2 2 2" xfId="4396"/>
    <cellStyle name="40% - Accent5 2 2 2 2 2 2" xfId="4397"/>
    <cellStyle name="40% - Accent5 2 2 2 2 3" xfId="4398"/>
    <cellStyle name="40% - Accent5 2 2 2 3" xfId="4399"/>
    <cellStyle name="40% - Accent5 2 2 2 3 2" xfId="4400"/>
    <cellStyle name="40% - Accent5 2 2 2 4" xfId="4401"/>
    <cellStyle name="40% - Accent5 2 2 3" xfId="4402"/>
    <cellStyle name="40% - Accent5 2 2 3 2" xfId="4403"/>
    <cellStyle name="40% - Accent5 2 2 3 2 2" xfId="4404"/>
    <cellStyle name="40% - Accent5 2 2 3 3" xfId="4405"/>
    <cellStyle name="40% - Accent5 2 2 4" xfId="4406"/>
    <cellStyle name="40% - Accent5 2 2 4 2" xfId="4407"/>
    <cellStyle name="40% - Accent5 2 2 5" xfId="4408"/>
    <cellStyle name="40% - Accent5 2 3" xfId="4409"/>
    <cellStyle name="40% - Accent5 2 3 2" xfId="4410"/>
    <cellStyle name="40% - Accent5 2 3 2 2" xfId="4411"/>
    <cellStyle name="40% - Accent5 2 3 2 2 2" xfId="4412"/>
    <cellStyle name="40% - Accent5 2 3 2 3" xfId="4413"/>
    <cellStyle name="40% - Accent5 2 3 3" xfId="4414"/>
    <cellStyle name="40% - Accent5 2 3 3 2" xfId="4415"/>
    <cellStyle name="40% - Accent5 2 3 4" xfId="4416"/>
    <cellStyle name="40% - Accent5 2 4" xfId="4417"/>
    <cellStyle name="40% - Accent5 2 4 2" xfId="4418"/>
    <cellStyle name="40% - Accent5 2 4 2 2" xfId="4419"/>
    <cellStyle name="40% - Accent5 2 4 3" xfId="4420"/>
    <cellStyle name="40% - Accent5 2 5" xfId="4421"/>
    <cellStyle name="40% - Accent5 2 5 2" xfId="4422"/>
    <cellStyle name="40% - Accent5 2 5 3" xfId="4423"/>
    <cellStyle name="40% - Accent5 2 6" xfId="4424"/>
    <cellStyle name="40% - Accent5 2 6 2" xfId="4425"/>
    <cellStyle name="40% - Accent5 2 6 3" xfId="4426"/>
    <cellStyle name="40% - Accent5 2 7" xfId="4427"/>
    <cellStyle name="40% - Accent5 2 7 2" xfId="4428"/>
    <cellStyle name="40% - Accent5 2 7 3" xfId="4429"/>
    <cellStyle name="40% - Accent5 2 8" xfId="4430"/>
    <cellStyle name="40% - Accent5 2 9" xfId="4431"/>
    <cellStyle name="40% - Accent5 3" xfId="4432"/>
    <cellStyle name="40% - Accent5 3 2" xfId="4433"/>
    <cellStyle name="40% - Accent5 3 2 2" xfId="4434"/>
    <cellStyle name="40% - Accent5 3 2 2 2" xfId="4435"/>
    <cellStyle name="40% - Accent5 3 2 2 2 2" xfId="4436"/>
    <cellStyle name="40% - Accent5 3 2 2 2 2 2" xfId="4437"/>
    <cellStyle name="40% - Accent5 3 2 2 2 3" xfId="4438"/>
    <cellStyle name="40% - Accent5 3 2 2 3" xfId="4439"/>
    <cellStyle name="40% - Accent5 3 2 2 3 2" xfId="4440"/>
    <cellStyle name="40% - Accent5 3 2 2 4" xfId="4441"/>
    <cellStyle name="40% - Accent5 3 2 3" xfId="4442"/>
    <cellStyle name="40% - Accent5 3 2 3 2" xfId="4443"/>
    <cellStyle name="40% - Accent5 3 2 3 2 2" xfId="4444"/>
    <cellStyle name="40% - Accent5 3 2 3 3" xfId="4445"/>
    <cellStyle name="40% - Accent5 3 2 4" xfId="4446"/>
    <cellStyle name="40% - Accent5 3 2 4 2" xfId="4447"/>
    <cellStyle name="40% - Accent5 3 2 5" xfId="4448"/>
    <cellStyle name="40% - Accent5 3 3" xfId="4449"/>
    <cellStyle name="40% - Accent5 3 3 2" xfId="4450"/>
    <cellStyle name="40% - Accent5 3 3 2 2" xfId="4451"/>
    <cellStyle name="40% - Accent5 3 3 2 2 2" xfId="4452"/>
    <cellStyle name="40% - Accent5 3 3 2 3" xfId="4453"/>
    <cellStyle name="40% - Accent5 3 3 3" xfId="4454"/>
    <cellStyle name="40% - Accent5 3 3 3 2" xfId="4455"/>
    <cellStyle name="40% - Accent5 3 3 4" xfId="4456"/>
    <cellStyle name="40% - Accent5 3 4" xfId="4457"/>
    <cellStyle name="40% - Accent5 3 4 2" xfId="4458"/>
    <cellStyle name="40% - Accent5 3 4 2 2" xfId="4459"/>
    <cellStyle name="40% - Accent5 3 4 3" xfId="4460"/>
    <cellStyle name="40% - Accent5 3 5" xfId="4461"/>
    <cellStyle name="40% - Accent5 3 5 2" xfId="4462"/>
    <cellStyle name="40% - Accent5 3 5 3" xfId="4463"/>
    <cellStyle name="40% - Accent5 3 6" xfId="4464"/>
    <cellStyle name="40% - Accent5 3 6 2" xfId="4465"/>
    <cellStyle name="40% - Accent5 3 6 3" xfId="4466"/>
    <cellStyle name="40% - Accent5 3 7" xfId="4467"/>
    <cellStyle name="40% - Accent5 3 7 2" xfId="4468"/>
    <cellStyle name="40% - Accent5 3 7 3" xfId="4469"/>
    <cellStyle name="40% - Accent5 3 8" xfId="4470"/>
    <cellStyle name="40% - Accent5 3 9" xfId="4471"/>
    <cellStyle name="40% - Accent5 4" xfId="4472"/>
    <cellStyle name="40% - Accent5 4 2" xfId="4473"/>
    <cellStyle name="40% - Accent5 4 2 2" xfId="4474"/>
    <cellStyle name="40% - Accent5 4 2 2 2" xfId="4475"/>
    <cellStyle name="40% - Accent5 4 2 2 2 2" xfId="4476"/>
    <cellStyle name="40% - Accent5 4 2 2 3" xfId="4477"/>
    <cellStyle name="40% - Accent5 4 2 3" xfId="4478"/>
    <cellStyle name="40% - Accent5 4 2 3 2" xfId="4479"/>
    <cellStyle name="40% - Accent5 4 2 4" xfId="4480"/>
    <cellStyle name="40% - Accent5 4 3" xfId="4481"/>
    <cellStyle name="40% - Accent5 4 3 2" xfId="4482"/>
    <cellStyle name="40% - Accent5 4 3 2 2" xfId="4483"/>
    <cellStyle name="40% - Accent5 4 3 3" xfId="4484"/>
    <cellStyle name="40% - Accent5 4 4" xfId="4485"/>
    <cellStyle name="40% - Accent5 4 4 2" xfId="4486"/>
    <cellStyle name="40% - Accent5 4 5" xfId="4487"/>
    <cellStyle name="40% - Accent5 5" xfId="4488"/>
    <cellStyle name="40% - Accent5 5 2" xfId="4489"/>
    <cellStyle name="40% - Accent5 5 2 2" xfId="4490"/>
    <cellStyle name="40% - Accent5 5 2 2 2" xfId="4491"/>
    <cellStyle name="40% - Accent5 5 2 3" xfId="4492"/>
    <cellStyle name="40% - Accent5 5 3" xfId="4493"/>
    <cellStyle name="40% - Accent5 5 3 2" xfId="4494"/>
    <cellStyle name="40% - Accent5 5 4" xfId="4495"/>
    <cellStyle name="40% - Accent5 6" xfId="4496"/>
    <cellStyle name="40% - Accent5 6 2" xfId="4497"/>
    <cellStyle name="40% - Accent5 6 2 2" xfId="4498"/>
    <cellStyle name="40% - Accent5 6 3" xfId="4499"/>
    <cellStyle name="40% - Accent5 7" xfId="4500"/>
    <cellStyle name="40% - Accent5 7 2" xfId="4501"/>
    <cellStyle name="40% - Accent5 7 3" xfId="4502"/>
    <cellStyle name="40% - Accent5 8" xfId="4503"/>
    <cellStyle name="40% - Accent5 8 2" xfId="4504"/>
    <cellStyle name="40% - Accent5 8 3" xfId="4505"/>
    <cellStyle name="40% - Accent5 9" xfId="4506"/>
    <cellStyle name="40% - Accent5 9 2" xfId="4507"/>
    <cellStyle name="40% - Accent5 9 3" xfId="4508"/>
    <cellStyle name="40% - Accent5_Plan Campaña Día de la Madre 2010 - v2" xfId="4509"/>
    <cellStyle name="40% - Accent6" xfId="4510"/>
    <cellStyle name="40% - Accent6 10" xfId="4511"/>
    <cellStyle name="40% - Accent6 11" xfId="4512"/>
    <cellStyle name="40% - Accent6 2" xfId="4513"/>
    <cellStyle name="40% - Accent6 2 2" xfId="4514"/>
    <cellStyle name="40% - Accent6 2 2 2" xfId="4515"/>
    <cellStyle name="40% - Accent6 2 2 2 2" xfId="4516"/>
    <cellStyle name="40% - Accent6 2 2 2 2 2" xfId="4517"/>
    <cellStyle name="40% - Accent6 2 2 2 2 2 2" xfId="4518"/>
    <cellStyle name="40% - Accent6 2 2 2 2 3" xfId="4519"/>
    <cellStyle name="40% - Accent6 2 2 2 3" xfId="4520"/>
    <cellStyle name="40% - Accent6 2 2 2 3 2" xfId="4521"/>
    <cellStyle name="40% - Accent6 2 2 2 4" xfId="4522"/>
    <cellStyle name="40% - Accent6 2 2 3" xfId="4523"/>
    <cellStyle name="40% - Accent6 2 2 3 2" xfId="4524"/>
    <cellStyle name="40% - Accent6 2 2 3 2 2" xfId="4525"/>
    <cellStyle name="40% - Accent6 2 2 3 3" xfId="4526"/>
    <cellStyle name="40% - Accent6 2 2 4" xfId="4527"/>
    <cellStyle name="40% - Accent6 2 2 4 2" xfId="4528"/>
    <cellStyle name="40% - Accent6 2 2 5" xfId="4529"/>
    <cellStyle name="40% - Accent6 2 3" xfId="4530"/>
    <cellStyle name="40% - Accent6 2 3 2" xfId="4531"/>
    <cellStyle name="40% - Accent6 2 3 2 2" xfId="4532"/>
    <cellStyle name="40% - Accent6 2 3 2 2 2" xfId="4533"/>
    <cellStyle name="40% - Accent6 2 3 2 3" xfId="4534"/>
    <cellStyle name="40% - Accent6 2 3 3" xfId="4535"/>
    <cellStyle name="40% - Accent6 2 3 3 2" xfId="4536"/>
    <cellStyle name="40% - Accent6 2 3 4" xfId="4537"/>
    <cellStyle name="40% - Accent6 2 4" xfId="4538"/>
    <cellStyle name="40% - Accent6 2 4 2" xfId="4539"/>
    <cellStyle name="40% - Accent6 2 4 2 2" xfId="4540"/>
    <cellStyle name="40% - Accent6 2 4 3" xfId="4541"/>
    <cellStyle name="40% - Accent6 2 5" xfId="4542"/>
    <cellStyle name="40% - Accent6 2 5 2" xfId="4543"/>
    <cellStyle name="40% - Accent6 2 5 3" xfId="4544"/>
    <cellStyle name="40% - Accent6 2 6" xfId="4545"/>
    <cellStyle name="40% - Accent6 2 6 2" xfId="4546"/>
    <cellStyle name="40% - Accent6 2 6 3" xfId="4547"/>
    <cellStyle name="40% - Accent6 2 7" xfId="4548"/>
    <cellStyle name="40% - Accent6 2 7 2" xfId="4549"/>
    <cellStyle name="40% - Accent6 2 7 3" xfId="4550"/>
    <cellStyle name="40% - Accent6 2 8" xfId="4551"/>
    <cellStyle name="40% - Accent6 2 9" xfId="4552"/>
    <cellStyle name="40% - Accent6 3" xfId="4553"/>
    <cellStyle name="40% - Accent6 3 2" xfId="4554"/>
    <cellStyle name="40% - Accent6 3 2 2" xfId="4555"/>
    <cellStyle name="40% - Accent6 3 2 2 2" xfId="4556"/>
    <cellStyle name="40% - Accent6 3 2 2 2 2" xfId="4557"/>
    <cellStyle name="40% - Accent6 3 2 2 2 2 2" xfId="4558"/>
    <cellStyle name="40% - Accent6 3 2 2 2 3" xfId="4559"/>
    <cellStyle name="40% - Accent6 3 2 2 3" xfId="4560"/>
    <cellStyle name="40% - Accent6 3 2 2 3 2" xfId="4561"/>
    <cellStyle name="40% - Accent6 3 2 2 4" xfId="4562"/>
    <cellStyle name="40% - Accent6 3 2 3" xfId="4563"/>
    <cellStyle name="40% - Accent6 3 2 3 2" xfId="4564"/>
    <cellStyle name="40% - Accent6 3 2 3 2 2" xfId="4565"/>
    <cellStyle name="40% - Accent6 3 2 3 3" xfId="4566"/>
    <cellStyle name="40% - Accent6 3 2 4" xfId="4567"/>
    <cellStyle name="40% - Accent6 3 2 4 2" xfId="4568"/>
    <cellStyle name="40% - Accent6 3 2 5" xfId="4569"/>
    <cellStyle name="40% - Accent6 3 3" xfId="4570"/>
    <cellStyle name="40% - Accent6 3 3 2" xfId="4571"/>
    <cellStyle name="40% - Accent6 3 3 2 2" xfId="4572"/>
    <cellStyle name="40% - Accent6 3 3 2 2 2" xfId="4573"/>
    <cellStyle name="40% - Accent6 3 3 2 3" xfId="4574"/>
    <cellStyle name="40% - Accent6 3 3 3" xfId="4575"/>
    <cellStyle name="40% - Accent6 3 3 3 2" xfId="4576"/>
    <cellStyle name="40% - Accent6 3 3 4" xfId="4577"/>
    <cellStyle name="40% - Accent6 3 4" xfId="4578"/>
    <cellStyle name="40% - Accent6 3 4 2" xfId="4579"/>
    <cellStyle name="40% - Accent6 3 4 2 2" xfId="4580"/>
    <cellStyle name="40% - Accent6 3 4 3" xfId="4581"/>
    <cellStyle name="40% - Accent6 3 5" xfId="4582"/>
    <cellStyle name="40% - Accent6 3 5 2" xfId="4583"/>
    <cellStyle name="40% - Accent6 3 5 3" xfId="4584"/>
    <cellStyle name="40% - Accent6 3 6" xfId="4585"/>
    <cellStyle name="40% - Accent6 3 6 2" xfId="4586"/>
    <cellStyle name="40% - Accent6 3 6 3" xfId="4587"/>
    <cellStyle name="40% - Accent6 3 7" xfId="4588"/>
    <cellStyle name="40% - Accent6 3 7 2" xfId="4589"/>
    <cellStyle name="40% - Accent6 3 7 3" xfId="4590"/>
    <cellStyle name="40% - Accent6 3 8" xfId="4591"/>
    <cellStyle name="40% - Accent6 3 9" xfId="4592"/>
    <cellStyle name="40% - Accent6 4" xfId="4593"/>
    <cellStyle name="40% - Accent6 4 2" xfId="4594"/>
    <cellStyle name="40% - Accent6 4 2 2" xfId="4595"/>
    <cellStyle name="40% - Accent6 4 2 2 2" xfId="4596"/>
    <cellStyle name="40% - Accent6 4 2 2 2 2" xfId="4597"/>
    <cellStyle name="40% - Accent6 4 2 2 3" xfId="4598"/>
    <cellStyle name="40% - Accent6 4 2 3" xfId="4599"/>
    <cellStyle name="40% - Accent6 4 2 3 2" xfId="4600"/>
    <cellStyle name="40% - Accent6 4 2 4" xfId="4601"/>
    <cellStyle name="40% - Accent6 4 3" xfId="4602"/>
    <cellStyle name="40% - Accent6 4 3 2" xfId="4603"/>
    <cellStyle name="40% - Accent6 4 3 2 2" xfId="4604"/>
    <cellStyle name="40% - Accent6 4 3 3" xfId="4605"/>
    <cellStyle name="40% - Accent6 4 4" xfId="4606"/>
    <cellStyle name="40% - Accent6 4 4 2" xfId="4607"/>
    <cellStyle name="40% - Accent6 4 5" xfId="4608"/>
    <cellStyle name="40% - Accent6 5" xfId="4609"/>
    <cellStyle name="40% - Accent6 5 2" xfId="4610"/>
    <cellStyle name="40% - Accent6 5 2 2" xfId="4611"/>
    <cellStyle name="40% - Accent6 5 2 2 2" xfId="4612"/>
    <cellStyle name="40% - Accent6 5 2 3" xfId="4613"/>
    <cellStyle name="40% - Accent6 5 3" xfId="4614"/>
    <cellStyle name="40% - Accent6 5 3 2" xfId="4615"/>
    <cellStyle name="40% - Accent6 5 4" xfId="4616"/>
    <cellStyle name="40% - Accent6 6" xfId="4617"/>
    <cellStyle name="40% - Accent6 6 2" xfId="4618"/>
    <cellStyle name="40% - Accent6 6 2 2" xfId="4619"/>
    <cellStyle name="40% - Accent6 6 3" xfId="4620"/>
    <cellStyle name="40% - Accent6 7" xfId="4621"/>
    <cellStyle name="40% - Accent6 7 2" xfId="4622"/>
    <cellStyle name="40% - Accent6 7 3" xfId="4623"/>
    <cellStyle name="40% - Accent6 8" xfId="4624"/>
    <cellStyle name="40% - Accent6 8 2" xfId="4625"/>
    <cellStyle name="40% - Accent6 8 3" xfId="4626"/>
    <cellStyle name="40% - Accent6 9" xfId="4627"/>
    <cellStyle name="40% - Accent6 9 2" xfId="4628"/>
    <cellStyle name="40% - Accent6 9 3" xfId="4629"/>
    <cellStyle name="40% - Accent6_Plan Campaña Día de la Madre 2010 - v2" xfId="4630"/>
    <cellStyle name="40% - akcent 1" xfId="53063"/>
    <cellStyle name="40% - akcent 2" xfId="53064"/>
    <cellStyle name="40% - akcent 3" xfId="53065"/>
    <cellStyle name="40% - akcent 4" xfId="53066"/>
    <cellStyle name="40% - akcent 5" xfId="53067"/>
    <cellStyle name="40% - akcent 6" xfId="53068"/>
    <cellStyle name="40% - Akzent1" xfId="4631"/>
    <cellStyle name="40% - Akzent1 2" xfId="4632"/>
    <cellStyle name="40% - Akzent1 3" xfId="4633"/>
    <cellStyle name="40% - Akzent2" xfId="4634"/>
    <cellStyle name="40% - Akzent2 2" xfId="4635"/>
    <cellStyle name="40% - Akzent2 3" xfId="4636"/>
    <cellStyle name="40% - Akzent3" xfId="4637"/>
    <cellStyle name="40% - Akzent3 2" xfId="4638"/>
    <cellStyle name="40% - Akzent3 3" xfId="4639"/>
    <cellStyle name="40% - Akzent4" xfId="4640"/>
    <cellStyle name="40% - Akzent4 2" xfId="4641"/>
    <cellStyle name="40% - Akzent4 3" xfId="4642"/>
    <cellStyle name="40% - Akzent5" xfId="4643"/>
    <cellStyle name="40% - Akzent5 2" xfId="4644"/>
    <cellStyle name="40% - Akzent5 3" xfId="4645"/>
    <cellStyle name="40% - Akzent6" xfId="4646"/>
    <cellStyle name="40% - Akzent6 2" xfId="4647"/>
    <cellStyle name="40% - Akzent6 3" xfId="4648"/>
    <cellStyle name="40% - Ênfase1" xfId="4649"/>
    <cellStyle name="40% - Ênfase1 2" xfId="4650"/>
    <cellStyle name="40% - Ênfase1 3" xfId="4651"/>
    <cellStyle name="40% - Ênfase2" xfId="4652"/>
    <cellStyle name="40% - Ênfase2 2" xfId="4653"/>
    <cellStyle name="40% - Ênfase2 3" xfId="4654"/>
    <cellStyle name="40% - Ênfase3" xfId="4655"/>
    <cellStyle name="40% - Ênfase3 2" xfId="4656"/>
    <cellStyle name="40% - Ênfase3 3" xfId="4657"/>
    <cellStyle name="40% - Ênfase4" xfId="4658"/>
    <cellStyle name="40% - Ênfase4 2" xfId="4659"/>
    <cellStyle name="40% - Ênfase4 3" xfId="4660"/>
    <cellStyle name="40% - Ênfase5" xfId="4661"/>
    <cellStyle name="40% - Ênfase5 2" xfId="4662"/>
    <cellStyle name="40% - Ênfase5 3" xfId="4663"/>
    <cellStyle name="40% - Ênfase6" xfId="4664"/>
    <cellStyle name="40% - Ênfase6 2" xfId="4665"/>
    <cellStyle name="40% - Ênfase6 3" xfId="4666"/>
    <cellStyle name="40% - Énfasis1 2" xfId="4667"/>
    <cellStyle name="40% - Énfasis1 2 2" xfId="4668"/>
    <cellStyle name="40% - Énfasis1 2 2 2" xfId="4669"/>
    <cellStyle name="40% - Énfasis1 2 2 2 2" xfId="4670"/>
    <cellStyle name="40% - Énfasis1 2 2 2 2 2" xfId="4671"/>
    <cellStyle name="40% - Énfasis1 2 2 2 2 2 2" xfId="4672"/>
    <cellStyle name="40% - Énfasis1 2 2 2 2 3" xfId="4673"/>
    <cellStyle name="40% - Énfasis1 2 2 2 3" xfId="4674"/>
    <cellStyle name="40% - Énfasis1 2 2 2 3 2" xfId="4675"/>
    <cellStyle name="40% - Énfasis1 2 2 2 4" xfId="4676"/>
    <cellStyle name="40% - Énfasis1 2 2 3" xfId="4677"/>
    <cellStyle name="40% - Énfasis1 2 2 3 2" xfId="4678"/>
    <cellStyle name="40% - Énfasis1 2 2 3 2 2" xfId="4679"/>
    <cellStyle name="40% - Énfasis1 2 2 3 3" xfId="4680"/>
    <cellStyle name="40% - Énfasis1 2 2 4" xfId="4681"/>
    <cellStyle name="40% - Énfasis1 2 2 4 2" xfId="4682"/>
    <cellStyle name="40% - Énfasis1 2 2 5" xfId="4683"/>
    <cellStyle name="40% - Énfasis1 2 3" xfId="4684"/>
    <cellStyle name="40% - Énfasis1 2 3 2" xfId="4685"/>
    <cellStyle name="40% - Énfasis1 2 3 2 2" xfId="4686"/>
    <cellStyle name="40% - Énfasis1 2 3 2 2 2" xfId="4687"/>
    <cellStyle name="40% - Énfasis1 2 3 2 3" xfId="4688"/>
    <cellStyle name="40% - Énfasis1 2 3 3" xfId="4689"/>
    <cellStyle name="40% - Énfasis1 2 3 3 2" xfId="4690"/>
    <cellStyle name="40% - Énfasis1 2 3 4" xfId="4691"/>
    <cellStyle name="40% - Énfasis1 2 4" xfId="4692"/>
    <cellStyle name="40% - Énfasis1 2 4 2" xfId="4693"/>
    <cellStyle name="40% - Énfasis1 2 4 2 2" xfId="4694"/>
    <cellStyle name="40% - Énfasis1 2 4 3" xfId="4695"/>
    <cellStyle name="40% - Énfasis1 2 5" xfId="4696"/>
    <cellStyle name="40% - Énfasis1 2 5 2" xfId="4697"/>
    <cellStyle name="40% - Énfasis1 2 6" xfId="4698"/>
    <cellStyle name="40% - Énfasis1 3" xfId="4699"/>
    <cellStyle name="40% - Énfasis1 3 2" xfId="4700"/>
    <cellStyle name="40% - Énfasis1 3 3" xfId="4701"/>
    <cellStyle name="40% - Énfasis1 4" xfId="4702"/>
    <cellStyle name="40% - Énfasis1 4 2" xfId="4703"/>
    <cellStyle name="40% - Énfasis1 5" xfId="4704"/>
    <cellStyle name="40% - Énfasis1 5 2" xfId="4705"/>
    <cellStyle name="40% - Énfasis1 6" xfId="4706"/>
    <cellStyle name="40% - Énfasis2 2" xfId="4707"/>
    <cellStyle name="40% - Énfasis2 2 2" xfId="4708"/>
    <cellStyle name="40% - Énfasis2 2 2 2" xfId="4709"/>
    <cellStyle name="40% - Énfasis2 2 2 2 2" xfId="4710"/>
    <cellStyle name="40% - Énfasis2 2 2 2 2 2" xfId="4711"/>
    <cellStyle name="40% - Énfasis2 2 2 2 2 2 2" xfId="4712"/>
    <cellStyle name="40% - Énfasis2 2 2 2 2 3" xfId="4713"/>
    <cellStyle name="40% - Énfasis2 2 2 2 3" xfId="4714"/>
    <cellStyle name="40% - Énfasis2 2 2 2 3 2" xfId="4715"/>
    <cellStyle name="40% - Énfasis2 2 2 2 4" xfId="4716"/>
    <cellStyle name="40% - Énfasis2 2 2 3" xfId="4717"/>
    <cellStyle name="40% - Énfasis2 2 2 3 2" xfId="4718"/>
    <cellStyle name="40% - Énfasis2 2 2 3 2 2" xfId="4719"/>
    <cellStyle name="40% - Énfasis2 2 2 3 3" xfId="4720"/>
    <cellStyle name="40% - Énfasis2 2 2 4" xfId="4721"/>
    <cellStyle name="40% - Énfasis2 2 2 4 2" xfId="4722"/>
    <cellStyle name="40% - Énfasis2 2 2 5" xfId="4723"/>
    <cellStyle name="40% - Énfasis2 2 3" xfId="4724"/>
    <cellStyle name="40% - Énfasis2 2 3 2" xfId="4725"/>
    <cellStyle name="40% - Énfasis2 2 3 2 2" xfId="4726"/>
    <cellStyle name="40% - Énfasis2 2 3 2 2 2" xfId="4727"/>
    <cellStyle name="40% - Énfasis2 2 3 2 3" xfId="4728"/>
    <cellStyle name="40% - Énfasis2 2 3 3" xfId="4729"/>
    <cellStyle name="40% - Énfasis2 2 3 3 2" xfId="4730"/>
    <cellStyle name="40% - Énfasis2 2 3 4" xfId="4731"/>
    <cellStyle name="40% - Énfasis2 2 4" xfId="4732"/>
    <cellStyle name="40% - Énfasis2 2 4 2" xfId="4733"/>
    <cellStyle name="40% - Énfasis2 2 4 2 2" xfId="4734"/>
    <cellStyle name="40% - Énfasis2 2 4 3" xfId="4735"/>
    <cellStyle name="40% - Énfasis2 2 5" xfId="4736"/>
    <cellStyle name="40% - Énfasis2 2 5 2" xfId="4737"/>
    <cellStyle name="40% - Énfasis2 2 6" xfId="4738"/>
    <cellStyle name="40% - Énfasis2 3" xfId="4739"/>
    <cellStyle name="40% - Énfasis2 3 2" xfId="4740"/>
    <cellStyle name="40% - Énfasis2 3 3" xfId="4741"/>
    <cellStyle name="40% - Énfasis2 4" xfId="4742"/>
    <cellStyle name="40% - Énfasis2 4 2" xfId="4743"/>
    <cellStyle name="40% - Énfasis2 5" xfId="4744"/>
    <cellStyle name="40% - Énfasis2 5 2" xfId="4745"/>
    <cellStyle name="40% - Énfasis2 6" xfId="4746"/>
    <cellStyle name="40% - Énfasis3 2" xfId="4747"/>
    <cellStyle name="40% - Énfasis3 2 2" xfId="4748"/>
    <cellStyle name="40% - Énfasis3 2 2 2" xfId="4749"/>
    <cellStyle name="40% - Énfasis3 2 2 2 2" xfId="4750"/>
    <cellStyle name="40% - Énfasis3 2 2 2 2 2" xfId="4751"/>
    <cellStyle name="40% - Énfasis3 2 2 2 2 2 2" xfId="4752"/>
    <cellStyle name="40% - Énfasis3 2 2 2 2 3" xfId="4753"/>
    <cellStyle name="40% - Énfasis3 2 2 2 3" xfId="4754"/>
    <cellStyle name="40% - Énfasis3 2 2 2 3 2" xfId="4755"/>
    <cellStyle name="40% - Énfasis3 2 2 2 4" xfId="4756"/>
    <cellStyle name="40% - Énfasis3 2 2 3" xfId="4757"/>
    <cellStyle name="40% - Énfasis3 2 2 3 2" xfId="4758"/>
    <cellStyle name="40% - Énfasis3 2 2 3 2 2" xfId="4759"/>
    <cellStyle name="40% - Énfasis3 2 2 3 3" xfId="4760"/>
    <cellStyle name="40% - Énfasis3 2 2 4" xfId="4761"/>
    <cellStyle name="40% - Énfasis3 2 2 4 2" xfId="4762"/>
    <cellStyle name="40% - Énfasis3 2 2 5" xfId="4763"/>
    <cellStyle name="40% - Énfasis3 2 3" xfId="4764"/>
    <cellStyle name="40% - Énfasis3 2 3 2" xfId="4765"/>
    <cellStyle name="40% - Énfasis3 2 3 2 2" xfId="4766"/>
    <cellStyle name="40% - Énfasis3 2 3 2 2 2" xfId="4767"/>
    <cellStyle name="40% - Énfasis3 2 3 2 3" xfId="4768"/>
    <cellStyle name="40% - Énfasis3 2 3 3" xfId="4769"/>
    <cellStyle name="40% - Énfasis3 2 3 3 2" xfId="4770"/>
    <cellStyle name="40% - Énfasis3 2 3 4" xfId="4771"/>
    <cellStyle name="40% - Énfasis3 2 4" xfId="4772"/>
    <cellStyle name="40% - Énfasis3 2 4 2" xfId="4773"/>
    <cellStyle name="40% - Énfasis3 2 4 2 2" xfId="4774"/>
    <cellStyle name="40% - Énfasis3 2 4 3" xfId="4775"/>
    <cellStyle name="40% - Énfasis3 2 5" xfId="4776"/>
    <cellStyle name="40% - Énfasis3 2 5 2" xfId="4777"/>
    <cellStyle name="40% - Énfasis3 2 6" xfId="4778"/>
    <cellStyle name="40% - Énfasis3 3" xfId="4779"/>
    <cellStyle name="40% - Énfasis3 3 2" xfId="4780"/>
    <cellStyle name="40% - Énfasis3 3 3" xfId="4781"/>
    <cellStyle name="40% - Énfasis3 4" xfId="4782"/>
    <cellStyle name="40% - Énfasis3 4 2" xfId="4783"/>
    <cellStyle name="40% - Énfasis3 5" xfId="4784"/>
    <cellStyle name="40% - Énfasis3 5 2" xfId="4785"/>
    <cellStyle name="40% - Énfasis3 6" xfId="4786"/>
    <cellStyle name="40% - Énfasis4 2" xfId="4787"/>
    <cellStyle name="40% - Énfasis4 2 2" xfId="4788"/>
    <cellStyle name="40% - Énfasis4 2 2 2" xfId="4789"/>
    <cellStyle name="40% - Énfasis4 2 2 2 2" xfId="4790"/>
    <cellStyle name="40% - Énfasis4 2 2 2 2 2" xfId="4791"/>
    <cellStyle name="40% - Énfasis4 2 2 2 2 2 2" xfId="4792"/>
    <cellStyle name="40% - Énfasis4 2 2 2 2 3" xfId="4793"/>
    <cellStyle name="40% - Énfasis4 2 2 2 3" xfId="4794"/>
    <cellStyle name="40% - Énfasis4 2 2 2 3 2" xfId="4795"/>
    <cellStyle name="40% - Énfasis4 2 2 2 4" xfId="4796"/>
    <cellStyle name="40% - Énfasis4 2 2 3" xfId="4797"/>
    <cellStyle name="40% - Énfasis4 2 2 3 2" xfId="4798"/>
    <cellStyle name="40% - Énfasis4 2 2 3 2 2" xfId="4799"/>
    <cellStyle name="40% - Énfasis4 2 2 3 3" xfId="4800"/>
    <cellStyle name="40% - Énfasis4 2 2 4" xfId="4801"/>
    <cellStyle name="40% - Énfasis4 2 2 4 2" xfId="4802"/>
    <cellStyle name="40% - Énfasis4 2 2 5" xfId="4803"/>
    <cellStyle name="40% - Énfasis4 2 3" xfId="4804"/>
    <cellStyle name="40% - Énfasis4 2 3 2" xfId="4805"/>
    <cellStyle name="40% - Énfasis4 2 3 2 2" xfId="4806"/>
    <cellStyle name="40% - Énfasis4 2 3 2 2 2" xfId="4807"/>
    <cellStyle name="40% - Énfasis4 2 3 2 3" xfId="4808"/>
    <cellStyle name="40% - Énfasis4 2 3 3" xfId="4809"/>
    <cellStyle name="40% - Énfasis4 2 3 3 2" xfId="4810"/>
    <cellStyle name="40% - Énfasis4 2 3 4" xfId="4811"/>
    <cellStyle name="40% - Énfasis4 2 4" xfId="4812"/>
    <cellStyle name="40% - Énfasis4 2 4 2" xfId="4813"/>
    <cellStyle name="40% - Énfasis4 2 4 2 2" xfId="4814"/>
    <cellStyle name="40% - Énfasis4 2 4 3" xfId="4815"/>
    <cellStyle name="40% - Énfasis4 2 5" xfId="4816"/>
    <cellStyle name="40% - Énfasis4 2 5 2" xfId="4817"/>
    <cellStyle name="40% - Énfasis4 2 6" xfId="4818"/>
    <cellStyle name="40% - Énfasis4 3" xfId="4819"/>
    <cellStyle name="40% - Énfasis4 3 2" xfId="4820"/>
    <cellStyle name="40% - Énfasis4 3 3" xfId="4821"/>
    <cellStyle name="40% - Énfasis4 4" xfId="4822"/>
    <cellStyle name="40% - Énfasis4 4 2" xfId="4823"/>
    <cellStyle name="40% - Énfasis4 5" xfId="4824"/>
    <cellStyle name="40% - Énfasis4 5 2" xfId="4825"/>
    <cellStyle name="40% - Énfasis4 6" xfId="4826"/>
    <cellStyle name="40% - Énfasis5 2" xfId="4827"/>
    <cellStyle name="40% - Énfasis5 2 2" xfId="4828"/>
    <cellStyle name="40% - Énfasis5 2 2 2" xfId="4829"/>
    <cellStyle name="40% - Énfasis5 2 2 2 2" xfId="4830"/>
    <cellStyle name="40% - Énfasis5 2 2 2 2 2" xfId="4831"/>
    <cellStyle name="40% - Énfasis5 2 2 2 2 2 2" xfId="4832"/>
    <cellStyle name="40% - Énfasis5 2 2 2 2 3" xfId="4833"/>
    <cellStyle name="40% - Énfasis5 2 2 2 3" xfId="4834"/>
    <cellStyle name="40% - Énfasis5 2 2 2 3 2" xfId="4835"/>
    <cellStyle name="40% - Énfasis5 2 2 2 4" xfId="4836"/>
    <cellStyle name="40% - Énfasis5 2 2 3" xfId="4837"/>
    <cellStyle name="40% - Énfasis5 2 2 3 2" xfId="4838"/>
    <cellStyle name="40% - Énfasis5 2 2 3 2 2" xfId="4839"/>
    <cellStyle name="40% - Énfasis5 2 2 3 3" xfId="4840"/>
    <cellStyle name="40% - Énfasis5 2 2 4" xfId="4841"/>
    <cellStyle name="40% - Énfasis5 2 2 4 2" xfId="4842"/>
    <cellStyle name="40% - Énfasis5 2 2 5" xfId="4843"/>
    <cellStyle name="40% - Énfasis5 2 3" xfId="4844"/>
    <cellStyle name="40% - Énfasis5 2 3 2" xfId="4845"/>
    <cellStyle name="40% - Énfasis5 2 3 2 2" xfId="4846"/>
    <cellStyle name="40% - Énfasis5 2 3 2 2 2" xfId="4847"/>
    <cellStyle name="40% - Énfasis5 2 3 2 3" xfId="4848"/>
    <cellStyle name="40% - Énfasis5 2 3 3" xfId="4849"/>
    <cellStyle name="40% - Énfasis5 2 3 3 2" xfId="4850"/>
    <cellStyle name="40% - Énfasis5 2 3 4" xfId="4851"/>
    <cellStyle name="40% - Énfasis5 2 4" xfId="4852"/>
    <cellStyle name="40% - Énfasis5 2 4 2" xfId="4853"/>
    <cellStyle name="40% - Énfasis5 2 4 2 2" xfId="4854"/>
    <cellStyle name="40% - Énfasis5 2 4 3" xfId="4855"/>
    <cellStyle name="40% - Énfasis5 2 5" xfId="4856"/>
    <cellStyle name="40% - Énfasis5 2 5 2" xfId="4857"/>
    <cellStyle name="40% - Énfasis5 2 6" xfId="4858"/>
    <cellStyle name="40% - Énfasis5 3" xfId="4859"/>
    <cellStyle name="40% - Énfasis5 3 2" xfId="4860"/>
    <cellStyle name="40% - Énfasis5 3 3" xfId="4861"/>
    <cellStyle name="40% - Énfasis5 4" xfId="4862"/>
    <cellStyle name="40% - Énfasis5 4 2" xfId="4863"/>
    <cellStyle name="40% - Énfasis5 5" xfId="4864"/>
    <cellStyle name="40% - Énfasis5 5 2" xfId="4865"/>
    <cellStyle name="40% - Énfasis5 6" xfId="4866"/>
    <cellStyle name="40% - Énfasis6 2" xfId="4867"/>
    <cellStyle name="40% - Énfasis6 2 2" xfId="4868"/>
    <cellStyle name="40% - Énfasis6 2 2 2" xfId="4869"/>
    <cellStyle name="40% - Énfasis6 2 2 2 2" xfId="4870"/>
    <cellStyle name="40% - Énfasis6 2 2 2 2 2" xfId="4871"/>
    <cellStyle name="40% - Énfasis6 2 2 2 2 2 2" xfId="4872"/>
    <cellStyle name="40% - Énfasis6 2 2 2 2 3" xfId="4873"/>
    <cellStyle name="40% - Énfasis6 2 2 2 3" xfId="4874"/>
    <cellStyle name="40% - Énfasis6 2 2 2 3 2" xfId="4875"/>
    <cellStyle name="40% - Énfasis6 2 2 2 4" xfId="4876"/>
    <cellStyle name="40% - Énfasis6 2 2 3" xfId="4877"/>
    <cellStyle name="40% - Énfasis6 2 2 3 2" xfId="4878"/>
    <cellStyle name="40% - Énfasis6 2 2 3 2 2" xfId="4879"/>
    <cellStyle name="40% - Énfasis6 2 2 3 3" xfId="4880"/>
    <cellStyle name="40% - Énfasis6 2 2 4" xfId="4881"/>
    <cellStyle name="40% - Énfasis6 2 2 4 2" xfId="4882"/>
    <cellStyle name="40% - Énfasis6 2 2 5" xfId="4883"/>
    <cellStyle name="40% - Énfasis6 2 3" xfId="4884"/>
    <cellStyle name="40% - Énfasis6 2 3 2" xfId="4885"/>
    <cellStyle name="40% - Énfasis6 2 3 2 2" xfId="4886"/>
    <cellStyle name="40% - Énfasis6 2 3 2 2 2" xfId="4887"/>
    <cellStyle name="40% - Énfasis6 2 3 2 3" xfId="4888"/>
    <cellStyle name="40% - Énfasis6 2 3 3" xfId="4889"/>
    <cellStyle name="40% - Énfasis6 2 3 3 2" xfId="4890"/>
    <cellStyle name="40% - Énfasis6 2 3 4" xfId="4891"/>
    <cellStyle name="40% - Énfasis6 2 4" xfId="4892"/>
    <cellStyle name="40% - Énfasis6 2 4 2" xfId="4893"/>
    <cellStyle name="40% - Énfasis6 2 4 2 2" xfId="4894"/>
    <cellStyle name="40% - Énfasis6 2 4 3" xfId="4895"/>
    <cellStyle name="40% - Énfasis6 2 5" xfId="4896"/>
    <cellStyle name="40% - Énfasis6 2 5 2" xfId="4897"/>
    <cellStyle name="40% - Énfasis6 2 6" xfId="4898"/>
    <cellStyle name="40% - Énfasis6 3" xfId="4899"/>
    <cellStyle name="40% - Énfasis6 3 2" xfId="4900"/>
    <cellStyle name="40% - Énfasis6 3 3" xfId="4901"/>
    <cellStyle name="40% - Énfasis6 4" xfId="4902"/>
    <cellStyle name="40% - Énfasis6 4 2" xfId="4903"/>
    <cellStyle name="40% - Énfasis6 5" xfId="4904"/>
    <cellStyle name="40% - Énfasis6 5 2" xfId="4905"/>
    <cellStyle name="40% - Énfasis6 6" xfId="4906"/>
    <cellStyle name="40% - 强调文字颜色 1" xfId="53069"/>
    <cellStyle name="40% - 强调文字颜色 2" xfId="53070"/>
    <cellStyle name="40% - 强调文字颜色 3" xfId="53071"/>
    <cellStyle name="40% - 强调文字颜色 4" xfId="53072"/>
    <cellStyle name="40% - 强调文字颜色 5" xfId="53073"/>
    <cellStyle name="40% - 强调文字颜色 6" xfId="53074"/>
    <cellStyle name="5" xfId="4907"/>
    <cellStyle name="5 10" xfId="4908"/>
    <cellStyle name="5 10 2" xfId="4909"/>
    <cellStyle name="5 10 3" xfId="4910"/>
    <cellStyle name="5 10 4" xfId="4911"/>
    <cellStyle name="5 11" xfId="4912"/>
    <cellStyle name="5 12" xfId="4913"/>
    <cellStyle name="5 2" xfId="4914"/>
    <cellStyle name="5 2 2" xfId="4915"/>
    <cellStyle name="5 2 2 2" xfId="4916"/>
    <cellStyle name="5 2 2 2 2" xfId="4917"/>
    <cellStyle name="5 2 2 2 3" xfId="4918"/>
    <cellStyle name="5 2 2 2 4" xfId="4919"/>
    <cellStyle name="5 2 2 3" xfId="4920"/>
    <cellStyle name="5 2 2 3 2" xfId="4921"/>
    <cellStyle name="5 2 2 3 3" xfId="4922"/>
    <cellStyle name="5 2 2 3 4" xfId="4923"/>
    <cellStyle name="5 2 2 4" xfId="4924"/>
    <cellStyle name="5 2 2 4 2" xfId="4925"/>
    <cellStyle name="5 2 2 4 3" xfId="4926"/>
    <cellStyle name="5 2 2 4 4" xfId="4927"/>
    <cellStyle name="5 2 2 5" xfId="4928"/>
    <cellStyle name="5 2 2 6" xfId="4929"/>
    <cellStyle name="5 2 2 7" xfId="4930"/>
    <cellStyle name="5 2 2 8" xfId="4931"/>
    <cellStyle name="5 2 3" xfId="4932"/>
    <cellStyle name="5 2 3 2" xfId="4933"/>
    <cellStyle name="5 2 3 2 2" xfId="4934"/>
    <cellStyle name="5 2 3 2 3" xfId="4935"/>
    <cellStyle name="5 2 3 2 4" xfId="4936"/>
    <cellStyle name="5 2 3 3" xfId="4937"/>
    <cellStyle name="5 2 3 3 2" xfId="4938"/>
    <cellStyle name="5 2 3 3 3" xfId="4939"/>
    <cellStyle name="5 2 3 3 4" xfId="4940"/>
    <cellStyle name="5 2 3 4" xfId="4941"/>
    <cellStyle name="5 2 3 4 2" xfId="4942"/>
    <cellStyle name="5 2 3 4 3" xfId="4943"/>
    <cellStyle name="5 2 3 4 4" xfId="4944"/>
    <cellStyle name="5 2 3 5" xfId="4945"/>
    <cellStyle name="5 2 3 6" xfId="4946"/>
    <cellStyle name="5 2 3 7" xfId="4947"/>
    <cellStyle name="5 2 3 8" xfId="4948"/>
    <cellStyle name="5 2 4" xfId="4949"/>
    <cellStyle name="5 2 4 2" xfId="4950"/>
    <cellStyle name="5 2 4 2 2" xfId="4951"/>
    <cellStyle name="5 2 4 2 3" xfId="4952"/>
    <cellStyle name="5 2 4 2 4" xfId="4953"/>
    <cellStyle name="5 2 4 3" xfId="4954"/>
    <cellStyle name="5 2 4 3 2" xfId="4955"/>
    <cellStyle name="5 2 4 3 3" xfId="4956"/>
    <cellStyle name="5 2 4 3 4" xfId="4957"/>
    <cellStyle name="5 2 4 4" xfId="4958"/>
    <cellStyle name="5 2 4 4 2" xfId="4959"/>
    <cellStyle name="5 2 4 4 3" xfId="4960"/>
    <cellStyle name="5 2 4 4 4" xfId="4961"/>
    <cellStyle name="5 2 4 5" xfId="4962"/>
    <cellStyle name="5 2 4 6" xfId="4963"/>
    <cellStyle name="5 2 4 7" xfId="4964"/>
    <cellStyle name="5 2 4 8" xfId="4965"/>
    <cellStyle name="5 2 5" xfId="4966"/>
    <cellStyle name="5 2 5 2" xfId="4967"/>
    <cellStyle name="5 2 5 3" xfId="4968"/>
    <cellStyle name="5 2 5 4" xfId="4969"/>
    <cellStyle name="5 2 6" xfId="4970"/>
    <cellStyle name="5 2 6 2" xfId="4971"/>
    <cellStyle name="5 2 6 3" xfId="4972"/>
    <cellStyle name="5 2 6 4" xfId="4973"/>
    <cellStyle name="5 2 7" xfId="4974"/>
    <cellStyle name="5 2 8" xfId="4975"/>
    <cellStyle name="5 3" xfId="4976"/>
    <cellStyle name="5 3 2" xfId="4977"/>
    <cellStyle name="5 3 2 2" xfId="4978"/>
    <cellStyle name="5 3 2 3" xfId="4979"/>
    <cellStyle name="5 3 2 4" xfId="4980"/>
    <cellStyle name="5 3 3" xfId="4981"/>
    <cellStyle name="5 3 3 2" xfId="4982"/>
    <cellStyle name="5 3 3 3" xfId="4983"/>
    <cellStyle name="5 3 3 4" xfId="4984"/>
    <cellStyle name="5 3 4" xfId="4985"/>
    <cellStyle name="5 3 5" xfId="4986"/>
    <cellStyle name="5 3 6" xfId="4987"/>
    <cellStyle name="5 3 7" xfId="4988"/>
    <cellStyle name="5 4" xfId="4989"/>
    <cellStyle name="5 4 2" xfId="4990"/>
    <cellStyle name="5 4 2 2" xfId="4991"/>
    <cellStyle name="5 4 2 3" xfId="4992"/>
    <cellStyle name="5 4 2 4" xfId="4993"/>
    <cellStyle name="5 4 3" xfId="4994"/>
    <cellStyle name="5 4 3 2" xfId="4995"/>
    <cellStyle name="5 4 3 3" xfId="4996"/>
    <cellStyle name="5 4 3 4" xfId="4997"/>
    <cellStyle name="5 4 4" xfId="4998"/>
    <cellStyle name="5 4 4 2" xfId="4999"/>
    <cellStyle name="5 4 4 3" xfId="5000"/>
    <cellStyle name="5 4 4 4" xfId="5001"/>
    <cellStyle name="5 4 5" xfId="5002"/>
    <cellStyle name="5 4 6" xfId="5003"/>
    <cellStyle name="5 4 7" xfId="5004"/>
    <cellStyle name="5 4 8" xfId="5005"/>
    <cellStyle name="5 5" xfId="5006"/>
    <cellStyle name="5 5 2" xfId="5007"/>
    <cellStyle name="5 5 2 2" xfId="5008"/>
    <cellStyle name="5 5 2 3" xfId="5009"/>
    <cellStyle name="5 5 2 4" xfId="5010"/>
    <cellStyle name="5 5 3" xfId="5011"/>
    <cellStyle name="5 5 3 2" xfId="5012"/>
    <cellStyle name="5 5 3 3" xfId="5013"/>
    <cellStyle name="5 5 3 4" xfId="5014"/>
    <cellStyle name="5 5 4" xfId="5015"/>
    <cellStyle name="5 5 4 2" xfId="5016"/>
    <cellStyle name="5 5 4 3" xfId="5017"/>
    <cellStyle name="5 5 4 4" xfId="5018"/>
    <cellStyle name="5 5 5" xfId="5019"/>
    <cellStyle name="5 5 6" xfId="5020"/>
    <cellStyle name="5 5 7" xfId="5021"/>
    <cellStyle name="5 5 8" xfId="5022"/>
    <cellStyle name="5 6" xfId="5023"/>
    <cellStyle name="5 6 2" xfId="5024"/>
    <cellStyle name="5 6 2 2" xfId="5025"/>
    <cellStyle name="5 6 2 3" xfId="5026"/>
    <cellStyle name="5 6 2 4" xfId="5027"/>
    <cellStyle name="5 6 3" xfId="5028"/>
    <cellStyle name="5 6 3 2" xfId="5029"/>
    <cellStyle name="5 6 3 3" xfId="5030"/>
    <cellStyle name="5 6 3 4" xfId="5031"/>
    <cellStyle name="5 6 4" xfId="5032"/>
    <cellStyle name="5 6 4 2" xfId="5033"/>
    <cellStyle name="5 6 4 3" xfId="5034"/>
    <cellStyle name="5 6 4 4" xfId="5035"/>
    <cellStyle name="5 6 5" xfId="5036"/>
    <cellStyle name="5 6 6" xfId="5037"/>
    <cellStyle name="5 6 7" xfId="5038"/>
    <cellStyle name="5 6 8" xfId="5039"/>
    <cellStyle name="5 7" xfId="5040"/>
    <cellStyle name="5 7 2" xfId="5041"/>
    <cellStyle name="5 7 3" xfId="5042"/>
    <cellStyle name="5 7 4" xfId="5043"/>
    <cellStyle name="5 8" xfId="5044"/>
    <cellStyle name="5 8 2" xfId="5045"/>
    <cellStyle name="5 8 3" xfId="5046"/>
    <cellStyle name="5 8 4" xfId="5047"/>
    <cellStyle name="5 9" xfId="5048"/>
    <cellStyle name="5 9 2" xfId="5049"/>
    <cellStyle name="5 9 3" xfId="5050"/>
    <cellStyle name="5 9 4" xfId="5051"/>
    <cellStyle name="6" xfId="5052"/>
    <cellStyle name="6 2" xfId="5053"/>
    <cellStyle name="6 2 2" xfId="5054"/>
    <cellStyle name="6 2 2 2" xfId="5055"/>
    <cellStyle name="6 2 2 2 2" xfId="5056"/>
    <cellStyle name="6 2 2 2 3" xfId="5057"/>
    <cellStyle name="6 2 2 2 4" xfId="5058"/>
    <cellStyle name="6 2 2 3" xfId="5059"/>
    <cellStyle name="6 2 2 3 2" xfId="5060"/>
    <cellStyle name="6 2 2 3 3" xfId="5061"/>
    <cellStyle name="6 2 2 3 4" xfId="5062"/>
    <cellStyle name="6 2 2 4" xfId="5063"/>
    <cellStyle name="6 2 2 4 2" xfId="5064"/>
    <cellStyle name="6 2 2 4 3" xfId="5065"/>
    <cellStyle name="6 2 2 4 4" xfId="5066"/>
    <cellStyle name="6 2 2 5" xfId="5067"/>
    <cellStyle name="6 2 2 6" xfId="5068"/>
    <cellStyle name="6 2 2 7" xfId="5069"/>
    <cellStyle name="6 2 2 8" xfId="5070"/>
    <cellStyle name="6 2 3" xfId="5071"/>
    <cellStyle name="6 2 3 2" xfId="5072"/>
    <cellStyle name="6 2 3 2 2" xfId="5073"/>
    <cellStyle name="6 2 3 2 3" xfId="5074"/>
    <cellStyle name="6 2 3 2 4" xfId="5075"/>
    <cellStyle name="6 2 3 3" xfId="5076"/>
    <cellStyle name="6 2 3 3 2" xfId="5077"/>
    <cellStyle name="6 2 3 3 3" xfId="5078"/>
    <cellStyle name="6 2 3 3 4" xfId="5079"/>
    <cellStyle name="6 2 3 4" xfId="5080"/>
    <cellStyle name="6 2 3 4 2" xfId="5081"/>
    <cellStyle name="6 2 3 4 3" xfId="5082"/>
    <cellStyle name="6 2 3 4 4" xfId="5083"/>
    <cellStyle name="6 2 3 5" xfId="5084"/>
    <cellStyle name="6 2 3 6" xfId="5085"/>
    <cellStyle name="6 2 3 7" xfId="5086"/>
    <cellStyle name="6 2 3 8" xfId="5087"/>
    <cellStyle name="6 2 4" xfId="5088"/>
    <cellStyle name="6 2 4 2" xfId="5089"/>
    <cellStyle name="6 2 4 2 2" xfId="5090"/>
    <cellStyle name="6 2 4 2 3" xfId="5091"/>
    <cellStyle name="6 2 4 2 4" xfId="5092"/>
    <cellStyle name="6 2 4 3" xfId="5093"/>
    <cellStyle name="6 2 4 3 2" xfId="5094"/>
    <cellStyle name="6 2 4 3 3" xfId="5095"/>
    <cellStyle name="6 2 4 3 4" xfId="5096"/>
    <cellStyle name="6 2 4 4" xfId="5097"/>
    <cellStyle name="6 2 4 4 2" xfId="5098"/>
    <cellStyle name="6 2 4 4 3" xfId="5099"/>
    <cellStyle name="6 2 4 4 4" xfId="5100"/>
    <cellStyle name="6 2 4 5" xfId="5101"/>
    <cellStyle name="6 2 4 6" xfId="5102"/>
    <cellStyle name="6 2 4 7" xfId="5103"/>
    <cellStyle name="6 2 4 8" xfId="5104"/>
    <cellStyle name="6 2 5" xfId="5105"/>
    <cellStyle name="6 2 5 2" xfId="5106"/>
    <cellStyle name="6 2 5 3" xfId="5107"/>
    <cellStyle name="6 2 5 4" xfId="5108"/>
    <cellStyle name="6 2 6" xfId="5109"/>
    <cellStyle name="6 2 6 2" xfId="5110"/>
    <cellStyle name="6 2 6 3" xfId="5111"/>
    <cellStyle name="6 2 6 4" xfId="5112"/>
    <cellStyle name="6 2 7" xfId="5113"/>
    <cellStyle name="6 2 8" xfId="5114"/>
    <cellStyle name="6 3" xfId="5115"/>
    <cellStyle name="6 3 2" xfId="5116"/>
    <cellStyle name="6 3 2 2" xfId="5117"/>
    <cellStyle name="6 3 2 3" xfId="5118"/>
    <cellStyle name="6 3 2 4" xfId="5119"/>
    <cellStyle name="6 3 3" xfId="5120"/>
    <cellStyle name="6 3 3 2" xfId="5121"/>
    <cellStyle name="6 3 3 3" xfId="5122"/>
    <cellStyle name="6 3 3 4" xfId="5123"/>
    <cellStyle name="6 3 4" xfId="5124"/>
    <cellStyle name="6 3 4 2" xfId="5125"/>
    <cellStyle name="6 3 4 3" xfId="5126"/>
    <cellStyle name="6 3 4 4" xfId="5127"/>
    <cellStyle name="6 3 5" xfId="5128"/>
    <cellStyle name="6 3 6" xfId="5129"/>
    <cellStyle name="6 3 7" xfId="5130"/>
    <cellStyle name="6 3 8" xfId="5131"/>
    <cellStyle name="6 4" xfId="5132"/>
    <cellStyle name="6 4 2" xfId="5133"/>
    <cellStyle name="6 4 2 2" xfId="5134"/>
    <cellStyle name="6 4 2 3" xfId="5135"/>
    <cellStyle name="6 4 2 4" xfId="5136"/>
    <cellStyle name="6 4 3" xfId="5137"/>
    <cellStyle name="6 4 3 2" xfId="5138"/>
    <cellStyle name="6 4 3 3" xfId="5139"/>
    <cellStyle name="6 4 3 4" xfId="5140"/>
    <cellStyle name="6 4 4" xfId="5141"/>
    <cellStyle name="6 4 4 2" xfId="5142"/>
    <cellStyle name="6 4 4 3" xfId="5143"/>
    <cellStyle name="6 4 4 4" xfId="5144"/>
    <cellStyle name="6 4 5" xfId="5145"/>
    <cellStyle name="6 4 6" xfId="5146"/>
    <cellStyle name="6 4 7" xfId="5147"/>
    <cellStyle name="6 4 8" xfId="5148"/>
    <cellStyle name="6 5" xfId="5149"/>
    <cellStyle name="6 5 2" xfId="5150"/>
    <cellStyle name="6 5 2 2" xfId="5151"/>
    <cellStyle name="6 5 2 3" xfId="5152"/>
    <cellStyle name="6 5 2 4" xfId="5153"/>
    <cellStyle name="6 5 3" xfId="5154"/>
    <cellStyle name="6 5 3 2" xfId="5155"/>
    <cellStyle name="6 5 3 3" xfId="5156"/>
    <cellStyle name="6 5 3 4" xfId="5157"/>
    <cellStyle name="6 5 4" xfId="5158"/>
    <cellStyle name="6 5 4 2" xfId="5159"/>
    <cellStyle name="6 5 4 3" xfId="5160"/>
    <cellStyle name="6 5 4 4" xfId="5161"/>
    <cellStyle name="6 5 5" xfId="5162"/>
    <cellStyle name="6 5 6" xfId="5163"/>
    <cellStyle name="6 5 7" xfId="5164"/>
    <cellStyle name="6 5 8" xfId="5165"/>
    <cellStyle name="6 6" xfId="5166"/>
    <cellStyle name="6 6 2" xfId="5167"/>
    <cellStyle name="6 6 3" xfId="5168"/>
    <cellStyle name="6 6 4" xfId="5169"/>
    <cellStyle name="6 7" xfId="5170"/>
    <cellStyle name="6 7 2" xfId="5171"/>
    <cellStyle name="6 7 3" xfId="5172"/>
    <cellStyle name="6 7 4" xfId="5173"/>
    <cellStyle name="6 8" xfId="5174"/>
    <cellStyle name="6 9" xfId="5175"/>
    <cellStyle name="60 % - Markeringsfarve1" xfId="53075"/>
    <cellStyle name="60 % - Markeringsfarve2" xfId="53076"/>
    <cellStyle name="60 % - Markeringsfarve3" xfId="53077"/>
    <cellStyle name="60 % - Markeringsfarve4" xfId="53078"/>
    <cellStyle name="60 % - Markeringsfarve5" xfId="53079"/>
    <cellStyle name="60 % - Markeringsfarve6" xfId="53080"/>
    <cellStyle name="60 % - Accent1" xfId="53081"/>
    <cellStyle name="60 % - Accent1 2" xfId="53082"/>
    <cellStyle name="60 % - Accent2" xfId="53083"/>
    <cellStyle name="60 % - Accent2 2" xfId="53084"/>
    <cellStyle name="60 % - Accent3" xfId="53085"/>
    <cellStyle name="60 % - Accent3 2" xfId="53086"/>
    <cellStyle name="60 % - Accent4" xfId="53087"/>
    <cellStyle name="60 % - Accent4 2" xfId="53088"/>
    <cellStyle name="60 % - Accent5" xfId="53089"/>
    <cellStyle name="60 % - Accent5 2" xfId="53090"/>
    <cellStyle name="60 % - Accent6" xfId="53091"/>
    <cellStyle name="60 % - Accent6 2" xfId="53092"/>
    <cellStyle name="60% - Accent1" xfId="5176"/>
    <cellStyle name="60% - Accent1 2" xfId="5177"/>
    <cellStyle name="60% - Accent1 3" xfId="5178"/>
    <cellStyle name="60% - Accent1_Plan Campaña Día de la Madre 2010 - v2" xfId="5179"/>
    <cellStyle name="60% - Accent2" xfId="5180"/>
    <cellStyle name="60% - Accent2 2" xfId="5181"/>
    <cellStyle name="60% - Accent2 3" xfId="5182"/>
    <cellStyle name="60% - Accent2_Plan Campaña Día de la Madre 2010 - v2" xfId="5183"/>
    <cellStyle name="60% - Accent3" xfId="5184"/>
    <cellStyle name="60% - Accent3 2" xfId="5185"/>
    <cellStyle name="60% - Accent3 3" xfId="5186"/>
    <cellStyle name="60% - Accent3_Plan Campaña Día de la Madre 2010 - v2" xfId="5187"/>
    <cellStyle name="60% - Accent4" xfId="5188"/>
    <cellStyle name="60% - Accent4 2" xfId="5189"/>
    <cellStyle name="60% - Accent4 3" xfId="5190"/>
    <cellStyle name="60% - Accent4_Plan Campaña Día de la Madre 2010 - v2" xfId="5191"/>
    <cellStyle name="60% - Accent5" xfId="5192"/>
    <cellStyle name="60% - Accent5 2" xfId="5193"/>
    <cellStyle name="60% - Accent5 3" xfId="5194"/>
    <cellStyle name="60% - Accent5_Plan Campaña Día de la Madre 2010 - v2" xfId="5195"/>
    <cellStyle name="60% - Accent6" xfId="5196"/>
    <cellStyle name="60% - Accent6 2" xfId="5197"/>
    <cellStyle name="60% - Accent6 3" xfId="5198"/>
    <cellStyle name="60% - Accent6_Plan Campaña Día de la Madre 2010 - v2" xfId="5199"/>
    <cellStyle name="60% - akcent 1" xfId="53093"/>
    <cellStyle name="60% - akcent 2" xfId="53094"/>
    <cellStyle name="60% - akcent 3" xfId="53095"/>
    <cellStyle name="60% - akcent 4" xfId="53096"/>
    <cellStyle name="60% - akcent 5" xfId="53097"/>
    <cellStyle name="60% - akcent 6" xfId="53098"/>
    <cellStyle name="60% - Akzent1" xfId="5200"/>
    <cellStyle name="60% - Akzent2" xfId="5201"/>
    <cellStyle name="60% - Akzent3" xfId="5202"/>
    <cellStyle name="60% - Akzent4" xfId="5203"/>
    <cellStyle name="60% - Akzent5" xfId="5204"/>
    <cellStyle name="60% - Akzent6" xfId="5205"/>
    <cellStyle name="60% - Ênfase1" xfId="5206"/>
    <cellStyle name="60% - Ênfase2" xfId="5207"/>
    <cellStyle name="60% - Ênfase3" xfId="5208"/>
    <cellStyle name="60% - Ênfase4" xfId="5209"/>
    <cellStyle name="60% - Ênfase5" xfId="5210"/>
    <cellStyle name="60% - Ênfase6" xfId="5211"/>
    <cellStyle name="60% - Énfasis1 2" xfId="5212"/>
    <cellStyle name="60% - Énfasis1 3" xfId="5213"/>
    <cellStyle name="60% - Énfasis1 4" xfId="5214"/>
    <cellStyle name="60% - Énfasis2 2" xfId="5215"/>
    <cellStyle name="60% - Énfasis2 3" xfId="5216"/>
    <cellStyle name="60% - Énfasis2 4" xfId="5217"/>
    <cellStyle name="60% - Énfasis3 2" xfId="5218"/>
    <cellStyle name="60% - Énfasis3 3" xfId="5219"/>
    <cellStyle name="60% - Énfasis3 4" xfId="5220"/>
    <cellStyle name="60% - Énfasis4 2" xfId="5221"/>
    <cellStyle name="60% - Énfasis4 3" xfId="5222"/>
    <cellStyle name="60% - Énfasis4 4" xfId="5223"/>
    <cellStyle name="60% - Énfasis5 2" xfId="5224"/>
    <cellStyle name="60% - Énfasis5 3" xfId="5225"/>
    <cellStyle name="60% - Énfasis5 4" xfId="5226"/>
    <cellStyle name="60% - Énfasis6 2" xfId="5227"/>
    <cellStyle name="60% - Énfasis6 3" xfId="5228"/>
    <cellStyle name="60% - Énfasis6 4" xfId="5229"/>
    <cellStyle name="60% - 强调文字颜色 1" xfId="53099"/>
    <cellStyle name="60% - 强调文字颜色 2" xfId="53100"/>
    <cellStyle name="60% - 强调文字颜色 3" xfId="53101"/>
    <cellStyle name="60% - 强调文字颜色 4" xfId="53102"/>
    <cellStyle name="60% - 强调文字颜色 5" xfId="53103"/>
    <cellStyle name="60% - 强调文字颜色 6" xfId="53104"/>
    <cellStyle name="7" xfId="5230"/>
    <cellStyle name="7 10" xfId="5231"/>
    <cellStyle name="7 11" xfId="5232"/>
    <cellStyle name="7 2" xfId="5233"/>
    <cellStyle name="7 2 2" xfId="5234"/>
    <cellStyle name="7 2 2 2" xfId="5235"/>
    <cellStyle name="7 2 2 2 2" xfId="5236"/>
    <cellStyle name="7 2 2 2 3" xfId="5237"/>
    <cellStyle name="7 2 2 2 4" xfId="5238"/>
    <cellStyle name="7 2 2 3" xfId="5239"/>
    <cellStyle name="7 2 2 3 2" xfId="5240"/>
    <cellStyle name="7 2 2 3 3" xfId="5241"/>
    <cellStyle name="7 2 2 3 4" xfId="5242"/>
    <cellStyle name="7 2 2 4" xfId="5243"/>
    <cellStyle name="7 2 2 4 2" xfId="5244"/>
    <cellStyle name="7 2 2 4 3" xfId="5245"/>
    <cellStyle name="7 2 2 4 4" xfId="5246"/>
    <cellStyle name="7 2 2 5" xfId="5247"/>
    <cellStyle name="7 2 2 6" xfId="5248"/>
    <cellStyle name="7 2 2 7" xfId="5249"/>
    <cellStyle name="7 2 2 8" xfId="5250"/>
    <cellStyle name="7 2 3" xfId="5251"/>
    <cellStyle name="7 2 3 2" xfId="5252"/>
    <cellStyle name="7 2 3 2 2" xfId="5253"/>
    <cellStyle name="7 2 3 2 3" xfId="5254"/>
    <cellStyle name="7 2 3 2 4" xfId="5255"/>
    <cellStyle name="7 2 3 3" xfId="5256"/>
    <cellStyle name="7 2 3 3 2" xfId="5257"/>
    <cellStyle name="7 2 3 3 3" xfId="5258"/>
    <cellStyle name="7 2 3 3 4" xfId="5259"/>
    <cellStyle name="7 2 3 4" xfId="5260"/>
    <cellStyle name="7 2 3 4 2" xfId="5261"/>
    <cellStyle name="7 2 3 4 3" xfId="5262"/>
    <cellStyle name="7 2 3 4 4" xfId="5263"/>
    <cellStyle name="7 2 3 5" xfId="5264"/>
    <cellStyle name="7 2 3 6" xfId="5265"/>
    <cellStyle name="7 2 3 7" xfId="5266"/>
    <cellStyle name="7 2 3 8" xfId="5267"/>
    <cellStyle name="7 2 4" xfId="5268"/>
    <cellStyle name="7 2 4 2" xfId="5269"/>
    <cellStyle name="7 2 4 2 2" xfId="5270"/>
    <cellStyle name="7 2 4 2 3" xfId="5271"/>
    <cellStyle name="7 2 4 2 4" xfId="5272"/>
    <cellStyle name="7 2 4 3" xfId="5273"/>
    <cellStyle name="7 2 4 3 2" xfId="5274"/>
    <cellStyle name="7 2 4 3 3" xfId="5275"/>
    <cellStyle name="7 2 4 3 4" xfId="5276"/>
    <cellStyle name="7 2 4 4" xfId="5277"/>
    <cellStyle name="7 2 4 4 2" xfId="5278"/>
    <cellStyle name="7 2 4 4 3" xfId="5279"/>
    <cellStyle name="7 2 4 4 4" xfId="5280"/>
    <cellStyle name="7 2 4 5" xfId="5281"/>
    <cellStyle name="7 2 4 6" xfId="5282"/>
    <cellStyle name="7 2 4 7" xfId="5283"/>
    <cellStyle name="7 2 4 8" xfId="5284"/>
    <cellStyle name="7 2 5" xfId="5285"/>
    <cellStyle name="7 2 5 2" xfId="5286"/>
    <cellStyle name="7 2 5 3" xfId="5287"/>
    <cellStyle name="7 2 5 4" xfId="5288"/>
    <cellStyle name="7 2 6" xfId="5289"/>
    <cellStyle name="7 2 6 2" xfId="5290"/>
    <cellStyle name="7 2 6 3" xfId="5291"/>
    <cellStyle name="7 2 6 4" xfId="5292"/>
    <cellStyle name="7 2 7" xfId="5293"/>
    <cellStyle name="7 2 8" xfId="5294"/>
    <cellStyle name="7 3" xfId="5295"/>
    <cellStyle name="7 3 2" xfId="5296"/>
    <cellStyle name="7 3 2 2" xfId="5297"/>
    <cellStyle name="7 3 2 3" xfId="5298"/>
    <cellStyle name="7 3 2 4" xfId="5299"/>
    <cellStyle name="7 3 3" xfId="5300"/>
    <cellStyle name="7 3 3 2" xfId="5301"/>
    <cellStyle name="7 3 3 3" xfId="5302"/>
    <cellStyle name="7 3 3 4" xfId="5303"/>
    <cellStyle name="7 3 4" xfId="5304"/>
    <cellStyle name="7 3 5" xfId="5305"/>
    <cellStyle name="7 3 6" xfId="5306"/>
    <cellStyle name="7 3 7" xfId="5307"/>
    <cellStyle name="7 4" xfId="5308"/>
    <cellStyle name="7 4 2" xfId="5309"/>
    <cellStyle name="7 4 2 2" xfId="5310"/>
    <cellStyle name="7 4 2 3" xfId="5311"/>
    <cellStyle name="7 4 2 4" xfId="5312"/>
    <cellStyle name="7 4 3" xfId="5313"/>
    <cellStyle name="7 4 3 2" xfId="5314"/>
    <cellStyle name="7 4 3 3" xfId="5315"/>
    <cellStyle name="7 4 3 4" xfId="5316"/>
    <cellStyle name="7 4 4" xfId="5317"/>
    <cellStyle name="7 4 4 2" xfId="5318"/>
    <cellStyle name="7 4 4 3" xfId="5319"/>
    <cellStyle name="7 4 4 4" xfId="5320"/>
    <cellStyle name="7 4 5" xfId="5321"/>
    <cellStyle name="7 4 6" xfId="5322"/>
    <cellStyle name="7 4 7" xfId="5323"/>
    <cellStyle name="7 4 8" xfId="5324"/>
    <cellStyle name="7 5" xfId="5325"/>
    <cellStyle name="7 5 2" xfId="5326"/>
    <cellStyle name="7 5 2 2" xfId="5327"/>
    <cellStyle name="7 5 2 3" xfId="5328"/>
    <cellStyle name="7 5 2 4" xfId="5329"/>
    <cellStyle name="7 5 3" xfId="5330"/>
    <cellStyle name="7 5 3 2" xfId="5331"/>
    <cellStyle name="7 5 3 3" xfId="5332"/>
    <cellStyle name="7 5 3 4" xfId="5333"/>
    <cellStyle name="7 5 4" xfId="5334"/>
    <cellStyle name="7 5 4 2" xfId="5335"/>
    <cellStyle name="7 5 4 3" xfId="5336"/>
    <cellStyle name="7 5 4 4" xfId="5337"/>
    <cellStyle name="7 5 5" xfId="5338"/>
    <cellStyle name="7 5 6" xfId="5339"/>
    <cellStyle name="7 5 7" xfId="5340"/>
    <cellStyle name="7 5 8" xfId="5341"/>
    <cellStyle name="7 6" xfId="5342"/>
    <cellStyle name="7 6 2" xfId="5343"/>
    <cellStyle name="7 6 2 2" xfId="5344"/>
    <cellStyle name="7 6 2 3" xfId="5345"/>
    <cellStyle name="7 6 2 4" xfId="5346"/>
    <cellStyle name="7 6 3" xfId="5347"/>
    <cellStyle name="7 6 3 2" xfId="5348"/>
    <cellStyle name="7 6 3 3" xfId="5349"/>
    <cellStyle name="7 6 3 4" xfId="5350"/>
    <cellStyle name="7 6 4" xfId="5351"/>
    <cellStyle name="7 6 4 2" xfId="5352"/>
    <cellStyle name="7 6 4 3" xfId="5353"/>
    <cellStyle name="7 6 4 4" xfId="5354"/>
    <cellStyle name="7 6 5" xfId="5355"/>
    <cellStyle name="7 6 6" xfId="5356"/>
    <cellStyle name="7 6 7" xfId="5357"/>
    <cellStyle name="7 6 8" xfId="5358"/>
    <cellStyle name="7 7" xfId="5359"/>
    <cellStyle name="7 7 2" xfId="5360"/>
    <cellStyle name="7 7 3" xfId="5361"/>
    <cellStyle name="7 7 4" xfId="5362"/>
    <cellStyle name="7 8" xfId="5363"/>
    <cellStyle name="7 8 2" xfId="5364"/>
    <cellStyle name="7 8 3" xfId="5365"/>
    <cellStyle name="7 8 4" xfId="5366"/>
    <cellStyle name="7 9" xfId="5367"/>
    <cellStyle name="7 9 2" xfId="5368"/>
    <cellStyle name="7 9 3" xfId="5369"/>
    <cellStyle name="7 9 4" xfId="5370"/>
    <cellStyle name="8" xfId="5371"/>
    <cellStyle name="8 2" xfId="5372"/>
    <cellStyle name="8 2 2" xfId="5373"/>
    <cellStyle name="8 2 2 2" xfId="5374"/>
    <cellStyle name="8 2 2 2 2" xfId="5375"/>
    <cellStyle name="8 2 2 2 3" xfId="5376"/>
    <cellStyle name="8 2 2 2 4" xfId="5377"/>
    <cellStyle name="8 2 2 3" xfId="5378"/>
    <cellStyle name="8 2 2 3 2" xfId="5379"/>
    <cellStyle name="8 2 2 3 3" xfId="5380"/>
    <cellStyle name="8 2 2 3 4" xfId="5381"/>
    <cellStyle name="8 2 2 4" xfId="5382"/>
    <cellStyle name="8 2 2 4 2" xfId="5383"/>
    <cellStyle name="8 2 2 4 3" xfId="5384"/>
    <cellStyle name="8 2 2 4 4" xfId="5385"/>
    <cellStyle name="8 2 2 5" xfId="5386"/>
    <cellStyle name="8 2 2 6" xfId="5387"/>
    <cellStyle name="8 2 2 7" xfId="5388"/>
    <cellStyle name="8 2 2 8" xfId="5389"/>
    <cellStyle name="8 2 3" xfId="5390"/>
    <cellStyle name="8 2 3 2" xfId="5391"/>
    <cellStyle name="8 2 3 2 2" xfId="5392"/>
    <cellStyle name="8 2 3 2 3" xfId="5393"/>
    <cellStyle name="8 2 3 2 4" xfId="5394"/>
    <cellStyle name="8 2 3 3" xfId="5395"/>
    <cellStyle name="8 2 3 3 2" xfId="5396"/>
    <cellStyle name="8 2 3 3 3" xfId="5397"/>
    <cellStyle name="8 2 3 3 4" xfId="5398"/>
    <cellStyle name="8 2 3 4" xfId="5399"/>
    <cellStyle name="8 2 3 4 2" xfId="5400"/>
    <cellStyle name="8 2 3 4 3" xfId="5401"/>
    <cellStyle name="8 2 3 4 4" xfId="5402"/>
    <cellStyle name="8 2 3 5" xfId="5403"/>
    <cellStyle name="8 2 3 6" xfId="5404"/>
    <cellStyle name="8 2 3 7" xfId="5405"/>
    <cellStyle name="8 2 3 8" xfId="5406"/>
    <cellStyle name="8 2 4" xfId="5407"/>
    <cellStyle name="8 2 4 2" xfId="5408"/>
    <cellStyle name="8 2 4 2 2" xfId="5409"/>
    <cellStyle name="8 2 4 2 3" xfId="5410"/>
    <cellStyle name="8 2 4 2 4" xfId="5411"/>
    <cellStyle name="8 2 4 3" xfId="5412"/>
    <cellStyle name="8 2 4 3 2" xfId="5413"/>
    <cellStyle name="8 2 4 3 3" xfId="5414"/>
    <cellStyle name="8 2 4 3 4" xfId="5415"/>
    <cellStyle name="8 2 4 4" xfId="5416"/>
    <cellStyle name="8 2 4 4 2" xfId="5417"/>
    <cellStyle name="8 2 4 4 3" xfId="5418"/>
    <cellStyle name="8 2 4 4 4" xfId="5419"/>
    <cellStyle name="8 2 4 5" xfId="5420"/>
    <cellStyle name="8 2 4 6" xfId="5421"/>
    <cellStyle name="8 2 4 7" xfId="5422"/>
    <cellStyle name="8 2 4 8" xfId="5423"/>
    <cellStyle name="8 2 5" xfId="5424"/>
    <cellStyle name="8 2 5 2" xfId="5425"/>
    <cellStyle name="8 2 5 3" xfId="5426"/>
    <cellStyle name="8 2 5 4" xfId="5427"/>
    <cellStyle name="8 2 6" xfId="5428"/>
    <cellStyle name="8 2 6 2" xfId="5429"/>
    <cellStyle name="8 2 6 3" xfId="5430"/>
    <cellStyle name="8 2 6 4" xfId="5431"/>
    <cellStyle name="8 2 7" xfId="5432"/>
    <cellStyle name="8 2 8" xfId="5433"/>
    <cellStyle name="8 3" xfId="5434"/>
    <cellStyle name="8 3 2" xfId="5435"/>
    <cellStyle name="8 3 2 2" xfId="5436"/>
    <cellStyle name="8 3 2 3" xfId="5437"/>
    <cellStyle name="8 3 2 4" xfId="5438"/>
    <cellStyle name="8 3 3" xfId="5439"/>
    <cellStyle name="8 3 3 2" xfId="5440"/>
    <cellStyle name="8 3 3 3" xfId="5441"/>
    <cellStyle name="8 3 3 4" xfId="5442"/>
    <cellStyle name="8 3 4" xfId="5443"/>
    <cellStyle name="8 3 4 2" xfId="5444"/>
    <cellStyle name="8 3 4 3" xfId="5445"/>
    <cellStyle name="8 3 4 4" xfId="5446"/>
    <cellStyle name="8 3 5" xfId="5447"/>
    <cellStyle name="8 3 6" xfId="5448"/>
    <cellStyle name="8 3 7" xfId="5449"/>
    <cellStyle name="8 3 8" xfId="5450"/>
    <cellStyle name="8 4" xfId="5451"/>
    <cellStyle name="8 4 2" xfId="5452"/>
    <cellStyle name="8 4 2 2" xfId="5453"/>
    <cellStyle name="8 4 2 3" xfId="5454"/>
    <cellStyle name="8 4 2 4" xfId="5455"/>
    <cellStyle name="8 4 3" xfId="5456"/>
    <cellStyle name="8 4 3 2" xfId="5457"/>
    <cellStyle name="8 4 3 3" xfId="5458"/>
    <cellStyle name="8 4 3 4" xfId="5459"/>
    <cellStyle name="8 4 4" xfId="5460"/>
    <cellStyle name="8 4 4 2" xfId="5461"/>
    <cellStyle name="8 4 4 3" xfId="5462"/>
    <cellStyle name="8 4 4 4" xfId="5463"/>
    <cellStyle name="8 4 5" xfId="5464"/>
    <cellStyle name="8 4 6" xfId="5465"/>
    <cellStyle name="8 4 7" xfId="5466"/>
    <cellStyle name="8 4 8" xfId="5467"/>
    <cellStyle name="8 5" xfId="5468"/>
    <cellStyle name="8 5 2" xfId="5469"/>
    <cellStyle name="8 5 2 2" xfId="5470"/>
    <cellStyle name="8 5 2 3" xfId="5471"/>
    <cellStyle name="8 5 2 4" xfId="5472"/>
    <cellStyle name="8 5 3" xfId="5473"/>
    <cellStyle name="8 5 3 2" xfId="5474"/>
    <cellStyle name="8 5 3 3" xfId="5475"/>
    <cellStyle name="8 5 3 4" xfId="5476"/>
    <cellStyle name="8 5 4" xfId="5477"/>
    <cellStyle name="8 5 4 2" xfId="5478"/>
    <cellStyle name="8 5 4 3" xfId="5479"/>
    <cellStyle name="8 5 4 4" xfId="5480"/>
    <cellStyle name="8 5 5" xfId="5481"/>
    <cellStyle name="8 5 6" xfId="5482"/>
    <cellStyle name="8 5 7" xfId="5483"/>
    <cellStyle name="8 5 8" xfId="5484"/>
    <cellStyle name="8 6" xfId="5485"/>
    <cellStyle name="8 6 2" xfId="5486"/>
    <cellStyle name="8 6 3" xfId="5487"/>
    <cellStyle name="8 6 4" xfId="5488"/>
    <cellStyle name="8 7" xfId="5489"/>
    <cellStyle name="8 7 2" xfId="5490"/>
    <cellStyle name="8 7 3" xfId="5491"/>
    <cellStyle name="8 7 4" xfId="5492"/>
    <cellStyle name="8 8" xfId="5493"/>
    <cellStyle name="8 9" xfId="5494"/>
    <cellStyle name="9" xfId="5495"/>
    <cellStyle name="9 10" xfId="5496"/>
    <cellStyle name="9 10 2" xfId="5497"/>
    <cellStyle name="9 10 3" xfId="5498"/>
    <cellStyle name="9 10 4" xfId="5499"/>
    <cellStyle name="9 11" xfId="5500"/>
    <cellStyle name="9 12" xfId="5501"/>
    <cellStyle name="9 2" xfId="5502"/>
    <cellStyle name="9 2 2" xfId="5503"/>
    <cellStyle name="9 2 2 2" xfId="5504"/>
    <cellStyle name="9 2 2 2 2" xfId="5505"/>
    <cellStyle name="9 2 2 2 3" xfId="5506"/>
    <cellStyle name="9 2 2 2 4" xfId="5507"/>
    <cellStyle name="9 2 2 3" xfId="5508"/>
    <cellStyle name="9 2 2 3 2" xfId="5509"/>
    <cellStyle name="9 2 2 3 3" xfId="5510"/>
    <cellStyle name="9 2 2 3 4" xfId="5511"/>
    <cellStyle name="9 2 2 4" xfId="5512"/>
    <cellStyle name="9 2 2 4 2" xfId="5513"/>
    <cellStyle name="9 2 2 4 3" xfId="5514"/>
    <cellStyle name="9 2 2 4 4" xfId="5515"/>
    <cellStyle name="9 2 2 5" xfId="5516"/>
    <cellStyle name="9 2 2 6" xfId="5517"/>
    <cellStyle name="9 2 2 7" xfId="5518"/>
    <cellStyle name="9 2 2 8" xfId="5519"/>
    <cellStyle name="9 2 3" xfId="5520"/>
    <cellStyle name="9 2 3 2" xfId="5521"/>
    <cellStyle name="9 2 3 2 2" xfId="5522"/>
    <cellStyle name="9 2 3 2 3" xfId="5523"/>
    <cellStyle name="9 2 3 2 4" xfId="5524"/>
    <cellStyle name="9 2 3 3" xfId="5525"/>
    <cellStyle name="9 2 3 3 2" xfId="5526"/>
    <cellStyle name="9 2 3 3 3" xfId="5527"/>
    <cellStyle name="9 2 3 3 4" xfId="5528"/>
    <cellStyle name="9 2 3 4" xfId="5529"/>
    <cellStyle name="9 2 3 4 2" xfId="5530"/>
    <cellStyle name="9 2 3 4 3" xfId="5531"/>
    <cellStyle name="9 2 3 4 4" xfId="5532"/>
    <cellStyle name="9 2 3 5" xfId="5533"/>
    <cellStyle name="9 2 3 6" xfId="5534"/>
    <cellStyle name="9 2 3 7" xfId="5535"/>
    <cellStyle name="9 2 3 8" xfId="5536"/>
    <cellStyle name="9 2 4" xfId="5537"/>
    <cellStyle name="9 2 4 2" xfId="5538"/>
    <cellStyle name="9 2 4 2 2" xfId="5539"/>
    <cellStyle name="9 2 4 2 3" xfId="5540"/>
    <cellStyle name="9 2 4 2 4" xfId="5541"/>
    <cellStyle name="9 2 4 3" xfId="5542"/>
    <cellStyle name="9 2 4 3 2" xfId="5543"/>
    <cellStyle name="9 2 4 3 3" xfId="5544"/>
    <cellStyle name="9 2 4 3 4" xfId="5545"/>
    <cellStyle name="9 2 4 4" xfId="5546"/>
    <cellStyle name="9 2 4 4 2" xfId="5547"/>
    <cellStyle name="9 2 4 4 3" xfId="5548"/>
    <cellStyle name="9 2 4 4 4" xfId="5549"/>
    <cellStyle name="9 2 4 5" xfId="5550"/>
    <cellStyle name="9 2 4 6" xfId="5551"/>
    <cellStyle name="9 2 4 7" xfId="5552"/>
    <cellStyle name="9 2 4 8" xfId="5553"/>
    <cellStyle name="9 2 5" xfId="5554"/>
    <cellStyle name="9 2 5 2" xfId="5555"/>
    <cellStyle name="9 2 5 3" xfId="5556"/>
    <cellStyle name="9 2 5 4" xfId="5557"/>
    <cellStyle name="9 2 6" xfId="5558"/>
    <cellStyle name="9 2 6 2" xfId="5559"/>
    <cellStyle name="9 2 6 3" xfId="5560"/>
    <cellStyle name="9 2 6 4" xfId="5561"/>
    <cellStyle name="9 2 7" xfId="5562"/>
    <cellStyle name="9 2 8" xfId="5563"/>
    <cellStyle name="9 3" xfId="5564"/>
    <cellStyle name="9 3 2" xfId="5565"/>
    <cellStyle name="9 3 2 2" xfId="5566"/>
    <cellStyle name="9 3 2 3" xfId="5567"/>
    <cellStyle name="9 3 2 4" xfId="5568"/>
    <cellStyle name="9 3 3" xfId="5569"/>
    <cellStyle name="9 3 3 2" xfId="5570"/>
    <cellStyle name="9 3 3 3" xfId="5571"/>
    <cellStyle name="9 3 3 4" xfId="5572"/>
    <cellStyle name="9 3 4" xfId="5573"/>
    <cellStyle name="9 3 5" xfId="5574"/>
    <cellStyle name="9 3 6" xfId="5575"/>
    <cellStyle name="9 3 7" xfId="5576"/>
    <cellStyle name="9 4" xfId="5577"/>
    <cellStyle name="9 4 2" xfId="5578"/>
    <cellStyle name="9 4 2 2" xfId="5579"/>
    <cellStyle name="9 4 2 3" xfId="5580"/>
    <cellStyle name="9 4 2 4" xfId="5581"/>
    <cellStyle name="9 4 3" xfId="5582"/>
    <cellStyle name="9 4 3 2" xfId="5583"/>
    <cellStyle name="9 4 3 3" xfId="5584"/>
    <cellStyle name="9 4 3 4" xfId="5585"/>
    <cellStyle name="9 4 4" xfId="5586"/>
    <cellStyle name="9 4 4 2" xfId="5587"/>
    <cellStyle name="9 4 4 3" xfId="5588"/>
    <cellStyle name="9 4 4 4" xfId="5589"/>
    <cellStyle name="9 4 5" xfId="5590"/>
    <cellStyle name="9 4 6" xfId="5591"/>
    <cellStyle name="9 4 7" xfId="5592"/>
    <cellStyle name="9 4 8" xfId="5593"/>
    <cellStyle name="9 5" xfId="5594"/>
    <cellStyle name="9 5 2" xfId="5595"/>
    <cellStyle name="9 5 2 2" xfId="5596"/>
    <cellStyle name="9 5 2 3" xfId="5597"/>
    <cellStyle name="9 5 2 4" xfId="5598"/>
    <cellStyle name="9 5 3" xfId="5599"/>
    <cellStyle name="9 5 3 2" xfId="5600"/>
    <cellStyle name="9 5 3 3" xfId="5601"/>
    <cellStyle name="9 5 3 4" xfId="5602"/>
    <cellStyle name="9 5 4" xfId="5603"/>
    <cellStyle name="9 5 4 2" xfId="5604"/>
    <cellStyle name="9 5 4 3" xfId="5605"/>
    <cellStyle name="9 5 4 4" xfId="5606"/>
    <cellStyle name="9 5 5" xfId="5607"/>
    <cellStyle name="9 5 6" xfId="5608"/>
    <cellStyle name="9 5 7" xfId="5609"/>
    <cellStyle name="9 5 8" xfId="5610"/>
    <cellStyle name="9 6" xfId="5611"/>
    <cellStyle name="9 6 2" xfId="5612"/>
    <cellStyle name="9 6 2 2" xfId="5613"/>
    <cellStyle name="9 6 2 3" xfId="5614"/>
    <cellStyle name="9 6 2 4" xfId="5615"/>
    <cellStyle name="9 6 3" xfId="5616"/>
    <cellStyle name="9 6 3 2" xfId="5617"/>
    <cellStyle name="9 6 3 3" xfId="5618"/>
    <cellStyle name="9 6 3 4" xfId="5619"/>
    <cellStyle name="9 6 4" xfId="5620"/>
    <cellStyle name="9 6 4 2" xfId="5621"/>
    <cellStyle name="9 6 4 3" xfId="5622"/>
    <cellStyle name="9 6 4 4" xfId="5623"/>
    <cellStyle name="9 6 5" xfId="5624"/>
    <cellStyle name="9 6 6" xfId="5625"/>
    <cellStyle name="9 6 7" xfId="5626"/>
    <cellStyle name="9 6 8" xfId="5627"/>
    <cellStyle name="9 7" xfId="5628"/>
    <cellStyle name="9 7 2" xfId="5629"/>
    <cellStyle name="9 7 3" xfId="5630"/>
    <cellStyle name="9 7 4" xfId="5631"/>
    <cellStyle name="9 8" xfId="5632"/>
    <cellStyle name="9 8 2" xfId="5633"/>
    <cellStyle name="9 8 3" xfId="5634"/>
    <cellStyle name="9 8 4" xfId="5635"/>
    <cellStyle name="9 9" xfId="5636"/>
    <cellStyle name="9 9 2" xfId="5637"/>
    <cellStyle name="9 9 3" xfId="5638"/>
    <cellStyle name="9 9 4" xfId="5639"/>
    <cellStyle name="Accent1" xfId="5640"/>
    <cellStyle name="Accent1 2" xfId="5641"/>
    <cellStyle name="Accent1 3" xfId="5642"/>
    <cellStyle name="Accent1_Plan Campaña Día de la Madre 2010 - v2" xfId="5643"/>
    <cellStyle name="Accent2" xfId="5644"/>
    <cellStyle name="Accent2 2" xfId="5645"/>
    <cellStyle name="Accent2 3" xfId="5646"/>
    <cellStyle name="Accent2_Plan Campaña Día de la Madre 2010 - v2" xfId="5647"/>
    <cellStyle name="Accent3" xfId="5648"/>
    <cellStyle name="Accent3 2" xfId="5649"/>
    <cellStyle name="Accent3 3" xfId="5650"/>
    <cellStyle name="Accent3_Plan Campaña Día de la Madre 2010 - v2" xfId="5651"/>
    <cellStyle name="Accent4" xfId="5652"/>
    <cellStyle name="Accent4 2" xfId="5653"/>
    <cellStyle name="Accent4 3" xfId="5654"/>
    <cellStyle name="Accent4_Plan Campaña Día de la Madre 2010 - v2" xfId="5655"/>
    <cellStyle name="Accent5" xfId="5656"/>
    <cellStyle name="Accent5 2" xfId="5657"/>
    <cellStyle name="Accent5 3" xfId="5658"/>
    <cellStyle name="Accent5_Plan Campaña Día de la Madre 2010 - v2" xfId="5659"/>
    <cellStyle name="Accent6" xfId="5660"/>
    <cellStyle name="Accent6 2" xfId="5661"/>
    <cellStyle name="Accent6 3" xfId="5662"/>
    <cellStyle name="Accent6_Plan Campaña Día de la Madre 2010 - v2" xfId="5663"/>
    <cellStyle name="Actual Date" xfId="5664"/>
    <cellStyle name="Advarselstekst" xfId="53105"/>
    <cellStyle name="AFE" xfId="5665"/>
    <cellStyle name="Akcent 1" xfId="53106"/>
    <cellStyle name="Akcent 2" xfId="53107"/>
    <cellStyle name="Akcent 3" xfId="53108"/>
    <cellStyle name="Akcent 4" xfId="53109"/>
    <cellStyle name="Akcent 5" xfId="53110"/>
    <cellStyle name="Akcent 6" xfId="53111"/>
    <cellStyle name="Akzent1" xfId="5666"/>
    <cellStyle name="Akzent2" xfId="5667"/>
    <cellStyle name="Akzent3" xfId="5668"/>
    <cellStyle name="Akzent4" xfId="5669"/>
    <cellStyle name="Akzent5" xfId="5670"/>
    <cellStyle name="Akzent6" xfId="5671"/>
    <cellStyle name="args.style" xfId="5672"/>
    <cellStyle name="Ausgabe" xfId="5673"/>
    <cellStyle name="Ausgabe 10" xfId="5674"/>
    <cellStyle name="Ausgabe 10 2" xfId="5675"/>
    <cellStyle name="Ausgabe 10 3" xfId="5676"/>
    <cellStyle name="Ausgabe 10 4" xfId="5677"/>
    <cellStyle name="Ausgabe 11" xfId="5678"/>
    <cellStyle name="Ausgabe 12" xfId="5679"/>
    <cellStyle name="Ausgabe 2" xfId="5680"/>
    <cellStyle name="Ausgabe 2 2" xfId="5681"/>
    <cellStyle name="Ausgabe 2 2 2" xfId="5682"/>
    <cellStyle name="Ausgabe 2 2 2 2" xfId="5683"/>
    <cellStyle name="Ausgabe 2 2 2 3" xfId="5684"/>
    <cellStyle name="Ausgabe 2 2 2 4" xfId="5685"/>
    <cellStyle name="Ausgabe 2 2 3" xfId="5686"/>
    <cellStyle name="Ausgabe 2 2 3 2" xfId="5687"/>
    <cellStyle name="Ausgabe 2 2 3 3" xfId="5688"/>
    <cellStyle name="Ausgabe 2 2 3 4" xfId="5689"/>
    <cellStyle name="Ausgabe 2 2 4" xfId="5690"/>
    <cellStyle name="Ausgabe 2 2 4 2" xfId="5691"/>
    <cellStyle name="Ausgabe 2 2 4 3" xfId="5692"/>
    <cellStyle name="Ausgabe 2 2 4 4" xfId="5693"/>
    <cellStyle name="Ausgabe 2 2 5" xfId="5694"/>
    <cellStyle name="Ausgabe 2 2 6" xfId="5695"/>
    <cellStyle name="Ausgabe 2 2 7" xfId="5696"/>
    <cellStyle name="Ausgabe 2 2 8" xfId="5697"/>
    <cellStyle name="Ausgabe 2 3" xfId="5698"/>
    <cellStyle name="Ausgabe 2 3 2" xfId="5699"/>
    <cellStyle name="Ausgabe 2 3 2 2" xfId="5700"/>
    <cellStyle name="Ausgabe 2 3 2 3" xfId="5701"/>
    <cellStyle name="Ausgabe 2 3 2 4" xfId="5702"/>
    <cellStyle name="Ausgabe 2 3 3" xfId="5703"/>
    <cellStyle name="Ausgabe 2 3 3 2" xfId="5704"/>
    <cellStyle name="Ausgabe 2 3 3 3" xfId="5705"/>
    <cellStyle name="Ausgabe 2 3 3 4" xfId="5706"/>
    <cellStyle name="Ausgabe 2 3 4" xfId="5707"/>
    <cellStyle name="Ausgabe 2 3 4 2" xfId="5708"/>
    <cellStyle name="Ausgabe 2 3 4 3" xfId="5709"/>
    <cellStyle name="Ausgabe 2 3 4 4" xfId="5710"/>
    <cellStyle name="Ausgabe 2 3 5" xfId="5711"/>
    <cellStyle name="Ausgabe 2 3 6" xfId="5712"/>
    <cellStyle name="Ausgabe 2 3 7" xfId="5713"/>
    <cellStyle name="Ausgabe 2 3 8" xfId="5714"/>
    <cellStyle name="Ausgabe 2 4" xfId="5715"/>
    <cellStyle name="Ausgabe 2 4 2" xfId="5716"/>
    <cellStyle name="Ausgabe 2 4 2 2" xfId="5717"/>
    <cellStyle name="Ausgabe 2 4 2 3" xfId="5718"/>
    <cellStyle name="Ausgabe 2 4 2 4" xfId="5719"/>
    <cellStyle name="Ausgabe 2 4 3" xfId="5720"/>
    <cellStyle name="Ausgabe 2 4 3 2" xfId="5721"/>
    <cellStyle name="Ausgabe 2 4 3 3" xfId="5722"/>
    <cellStyle name="Ausgabe 2 4 3 4" xfId="5723"/>
    <cellStyle name="Ausgabe 2 4 4" xfId="5724"/>
    <cellStyle name="Ausgabe 2 4 4 2" xfId="5725"/>
    <cellStyle name="Ausgabe 2 4 4 3" xfId="5726"/>
    <cellStyle name="Ausgabe 2 4 4 4" xfId="5727"/>
    <cellStyle name="Ausgabe 2 4 5" xfId="5728"/>
    <cellStyle name="Ausgabe 2 4 6" xfId="5729"/>
    <cellStyle name="Ausgabe 2 4 7" xfId="5730"/>
    <cellStyle name="Ausgabe 2 4 8" xfId="5731"/>
    <cellStyle name="Ausgabe 2 5" xfId="5732"/>
    <cellStyle name="Ausgabe 2 5 2" xfId="5733"/>
    <cellStyle name="Ausgabe 2 5 2 2" xfId="5734"/>
    <cellStyle name="Ausgabe 2 5 2 3" xfId="5735"/>
    <cellStyle name="Ausgabe 2 5 2 4" xfId="5736"/>
    <cellStyle name="Ausgabe 2 5 3" xfId="5737"/>
    <cellStyle name="Ausgabe 2 5 3 2" xfId="5738"/>
    <cellStyle name="Ausgabe 2 5 3 3" xfId="5739"/>
    <cellStyle name="Ausgabe 2 5 3 4" xfId="5740"/>
    <cellStyle name="Ausgabe 2 5 4" xfId="5741"/>
    <cellStyle name="Ausgabe 2 5 4 2" xfId="5742"/>
    <cellStyle name="Ausgabe 2 5 4 3" xfId="5743"/>
    <cellStyle name="Ausgabe 2 5 4 4" xfId="5744"/>
    <cellStyle name="Ausgabe 2 5 5" xfId="5745"/>
    <cellStyle name="Ausgabe 2 5 6" xfId="5746"/>
    <cellStyle name="Ausgabe 2 5 7" xfId="5747"/>
    <cellStyle name="Ausgabe 2 5 8" xfId="5748"/>
    <cellStyle name="Ausgabe 2 6" xfId="5749"/>
    <cellStyle name="Ausgabe 2 6 2" xfId="5750"/>
    <cellStyle name="Ausgabe 2 6 3" xfId="5751"/>
    <cellStyle name="Ausgabe 2 6 4" xfId="5752"/>
    <cellStyle name="Ausgabe 2 7" xfId="5753"/>
    <cellStyle name="Ausgabe 2 7 2" xfId="5754"/>
    <cellStyle name="Ausgabe 2 7 3" xfId="5755"/>
    <cellStyle name="Ausgabe 2 7 4" xfId="5756"/>
    <cellStyle name="Ausgabe 2 8" xfId="5757"/>
    <cellStyle name="Ausgabe 2 9" xfId="5758"/>
    <cellStyle name="Ausgabe 3" xfId="5759"/>
    <cellStyle name="Ausgabe 3 2" xfId="5760"/>
    <cellStyle name="Ausgabe 3 2 2" xfId="5761"/>
    <cellStyle name="Ausgabe 3 2 3" xfId="5762"/>
    <cellStyle name="Ausgabe 3 2 4" xfId="5763"/>
    <cellStyle name="Ausgabe 3 3" xfId="5764"/>
    <cellStyle name="Ausgabe 3 3 2" xfId="5765"/>
    <cellStyle name="Ausgabe 3 3 3" xfId="5766"/>
    <cellStyle name="Ausgabe 3 3 4" xfId="5767"/>
    <cellStyle name="Ausgabe 3 4" xfId="5768"/>
    <cellStyle name="Ausgabe 3 5" xfId="5769"/>
    <cellStyle name="Ausgabe 3 6" xfId="5770"/>
    <cellStyle name="Ausgabe 3 7" xfId="5771"/>
    <cellStyle name="Ausgabe 4" xfId="5772"/>
    <cellStyle name="Ausgabe 4 2" xfId="5773"/>
    <cellStyle name="Ausgabe 4 2 2" xfId="5774"/>
    <cellStyle name="Ausgabe 4 2 3" xfId="5775"/>
    <cellStyle name="Ausgabe 4 2 4" xfId="5776"/>
    <cellStyle name="Ausgabe 4 3" xfId="5777"/>
    <cellStyle name="Ausgabe 4 3 2" xfId="5778"/>
    <cellStyle name="Ausgabe 4 3 3" xfId="5779"/>
    <cellStyle name="Ausgabe 4 3 4" xfId="5780"/>
    <cellStyle name="Ausgabe 4 4" xfId="5781"/>
    <cellStyle name="Ausgabe 4 4 2" xfId="5782"/>
    <cellStyle name="Ausgabe 4 4 3" xfId="5783"/>
    <cellStyle name="Ausgabe 4 4 4" xfId="5784"/>
    <cellStyle name="Ausgabe 4 5" xfId="5785"/>
    <cellStyle name="Ausgabe 4 6" xfId="5786"/>
    <cellStyle name="Ausgabe 4 7" xfId="5787"/>
    <cellStyle name="Ausgabe 4 8" xfId="5788"/>
    <cellStyle name="Ausgabe 5" xfId="5789"/>
    <cellStyle name="Ausgabe 5 2" xfId="5790"/>
    <cellStyle name="Ausgabe 5 2 2" xfId="5791"/>
    <cellStyle name="Ausgabe 5 2 3" xfId="5792"/>
    <cellStyle name="Ausgabe 5 2 4" xfId="5793"/>
    <cellStyle name="Ausgabe 5 3" xfId="5794"/>
    <cellStyle name="Ausgabe 5 3 2" xfId="5795"/>
    <cellStyle name="Ausgabe 5 3 3" xfId="5796"/>
    <cellStyle name="Ausgabe 5 3 4" xfId="5797"/>
    <cellStyle name="Ausgabe 5 4" xfId="5798"/>
    <cellStyle name="Ausgabe 5 4 2" xfId="5799"/>
    <cellStyle name="Ausgabe 5 4 3" xfId="5800"/>
    <cellStyle name="Ausgabe 5 4 4" xfId="5801"/>
    <cellStyle name="Ausgabe 5 5" xfId="5802"/>
    <cellStyle name="Ausgabe 5 6" xfId="5803"/>
    <cellStyle name="Ausgabe 5 7" xfId="5804"/>
    <cellStyle name="Ausgabe 5 8" xfId="5805"/>
    <cellStyle name="Ausgabe 6" xfId="5806"/>
    <cellStyle name="Ausgabe 6 2" xfId="5807"/>
    <cellStyle name="Ausgabe 6 2 2" xfId="5808"/>
    <cellStyle name="Ausgabe 6 2 3" xfId="5809"/>
    <cellStyle name="Ausgabe 6 2 4" xfId="5810"/>
    <cellStyle name="Ausgabe 6 3" xfId="5811"/>
    <cellStyle name="Ausgabe 6 3 2" xfId="5812"/>
    <cellStyle name="Ausgabe 6 3 3" xfId="5813"/>
    <cellStyle name="Ausgabe 6 3 4" xfId="5814"/>
    <cellStyle name="Ausgabe 6 4" xfId="5815"/>
    <cellStyle name="Ausgabe 6 4 2" xfId="5816"/>
    <cellStyle name="Ausgabe 6 4 3" xfId="5817"/>
    <cellStyle name="Ausgabe 6 4 4" xfId="5818"/>
    <cellStyle name="Ausgabe 6 5" xfId="5819"/>
    <cellStyle name="Ausgabe 6 6" xfId="5820"/>
    <cellStyle name="Ausgabe 6 7" xfId="5821"/>
    <cellStyle name="Ausgabe 6 8" xfId="5822"/>
    <cellStyle name="Ausgabe 7" xfId="5823"/>
    <cellStyle name="Ausgabe 7 2" xfId="5824"/>
    <cellStyle name="Ausgabe 7 2 2" xfId="5825"/>
    <cellStyle name="Ausgabe 7 2 3" xfId="5826"/>
    <cellStyle name="Ausgabe 7 2 4" xfId="5827"/>
    <cellStyle name="Ausgabe 7 3" xfId="5828"/>
    <cellStyle name="Ausgabe 7 3 2" xfId="5829"/>
    <cellStyle name="Ausgabe 7 3 3" xfId="5830"/>
    <cellStyle name="Ausgabe 7 3 4" xfId="5831"/>
    <cellStyle name="Ausgabe 7 4" xfId="5832"/>
    <cellStyle name="Ausgabe 7 4 2" xfId="5833"/>
    <cellStyle name="Ausgabe 7 4 3" xfId="5834"/>
    <cellStyle name="Ausgabe 7 4 4" xfId="5835"/>
    <cellStyle name="Ausgabe 7 5" xfId="5836"/>
    <cellStyle name="Ausgabe 7 6" xfId="5837"/>
    <cellStyle name="Ausgabe 7 7" xfId="5838"/>
    <cellStyle name="Ausgabe 7 8" xfId="5839"/>
    <cellStyle name="Ausgabe 8" xfId="5840"/>
    <cellStyle name="Ausgabe 8 2" xfId="5841"/>
    <cellStyle name="Ausgabe 8 3" xfId="5842"/>
    <cellStyle name="Ausgabe 8 4" xfId="5843"/>
    <cellStyle name="Ausgabe 9" xfId="5844"/>
    <cellStyle name="Ausgabe 9 2" xfId="5845"/>
    <cellStyle name="Ausgabe 9 3" xfId="5846"/>
    <cellStyle name="Ausgabe 9 4" xfId="5847"/>
    <cellStyle name="Avertissement" xfId="53112"/>
    <cellStyle name="Avertissement 2" xfId="53113"/>
    <cellStyle name="Bad" xfId="5848"/>
    <cellStyle name="Bad 2" xfId="5849"/>
    <cellStyle name="Bad 3" xfId="5850"/>
    <cellStyle name="Bad_Plan Campaña Día de la Madre 2010 - v2" xfId="5851"/>
    <cellStyle name="BasDroit" xfId="53114"/>
    <cellStyle name="BasDroit 2" xfId="53115"/>
    <cellStyle name="BasDroit 3" xfId="53116"/>
    <cellStyle name="BasDroitEuro" xfId="53117"/>
    <cellStyle name="BasDroitEuro 2" xfId="53118"/>
    <cellStyle name="BasDroitEuro 3" xfId="53119"/>
    <cellStyle name="BasGauche" xfId="53120"/>
    <cellStyle name="BasGauche 2" xfId="53121"/>
    <cellStyle name="BasGauche 3" xfId="53122"/>
    <cellStyle name="bch" xfId="5852"/>
    <cellStyle name="bch 10" xfId="5853"/>
    <cellStyle name="bch 10 2" xfId="5854"/>
    <cellStyle name="bch 11" xfId="5855"/>
    <cellStyle name="bch 11 2" xfId="5856"/>
    <cellStyle name="bch 11 3" xfId="5857"/>
    <cellStyle name="bch 12" xfId="5858"/>
    <cellStyle name="bch 13" xfId="5859"/>
    <cellStyle name="bch 14" xfId="5860"/>
    <cellStyle name="bch 14 2" xfId="5861"/>
    <cellStyle name="bch 15" xfId="5862"/>
    <cellStyle name="bch 15 2" xfId="5863"/>
    <cellStyle name="bch 16" xfId="5864"/>
    <cellStyle name="bch 2" xfId="5865"/>
    <cellStyle name="bch 2 2" xfId="5866"/>
    <cellStyle name="bch 2 2 2" xfId="5867"/>
    <cellStyle name="bch 2 2 3" xfId="5868"/>
    <cellStyle name="bch 2 3" xfId="5869"/>
    <cellStyle name="bch 2 4" xfId="5870"/>
    <cellStyle name="bch 2 4 2" xfId="5871"/>
    <cellStyle name="bch 3" xfId="5872"/>
    <cellStyle name="bch 3 2" xfId="5873"/>
    <cellStyle name="bch 3 3" xfId="5874"/>
    <cellStyle name="bch 3 4" xfId="5875"/>
    <cellStyle name="bch 3 5" xfId="5876"/>
    <cellStyle name="bch 4" xfId="5877"/>
    <cellStyle name="bch 4 2" xfId="5878"/>
    <cellStyle name="bch 4 3" xfId="5879"/>
    <cellStyle name="bch 4 4" xfId="5880"/>
    <cellStyle name="bch 5" xfId="5881"/>
    <cellStyle name="bch 5 2" xfId="5882"/>
    <cellStyle name="bch 5 3" xfId="5883"/>
    <cellStyle name="bch 6" xfId="5884"/>
    <cellStyle name="bch 6 2" xfId="5885"/>
    <cellStyle name="bch 6 3" xfId="5886"/>
    <cellStyle name="bch 7" xfId="5887"/>
    <cellStyle name="bch 7 2" xfId="5888"/>
    <cellStyle name="bch 7 3" xfId="5889"/>
    <cellStyle name="bch 8" xfId="5890"/>
    <cellStyle name="bch 8 2" xfId="5891"/>
    <cellStyle name="bch 9" xfId="5892"/>
    <cellStyle name="bch 9 2" xfId="5893"/>
    <cellStyle name="bch_Análisis Comscore" xfId="5894"/>
    <cellStyle name="bci" xfId="5895"/>
    <cellStyle name="bci 10" xfId="5896"/>
    <cellStyle name="bci 10 2" xfId="5897"/>
    <cellStyle name="bci 11" xfId="5898"/>
    <cellStyle name="bci 11 2" xfId="5899"/>
    <cellStyle name="bci 11 3" xfId="5900"/>
    <cellStyle name="bci 12" xfId="5901"/>
    <cellStyle name="bci 13" xfId="5902"/>
    <cellStyle name="bci 14" xfId="5903"/>
    <cellStyle name="bci 14 2" xfId="5904"/>
    <cellStyle name="bci 15" xfId="5905"/>
    <cellStyle name="bci 15 2" xfId="5906"/>
    <cellStyle name="bci 16" xfId="5907"/>
    <cellStyle name="bci 2" xfId="5908"/>
    <cellStyle name="bci 2 2" xfId="5909"/>
    <cellStyle name="bci 2 2 2" xfId="5910"/>
    <cellStyle name="bci 2 2 3" xfId="5911"/>
    <cellStyle name="bci 2 3" xfId="5912"/>
    <cellStyle name="bci 2 4" xfId="5913"/>
    <cellStyle name="bci 2 4 2" xfId="5914"/>
    <cellStyle name="bci 3" xfId="5915"/>
    <cellStyle name="bci 3 2" xfId="5916"/>
    <cellStyle name="bci 3 3" xfId="5917"/>
    <cellStyle name="bci 3 4" xfId="5918"/>
    <cellStyle name="bci 3 5" xfId="5919"/>
    <cellStyle name="bci 4" xfId="5920"/>
    <cellStyle name="bci 4 2" xfId="5921"/>
    <cellStyle name="bci 4 3" xfId="5922"/>
    <cellStyle name="bci 4 4" xfId="5923"/>
    <cellStyle name="bci 5" xfId="5924"/>
    <cellStyle name="bci 5 2" xfId="5925"/>
    <cellStyle name="bci 5 3" xfId="5926"/>
    <cellStyle name="bci 6" xfId="5927"/>
    <cellStyle name="bci 6 2" xfId="5928"/>
    <cellStyle name="bci 6 3" xfId="5929"/>
    <cellStyle name="bci 7" xfId="5930"/>
    <cellStyle name="bci 7 2" xfId="5931"/>
    <cellStyle name="bci 8" xfId="5932"/>
    <cellStyle name="bci 8 2" xfId="5933"/>
    <cellStyle name="bci 9" xfId="5934"/>
    <cellStyle name="bci 9 2" xfId="5935"/>
    <cellStyle name="bci_Análisis Comscore" xfId="5936"/>
    <cellStyle name="Bemærk!" xfId="53123"/>
    <cellStyle name="Bemærk! 2" xfId="53124"/>
    <cellStyle name="Bemærk! 2 2" xfId="53125"/>
    <cellStyle name="Bemærk! 3" xfId="53126"/>
    <cellStyle name="Berechnung" xfId="5937"/>
    <cellStyle name="Berechnung 10" xfId="5938"/>
    <cellStyle name="Berechnung 11" xfId="5939"/>
    <cellStyle name="Berechnung 2" xfId="5940"/>
    <cellStyle name="Berechnung 2 2" xfId="5941"/>
    <cellStyle name="Berechnung 2 2 2" xfId="5942"/>
    <cellStyle name="Berechnung 2 2 2 2" xfId="5943"/>
    <cellStyle name="Berechnung 2 2 2 3" xfId="5944"/>
    <cellStyle name="Berechnung 2 2 2 4" xfId="5945"/>
    <cellStyle name="Berechnung 2 2 3" xfId="5946"/>
    <cellStyle name="Berechnung 2 2 3 2" xfId="5947"/>
    <cellStyle name="Berechnung 2 2 3 3" xfId="5948"/>
    <cellStyle name="Berechnung 2 2 3 4" xfId="5949"/>
    <cellStyle name="Berechnung 2 2 4" xfId="5950"/>
    <cellStyle name="Berechnung 2 2 4 2" xfId="5951"/>
    <cellStyle name="Berechnung 2 2 4 3" xfId="5952"/>
    <cellStyle name="Berechnung 2 2 4 4" xfId="5953"/>
    <cellStyle name="Berechnung 2 2 5" xfId="5954"/>
    <cellStyle name="Berechnung 2 2 6" xfId="5955"/>
    <cellStyle name="Berechnung 2 2 7" xfId="5956"/>
    <cellStyle name="Berechnung 2 2 8" xfId="5957"/>
    <cellStyle name="Berechnung 2 3" xfId="5958"/>
    <cellStyle name="Berechnung 2 3 2" xfId="5959"/>
    <cellStyle name="Berechnung 2 3 2 2" xfId="5960"/>
    <cellStyle name="Berechnung 2 3 2 3" xfId="5961"/>
    <cellStyle name="Berechnung 2 3 2 4" xfId="5962"/>
    <cellStyle name="Berechnung 2 3 3" xfId="5963"/>
    <cellStyle name="Berechnung 2 3 3 2" xfId="5964"/>
    <cellStyle name="Berechnung 2 3 3 3" xfId="5965"/>
    <cellStyle name="Berechnung 2 3 3 4" xfId="5966"/>
    <cellStyle name="Berechnung 2 3 4" xfId="5967"/>
    <cellStyle name="Berechnung 2 3 4 2" xfId="5968"/>
    <cellStyle name="Berechnung 2 3 4 3" xfId="5969"/>
    <cellStyle name="Berechnung 2 3 4 4" xfId="5970"/>
    <cellStyle name="Berechnung 2 3 5" xfId="5971"/>
    <cellStyle name="Berechnung 2 3 6" xfId="5972"/>
    <cellStyle name="Berechnung 2 3 7" xfId="5973"/>
    <cellStyle name="Berechnung 2 3 8" xfId="5974"/>
    <cellStyle name="Berechnung 2 4" xfId="5975"/>
    <cellStyle name="Berechnung 2 4 2" xfId="5976"/>
    <cellStyle name="Berechnung 2 4 2 2" xfId="5977"/>
    <cellStyle name="Berechnung 2 4 2 3" xfId="5978"/>
    <cellStyle name="Berechnung 2 4 2 4" xfId="5979"/>
    <cellStyle name="Berechnung 2 4 3" xfId="5980"/>
    <cellStyle name="Berechnung 2 4 3 2" xfId="5981"/>
    <cellStyle name="Berechnung 2 4 3 3" xfId="5982"/>
    <cellStyle name="Berechnung 2 4 3 4" xfId="5983"/>
    <cellStyle name="Berechnung 2 4 4" xfId="5984"/>
    <cellStyle name="Berechnung 2 4 4 2" xfId="5985"/>
    <cellStyle name="Berechnung 2 4 4 3" xfId="5986"/>
    <cellStyle name="Berechnung 2 4 4 4" xfId="5987"/>
    <cellStyle name="Berechnung 2 4 5" xfId="5988"/>
    <cellStyle name="Berechnung 2 4 6" xfId="5989"/>
    <cellStyle name="Berechnung 2 4 7" xfId="5990"/>
    <cellStyle name="Berechnung 2 4 8" xfId="5991"/>
    <cellStyle name="Berechnung 2 5" xfId="5992"/>
    <cellStyle name="Berechnung 2 5 2" xfId="5993"/>
    <cellStyle name="Berechnung 2 5 2 2" xfId="5994"/>
    <cellStyle name="Berechnung 2 5 2 3" xfId="5995"/>
    <cellStyle name="Berechnung 2 5 2 4" xfId="5996"/>
    <cellStyle name="Berechnung 2 5 3" xfId="5997"/>
    <cellStyle name="Berechnung 2 5 3 2" xfId="5998"/>
    <cellStyle name="Berechnung 2 5 3 3" xfId="5999"/>
    <cellStyle name="Berechnung 2 5 3 4" xfId="6000"/>
    <cellStyle name="Berechnung 2 5 4" xfId="6001"/>
    <cellStyle name="Berechnung 2 5 4 2" xfId="6002"/>
    <cellStyle name="Berechnung 2 5 4 3" xfId="6003"/>
    <cellStyle name="Berechnung 2 5 4 4" xfId="6004"/>
    <cellStyle name="Berechnung 2 5 5" xfId="6005"/>
    <cellStyle name="Berechnung 2 5 6" xfId="6006"/>
    <cellStyle name="Berechnung 2 5 7" xfId="6007"/>
    <cellStyle name="Berechnung 2 5 8" xfId="6008"/>
    <cellStyle name="Berechnung 2 6" xfId="6009"/>
    <cellStyle name="Berechnung 2 6 2" xfId="6010"/>
    <cellStyle name="Berechnung 2 6 3" xfId="6011"/>
    <cellStyle name="Berechnung 2 6 4" xfId="6012"/>
    <cellStyle name="Berechnung 2 7" xfId="6013"/>
    <cellStyle name="Berechnung 2 7 2" xfId="6014"/>
    <cellStyle name="Berechnung 2 7 3" xfId="6015"/>
    <cellStyle name="Berechnung 2 7 4" xfId="6016"/>
    <cellStyle name="Berechnung 2 8" xfId="6017"/>
    <cellStyle name="Berechnung 2 9" xfId="6018"/>
    <cellStyle name="Berechnung 3" xfId="6019"/>
    <cellStyle name="Berechnung 3 2" xfId="6020"/>
    <cellStyle name="Berechnung 3 2 2" xfId="6021"/>
    <cellStyle name="Berechnung 3 2 3" xfId="6022"/>
    <cellStyle name="Berechnung 3 2 4" xfId="6023"/>
    <cellStyle name="Berechnung 3 3" xfId="6024"/>
    <cellStyle name="Berechnung 3 3 2" xfId="6025"/>
    <cellStyle name="Berechnung 3 3 3" xfId="6026"/>
    <cellStyle name="Berechnung 3 3 4" xfId="6027"/>
    <cellStyle name="Berechnung 3 4" xfId="6028"/>
    <cellStyle name="Berechnung 3 4 2" xfId="6029"/>
    <cellStyle name="Berechnung 3 4 3" xfId="6030"/>
    <cellStyle name="Berechnung 3 4 4" xfId="6031"/>
    <cellStyle name="Berechnung 3 5" xfId="6032"/>
    <cellStyle name="Berechnung 3 6" xfId="6033"/>
    <cellStyle name="Berechnung 3 7" xfId="6034"/>
    <cellStyle name="Berechnung 3 8" xfId="6035"/>
    <cellStyle name="Berechnung 4" xfId="6036"/>
    <cellStyle name="Berechnung 4 2" xfId="6037"/>
    <cellStyle name="Berechnung 4 2 2" xfId="6038"/>
    <cellStyle name="Berechnung 4 2 3" xfId="6039"/>
    <cellStyle name="Berechnung 4 2 4" xfId="6040"/>
    <cellStyle name="Berechnung 4 3" xfId="6041"/>
    <cellStyle name="Berechnung 4 3 2" xfId="6042"/>
    <cellStyle name="Berechnung 4 3 3" xfId="6043"/>
    <cellStyle name="Berechnung 4 3 4" xfId="6044"/>
    <cellStyle name="Berechnung 4 4" xfId="6045"/>
    <cellStyle name="Berechnung 4 4 2" xfId="6046"/>
    <cellStyle name="Berechnung 4 4 3" xfId="6047"/>
    <cellStyle name="Berechnung 4 4 4" xfId="6048"/>
    <cellStyle name="Berechnung 4 5" xfId="6049"/>
    <cellStyle name="Berechnung 4 6" xfId="6050"/>
    <cellStyle name="Berechnung 4 7" xfId="6051"/>
    <cellStyle name="Berechnung 4 8" xfId="6052"/>
    <cellStyle name="Berechnung 5" xfId="6053"/>
    <cellStyle name="Berechnung 5 2" xfId="6054"/>
    <cellStyle name="Berechnung 5 2 2" xfId="6055"/>
    <cellStyle name="Berechnung 5 2 3" xfId="6056"/>
    <cellStyle name="Berechnung 5 2 4" xfId="6057"/>
    <cellStyle name="Berechnung 5 3" xfId="6058"/>
    <cellStyle name="Berechnung 5 3 2" xfId="6059"/>
    <cellStyle name="Berechnung 5 3 3" xfId="6060"/>
    <cellStyle name="Berechnung 5 3 4" xfId="6061"/>
    <cellStyle name="Berechnung 5 4" xfId="6062"/>
    <cellStyle name="Berechnung 5 4 2" xfId="6063"/>
    <cellStyle name="Berechnung 5 4 3" xfId="6064"/>
    <cellStyle name="Berechnung 5 4 4" xfId="6065"/>
    <cellStyle name="Berechnung 5 5" xfId="6066"/>
    <cellStyle name="Berechnung 5 6" xfId="6067"/>
    <cellStyle name="Berechnung 5 7" xfId="6068"/>
    <cellStyle name="Berechnung 5 8" xfId="6069"/>
    <cellStyle name="Berechnung 6" xfId="6070"/>
    <cellStyle name="Berechnung 6 2" xfId="6071"/>
    <cellStyle name="Berechnung 6 2 2" xfId="6072"/>
    <cellStyle name="Berechnung 6 2 3" xfId="6073"/>
    <cellStyle name="Berechnung 6 2 4" xfId="6074"/>
    <cellStyle name="Berechnung 6 3" xfId="6075"/>
    <cellStyle name="Berechnung 6 3 2" xfId="6076"/>
    <cellStyle name="Berechnung 6 3 3" xfId="6077"/>
    <cellStyle name="Berechnung 6 3 4" xfId="6078"/>
    <cellStyle name="Berechnung 6 4" xfId="6079"/>
    <cellStyle name="Berechnung 6 4 2" xfId="6080"/>
    <cellStyle name="Berechnung 6 4 3" xfId="6081"/>
    <cellStyle name="Berechnung 6 4 4" xfId="6082"/>
    <cellStyle name="Berechnung 6 5" xfId="6083"/>
    <cellStyle name="Berechnung 6 6" xfId="6084"/>
    <cellStyle name="Berechnung 6 7" xfId="6085"/>
    <cellStyle name="Berechnung 6 8" xfId="6086"/>
    <cellStyle name="Berechnung 7" xfId="6087"/>
    <cellStyle name="Berechnung 7 2" xfId="6088"/>
    <cellStyle name="Berechnung 7 2 2" xfId="6089"/>
    <cellStyle name="Berechnung 7 2 3" xfId="6090"/>
    <cellStyle name="Berechnung 7 2 4" xfId="6091"/>
    <cellStyle name="Berechnung 7 3" xfId="6092"/>
    <cellStyle name="Berechnung 7 3 2" xfId="6093"/>
    <cellStyle name="Berechnung 7 3 3" xfId="6094"/>
    <cellStyle name="Berechnung 7 3 4" xfId="6095"/>
    <cellStyle name="Berechnung 7 4" xfId="6096"/>
    <cellStyle name="Berechnung 7 4 2" xfId="6097"/>
    <cellStyle name="Berechnung 7 4 3" xfId="6098"/>
    <cellStyle name="Berechnung 7 4 4" xfId="6099"/>
    <cellStyle name="Berechnung 7 5" xfId="6100"/>
    <cellStyle name="Berechnung 7 6" xfId="6101"/>
    <cellStyle name="Berechnung 7 7" xfId="6102"/>
    <cellStyle name="Berechnung 7 8" xfId="6103"/>
    <cellStyle name="Berechnung 8" xfId="6104"/>
    <cellStyle name="Berechnung 8 2" xfId="6105"/>
    <cellStyle name="Berechnung 8 3" xfId="6106"/>
    <cellStyle name="Berechnung 8 4" xfId="6107"/>
    <cellStyle name="Berechnung 9" xfId="6108"/>
    <cellStyle name="Berechnung 9 2" xfId="6109"/>
    <cellStyle name="Berechnung 9 3" xfId="6110"/>
    <cellStyle name="Berechnung 9 4" xfId="6111"/>
    <cellStyle name="Beregning" xfId="53127"/>
    <cellStyle name="Beregning 2" xfId="53128"/>
    <cellStyle name="Beregning 2 2" xfId="53129"/>
    <cellStyle name="Beregning 3" xfId="53130"/>
    <cellStyle name="Body" xfId="6112"/>
    <cellStyle name="Body 2" xfId="6113"/>
    <cellStyle name="Bom" xfId="6114"/>
    <cellStyle name="Border" xfId="6115"/>
    <cellStyle name="BorduresFines" xfId="53131"/>
    <cellStyle name="BorduresFines 2" xfId="53132"/>
    <cellStyle name="BorduresFines 3" xfId="53133"/>
    <cellStyle name="BorduresFinesTextRouge" xfId="53134"/>
    <cellStyle name="BorduresFinesTextRouge 2" xfId="53135"/>
    <cellStyle name="BrutTotalRegionPreTotal" xfId="53136"/>
    <cellStyle name="BrutTotalRegionPreTotal 2" xfId="53137"/>
    <cellStyle name="BrutTotalRegionPreTotal 3" xfId="53138"/>
    <cellStyle name="bstitutes]_x000d__x000a_; The following mappings take Word for MS-DOS names, PostScript names, and TrueType_x000d__x000a_; names into account" xfId="5"/>
    <cellStyle name="bstitutes]_x000d__x000a_; The following mappings take Word for MS-DOS names, PostScript names, and TrueType_x000d__x000a_; names into account 2" xfId="6116"/>
    <cellStyle name="bstitutes]_x000d__x000a_; The following mappings take Word for MS-DOS names, PostScript names, and TrueType_x000d__x000a_; names into account 3" xfId="6117"/>
    <cellStyle name="Buena 2" xfId="6118"/>
    <cellStyle name="Buena 3" xfId="6119"/>
    <cellStyle name="Buena 4" xfId="6120"/>
    <cellStyle name="Calc Currency (0)" xfId="6121"/>
    <cellStyle name="Calc Currency (0) 2" xfId="6122"/>
    <cellStyle name="Calc Currency (0) 2 2" xfId="6123"/>
    <cellStyle name="Calc Currency (0) 2 3" xfId="6124"/>
    <cellStyle name="Calc Currency (0) 3" xfId="6125"/>
    <cellStyle name="Calc Currency (0) 4" xfId="6126"/>
    <cellStyle name="Calc Currency (2)" xfId="6127"/>
    <cellStyle name="Calc Currency (2) 2" xfId="6128"/>
    <cellStyle name="Calc Currency (2) 3" xfId="6129"/>
    <cellStyle name="Calc Percent (0)" xfId="6130"/>
    <cellStyle name="Calc Percent (0) 2" xfId="6131"/>
    <cellStyle name="Calc Percent (0) 3" xfId="6132"/>
    <cellStyle name="Calc Percent (1)" xfId="6133"/>
    <cellStyle name="Calc Percent (1) 2" xfId="6134"/>
    <cellStyle name="Calc Percent (1) 3" xfId="6135"/>
    <cellStyle name="Calc Percent (2)" xfId="6136"/>
    <cellStyle name="Calc Percent (2) 2" xfId="6137"/>
    <cellStyle name="Calc Percent (2) 3" xfId="6138"/>
    <cellStyle name="Calc Units (0)" xfId="6139"/>
    <cellStyle name="Calc Units (0) 2" xfId="6140"/>
    <cellStyle name="Calc Units (0) 3" xfId="6141"/>
    <cellStyle name="Calc Units (1)" xfId="6142"/>
    <cellStyle name="Calc Units (1) 2" xfId="6143"/>
    <cellStyle name="Calc Units (1) 3" xfId="6144"/>
    <cellStyle name="Calc Units (2)" xfId="6145"/>
    <cellStyle name="Calc Units (2) 2" xfId="6146"/>
    <cellStyle name="Calc Units (2) 3" xfId="6147"/>
    <cellStyle name="Calcul" xfId="53139"/>
    <cellStyle name="Calcul 2" xfId="53140"/>
    <cellStyle name="Calcul 2 2" xfId="53141"/>
    <cellStyle name="Calcul 3" xfId="53142"/>
    <cellStyle name="Calcul 4" xfId="53143"/>
    <cellStyle name="Calculation" xfId="6148"/>
    <cellStyle name="Calculation 10" xfId="6149"/>
    <cellStyle name="Calculation 10 2" xfId="6150"/>
    <cellStyle name="Calculation 10 3" xfId="6151"/>
    <cellStyle name="Calculation 10 4" xfId="6152"/>
    <cellStyle name="Calculation 11" xfId="6153"/>
    <cellStyle name="Calculation 11 2" xfId="6154"/>
    <cellStyle name="Calculation 11 3" xfId="6155"/>
    <cellStyle name="Calculation 11 4" xfId="6156"/>
    <cellStyle name="Calculation 12" xfId="6157"/>
    <cellStyle name="Calculation 13" xfId="6158"/>
    <cellStyle name="Calculation 2" xfId="6159"/>
    <cellStyle name="Calculation 2 10" xfId="6160"/>
    <cellStyle name="Calculation 2 11" xfId="6161"/>
    <cellStyle name="Calculation 2 2" xfId="6162"/>
    <cellStyle name="Calculation 2 2 2" xfId="6163"/>
    <cellStyle name="Calculation 2 2 2 2" xfId="6164"/>
    <cellStyle name="Calculation 2 2 2 2 2" xfId="6165"/>
    <cellStyle name="Calculation 2 2 2 2 3" xfId="6166"/>
    <cellStyle name="Calculation 2 2 2 2 4" xfId="6167"/>
    <cellStyle name="Calculation 2 2 2 3" xfId="6168"/>
    <cellStyle name="Calculation 2 2 2 3 2" xfId="6169"/>
    <cellStyle name="Calculation 2 2 2 3 3" xfId="6170"/>
    <cellStyle name="Calculation 2 2 2 3 4" xfId="6171"/>
    <cellStyle name="Calculation 2 2 2 4" xfId="6172"/>
    <cellStyle name="Calculation 2 2 2 4 2" xfId="6173"/>
    <cellStyle name="Calculation 2 2 2 4 3" xfId="6174"/>
    <cellStyle name="Calculation 2 2 2 4 4" xfId="6175"/>
    <cellStyle name="Calculation 2 2 2 5" xfId="6176"/>
    <cellStyle name="Calculation 2 2 2 6" xfId="6177"/>
    <cellStyle name="Calculation 2 2 2 7" xfId="6178"/>
    <cellStyle name="Calculation 2 2 2 8" xfId="6179"/>
    <cellStyle name="Calculation 2 2 3" xfId="6180"/>
    <cellStyle name="Calculation 2 2 3 2" xfId="6181"/>
    <cellStyle name="Calculation 2 2 3 2 2" xfId="6182"/>
    <cellStyle name="Calculation 2 2 3 2 3" xfId="6183"/>
    <cellStyle name="Calculation 2 2 3 2 4" xfId="6184"/>
    <cellStyle name="Calculation 2 2 3 3" xfId="6185"/>
    <cellStyle name="Calculation 2 2 3 3 2" xfId="6186"/>
    <cellStyle name="Calculation 2 2 3 3 3" xfId="6187"/>
    <cellStyle name="Calculation 2 2 3 3 4" xfId="6188"/>
    <cellStyle name="Calculation 2 2 3 4" xfId="6189"/>
    <cellStyle name="Calculation 2 2 3 4 2" xfId="6190"/>
    <cellStyle name="Calculation 2 2 3 4 3" xfId="6191"/>
    <cellStyle name="Calculation 2 2 3 4 4" xfId="6192"/>
    <cellStyle name="Calculation 2 2 3 5" xfId="6193"/>
    <cellStyle name="Calculation 2 2 3 6" xfId="6194"/>
    <cellStyle name="Calculation 2 2 3 7" xfId="6195"/>
    <cellStyle name="Calculation 2 2 3 8" xfId="6196"/>
    <cellStyle name="Calculation 2 2 4" xfId="6197"/>
    <cellStyle name="Calculation 2 2 4 2" xfId="6198"/>
    <cellStyle name="Calculation 2 2 4 2 2" xfId="6199"/>
    <cellStyle name="Calculation 2 2 4 2 3" xfId="6200"/>
    <cellStyle name="Calculation 2 2 4 2 4" xfId="6201"/>
    <cellStyle name="Calculation 2 2 4 3" xfId="6202"/>
    <cellStyle name="Calculation 2 2 4 3 2" xfId="6203"/>
    <cellStyle name="Calculation 2 2 4 3 3" xfId="6204"/>
    <cellStyle name="Calculation 2 2 4 3 4" xfId="6205"/>
    <cellStyle name="Calculation 2 2 4 4" xfId="6206"/>
    <cellStyle name="Calculation 2 2 4 4 2" xfId="6207"/>
    <cellStyle name="Calculation 2 2 4 4 3" xfId="6208"/>
    <cellStyle name="Calculation 2 2 4 4 4" xfId="6209"/>
    <cellStyle name="Calculation 2 2 4 5" xfId="6210"/>
    <cellStyle name="Calculation 2 2 4 6" xfId="6211"/>
    <cellStyle name="Calculation 2 2 4 7" xfId="6212"/>
    <cellStyle name="Calculation 2 2 4 8" xfId="6213"/>
    <cellStyle name="Calculation 2 2 5" xfId="6214"/>
    <cellStyle name="Calculation 2 2 5 2" xfId="6215"/>
    <cellStyle name="Calculation 2 2 5 2 2" xfId="6216"/>
    <cellStyle name="Calculation 2 2 5 2 3" xfId="6217"/>
    <cellStyle name="Calculation 2 2 5 2 4" xfId="6218"/>
    <cellStyle name="Calculation 2 2 5 3" xfId="6219"/>
    <cellStyle name="Calculation 2 2 5 3 2" xfId="6220"/>
    <cellStyle name="Calculation 2 2 5 3 3" xfId="6221"/>
    <cellStyle name="Calculation 2 2 5 3 4" xfId="6222"/>
    <cellStyle name="Calculation 2 2 5 4" xfId="6223"/>
    <cellStyle name="Calculation 2 2 5 4 2" xfId="6224"/>
    <cellStyle name="Calculation 2 2 5 4 3" xfId="6225"/>
    <cellStyle name="Calculation 2 2 5 4 4" xfId="6226"/>
    <cellStyle name="Calculation 2 2 5 5" xfId="6227"/>
    <cellStyle name="Calculation 2 2 5 6" xfId="6228"/>
    <cellStyle name="Calculation 2 2 5 7" xfId="6229"/>
    <cellStyle name="Calculation 2 2 5 8" xfId="6230"/>
    <cellStyle name="Calculation 2 2 6" xfId="6231"/>
    <cellStyle name="Calculation 2 2 6 2" xfId="6232"/>
    <cellStyle name="Calculation 2 2 6 3" xfId="6233"/>
    <cellStyle name="Calculation 2 2 6 4" xfId="6234"/>
    <cellStyle name="Calculation 2 2 7" xfId="6235"/>
    <cellStyle name="Calculation 2 2 7 2" xfId="6236"/>
    <cellStyle name="Calculation 2 2 7 3" xfId="6237"/>
    <cellStyle name="Calculation 2 2 7 4" xfId="6238"/>
    <cellStyle name="Calculation 2 2 8" xfId="6239"/>
    <cellStyle name="Calculation 2 2 9" xfId="6240"/>
    <cellStyle name="Calculation 2 3" xfId="6241"/>
    <cellStyle name="Calculation 2 3 2" xfId="6242"/>
    <cellStyle name="Calculation 2 3 2 2" xfId="6243"/>
    <cellStyle name="Calculation 2 3 2 3" xfId="6244"/>
    <cellStyle name="Calculation 2 3 2 4" xfId="6245"/>
    <cellStyle name="Calculation 2 3 3" xfId="6246"/>
    <cellStyle name="Calculation 2 3 3 2" xfId="6247"/>
    <cellStyle name="Calculation 2 3 3 3" xfId="6248"/>
    <cellStyle name="Calculation 2 3 3 4" xfId="6249"/>
    <cellStyle name="Calculation 2 3 4" xfId="6250"/>
    <cellStyle name="Calculation 2 3 4 2" xfId="6251"/>
    <cellStyle name="Calculation 2 3 4 3" xfId="6252"/>
    <cellStyle name="Calculation 2 3 4 4" xfId="6253"/>
    <cellStyle name="Calculation 2 3 5" xfId="6254"/>
    <cellStyle name="Calculation 2 3 6" xfId="6255"/>
    <cellStyle name="Calculation 2 3 7" xfId="6256"/>
    <cellStyle name="Calculation 2 3 8" xfId="6257"/>
    <cellStyle name="Calculation 2 4" xfId="6258"/>
    <cellStyle name="Calculation 2 4 2" xfId="6259"/>
    <cellStyle name="Calculation 2 4 2 2" xfId="6260"/>
    <cellStyle name="Calculation 2 4 2 3" xfId="6261"/>
    <cellStyle name="Calculation 2 4 2 4" xfId="6262"/>
    <cellStyle name="Calculation 2 4 3" xfId="6263"/>
    <cellStyle name="Calculation 2 4 3 2" xfId="6264"/>
    <cellStyle name="Calculation 2 4 3 3" xfId="6265"/>
    <cellStyle name="Calculation 2 4 3 4" xfId="6266"/>
    <cellStyle name="Calculation 2 4 4" xfId="6267"/>
    <cellStyle name="Calculation 2 4 4 2" xfId="6268"/>
    <cellStyle name="Calculation 2 4 4 3" xfId="6269"/>
    <cellStyle name="Calculation 2 4 4 4" xfId="6270"/>
    <cellStyle name="Calculation 2 4 5" xfId="6271"/>
    <cellStyle name="Calculation 2 4 6" xfId="6272"/>
    <cellStyle name="Calculation 2 4 7" xfId="6273"/>
    <cellStyle name="Calculation 2 4 8" xfId="6274"/>
    <cellStyle name="Calculation 2 5" xfId="6275"/>
    <cellStyle name="Calculation 2 5 2" xfId="6276"/>
    <cellStyle name="Calculation 2 5 2 2" xfId="6277"/>
    <cellStyle name="Calculation 2 5 2 3" xfId="6278"/>
    <cellStyle name="Calculation 2 5 2 4" xfId="6279"/>
    <cellStyle name="Calculation 2 5 3" xfId="6280"/>
    <cellStyle name="Calculation 2 5 3 2" xfId="6281"/>
    <cellStyle name="Calculation 2 5 3 3" xfId="6282"/>
    <cellStyle name="Calculation 2 5 3 4" xfId="6283"/>
    <cellStyle name="Calculation 2 5 4" xfId="6284"/>
    <cellStyle name="Calculation 2 5 4 2" xfId="6285"/>
    <cellStyle name="Calculation 2 5 4 3" xfId="6286"/>
    <cellStyle name="Calculation 2 5 4 4" xfId="6287"/>
    <cellStyle name="Calculation 2 5 5" xfId="6288"/>
    <cellStyle name="Calculation 2 5 6" xfId="6289"/>
    <cellStyle name="Calculation 2 5 7" xfId="6290"/>
    <cellStyle name="Calculation 2 5 8" xfId="6291"/>
    <cellStyle name="Calculation 2 6" xfId="6292"/>
    <cellStyle name="Calculation 2 6 2" xfId="6293"/>
    <cellStyle name="Calculation 2 6 2 2" xfId="6294"/>
    <cellStyle name="Calculation 2 6 2 3" xfId="6295"/>
    <cellStyle name="Calculation 2 6 2 4" xfId="6296"/>
    <cellStyle name="Calculation 2 6 3" xfId="6297"/>
    <cellStyle name="Calculation 2 6 3 2" xfId="6298"/>
    <cellStyle name="Calculation 2 6 3 3" xfId="6299"/>
    <cellStyle name="Calculation 2 6 3 4" xfId="6300"/>
    <cellStyle name="Calculation 2 6 4" xfId="6301"/>
    <cellStyle name="Calculation 2 6 4 2" xfId="6302"/>
    <cellStyle name="Calculation 2 6 4 3" xfId="6303"/>
    <cellStyle name="Calculation 2 6 4 4" xfId="6304"/>
    <cellStyle name="Calculation 2 6 5" xfId="6305"/>
    <cellStyle name="Calculation 2 6 6" xfId="6306"/>
    <cellStyle name="Calculation 2 6 7" xfId="6307"/>
    <cellStyle name="Calculation 2 6 8" xfId="6308"/>
    <cellStyle name="Calculation 2 7" xfId="6309"/>
    <cellStyle name="Calculation 2 7 2" xfId="6310"/>
    <cellStyle name="Calculation 2 7 2 2" xfId="6311"/>
    <cellStyle name="Calculation 2 7 2 3" xfId="6312"/>
    <cellStyle name="Calculation 2 7 2 4" xfId="6313"/>
    <cellStyle name="Calculation 2 7 3" xfId="6314"/>
    <cellStyle name="Calculation 2 7 3 2" xfId="6315"/>
    <cellStyle name="Calculation 2 7 3 3" xfId="6316"/>
    <cellStyle name="Calculation 2 7 3 4" xfId="6317"/>
    <cellStyle name="Calculation 2 7 4" xfId="6318"/>
    <cellStyle name="Calculation 2 7 4 2" xfId="6319"/>
    <cellStyle name="Calculation 2 7 4 3" xfId="6320"/>
    <cellStyle name="Calculation 2 7 4 4" xfId="6321"/>
    <cellStyle name="Calculation 2 7 5" xfId="6322"/>
    <cellStyle name="Calculation 2 7 6" xfId="6323"/>
    <cellStyle name="Calculation 2 7 7" xfId="6324"/>
    <cellStyle name="Calculation 2 7 8" xfId="6325"/>
    <cellStyle name="Calculation 2 8" xfId="6326"/>
    <cellStyle name="Calculation 2 8 2" xfId="6327"/>
    <cellStyle name="Calculation 2 8 3" xfId="6328"/>
    <cellStyle name="Calculation 2 8 4" xfId="6329"/>
    <cellStyle name="Calculation 2 9" xfId="6330"/>
    <cellStyle name="Calculation 2 9 2" xfId="6331"/>
    <cellStyle name="Calculation 2 9 3" xfId="6332"/>
    <cellStyle name="Calculation 2 9 4" xfId="6333"/>
    <cellStyle name="Calculation 3" xfId="6334"/>
    <cellStyle name="Calculation 3 10" xfId="6335"/>
    <cellStyle name="Calculation 3 11" xfId="6336"/>
    <cellStyle name="Calculation 3 2" xfId="6337"/>
    <cellStyle name="Calculation 3 2 2" xfId="6338"/>
    <cellStyle name="Calculation 3 2 2 2" xfId="6339"/>
    <cellStyle name="Calculation 3 2 2 2 2" xfId="6340"/>
    <cellStyle name="Calculation 3 2 2 2 3" xfId="6341"/>
    <cellStyle name="Calculation 3 2 2 2 4" xfId="6342"/>
    <cellStyle name="Calculation 3 2 2 3" xfId="6343"/>
    <cellStyle name="Calculation 3 2 2 3 2" xfId="6344"/>
    <cellStyle name="Calculation 3 2 2 3 3" xfId="6345"/>
    <cellStyle name="Calculation 3 2 2 3 4" xfId="6346"/>
    <cellStyle name="Calculation 3 2 2 4" xfId="6347"/>
    <cellStyle name="Calculation 3 2 2 4 2" xfId="6348"/>
    <cellStyle name="Calculation 3 2 2 4 3" xfId="6349"/>
    <cellStyle name="Calculation 3 2 2 4 4" xfId="6350"/>
    <cellStyle name="Calculation 3 2 2 5" xfId="6351"/>
    <cellStyle name="Calculation 3 2 2 6" xfId="6352"/>
    <cellStyle name="Calculation 3 2 2 7" xfId="6353"/>
    <cellStyle name="Calculation 3 2 2 8" xfId="6354"/>
    <cellStyle name="Calculation 3 2 3" xfId="6355"/>
    <cellStyle name="Calculation 3 2 3 2" xfId="6356"/>
    <cellStyle name="Calculation 3 2 3 2 2" xfId="6357"/>
    <cellStyle name="Calculation 3 2 3 2 3" xfId="6358"/>
    <cellStyle name="Calculation 3 2 3 2 4" xfId="6359"/>
    <cellStyle name="Calculation 3 2 3 3" xfId="6360"/>
    <cellStyle name="Calculation 3 2 3 3 2" xfId="6361"/>
    <cellStyle name="Calculation 3 2 3 3 3" xfId="6362"/>
    <cellStyle name="Calculation 3 2 3 3 4" xfId="6363"/>
    <cellStyle name="Calculation 3 2 3 4" xfId="6364"/>
    <cellStyle name="Calculation 3 2 3 4 2" xfId="6365"/>
    <cellStyle name="Calculation 3 2 3 4 3" xfId="6366"/>
    <cellStyle name="Calculation 3 2 3 4 4" xfId="6367"/>
    <cellStyle name="Calculation 3 2 3 5" xfId="6368"/>
    <cellStyle name="Calculation 3 2 3 6" xfId="6369"/>
    <cellStyle name="Calculation 3 2 3 7" xfId="6370"/>
    <cellStyle name="Calculation 3 2 3 8" xfId="6371"/>
    <cellStyle name="Calculation 3 2 4" xfId="6372"/>
    <cellStyle name="Calculation 3 2 4 2" xfId="6373"/>
    <cellStyle name="Calculation 3 2 4 2 2" xfId="6374"/>
    <cellStyle name="Calculation 3 2 4 2 3" xfId="6375"/>
    <cellStyle name="Calculation 3 2 4 2 4" xfId="6376"/>
    <cellStyle name="Calculation 3 2 4 3" xfId="6377"/>
    <cellStyle name="Calculation 3 2 4 3 2" xfId="6378"/>
    <cellStyle name="Calculation 3 2 4 3 3" xfId="6379"/>
    <cellStyle name="Calculation 3 2 4 3 4" xfId="6380"/>
    <cellStyle name="Calculation 3 2 4 4" xfId="6381"/>
    <cellStyle name="Calculation 3 2 4 4 2" xfId="6382"/>
    <cellStyle name="Calculation 3 2 4 4 3" xfId="6383"/>
    <cellStyle name="Calculation 3 2 4 4 4" xfId="6384"/>
    <cellStyle name="Calculation 3 2 4 5" xfId="6385"/>
    <cellStyle name="Calculation 3 2 4 6" xfId="6386"/>
    <cellStyle name="Calculation 3 2 4 7" xfId="6387"/>
    <cellStyle name="Calculation 3 2 4 8" xfId="6388"/>
    <cellStyle name="Calculation 3 2 5" xfId="6389"/>
    <cellStyle name="Calculation 3 2 5 2" xfId="6390"/>
    <cellStyle name="Calculation 3 2 5 2 2" xfId="6391"/>
    <cellStyle name="Calculation 3 2 5 2 3" xfId="6392"/>
    <cellStyle name="Calculation 3 2 5 2 4" xfId="6393"/>
    <cellStyle name="Calculation 3 2 5 3" xfId="6394"/>
    <cellStyle name="Calculation 3 2 5 3 2" xfId="6395"/>
    <cellStyle name="Calculation 3 2 5 3 3" xfId="6396"/>
    <cellStyle name="Calculation 3 2 5 3 4" xfId="6397"/>
    <cellStyle name="Calculation 3 2 5 4" xfId="6398"/>
    <cellStyle name="Calculation 3 2 5 4 2" xfId="6399"/>
    <cellStyle name="Calculation 3 2 5 4 3" xfId="6400"/>
    <cellStyle name="Calculation 3 2 5 4 4" xfId="6401"/>
    <cellStyle name="Calculation 3 2 5 5" xfId="6402"/>
    <cellStyle name="Calculation 3 2 5 6" xfId="6403"/>
    <cellStyle name="Calculation 3 2 5 7" xfId="6404"/>
    <cellStyle name="Calculation 3 2 5 8" xfId="6405"/>
    <cellStyle name="Calculation 3 2 6" xfId="6406"/>
    <cellStyle name="Calculation 3 2 6 2" xfId="6407"/>
    <cellStyle name="Calculation 3 2 6 3" xfId="6408"/>
    <cellStyle name="Calculation 3 2 6 4" xfId="6409"/>
    <cellStyle name="Calculation 3 2 7" xfId="6410"/>
    <cellStyle name="Calculation 3 2 7 2" xfId="6411"/>
    <cellStyle name="Calculation 3 2 7 3" xfId="6412"/>
    <cellStyle name="Calculation 3 2 7 4" xfId="6413"/>
    <cellStyle name="Calculation 3 2 8" xfId="6414"/>
    <cellStyle name="Calculation 3 2 9" xfId="6415"/>
    <cellStyle name="Calculation 3 3" xfId="6416"/>
    <cellStyle name="Calculation 3 3 2" xfId="6417"/>
    <cellStyle name="Calculation 3 3 2 2" xfId="6418"/>
    <cellStyle name="Calculation 3 3 2 3" xfId="6419"/>
    <cellStyle name="Calculation 3 3 2 4" xfId="6420"/>
    <cellStyle name="Calculation 3 3 3" xfId="6421"/>
    <cellStyle name="Calculation 3 3 3 2" xfId="6422"/>
    <cellStyle name="Calculation 3 3 3 3" xfId="6423"/>
    <cellStyle name="Calculation 3 3 3 4" xfId="6424"/>
    <cellStyle name="Calculation 3 3 4" xfId="6425"/>
    <cellStyle name="Calculation 3 3 4 2" xfId="6426"/>
    <cellStyle name="Calculation 3 3 4 3" xfId="6427"/>
    <cellStyle name="Calculation 3 3 4 4" xfId="6428"/>
    <cellStyle name="Calculation 3 3 5" xfId="6429"/>
    <cellStyle name="Calculation 3 3 6" xfId="6430"/>
    <cellStyle name="Calculation 3 3 7" xfId="6431"/>
    <cellStyle name="Calculation 3 3 8" xfId="6432"/>
    <cellStyle name="Calculation 3 4" xfId="6433"/>
    <cellStyle name="Calculation 3 4 2" xfId="6434"/>
    <cellStyle name="Calculation 3 4 2 2" xfId="6435"/>
    <cellStyle name="Calculation 3 4 2 3" xfId="6436"/>
    <cellStyle name="Calculation 3 4 2 4" xfId="6437"/>
    <cellStyle name="Calculation 3 4 3" xfId="6438"/>
    <cellStyle name="Calculation 3 4 3 2" xfId="6439"/>
    <cellStyle name="Calculation 3 4 3 3" xfId="6440"/>
    <cellStyle name="Calculation 3 4 3 4" xfId="6441"/>
    <cellStyle name="Calculation 3 4 4" xfId="6442"/>
    <cellStyle name="Calculation 3 4 4 2" xfId="6443"/>
    <cellStyle name="Calculation 3 4 4 3" xfId="6444"/>
    <cellStyle name="Calculation 3 4 4 4" xfId="6445"/>
    <cellStyle name="Calculation 3 4 5" xfId="6446"/>
    <cellStyle name="Calculation 3 4 6" xfId="6447"/>
    <cellStyle name="Calculation 3 4 7" xfId="6448"/>
    <cellStyle name="Calculation 3 4 8" xfId="6449"/>
    <cellStyle name="Calculation 3 5" xfId="6450"/>
    <cellStyle name="Calculation 3 5 2" xfId="6451"/>
    <cellStyle name="Calculation 3 5 2 2" xfId="6452"/>
    <cellStyle name="Calculation 3 5 2 3" xfId="6453"/>
    <cellStyle name="Calculation 3 5 2 4" xfId="6454"/>
    <cellStyle name="Calculation 3 5 3" xfId="6455"/>
    <cellStyle name="Calculation 3 5 3 2" xfId="6456"/>
    <cellStyle name="Calculation 3 5 3 3" xfId="6457"/>
    <cellStyle name="Calculation 3 5 3 4" xfId="6458"/>
    <cellStyle name="Calculation 3 5 4" xfId="6459"/>
    <cellStyle name="Calculation 3 5 4 2" xfId="6460"/>
    <cellStyle name="Calculation 3 5 4 3" xfId="6461"/>
    <cellStyle name="Calculation 3 5 4 4" xfId="6462"/>
    <cellStyle name="Calculation 3 5 5" xfId="6463"/>
    <cellStyle name="Calculation 3 5 6" xfId="6464"/>
    <cellStyle name="Calculation 3 5 7" xfId="6465"/>
    <cellStyle name="Calculation 3 5 8" xfId="6466"/>
    <cellStyle name="Calculation 3 6" xfId="6467"/>
    <cellStyle name="Calculation 3 6 2" xfId="6468"/>
    <cellStyle name="Calculation 3 6 2 2" xfId="6469"/>
    <cellStyle name="Calculation 3 6 2 3" xfId="6470"/>
    <cellStyle name="Calculation 3 6 2 4" xfId="6471"/>
    <cellStyle name="Calculation 3 6 3" xfId="6472"/>
    <cellStyle name="Calculation 3 6 3 2" xfId="6473"/>
    <cellStyle name="Calculation 3 6 3 3" xfId="6474"/>
    <cellStyle name="Calculation 3 6 3 4" xfId="6475"/>
    <cellStyle name="Calculation 3 6 4" xfId="6476"/>
    <cellStyle name="Calculation 3 6 4 2" xfId="6477"/>
    <cellStyle name="Calculation 3 6 4 3" xfId="6478"/>
    <cellStyle name="Calculation 3 6 4 4" xfId="6479"/>
    <cellStyle name="Calculation 3 6 5" xfId="6480"/>
    <cellStyle name="Calculation 3 6 6" xfId="6481"/>
    <cellStyle name="Calculation 3 6 7" xfId="6482"/>
    <cellStyle name="Calculation 3 6 8" xfId="6483"/>
    <cellStyle name="Calculation 3 7" xfId="6484"/>
    <cellStyle name="Calculation 3 7 2" xfId="6485"/>
    <cellStyle name="Calculation 3 7 2 2" xfId="6486"/>
    <cellStyle name="Calculation 3 7 2 3" xfId="6487"/>
    <cellStyle name="Calculation 3 7 2 4" xfId="6488"/>
    <cellStyle name="Calculation 3 7 3" xfId="6489"/>
    <cellStyle name="Calculation 3 7 3 2" xfId="6490"/>
    <cellStyle name="Calculation 3 7 3 3" xfId="6491"/>
    <cellStyle name="Calculation 3 7 3 4" xfId="6492"/>
    <cellStyle name="Calculation 3 7 4" xfId="6493"/>
    <cellStyle name="Calculation 3 7 4 2" xfId="6494"/>
    <cellStyle name="Calculation 3 7 4 3" xfId="6495"/>
    <cellStyle name="Calculation 3 7 4 4" xfId="6496"/>
    <cellStyle name="Calculation 3 7 5" xfId="6497"/>
    <cellStyle name="Calculation 3 7 6" xfId="6498"/>
    <cellStyle name="Calculation 3 7 7" xfId="6499"/>
    <cellStyle name="Calculation 3 7 8" xfId="6500"/>
    <cellStyle name="Calculation 3 8" xfId="6501"/>
    <cellStyle name="Calculation 3 8 2" xfId="6502"/>
    <cellStyle name="Calculation 3 8 3" xfId="6503"/>
    <cellStyle name="Calculation 3 8 4" xfId="6504"/>
    <cellStyle name="Calculation 3 9" xfId="6505"/>
    <cellStyle name="Calculation 3 9 2" xfId="6506"/>
    <cellStyle name="Calculation 3 9 3" xfId="6507"/>
    <cellStyle name="Calculation 3 9 4" xfId="6508"/>
    <cellStyle name="Calculation 4" xfId="6509"/>
    <cellStyle name="Calculation 4 2" xfId="6510"/>
    <cellStyle name="Calculation 4 2 2" xfId="6511"/>
    <cellStyle name="Calculation 4 2 2 2" xfId="6512"/>
    <cellStyle name="Calculation 4 2 2 3" xfId="6513"/>
    <cellStyle name="Calculation 4 2 2 4" xfId="6514"/>
    <cellStyle name="Calculation 4 2 3" xfId="6515"/>
    <cellStyle name="Calculation 4 2 3 2" xfId="6516"/>
    <cellStyle name="Calculation 4 2 3 3" xfId="6517"/>
    <cellStyle name="Calculation 4 2 3 4" xfId="6518"/>
    <cellStyle name="Calculation 4 2 4" xfId="6519"/>
    <cellStyle name="Calculation 4 2 4 2" xfId="6520"/>
    <cellStyle name="Calculation 4 2 4 3" xfId="6521"/>
    <cellStyle name="Calculation 4 2 4 4" xfId="6522"/>
    <cellStyle name="Calculation 4 2 5" xfId="6523"/>
    <cellStyle name="Calculation 4 2 6" xfId="6524"/>
    <cellStyle name="Calculation 4 2 7" xfId="6525"/>
    <cellStyle name="Calculation 4 2 8" xfId="6526"/>
    <cellStyle name="Calculation 4 3" xfId="6527"/>
    <cellStyle name="Calculation 4 3 2" xfId="6528"/>
    <cellStyle name="Calculation 4 3 2 2" xfId="6529"/>
    <cellStyle name="Calculation 4 3 2 3" xfId="6530"/>
    <cellStyle name="Calculation 4 3 2 4" xfId="6531"/>
    <cellStyle name="Calculation 4 3 3" xfId="6532"/>
    <cellStyle name="Calculation 4 3 3 2" xfId="6533"/>
    <cellStyle name="Calculation 4 3 3 3" xfId="6534"/>
    <cellStyle name="Calculation 4 3 3 4" xfId="6535"/>
    <cellStyle name="Calculation 4 3 4" xfId="6536"/>
    <cellStyle name="Calculation 4 3 4 2" xfId="6537"/>
    <cellStyle name="Calculation 4 3 4 3" xfId="6538"/>
    <cellStyle name="Calculation 4 3 4 4" xfId="6539"/>
    <cellStyle name="Calculation 4 3 5" xfId="6540"/>
    <cellStyle name="Calculation 4 3 6" xfId="6541"/>
    <cellStyle name="Calculation 4 3 7" xfId="6542"/>
    <cellStyle name="Calculation 4 3 8" xfId="6543"/>
    <cellStyle name="Calculation 4 4" xfId="6544"/>
    <cellStyle name="Calculation 4 4 2" xfId="6545"/>
    <cellStyle name="Calculation 4 4 2 2" xfId="6546"/>
    <cellStyle name="Calculation 4 4 2 3" xfId="6547"/>
    <cellStyle name="Calculation 4 4 2 4" xfId="6548"/>
    <cellStyle name="Calculation 4 4 3" xfId="6549"/>
    <cellStyle name="Calculation 4 4 3 2" xfId="6550"/>
    <cellStyle name="Calculation 4 4 3 3" xfId="6551"/>
    <cellStyle name="Calculation 4 4 3 4" xfId="6552"/>
    <cellStyle name="Calculation 4 4 4" xfId="6553"/>
    <cellStyle name="Calculation 4 4 4 2" xfId="6554"/>
    <cellStyle name="Calculation 4 4 4 3" xfId="6555"/>
    <cellStyle name="Calculation 4 4 4 4" xfId="6556"/>
    <cellStyle name="Calculation 4 4 5" xfId="6557"/>
    <cellStyle name="Calculation 4 4 6" xfId="6558"/>
    <cellStyle name="Calculation 4 4 7" xfId="6559"/>
    <cellStyle name="Calculation 4 4 8" xfId="6560"/>
    <cellStyle name="Calculation 4 5" xfId="6561"/>
    <cellStyle name="Calculation 4 5 2" xfId="6562"/>
    <cellStyle name="Calculation 4 5 2 2" xfId="6563"/>
    <cellStyle name="Calculation 4 5 2 3" xfId="6564"/>
    <cellStyle name="Calculation 4 5 2 4" xfId="6565"/>
    <cellStyle name="Calculation 4 5 3" xfId="6566"/>
    <cellStyle name="Calculation 4 5 3 2" xfId="6567"/>
    <cellStyle name="Calculation 4 5 3 3" xfId="6568"/>
    <cellStyle name="Calculation 4 5 3 4" xfId="6569"/>
    <cellStyle name="Calculation 4 5 4" xfId="6570"/>
    <cellStyle name="Calculation 4 5 4 2" xfId="6571"/>
    <cellStyle name="Calculation 4 5 4 3" xfId="6572"/>
    <cellStyle name="Calculation 4 5 4 4" xfId="6573"/>
    <cellStyle name="Calculation 4 5 5" xfId="6574"/>
    <cellStyle name="Calculation 4 5 6" xfId="6575"/>
    <cellStyle name="Calculation 4 5 7" xfId="6576"/>
    <cellStyle name="Calculation 4 5 8" xfId="6577"/>
    <cellStyle name="Calculation 4 6" xfId="6578"/>
    <cellStyle name="Calculation 4 6 2" xfId="6579"/>
    <cellStyle name="Calculation 4 6 3" xfId="6580"/>
    <cellStyle name="Calculation 4 6 4" xfId="6581"/>
    <cellStyle name="Calculation 4 7" xfId="6582"/>
    <cellStyle name="Calculation 4 7 2" xfId="6583"/>
    <cellStyle name="Calculation 4 7 3" xfId="6584"/>
    <cellStyle name="Calculation 4 7 4" xfId="6585"/>
    <cellStyle name="Calculation 4 8" xfId="6586"/>
    <cellStyle name="Calculation 4 9" xfId="6587"/>
    <cellStyle name="Calculation 5" xfId="6588"/>
    <cellStyle name="Calculation 5 2" xfId="6589"/>
    <cellStyle name="Calculation 5 2 2" xfId="6590"/>
    <cellStyle name="Calculation 5 2 3" xfId="6591"/>
    <cellStyle name="Calculation 5 2 4" xfId="6592"/>
    <cellStyle name="Calculation 5 3" xfId="6593"/>
    <cellStyle name="Calculation 5 3 2" xfId="6594"/>
    <cellStyle name="Calculation 5 3 3" xfId="6595"/>
    <cellStyle name="Calculation 5 3 4" xfId="6596"/>
    <cellStyle name="Calculation 5 4" xfId="6597"/>
    <cellStyle name="Calculation 5 4 2" xfId="6598"/>
    <cellStyle name="Calculation 5 4 3" xfId="6599"/>
    <cellStyle name="Calculation 5 4 4" xfId="6600"/>
    <cellStyle name="Calculation 5 5" xfId="6601"/>
    <cellStyle name="Calculation 5 6" xfId="6602"/>
    <cellStyle name="Calculation 5 7" xfId="6603"/>
    <cellStyle name="Calculation 5 8" xfId="6604"/>
    <cellStyle name="Calculation 6" xfId="6605"/>
    <cellStyle name="Calculation 6 2" xfId="6606"/>
    <cellStyle name="Calculation 6 2 2" xfId="6607"/>
    <cellStyle name="Calculation 6 2 3" xfId="6608"/>
    <cellStyle name="Calculation 6 2 4" xfId="6609"/>
    <cellStyle name="Calculation 6 3" xfId="6610"/>
    <cellStyle name="Calculation 6 3 2" xfId="6611"/>
    <cellStyle name="Calculation 6 3 3" xfId="6612"/>
    <cellStyle name="Calculation 6 3 4" xfId="6613"/>
    <cellStyle name="Calculation 6 4" xfId="6614"/>
    <cellStyle name="Calculation 6 4 2" xfId="6615"/>
    <cellStyle name="Calculation 6 4 3" xfId="6616"/>
    <cellStyle name="Calculation 6 4 4" xfId="6617"/>
    <cellStyle name="Calculation 6 5" xfId="6618"/>
    <cellStyle name="Calculation 6 6" xfId="6619"/>
    <cellStyle name="Calculation 6 7" xfId="6620"/>
    <cellStyle name="Calculation 6 8" xfId="6621"/>
    <cellStyle name="Calculation 7" xfId="6622"/>
    <cellStyle name="Calculation 7 2" xfId="6623"/>
    <cellStyle name="Calculation 7 2 2" xfId="6624"/>
    <cellStyle name="Calculation 7 2 3" xfId="6625"/>
    <cellStyle name="Calculation 7 2 4" xfId="6626"/>
    <cellStyle name="Calculation 7 3" xfId="6627"/>
    <cellStyle name="Calculation 7 3 2" xfId="6628"/>
    <cellStyle name="Calculation 7 3 3" xfId="6629"/>
    <cellStyle name="Calculation 7 3 4" xfId="6630"/>
    <cellStyle name="Calculation 7 4" xfId="6631"/>
    <cellStyle name="Calculation 7 4 2" xfId="6632"/>
    <cellStyle name="Calculation 7 4 3" xfId="6633"/>
    <cellStyle name="Calculation 7 4 4" xfId="6634"/>
    <cellStyle name="Calculation 7 5" xfId="6635"/>
    <cellStyle name="Calculation 7 6" xfId="6636"/>
    <cellStyle name="Calculation 7 7" xfId="6637"/>
    <cellStyle name="Calculation 7 8" xfId="6638"/>
    <cellStyle name="Calculation 8" xfId="6639"/>
    <cellStyle name="Calculation 8 2" xfId="6640"/>
    <cellStyle name="Calculation 8 2 2" xfId="6641"/>
    <cellStyle name="Calculation 8 2 3" xfId="6642"/>
    <cellStyle name="Calculation 8 2 4" xfId="6643"/>
    <cellStyle name="Calculation 8 3" xfId="6644"/>
    <cellStyle name="Calculation 8 3 2" xfId="6645"/>
    <cellStyle name="Calculation 8 3 3" xfId="6646"/>
    <cellStyle name="Calculation 8 3 4" xfId="6647"/>
    <cellStyle name="Calculation 8 4" xfId="6648"/>
    <cellStyle name="Calculation 8 4 2" xfId="6649"/>
    <cellStyle name="Calculation 8 4 3" xfId="6650"/>
    <cellStyle name="Calculation 8 4 4" xfId="6651"/>
    <cellStyle name="Calculation 8 5" xfId="6652"/>
    <cellStyle name="Calculation 8 6" xfId="6653"/>
    <cellStyle name="Calculation 8 7" xfId="6654"/>
    <cellStyle name="Calculation 8 8" xfId="6655"/>
    <cellStyle name="Calculation 9" xfId="6656"/>
    <cellStyle name="Calculation 9 2" xfId="6657"/>
    <cellStyle name="Calculation 9 2 2" xfId="6658"/>
    <cellStyle name="Calculation 9 2 3" xfId="6659"/>
    <cellStyle name="Calculation 9 2 4" xfId="6660"/>
    <cellStyle name="Calculation 9 3" xfId="6661"/>
    <cellStyle name="Calculation 9 3 2" xfId="6662"/>
    <cellStyle name="Calculation 9 3 3" xfId="6663"/>
    <cellStyle name="Calculation 9 3 4" xfId="6664"/>
    <cellStyle name="Calculation 9 4" xfId="6665"/>
    <cellStyle name="Calculation 9 4 2" xfId="6666"/>
    <cellStyle name="Calculation 9 4 3" xfId="6667"/>
    <cellStyle name="Calculation 9 4 4" xfId="6668"/>
    <cellStyle name="Calculation 9 5" xfId="6669"/>
    <cellStyle name="Calculation 9 6" xfId="6670"/>
    <cellStyle name="Calculation 9 7" xfId="6671"/>
    <cellStyle name="Calculation 9 8" xfId="6672"/>
    <cellStyle name="Calculation_Plan Campaña Día de la Madre 2010 - v2" xfId="6673"/>
    <cellStyle name="Cálculo 2" xfId="6674"/>
    <cellStyle name="Cálculo 2 10" xfId="6675"/>
    <cellStyle name="Cálculo 2 11" xfId="6676"/>
    <cellStyle name="Cálculo 2 2" xfId="6677"/>
    <cellStyle name="Cálculo 2 2 2" xfId="6678"/>
    <cellStyle name="Cálculo 2 2 2 2" xfId="6679"/>
    <cellStyle name="Cálculo 2 2 2 2 2" xfId="6680"/>
    <cellStyle name="Cálculo 2 2 2 2 3" xfId="6681"/>
    <cellStyle name="Cálculo 2 2 2 2 4" xfId="6682"/>
    <cellStyle name="Cálculo 2 2 2 3" xfId="6683"/>
    <cellStyle name="Cálculo 2 2 2 3 2" xfId="6684"/>
    <cellStyle name="Cálculo 2 2 2 3 3" xfId="6685"/>
    <cellStyle name="Cálculo 2 2 2 3 4" xfId="6686"/>
    <cellStyle name="Cálculo 2 2 2 4" xfId="6687"/>
    <cellStyle name="Cálculo 2 2 2 4 2" xfId="6688"/>
    <cellStyle name="Cálculo 2 2 2 4 3" xfId="6689"/>
    <cellStyle name="Cálculo 2 2 2 4 4" xfId="6690"/>
    <cellStyle name="Cálculo 2 2 2 5" xfId="6691"/>
    <cellStyle name="Cálculo 2 2 2 6" xfId="6692"/>
    <cellStyle name="Cálculo 2 2 2 7" xfId="6693"/>
    <cellStyle name="Cálculo 2 2 2 8" xfId="6694"/>
    <cellStyle name="Cálculo 2 2 3" xfId="6695"/>
    <cellStyle name="Cálculo 2 2 3 2" xfId="6696"/>
    <cellStyle name="Cálculo 2 2 3 2 2" xfId="6697"/>
    <cellStyle name="Cálculo 2 2 3 2 3" xfId="6698"/>
    <cellStyle name="Cálculo 2 2 3 2 4" xfId="6699"/>
    <cellStyle name="Cálculo 2 2 3 3" xfId="6700"/>
    <cellStyle name="Cálculo 2 2 3 3 2" xfId="6701"/>
    <cellStyle name="Cálculo 2 2 3 3 3" xfId="6702"/>
    <cellStyle name="Cálculo 2 2 3 3 4" xfId="6703"/>
    <cellStyle name="Cálculo 2 2 3 4" xfId="6704"/>
    <cellStyle name="Cálculo 2 2 3 4 2" xfId="6705"/>
    <cellStyle name="Cálculo 2 2 3 4 3" xfId="6706"/>
    <cellStyle name="Cálculo 2 2 3 4 4" xfId="6707"/>
    <cellStyle name="Cálculo 2 2 3 5" xfId="6708"/>
    <cellStyle name="Cálculo 2 2 3 6" xfId="6709"/>
    <cellStyle name="Cálculo 2 2 3 7" xfId="6710"/>
    <cellStyle name="Cálculo 2 2 3 8" xfId="6711"/>
    <cellStyle name="Cálculo 2 2 4" xfId="6712"/>
    <cellStyle name="Cálculo 2 2 4 2" xfId="6713"/>
    <cellStyle name="Cálculo 2 2 4 2 2" xfId="6714"/>
    <cellStyle name="Cálculo 2 2 4 2 3" xfId="6715"/>
    <cellStyle name="Cálculo 2 2 4 2 4" xfId="6716"/>
    <cellStyle name="Cálculo 2 2 4 3" xfId="6717"/>
    <cellStyle name="Cálculo 2 2 4 3 2" xfId="6718"/>
    <cellStyle name="Cálculo 2 2 4 3 3" xfId="6719"/>
    <cellStyle name="Cálculo 2 2 4 3 4" xfId="6720"/>
    <cellStyle name="Cálculo 2 2 4 4" xfId="6721"/>
    <cellStyle name="Cálculo 2 2 4 4 2" xfId="6722"/>
    <cellStyle name="Cálculo 2 2 4 4 3" xfId="6723"/>
    <cellStyle name="Cálculo 2 2 4 4 4" xfId="6724"/>
    <cellStyle name="Cálculo 2 2 4 5" xfId="6725"/>
    <cellStyle name="Cálculo 2 2 4 6" xfId="6726"/>
    <cellStyle name="Cálculo 2 2 4 7" xfId="6727"/>
    <cellStyle name="Cálculo 2 2 4 8" xfId="6728"/>
    <cellStyle name="Cálculo 2 2 5" xfId="6729"/>
    <cellStyle name="Cálculo 2 2 5 2" xfId="6730"/>
    <cellStyle name="Cálculo 2 2 5 2 2" xfId="6731"/>
    <cellStyle name="Cálculo 2 2 5 2 3" xfId="6732"/>
    <cellStyle name="Cálculo 2 2 5 2 4" xfId="6733"/>
    <cellStyle name="Cálculo 2 2 5 3" xfId="6734"/>
    <cellStyle name="Cálculo 2 2 5 3 2" xfId="6735"/>
    <cellStyle name="Cálculo 2 2 5 3 3" xfId="6736"/>
    <cellStyle name="Cálculo 2 2 5 3 4" xfId="6737"/>
    <cellStyle name="Cálculo 2 2 5 4" xfId="6738"/>
    <cellStyle name="Cálculo 2 2 5 4 2" xfId="6739"/>
    <cellStyle name="Cálculo 2 2 5 4 3" xfId="6740"/>
    <cellStyle name="Cálculo 2 2 5 4 4" xfId="6741"/>
    <cellStyle name="Cálculo 2 2 5 5" xfId="6742"/>
    <cellStyle name="Cálculo 2 2 5 6" xfId="6743"/>
    <cellStyle name="Cálculo 2 2 5 7" xfId="6744"/>
    <cellStyle name="Cálculo 2 2 5 8" xfId="6745"/>
    <cellStyle name="Cálculo 2 2 6" xfId="6746"/>
    <cellStyle name="Cálculo 2 2 6 2" xfId="6747"/>
    <cellStyle name="Cálculo 2 2 6 3" xfId="6748"/>
    <cellStyle name="Cálculo 2 2 6 4" xfId="6749"/>
    <cellStyle name="Cálculo 2 2 7" xfId="6750"/>
    <cellStyle name="Cálculo 2 2 7 2" xfId="6751"/>
    <cellStyle name="Cálculo 2 2 7 3" xfId="6752"/>
    <cellStyle name="Cálculo 2 2 7 4" xfId="6753"/>
    <cellStyle name="Cálculo 2 2 8" xfId="6754"/>
    <cellStyle name="Cálculo 2 2 9" xfId="6755"/>
    <cellStyle name="Cálculo 2 3" xfId="6756"/>
    <cellStyle name="Cálculo 2 3 2" xfId="6757"/>
    <cellStyle name="Cálculo 2 3 2 2" xfId="6758"/>
    <cellStyle name="Cálculo 2 3 2 3" xfId="6759"/>
    <cellStyle name="Cálculo 2 3 2 4" xfId="6760"/>
    <cellStyle name="Cálculo 2 3 3" xfId="6761"/>
    <cellStyle name="Cálculo 2 3 3 2" xfId="6762"/>
    <cellStyle name="Cálculo 2 3 3 3" xfId="6763"/>
    <cellStyle name="Cálculo 2 3 3 4" xfId="6764"/>
    <cellStyle name="Cálculo 2 3 4" xfId="6765"/>
    <cellStyle name="Cálculo 2 3 4 2" xfId="6766"/>
    <cellStyle name="Cálculo 2 3 4 3" xfId="6767"/>
    <cellStyle name="Cálculo 2 3 4 4" xfId="6768"/>
    <cellStyle name="Cálculo 2 3 5" xfId="6769"/>
    <cellStyle name="Cálculo 2 3 6" xfId="6770"/>
    <cellStyle name="Cálculo 2 3 7" xfId="6771"/>
    <cellStyle name="Cálculo 2 3 8" xfId="6772"/>
    <cellStyle name="Cálculo 2 4" xfId="6773"/>
    <cellStyle name="Cálculo 2 4 2" xfId="6774"/>
    <cellStyle name="Cálculo 2 4 2 2" xfId="6775"/>
    <cellStyle name="Cálculo 2 4 2 3" xfId="6776"/>
    <cellStyle name="Cálculo 2 4 2 4" xfId="6777"/>
    <cellStyle name="Cálculo 2 4 3" xfId="6778"/>
    <cellStyle name="Cálculo 2 4 3 2" xfId="6779"/>
    <cellStyle name="Cálculo 2 4 3 3" xfId="6780"/>
    <cellStyle name="Cálculo 2 4 3 4" xfId="6781"/>
    <cellStyle name="Cálculo 2 4 4" xfId="6782"/>
    <cellStyle name="Cálculo 2 4 4 2" xfId="6783"/>
    <cellStyle name="Cálculo 2 4 4 3" xfId="6784"/>
    <cellStyle name="Cálculo 2 4 4 4" xfId="6785"/>
    <cellStyle name="Cálculo 2 4 5" xfId="6786"/>
    <cellStyle name="Cálculo 2 4 6" xfId="6787"/>
    <cellStyle name="Cálculo 2 4 7" xfId="6788"/>
    <cellStyle name="Cálculo 2 4 8" xfId="6789"/>
    <cellStyle name="Cálculo 2 5" xfId="6790"/>
    <cellStyle name="Cálculo 2 5 2" xfId="6791"/>
    <cellStyle name="Cálculo 2 5 2 2" xfId="6792"/>
    <cellStyle name="Cálculo 2 5 2 3" xfId="6793"/>
    <cellStyle name="Cálculo 2 5 2 4" xfId="6794"/>
    <cellStyle name="Cálculo 2 5 3" xfId="6795"/>
    <cellStyle name="Cálculo 2 5 3 2" xfId="6796"/>
    <cellStyle name="Cálculo 2 5 3 3" xfId="6797"/>
    <cellStyle name="Cálculo 2 5 3 4" xfId="6798"/>
    <cellStyle name="Cálculo 2 5 4" xfId="6799"/>
    <cellStyle name="Cálculo 2 5 4 2" xfId="6800"/>
    <cellStyle name="Cálculo 2 5 4 3" xfId="6801"/>
    <cellStyle name="Cálculo 2 5 4 4" xfId="6802"/>
    <cellStyle name="Cálculo 2 5 5" xfId="6803"/>
    <cellStyle name="Cálculo 2 5 6" xfId="6804"/>
    <cellStyle name="Cálculo 2 5 7" xfId="6805"/>
    <cellStyle name="Cálculo 2 5 8" xfId="6806"/>
    <cellStyle name="Cálculo 2 6" xfId="6807"/>
    <cellStyle name="Cálculo 2 6 2" xfId="6808"/>
    <cellStyle name="Cálculo 2 6 2 2" xfId="6809"/>
    <cellStyle name="Cálculo 2 6 2 3" xfId="6810"/>
    <cellStyle name="Cálculo 2 6 2 4" xfId="6811"/>
    <cellStyle name="Cálculo 2 6 3" xfId="6812"/>
    <cellStyle name="Cálculo 2 6 3 2" xfId="6813"/>
    <cellStyle name="Cálculo 2 6 3 3" xfId="6814"/>
    <cellStyle name="Cálculo 2 6 3 4" xfId="6815"/>
    <cellStyle name="Cálculo 2 6 4" xfId="6816"/>
    <cellStyle name="Cálculo 2 6 4 2" xfId="6817"/>
    <cellStyle name="Cálculo 2 6 4 3" xfId="6818"/>
    <cellStyle name="Cálculo 2 6 4 4" xfId="6819"/>
    <cellStyle name="Cálculo 2 6 5" xfId="6820"/>
    <cellStyle name="Cálculo 2 6 6" xfId="6821"/>
    <cellStyle name="Cálculo 2 6 7" xfId="6822"/>
    <cellStyle name="Cálculo 2 6 8" xfId="6823"/>
    <cellStyle name="Cálculo 2 7" xfId="6824"/>
    <cellStyle name="Cálculo 2 7 2" xfId="6825"/>
    <cellStyle name="Cálculo 2 7 2 2" xfId="6826"/>
    <cellStyle name="Cálculo 2 7 2 3" xfId="6827"/>
    <cellStyle name="Cálculo 2 7 2 4" xfId="6828"/>
    <cellStyle name="Cálculo 2 7 3" xfId="6829"/>
    <cellStyle name="Cálculo 2 7 3 2" xfId="6830"/>
    <cellStyle name="Cálculo 2 7 3 3" xfId="6831"/>
    <cellStyle name="Cálculo 2 7 3 4" xfId="6832"/>
    <cellStyle name="Cálculo 2 7 4" xfId="6833"/>
    <cellStyle name="Cálculo 2 7 4 2" xfId="6834"/>
    <cellStyle name="Cálculo 2 7 4 3" xfId="6835"/>
    <cellStyle name="Cálculo 2 7 4 4" xfId="6836"/>
    <cellStyle name="Cálculo 2 7 5" xfId="6837"/>
    <cellStyle name="Cálculo 2 7 6" xfId="6838"/>
    <cellStyle name="Cálculo 2 7 7" xfId="6839"/>
    <cellStyle name="Cálculo 2 7 8" xfId="6840"/>
    <cellStyle name="Cálculo 2 8" xfId="6841"/>
    <cellStyle name="Cálculo 2 8 2" xfId="6842"/>
    <cellStyle name="Cálculo 2 8 3" xfId="6843"/>
    <cellStyle name="Cálculo 2 8 4" xfId="6844"/>
    <cellStyle name="Cálculo 2 9" xfId="6845"/>
    <cellStyle name="Cálculo 2 9 2" xfId="6846"/>
    <cellStyle name="Cálculo 2 9 3" xfId="6847"/>
    <cellStyle name="Cálculo 2 9 4" xfId="6848"/>
    <cellStyle name="Cálculo 3" xfId="6849"/>
    <cellStyle name="Cálculo 3 10" xfId="6850"/>
    <cellStyle name="Cálculo 3 11" xfId="6851"/>
    <cellStyle name="Cálculo 3 2" xfId="6852"/>
    <cellStyle name="Cálculo 3 2 2" xfId="6853"/>
    <cellStyle name="Cálculo 3 2 2 2" xfId="6854"/>
    <cellStyle name="Cálculo 3 2 2 2 2" xfId="6855"/>
    <cellStyle name="Cálculo 3 2 2 2 3" xfId="6856"/>
    <cellStyle name="Cálculo 3 2 2 2 4" xfId="6857"/>
    <cellStyle name="Cálculo 3 2 2 3" xfId="6858"/>
    <cellStyle name="Cálculo 3 2 2 3 2" xfId="6859"/>
    <cellStyle name="Cálculo 3 2 2 3 3" xfId="6860"/>
    <cellStyle name="Cálculo 3 2 2 3 4" xfId="6861"/>
    <cellStyle name="Cálculo 3 2 2 4" xfId="6862"/>
    <cellStyle name="Cálculo 3 2 2 4 2" xfId="6863"/>
    <cellStyle name="Cálculo 3 2 2 4 3" xfId="6864"/>
    <cellStyle name="Cálculo 3 2 2 4 4" xfId="6865"/>
    <cellStyle name="Cálculo 3 2 2 5" xfId="6866"/>
    <cellStyle name="Cálculo 3 2 2 6" xfId="6867"/>
    <cellStyle name="Cálculo 3 2 2 7" xfId="6868"/>
    <cellStyle name="Cálculo 3 2 2 8" xfId="6869"/>
    <cellStyle name="Cálculo 3 2 3" xfId="6870"/>
    <cellStyle name="Cálculo 3 2 3 2" xfId="6871"/>
    <cellStyle name="Cálculo 3 2 3 2 2" xfId="6872"/>
    <cellStyle name="Cálculo 3 2 3 2 3" xfId="6873"/>
    <cellStyle name="Cálculo 3 2 3 2 4" xfId="6874"/>
    <cellStyle name="Cálculo 3 2 3 3" xfId="6875"/>
    <cellStyle name="Cálculo 3 2 3 3 2" xfId="6876"/>
    <cellStyle name="Cálculo 3 2 3 3 3" xfId="6877"/>
    <cellStyle name="Cálculo 3 2 3 3 4" xfId="6878"/>
    <cellStyle name="Cálculo 3 2 3 4" xfId="6879"/>
    <cellStyle name="Cálculo 3 2 3 4 2" xfId="6880"/>
    <cellStyle name="Cálculo 3 2 3 4 3" xfId="6881"/>
    <cellStyle name="Cálculo 3 2 3 4 4" xfId="6882"/>
    <cellStyle name="Cálculo 3 2 3 5" xfId="6883"/>
    <cellStyle name="Cálculo 3 2 3 6" xfId="6884"/>
    <cellStyle name="Cálculo 3 2 3 7" xfId="6885"/>
    <cellStyle name="Cálculo 3 2 3 8" xfId="6886"/>
    <cellStyle name="Cálculo 3 2 4" xfId="6887"/>
    <cellStyle name="Cálculo 3 2 4 2" xfId="6888"/>
    <cellStyle name="Cálculo 3 2 4 2 2" xfId="6889"/>
    <cellStyle name="Cálculo 3 2 4 2 3" xfId="6890"/>
    <cellStyle name="Cálculo 3 2 4 2 4" xfId="6891"/>
    <cellStyle name="Cálculo 3 2 4 3" xfId="6892"/>
    <cellStyle name="Cálculo 3 2 4 3 2" xfId="6893"/>
    <cellStyle name="Cálculo 3 2 4 3 3" xfId="6894"/>
    <cellStyle name="Cálculo 3 2 4 3 4" xfId="6895"/>
    <cellStyle name="Cálculo 3 2 4 4" xfId="6896"/>
    <cellStyle name="Cálculo 3 2 4 4 2" xfId="6897"/>
    <cellStyle name="Cálculo 3 2 4 4 3" xfId="6898"/>
    <cellStyle name="Cálculo 3 2 4 4 4" xfId="6899"/>
    <cellStyle name="Cálculo 3 2 4 5" xfId="6900"/>
    <cellStyle name="Cálculo 3 2 4 6" xfId="6901"/>
    <cellStyle name="Cálculo 3 2 4 7" xfId="6902"/>
    <cellStyle name="Cálculo 3 2 4 8" xfId="6903"/>
    <cellStyle name="Cálculo 3 2 5" xfId="6904"/>
    <cellStyle name="Cálculo 3 2 5 2" xfId="6905"/>
    <cellStyle name="Cálculo 3 2 5 2 2" xfId="6906"/>
    <cellStyle name="Cálculo 3 2 5 2 3" xfId="6907"/>
    <cellStyle name="Cálculo 3 2 5 2 4" xfId="6908"/>
    <cellStyle name="Cálculo 3 2 5 3" xfId="6909"/>
    <cellStyle name="Cálculo 3 2 5 3 2" xfId="6910"/>
    <cellStyle name="Cálculo 3 2 5 3 3" xfId="6911"/>
    <cellStyle name="Cálculo 3 2 5 3 4" xfId="6912"/>
    <cellStyle name="Cálculo 3 2 5 4" xfId="6913"/>
    <cellStyle name="Cálculo 3 2 5 4 2" xfId="6914"/>
    <cellStyle name="Cálculo 3 2 5 4 3" xfId="6915"/>
    <cellStyle name="Cálculo 3 2 5 4 4" xfId="6916"/>
    <cellStyle name="Cálculo 3 2 5 5" xfId="6917"/>
    <cellStyle name="Cálculo 3 2 5 6" xfId="6918"/>
    <cellStyle name="Cálculo 3 2 5 7" xfId="6919"/>
    <cellStyle name="Cálculo 3 2 5 8" xfId="6920"/>
    <cellStyle name="Cálculo 3 2 6" xfId="6921"/>
    <cellStyle name="Cálculo 3 2 6 2" xfId="6922"/>
    <cellStyle name="Cálculo 3 2 6 3" xfId="6923"/>
    <cellStyle name="Cálculo 3 2 6 4" xfId="6924"/>
    <cellStyle name="Cálculo 3 2 7" xfId="6925"/>
    <cellStyle name="Cálculo 3 2 7 2" xfId="6926"/>
    <cellStyle name="Cálculo 3 2 7 3" xfId="6927"/>
    <cellStyle name="Cálculo 3 2 7 4" xfId="6928"/>
    <cellStyle name="Cálculo 3 2 8" xfId="6929"/>
    <cellStyle name="Cálculo 3 2 9" xfId="6930"/>
    <cellStyle name="Cálculo 3 3" xfId="6931"/>
    <cellStyle name="Cálculo 3 3 2" xfId="6932"/>
    <cellStyle name="Cálculo 3 3 2 2" xfId="6933"/>
    <cellStyle name="Cálculo 3 3 2 3" xfId="6934"/>
    <cellStyle name="Cálculo 3 3 2 4" xfId="6935"/>
    <cellStyle name="Cálculo 3 3 3" xfId="6936"/>
    <cellStyle name="Cálculo 3 3 3 2" xfId="6937"/>
    <cellStyle name="Cálculo 3 3 3 3" xfId="6938"/>
    <cellStyle name="Cálculo 3 3 3 4" xfId="6939"/>
    <cellStyle name="Cálculo 3 3 4" xfId="6940"/>
    <cellStyle name="Cálculo 3 3 4 2" xfId="6941"/>
    <cellStyle name="Cálculo 3 3 4 3" xfId="6942"/>
    <cellStyle name="Cálculo 3 3 4 4" xfId="6943"/>
    <cellStyle name="Cálculo 3 3 5" xfId="6944"/>
    <cellStyle name="Cálculo 3 3 6" xfId="6945"/>
    <cellStyle name="Cálculo 3 3 7" xfId="6946"/>
    <cellStyle name="Cálculo 3 3 8" xfId="6947"/>
    <cellStyle name="Cálculo 3 4" xfId="6948"/>
    <cellStyle name="Cálculo 3 4 2" xfId="6949"/>
    <cellStyle name="Cálculo 3 4 2 2" xfId="6950"/>
    <cellStyle name="Cálculo 3 4 2 3" xfId="6951"/>
    <cellStyle name="Cálculo 3 4 2 4" xfId="6952"/>
    <cellStyle name="Cálculo 3 4 3" xfId="6953"/>
    <cellStyle name="Cálculo 3 4 3 2" xfId="6954"/>
    <cellStyle name="Cálculo 3 4 3 3" xfId="6955"/>
    <cellStyle name="Cálculo 3 4 3 4" xfId="6956"/>
    <cellStyle name="Cálculo 3 4 4" xfId="6957"/>
    <cellStyle name="Cálculo 3 4 4 2" xfId="6958"/>
    <cellStyle name="Cálculo 3 4 4 3" xfId="6959"/>
    <cellStyle name="Cálculo 3 4 4 4" xfId="6960"/>
    <cellStyle name="Cálculo 3 4 5" xfId="6961"/>
    <cellStyle name="Cálculo 3 4 6" xfId="6962"/>
    <cellStyle name="Cálculo 3 4 7" xfId="6963"/>
    <cellStyle name="Cálculo 3 4 8" xfId="6964"/>
    <cellStyle name="Cálculo 3 5" xfId="6965"/>
    <cellStyle name="Cálculo 3 5 2" xfId="6966"/>
    <cellStyle name="Cálculo 3 5 2 2" xfId="6967"/>
    <cellStyle name="Cálculo 3 5 2 3" xfId="6968"/>
    <cellStyle name="Cálculo 3 5 2 4" xfId="6969"/>
    <cellStyle name="Cálculo 3 5 3" xfId="6970"/>
    <cellStyle name="Cálculo 3 5 3 2" xfId="6971"/>
    <cellStyle name="Cálculo 3 5 3 3" xfId="6972"/>
    <cellStyle name="Cálculo 3 5 3 4" xfId="6973"/>
    <cellStyle name="Cálculo 3 5 4" xfId="6974"/>
    <cellStyle name="Cálculo 3 5 4 2" xfId="6975"/>
    <cellStyle name="Cálculo 3 5 4 3" xfId="6976"/>
    <cellStyle name="Cálculo 3 5 4 4" xfId="6977"/>
    <cellStyle name="Cálculo 3 5 5" xfId="6978"/>
    <cellStyle name="Cálculo 3 5 6" xfId="6979"/>
    <cellStyle name="Cálculo 3 5 7" xfId="6980"/>
    <cellStyle name="Cálculo 3 5 8" xfId="6981"/>
    <cellStyle name="Cálculo 3 6" xfId="6982"/>
    <cellStyle name="Cálculo 3 6 2" xfId="6983"/>
    <cellStyle name="Cálculo 3 6 2 2" xfId="6984"/>
    <cellStyle name="Cálculo 3 6 2 3" xfId="6985"/>
    <cellStyle name="Cálculo 3 6 2 4" xfId="6986"/>
    <cellStyle name="Cálculo 3 6 3" xfId="6987"/>
    <cellStyle name="Cálculo 3 6 3 2" xfId="6988"/>
    <cellStyle name="Cálculo 3 6 3 3" xfId="6989"/>
    <cellStyle name="Cálculo 3 6 3 4" xfId="6990"/>
    <cellStyle name="Cálculo 3 6 4" xfId="6991"/>
    <cellStyle name="Cálculo 3 6 4 2" xfId="6992"/>
    <cellStyle name="Cálculo 3 6 4 3" xfId="6993"/>
    <cellStyle name="Cálculo 3 6 4 4" xfId="6994"/>
    <cellStyle name="Cálculo 3 6 5" xfId="6995"/>
    <cellStyle name="Cálculo 3 6 6" xfId="6996"/>
    <cellStyle name="Cálculo 3 6 7" xfId="6997"/>
    <cellStyle name="Cálculo 3 6 8" xfId="6998"/>
    <cellStyle name="Cálculo 3 7" xfId="6999"/>
    <cellStyle name="Cálculo 3 7 2" xfId="7000"/>
    <cellStyle name="Cálculo 3 7 2 2" xfId="7001"/>
    <cellStyle name="Cálculo 3 7 2 3" xfId="7002"/>
    <cellStyle name="Cálculo 3 7 2 4" xfId="7003"/>
    <cellStyle name="Cálculo 3 7 3" xfId="7004"/>
    <cellStyle name="Cálculo 3 7 3 2" xfId="7005"/>
    <cellStyle name="Cálculo 3 7 3 3" xfId="7006"/>
    <cellStyle name="Cálculo 3 7 3 4" xfId="7007"/>
    <cellStyle name="Cálculo 3 7 4" xfId="7008"/>
    <cellStyle name="Cálculo 3 7 4 2" xfId="7009"/>
    <cellStyle name="Cálculo 3 7 4 3" xfId="7010"/>
    <cellStyle name="Cálculo 3 7 4 4" xfId="7011"/>
    <cellStyle name="Cálculo 3 7 5" xfId="7012"/>
    <cellStyle name="Cálculo 3 7 6" xfId="7013"/>
    <cellStyle name="Cálculo 3 7 7" xfId="7014"/>
    <cellStyle name="Cálculo 3 7 8" xfId="7015"/>
    <cellStyle name="Cálculo 3 8" xfId="7016"/>
    <cellStyle name="Cálculo 3 8 2" xfId="7017"/>
    <cellStyle name="Cálculo 3 8 3" xfId="7018"/>
    <cellStyle name="Cálculo 3 8 4" xfId="7019"/>
    <cellStyle name="Cálculo 3 9" xfId="7020"/>
    <cellStyle name="Cálculo 3 9 2" xfId="7021"/>
    <cellStyle name="Cálculo 3 9 3" xfId="7022"/>
    <cellStyle name="Cálculo 3 9 4" xfId="7023"/>
    <cellStyle name="Cálculo 4" xfId="7024"/>
    <cellStyle name="Cálculo 4 10" xfId="7025"/>
    <cellStyle name="Cálculo 4 11" xfId="7026"/>
    <cellStyle name="Cálculo 4 2" xfId="7027"/>
    <cellStyle name="Cálculo 4 2 2" xfId="7028"/>
    <cellStyle name="Cálculo 4 2 2 2" xfId="7029"/>
    <cellStyle name="Cálculo 4 2 2 2 2" xfId="7030"/>
    <cellStyle name="Cálculo 4 2 2 2 3" xfId="7031"/>
    <cellStyle name="Cálculo 4 2 2 2 4" xfId="7032"/>
    <cellStyle name="Cálculo 4 2 2 3" xfId="7033"/>
    <cellStyle name="Cálculo 4 2 2 3 2" xfId="7034"/>
    <cellStyle name="Cálculo 4 2 2 3 3" xfId="7035"/>
    <cellStyle name="Cálculo 4 2 2 3 4" xfId="7036"/>
    <cellStyle name="Cálculo 4 2 2 4" xfId="7037"/>
    <cellStyle name="Cálculo 4 2 2 4 2" xfId="7038"/>
    <cellStyle name="Cálculo 4 2 2 4 3" xfId="7039"/>
    <cellStyle name="Cálculo 4 2 2 4 4" xfId="7040"/>
    <cellStyle name="Cálculo 4 2 2 5" xfId="7041"/>
    <cellStyle name="Cálculo 4 2 2 6" xfId="7042"/>
    <cellStyle name="Cálculo 4 2 2 7" xfId="7043"/>
    <cellStyle name="Cálculo 4 2 2 8" xfId="7044"/>
    <cellStyle name="Cálculo 4 2 3" xfId="7045"/>
    <cellStyle name="Cálculo 4 2 3 2" xfId="7046"/>
    <cellStyle name="Cálculo 4 2 3 2 2" xfId="7047"/>
    <cellStyle name="Cálculo 4 2 3 2 3" xfId="7048"/>
    <cellStyle name="Cálculo 4 2 3 2 4" xfId="7049"/>
    <cellStyle name="Cálculo 4 2 3 3" xfId="7050"/>
    <cellStyle name="Cálculo 4 2 3 3 2" xfId="7051"/>
    <cellStyle name="Cálculo 4 2 3 3 3" xfId="7052"/>
    <cellStyle name="Cálculo 4 2 3 3 4" xfId="7053"/>
    <cellStyle name="Cálculo 4 2 3 4" xfId="7054"/>
    <cellStyle name="Cálculo 4 2 3 4 2" xfId="7055"/>
    <cellStyle name="Cálculo 4 2 3 4 3" xfId="7056"/>
    <cellStyle name="Cálculo 4 2 3 4 4" xfId="7057"/>
    <cellStyle name="Cálculo 4 2 3 5" xfId="7058"/>
    <cellStyle name="Cálculo 4 2 3 6" xfId="7059"/>
    <cellStyle name="Cálculo 4 2 3 7" xfId="7060"/>
    <cellStyle name="Cálculo 4 2 3 8" xfId="7061"/>
    <cellStyle name="Cálculo 4 2 4" xfId="7062"/>
    <cellStyle name="Cálculo 4 2 4 2" xfId="7063"/>
    <cellStyle name="Cálculo 4 2 4 2 2" xfId="7064"/>
    <cellStyle name="Cálculo 4 2 4 2 3" xfId="7065"/>
    <cellStyle name="Cálculo 4 2 4 2 4" xfId="7066"/>
    <cellStyle name="Cálculo 4 2 4 3" xfId="7067"/>
    <cellStyle name="Cálculo 4 2 4 3 2" xfId="7068"/>
    <cellStyle name="Cálculo 4 2 4 3 3" xfId="7069"/>
    <cellStyle name="Cálculo 4 2 4 3 4" xfId="7070"/>
    <cellStyle name="Cálculo 4 2 4 4" xfId="7071"/>
    <cellStyle name="Cálculo 4 2 4 4 2" xfId="7072"/>
    <cellStyle name="Cálculo 4 2 4 4 3" xfId="7073"/>
    <cellStyle name="Cálculo 4 2 4 4 4" xfId="7074"/>
    <cellStyle name="Cálculo 4 2 4 5" xfId="7075"/>
    <cellStyle name="Cálculo 4 2 4 6" xfId="7076"/>
    <cellStyle name="Cálculo 4 2 4 7" xfId="7077"/>
    <cellStyle name="Cálculo 4 2 4 8" xfId="7078"/>
    <cellStyle name="Cálculo 4 2 5" xfId="7079"/>
    <cellStyle name="Cálculo 4 2 5 2" xfId="7080"/>
    <cellStyle name="Cálculo 4 2 5 2 2" xfId="7081"/>
    <cellStyle name="Cálculo 4 2 5 2 3" xfId="7082"/>
    <cellStyle name="Cálculo 4 2 5 2 4" xfId="7083"/>
    <cellStyle name="Cálculo 4 2 5 3" xfId="7084"/>
    <cellStyle name="Cálculo 4 2 5 3 2" xfId="7085"/>
    <cellStyle name="Cálculo 4 2 5 3 3" xfId="7086"/>
    <cellStyle name="Cálculo 4 2 5 3 4" xfId="7087"/>
    <cellStyle name="Cálculo 4 2 5 4" xfId="7088"/>
    <cellStyle name="Cálculo 4 2 5 4 2" xfId="7089"/>
    <cellStyle name="Cálculo 4 2 5 4 3" xfId="7090"/>
    <cellStyle name="Cálculo 4 2 5 4 4" xfId="7091"/>
    <cellStyle name="Cálculo 4 2 5 5" xfId="7092"/>
    <cellStyle name="Cálculo 4 2 5 6" xfId="7093"/>
    <cellStyle name="Cálculo 4 2 5 7" xfId="7094"/>
    <cellStyle name="Cálculo 4 2 5 8" xfId="7095"/>
    <cellStyle name="Cálculo 4 2 6" xfId="7096"/>
    <cellStyle name="Cálculo 4 2 6 2" xfId="7097"/>
    <cellStyle name="Cálculo 4 2 6 3" xfId="7098"/>
    <cellStyle name="Cálculo 4 2 6 4" xfId="7099"/>
    <cellStyle name="Cálculo 4 2 7" xfId="7100"/>
    <cellStyle name="Cálculo 4 2 7 2" xfId="7101"/>
    <cellStyle name="Cálculo 4 2 7 3" xfId="7102"/>
    <cellStyle name="Cálculo 4 2 7 4" xfId="7103"/>
    <cellStyle name="Cálculo 4 2 8" xfId="7104"/>
    <cellStyle name="Cálculo 4 2 9" xfId="7105"/>
    <cellStyle name="Cálculo 4 3" xfId="7106"/>
    <cellStyle name="Cálculo 4 3 2" xfId="7107"/>
    <cellStyle name="Cálculo 4 3 2 2" xfId="7108"/>
    <cellStyle name="Cálculo 4 3 2 3" xfId="7109"/>
    <cellStyle name="Cálculo 4 3 2 4" xfId="7110"/>
    <cellStyle name="Cálculo 4 3 3" xfId="7111"/>
    <cellStyle name="Cálculo 4 3 3 2" xfId="7112"/>
    <cellStyle name="Cálculo 4 3 3 3" xfId="7113"/>
    <cellStyle name="Cálculo 4 3 3 4" xfId="7114"/>
    <cellStyle name="Cálculo 4 3 4" xfId="7115"/>
    <cellStyle name="Cálculo 4 3 4 2" xfId="7116"/>
    <cellStyle name="Cálculo 4 3 4 3" xfId="7117"/>
    <cellStyle name="Cálculo 4 3 4 4" xfId="7118"/>
    <cellStyle name="Cálculo 4 3 5" xfId="7119"/>
    <cellStyle name="Cálculo 4 3 6" xfId="7120"/>
    <cellStyle name="Cálculo 4 3 7" xfId="7121"/>
    <cellStyle name="Cálculo 4 3 8" xfId="7122"/>
    <cellStyle name="Cálculo 4 4" xfId="7123"/>
    <cellStyle name="Cálculo 4 4 2" xfId="7124"/>
    <cellStyle name="Cálculo 4 4 2 2" xfId="7125"/>
    <cellStyle name="Cálculo 4 4 2 3" xfId="7126"/>
    <cellStyle name="Cálculo 4 4 2 4" xfId="7127"/>
    <cellStyle name="Cálculo 4 4 3" xfId="7128"/>
    <cellStyle name="Cálculo 4 4 3 2" xfId="7129"/>
    <cellStyle name="Cálculo 4 4 3 3" xfId="7130"/>
    <cellStyle name="Cálculo 4 4 3 4" xfId="7131"/>
    <cellStyle name="Cálculo 4 4 4" xfId="7132"/>
    <cellStyle name="Cálculo 4 4 4 2" xfId="7133"/>
    <cellStyle name="Cálculo 4 4 4 3" xfId="7134"/>
    <cellStyle name="Cálculo 4 4 4 4" xfId="7135"/>
    <cellStyle name="Cálculo 4 4 5" xfId="7136"/>
    <cellStyle name="Cálculo 4 4 6" xfId="7137"/>
    <cellStyle name="Cálculo 4 4 7" xfId="7138"/>
    <cellStyle name="Cálculo 4 4 8" xfId="7139"/>
    <cellStyle name="Cálculo 4 5" xfId="7140"/>
    <cellStyle name="Cálculo 4 5 2" xfId="7141"/>
    <cellStyle name="Cálculo 4 5 2 2" xfId="7142"/>
    <cellStyle name="Cálculo 4 5 2 3" xfId="7143"/>
    <cellStyle name="Cálculo 4 5 2 4" xfId="7144"/>
    <cellStyle name="Cálculo 4 5 3" xfId="7145"/>
    <cellStyle name="Cálculo 4 5 3 2" xfId="7146"/>
    <cellStyle name="Cálculo 4 5 3 3" xfId="7147"/>
    <cellStyle name="Cálculo 4 5 3 4" xfId="7148"/>
    <cellStyle name="Cálculo 4 5 4" xfId="7149"/>
    <cellStyle name="Cálculo 4 5 4 2" xfId="7150"/>
    <cellStyle name="Cálculo 4 5 4 3" xfId="7151"/>
    <cellStyle name="Cálculo 4 5 4 4" xfId="7152"/>
    <cellStyle name="Cálculo 4 5 5" xfId="7153"/>
    <cellStyle name="Cálculo 4 5 6" xfId="7154"/>
    <cellStyle name="Cálculo 4 5 7" xfId="7155"/>
    <cellStyle name="Cálculo 4 5 8" xfId="7156"/>
    <cellStyle name="Cálculo 4 6" xfId="7157"/>
    <cellStyle name="Cálculo 4 6 2" xfId="7158"/>
    <cellStyle name="Cálculo 4 6 2 2" xfId="7159"/>
    <cellStyle name="Cálculo 4 6 2 3" xfId="7160"/>
    <cellStyle name="Cálculo 4 6 2 4" xfId="7161"/>
    <cellStyle name="Cálculo 4 6 3" xfId="7162"/>
    <cellStyle name="Cálculo 4 6 3 2" xfId="7163"/>
    <cellStyle name="Cálculo 4 6 3 3" xfId="7164"/>
    <cellStyle name="Cálculo 4 6 3 4" xfId="7165"/>
    <cellStyle name="Cálculo 4 6 4" xfId="7166"/>
    <cellStyle name="Cálculo 4 6 4 2" xfId="7167"/>
    <cellStyle name="Cálculo 4 6 4 3" xfId="7168"/>
    <cellStyle name="Cálculo 4 6 4 4" xfId="7169"/>
    <cellStyle name="Cálculo 4 6 5" xfId="7170"/>
    <cellStyle name="Cálculo 4 6 6" xfId="7171"/>
    <cellStyle name="Cálculo 4 6 7" xfId="7172"/>
    <cellStyle name="Cálculo 4 6 8" xfId="7173"/>
    <cellStyle name="Cálculo 4 7" xfId="7174"/>
    <cellStyle name="Cálculo 4 7 2" xfId="7175"/>
    <cellStyle name="Cálculo 4 7 2 2" xfId="7176"/>
    <cellStyle name="Cálculo 4 7 2 3" xfId="7177"/>
    <cellStyle name="Cálculo 4 7 2 4" xfId="7178"/>
    <cellStyle name="Cálculo 4 7 3" xfId="7179"/>
    <cellStyle name="Cálculo 4 7 3 2" xfId="7180"/>
    <cellStyle name="Cálculo 4 7 3 3" xfId="7181"/>
    <cellStyle name="Cálculo 4 7 3 4" xfId="7182"/>
    <cellStyle name="Cálculo 4 7 4" xfId="7183"/>
    <cellStyle name="Cálculo 4 7 4 2" xfId="7184"/>
    <cellStyle name="Cálculo 4 7 4 3" xfId="7185"/>
    <cellStyle name="Cálculo 4 7 4 4" xfId="7186"/>
    <cellStyle name="Cálculo 4 7 5" xfId="7187"/>
    <cellStyle name="Cálculo 4 7 6" xfId="7188"/>
    <cellStyle name="Cálculo 4 7 7" xfId="7189"/>
    <cellStyle name="Cálculo 4 7 8" xfId="7190"/>
    <cellStyle name="Cálculo 4 8" xfId="7191"/>
    <cellStyle name="Cálculo 4 8 2" xfId="7192"/>
    <cellStyle name="Cálculo 4 8 3" xfId="7193"/>
    <cellStyle name="Cálculo 4 8 4" xfId="7194"/>
    <cellStyle name="Cálculo 4 9" xfId="7195"/>
    <cellStyle name="Cálculo 4 9 2" xfId="7196"/>
    <cellStyle name="Cálculo 4 9 3" xfId="7197"/>
    <cellStyle name="Cálculo 4 9 4" xfId="7198"/>
    <cellStyle name="Cancel" xfId="7199"/>
    <cellStyle name="Cancel 2" xfId="7200"/>
    <cellStyle name="Cartouche" xfId="53144"/>
    <cellStyle name="Cartouche 2" xfId="53145"/>
    <cellStyle name="CartoucheDroit" xfId="53146"/>
    <cellStyle name="CartoucheDroit 2" xfId="53147"/>
    <cellStyle name="category" xfId="7201"/>
    <cellStyle name="Celda de comprobación 2" xfId="7202"/>
    <cellStyle name="Celda de comprobación 3" xfId="7203"/>
    <cellStyle name="Celda de comprobación 4" xfId="7204"/>
    <cellStyle name="Celda vinculada 2" xfId="7205"/>
    <cellStyle name="Celda vinculada 3" xfId="7206"/>
    <cellStyle name="Celda vinculada 4" xfId="7207"/>
    <cellStyle name="cell" xfId="7208"/>
    <cellStyle name="cell 10" xfId="7209"/>
    <cellStyle name="cell 11" xfId="7210"/>
    <cellStyle name="cell 12" xfId="7211"/>
    <cellStyle name="cell 13" xfId="7212"/>
    <cellStyle name="cell 14" xfId="7213"/>
    <cellStyle name="cell 2" xfId="7214"/>
    <cellStyle name="cell 2 2" xfId="7215"/>
    <cellStyle name="cell 2 2 2" xfId="7216"/>
    <cellStyle name="cell 2 3" xfId="7217"/>
    <cellStyle name="cell 2 4" xfId="7218"/>
    <cellStyle name="cell 2 4 2" xfId="7219"/>
    <cellStyle name="cell 3" xfId="7220"/>
    <cellStyle name="cell 3 2" xfId="7221"/>
    <cellStyle name="cell 3 3" xfId="7222"/>
    <cellStyle name="cell 4" xfId="7223"/>
    <cellStyle name="cell 4 2" xfId="7224"/>
    <cellStyle name="cell 5" xfId="7225"/>
    <cellStyle name="cell 5 2" xfId="7226"/>
    <cellStyle name="cell 5 3" xfId="7227"/>
    <cellStyle name="cell 5 4" xfId="7228"/>
    <cellStyle name="cell 6" xfId="7229"/>
    <cellStyle name="cell 6 2" xfId="7230"/>
    <cellStyle name="cell 7" xfId="7231"/>
    <cellStyle name="cell 7 2" xfId="7232"/>
    <cellStyle name="cell 8" xfId="7233"/>
    <cellStyle name="cell 8 2" xfId="7234"/>
    <cellStyle name="cell 9" xfId="7235"/>
    <cellStyle name="cell 9 2" xfId="7236"/>
    <cellStyle name="cell_Análisis Comscore" xfId="7237"/>
    <cellStyle name="Cellule liée" xfId="53148"/>
    <cellStyle name="Cellule liée 2" xfId="53149"/>
    <cellStyle name="Célula de Verificação" xfId="7238"/>
    <cellStyle name="Célula Vinculada" xfId="7239"/>
    <cellStyle name="ch" xfId="7240"/>
    <cellStyle name="ch 10" xfId="7241"/>
    <cellStyle name="ch 11" xfId="7242"/>
    <cellStyle name="ch 12" xfId="7243"/>
    <cellStyle name="ch 13" xfId="7244"/>
    <cellStyle name="ch 14" xfId="7245"/>
    <cellStyle name="ch 2" xfId="7246"/>
    <cellStyle name="ch 2 2" xfId="7247"/>
    <cellStyle name="ch 2 2 2" xfId="7248"/>
    <cellStyle name="ch 2 3" xfId="7249"/>
    <cellStyle name="ch 2 4" xfId="7250"/>
    <cellStyle name="ch 2 4 2" xfId="7251"/>
    <cellStyle name="ch 3" xfId="7252"/>
    <cellStyle name="ch 3 2" xfId="7253"/>
    <cellStyle name="ch 3 3" xfId="7254"/>
    <cellStyle name="ch 4" xfId="7255"/>
    <cellStyle name="ch 4 2" xfId="7256"/>
    <cellStyle name="ch 5" xfId="7257"/>
    <cellStyle name="ch 5 2" xfId="7258"/>
    <cellStyle name="ch 5 3" xfId="7259"/>
    <cellStyle name="ch 5 4" xfId="7260"/>
    <cellStyle name="ch 6" xfId="7261"/>
    <cellStyle name="ch 6 2" xfId="7262"/>
    <cellStyle name="ch 7" xfId="7263"/>
    <cellStyle name="ch 7 2" xfId="7264"/>
    <cellStyle name="ch 8" xfId="7265"/>
    <cellStyle name="ch 8 2" xfId="7266"/>
    <cellStyle name="ch 9" xfId="7267"/>
    <cellStyle name="ch 9 2" xfId="7268"/>
    <cellStyle name="ch_Análisis Comscore" xfId="7269"/>
    <cellStyle name="Check Cell" xfId="7270"/>
    <cellStyle name="Check Cell 2" xfId="7271"/>
    <cellStyle name="Check Cell 3" xfId="7272"/>
    <cellStyle name="Check Cell_Plan Campaña Día de la Madre 2010 - v2" xfId="7273"/>
    <cellStyle name="Col $" xfId="7274"/>
    <cellStyle name="Col $ 2" xfId="7275"/>
    <cellStyle name="Col $ 2 2" xfId="7276"/>
    <cellStyle name="Col $ 2 2 2" xfId="7277"/>
    <cellStyle name="Col $ 2 3" xfId="7278"/>
    <cellStyle name="Col $ 2 4" xfId="7279"/>
    <cellStyle name="Col $ 2 5" xfId="7280"/>
    <cellStyle name="Col $ 3" xfId="7281"/>
    <cellStyle name="Col $ 3 2" xfId="7282"/>
    <cellStyle name="Col $ 3 3" xfId="7283"/>
    <cellStyle name="Col $ 4" xfId="7284"/>
    <cellStyle name="Col Unidad" xfId="7285"/>
    <cellStyle name="Col Unidad 2" xfId="7286"/>
    <cellStyle name="Col Unidad 2 2" xfId="7287"/>
    <cellStyle name="Col Unidad 2 2 2" xfId="7288"/>
    <cellStyle name="Col Unidad 2 3" xfId="7289"/>
    <cellStyle name="Col Unidad 2 4" xfId="7290"/>
    <cellStyle name="Col Unidad 2 5" xfId="7291"/>
    <cellStyle name="Col Unidad 3" xfId="7292"/>
    <cellStyle name="Col Unidad 3 2" xfId="7293"/>
    <cellStyle name="Col Unidad 3 3" xfId="7294"/>
    <cellStyle name="Col Unidad 4" xfId="7295"/>
    <cellStyle name="Column Heading" xfId="53150"/>
    <cellStyle name="Comma" xfId="8" builtinId="3"/>
    <cellStyle name="Comma [00]" xfId="7296"/>
    <cellStyle name="Comma [00] 2" xfId="7297"/>
    <cellStyle name="Comma [00] 3" xfId="7298"/>
    <cellStyle name="Comma 11" xfId="7299"/>
    <cellStyle name="Comma 11 2" xfId="7300"/>
    <cellStyle name="Comma 11 2 2" xfId="7301"/>
    <cellStyle name="Comma 11 2 3" xfId="7302"/>
    <cellStyle name="Comma 11 3" xfId="7303"/>
    <cellStyle name="Comma 11 4" xfId="7304"/>
    <cellStyle name="Comma 2" xfId="76"/>
    <cellStyle name="Comma 2 2" xfId="7305"/>
    <cellStyle name="Comma 2 2 2" xfId="7306"/>
    <cellStyle name="Comma 2 2 3" xfId="7307"/>
    <cellStyle name="Comma 2 3" xfId="7308"/>
    <cellStyle name="Comma 2 4" xfId="7309"/>
    <cellStyle name="Comma 3" xfId="7310"/>
    <cellStyle name="Comma 3 2" xfId="53151"/>
    <cellStyle name="Comma 3 2 2" xfId="53152"/>
    <cellStyle name="Comma 3 3" xfId="53153"/>
    <cellStyle name="comma zerodec" xfId="7311"/>
    <cellStyle name="comma zerodec 2" xfId="7312"/>
    <cellStyle name="Comma0" xfId="7313"/>
    <cellStyle name="Comma0 2" xfId="7314"/>
    <cellStyle name="Commentaire" xfId="53154"/>
    <cellStyle name="Commentaire 2" xfId="53155"/>
    <cellStyle name="Commentaire 2 2" xfId="53156"/>
    <cellStyle name="Commentaire 3" xfId="53157"/>
    <cellStyle name="Commentaire 4" xfId="53158"/>
    <cellStyle name="Copied" xfId="7315"/>
    <cellStyle name="COST1" xfId="7316"/>
    <cellStyle name="COST1 10" xfId="7317"/>
    <cellStyle name="COST1 11" xfId="7318"/>
    <cellStyle name="COST1 12" xfId="7319"/>
    <cellStyle name="COST1 13" xfId="7320"/>
    <cellStyle name="COST1 14" xfId="7321"/>
    <cellStyle name="COST1 15" xfId="7322"/>
    <cellStyle name="COST1 16" xfId="7323"/>
    <cellStyle name="COST1 17" xfId="7324"/>
    <cellStyle name="COST1 18" xfId="7325"/>
    <cellStyle name="COST1 19" xfId="7326"/>
    <cellStyle name="COST1 2" xfId="7327"/>
    <cellStyle name="COST1 20" xfId="7328"/>
    <cellStyle name="COST1 21" xfId="7329"/>
    <cellStyle name="COST1 22" xfId="7330"/>
    <cellStyle name="COST1 23" xfId="7331"/>
    <cellStyle name="COST1 3" xfId="7332"/>
    <cellStyle name="COST1 4" xfId="7333"/>
    <cellStyle name="COST1 5" xfId="7334"/>
    <cellStyle name="COST1 6" xfId="7335"/>
    <cellStyle name="COST1 7" xfId="7336"/>
    <cellStyle name="COST1 8" xfId="7337"/>
    <cellStyle name="COST1 9" xfId="7338"/>
    <cellStyle name="Currency" xfId="11"/>
    <cellStyle name="Currency [00]" xfId="7339"/>
    <cellStyle name="Currency [00] 2" xfId="7340"/>
    <cellStyle name="Currency [00] 3" xfId="7341"/>
    <cellStyle name="Currency 2" xfId="7342"/>
    <cellStyle name="Currency 2 2" xfId="7343"/>
    <cellStyle name="Currency 2 2 2" xfId="7344"/>
    <cellStyle name="Currency 2 2 3" xfId="7345"/>
    <cellStyle name="Currency 2 3" xfId="7346"/>
    <cellStyle name="Currency 2 4" xfId="7347"/>
    <cellStyle name="Currency 3" xfId="53159"/>
    <cellStyle name="Currency 4" xfId="53160"/>
    <cellStyle name="Currency 5" xfId="53161"/>
    <cellStyle name="Currency 6" xfId="53162"/>
    <cellStyle name="Currency0" xfId="7348"/>
    <cellStyle name="Currency1" xfId="7349"/>
    <cellStyle name="Currency1 2" xfId="7350"/>
    <cellStyle name="CurrencyBlanc" xfId="53163"/>
    <cellStyle name="CurrencyBlanc 2" xfId="53164"/>
    <cellStyle name="CurrencyBlanc1decimal" xfId="53165"/>
    <cellStyle name="CurrencyBlanc1decimal 2" xfId="53166"/>
    <cellStyle name="CurrencyBlancBordDroitFonceGrasPercent" xfId="53167"/>
    <cellStyle name="CurrencyBlancBordDroitFonceGrasPercent 2" xfId="53168"/>
    <cellStyle name="CurrencyBlancBordDroitFoncePercent" xfId="53169"/>
    <cellStyle name="CurrencyBlancBordDroitFoncePercent 2" xfId="53170"/>
    <cellStyle name="CurrencyBlancBordGauche" xfId="53171"/>
    <cellStyle name="CurrencyBlancBordGauche 2" xfId="53172"/>
    <cellStyle name="CurrencyBlancBordGauche1decimal" xfId="53173"/>
    <cellStyle name="CurrencyBlancBordGauche1decimal 2" xfId="53174"/>
    <cellStyle name="CurrencyBlancBordGauche2" xfId="53175"/>
    <cellStyle name="CurrencyBlancBordGauche2 2" xfId="53176"/>
    <cellStyle name="CurrencyBlancBordGauche2Gras" xfId="53177"/>
    <cellStyle name="CurrencyBlancBordGauche2Gras 2" xfId="53178"/>
    <cellStyle name="CurrencyBlancBordGaucheGras" xfId="53179"/>
    <cellStyle name="CurrencyBlancBordGaucheGras 2" xfId="53180"/>
    <cellStyle name="CurrencyBlancBordGaucheGrasPercent" xfId="53181"/>
    <cellStyle name="CurrencyBlancBordGaucheGrasPercent 2" xfId="53182"/>
    <cellStyle name="CurrencyBlancBordGauchePercent" xfId="53183"/>
    <cellStyle name="CurrencyBlancBordGauchePercent 2" xfId="53184"/>
    <cellStyle name="CurrencyBlancBordGris" xfId="53185"/>
    <cellStyle name="CurrencyBlancBordGris 2" xfId="53186"/>
    <cellStyle name="CurrencyBlancBordGris 2 2" xfId="53187"/>
    <cellStyle name="CurrencyBordGaucheDroitBasGris" xfId="53188"/>
    <cellStyle name="CurrencyBordGaucheDroitBasGris 2" xfId="53189"/>
    <cellStyle name="CurrencyBordGaucheDroitHautGris" xfId="53190"/>
    <cellStyle name="CurrencyBordGaucheDroitHautGris 2" xfId="53191"/>
    <cellStyle name="CurrencyBordGaucheDroitHautGris 3" xfId="53192"/>
    <cellStyle name="CurrencyBordGris" xfId="53193"/>
    <cellStyle name="CurrencyBordGris 2" xfId="53194"/>
    <cellStyle name="CurrencyBordGris 2 2" xfId="53195"/>
    <cellStyle name="CurrencyBordGris 3" xfId="53196"/>
    <cellStyle name="CurrencyBordHaut" xfId="53197"/>
    <cellStyle name="CurrencyBordHaut 2" xfId="53198"/>
    <cellStyle name="CurrencyCentre" xfId="53199"/>
    <cellStyle name="CurrencyCentre 2" xfId="53200"/>
    <cellStyle name="CurrencyDeuxDecimalesBordGaucheBordDroitGris" xfId="53201"/>
    <cellStyle name="CurrencyDeuxDecimalesBordGaucheBordDroitGris 2" xfId="53202"/>
    <cellStyle name="CurrencyDeuxDecimalesGrasBordGaucheBordDroitGris" xfId="53203"/>
    <cellStyle name="CurrencyDeuxDecimalesGrasBordGaucheBordDroitGris 2" xfId="53204"/>
    <cellStyle name="CurrencyFondJaune" xfId="53205"/>
    <cellStyle name="CurrencyFondJaune 2" xfId="53206"/>
    <cellStyle name="CurrencyFondJauneBordHaut" xfId="53207"/>
    <cellStyle name="CurrencyFondJauneBordHaut 2" xfId="53208"/>
    <cellStyle name="CurrencyGras" xfId="53209"/>
    <cellStyle name="CurrencyGras 2" xfId="53210"/>
    <cellStyle name="CurrencyGrasItalic" xfId="53211"/>
    <cellStyle name="CurrencyGrasItalic 2" xfId="53212"/>
    <cellStyle name="CurrencyGrasSansBords" xfId="53213"/>
    <cellStyle name="CurrencyGrasSansBords 2" xfId="53214"/>
    <cellStyle name="CurrencyGrasSansBords 3" xfId="53215"/>
    <cellStyle name="CurrencyGrasSansBordsFondGris" xfId="53216"/>
    <cellStyle name="CurrencyGrasSansBordsFondGris 2" xfId="53217"/>
    <cellStyle name="CurrencyItalic" xfId="53218"/>
    <cellStyle name="CurrencyItalic 2" xfId="53219"/>
    <cellStyle name="CurrencyTableau" xfId="53220"/>
    <cellStyle name="CurrencyTableau 2" xfId="53221"/>
    <cellStyle name="CurrencyTotal" xfId="53222"/>
    <cellStyle name="CurrencyTotal 2" xfId="53223"/>
    <cellStyle name="CurrencyTotalBlanc" xfId="53224"/>
    <cellStyle name="CurrencyTotalBlanc 2" xfId="53225"/>
    <cellStyle name="CurrencyTotalBlancBordGauche" xfId="53226"/>
    <cellStyle name="CurrencyTotalBlancBordGauche 2" xfId="53227"/>
    <cellStyle name="CurrencyTotalBordGauche" xfId="53228"/>
    <cellStyle name="CurrencyTotalBordGauche 2" xfId="53229"/>
    <cellStyle name="CurrencyTotalBordGaucheBordDroitNoir" xfId="53230"/>
    <cellStyle name="CurrencyTotalBordGaucheBordDroitNoir 2" xfId="53231"/>
    <cellStyle name="CurrencyTotalGras" xfId="53232"/>
    <cellStyle name="CurrencyTotalGras 2" xfId="53233"/>
    <cellStyle name="CurrencyTotalGrasItalic" xfId="53234"/>
    <cellStyle name="CurrencyTotalGrasItalic 2" xfId="53235"/>
    <cellStyle name="CurrencyTotalItalic" xfId="53236"/>
    <cellStyle name="CurrencyTotalItalic 2" xfId="53237"/>
    <cellStyle name="CurrencyTousBords" xfId="53238"/>
    <cellStyle name="CurrencyTousBords 2" xfId="53239"/>
    <cellStyle name="Cyndie" xfId="7351"/>
    <cellStyle name="dah" xfId="7352"/>
    <cellStyle name="dah 2" xfId="7353"/>
    <cellStyle name="dah 3" xfId="7354"/>
    <cellStyle name="dah 4" xfId="7355"/>
    <cellStyle name="dan" xfId="7356"/>
    <cellStyle name="dan 2" xfId="7357"/>
    <cellStyle name="dan 3" xfId="7358"/>
    <cellStyle name="dan 4" xfId="7359"/>
    <cellStyle name="Dane wejściowe" xfId="53240"/>
    <cellStyle name="Dane wejściowe 2" xfId="53241"/>
    <cellStyle name="Dane wejściowe 2 2" xfId="53242"/>
    <cellStyle name="Dane wejściowe 3" xfId="53243"/>
    <cellStyle name="Dane wyjściowe" xfId="53244"/>
    <cellStyle name="Dane wyjściowe 2" xfId="53245"/>
    <cellStyle name="Date" xfId="7360"/>
    <cellStyle name="Date 2" xfId="7361"/>
    <cellStyle name="Date Short" xfId="7362"/>
    <cellStyle name="Date_Book1" xfId="7363"/>
    <cellStyle name="DefaultBleu" xfId="53246"/>
    <cellStyle name="DefaultBleu 2" xfId="53247"/>
    <cellStyle name="DefaultBordGauche" xfId="53248"/>
    <cellStyle name="DefaultBordGauche 2" xfId="53249"/>
    <cellStyle name="DefaultBordGaucheBordDroitBordBasGrisAlignementDroite" xfId="53250"/>
    <cellStyle name="DefaultBordGaucheBordDroitBordBasGrisAlignementDroite 2" xfId="53251"/>
    <cellStyle name="DefaultBordGaucheBordDroitBordBasGrisAlignementDroite 3" xfId="53252"/>
    <cellStyle name="DefaultBordGaucheBordDroitBordBasGrisAlignementGauche" xfId="53253"/>
    <cellStyle name="DefaultBordGaucheBordDroitBordBasGrisAlignementGauche 2" xfId="53254"/>
    <cellStyle name="DefaultBordGaucheBordDroitBordBasGrisAlignementGauche 3" xfId="53255"/>
    <cellStyle name="DefaultBordGaucheBordDroitBordHautGrisAlignementDroite" xfId="53256"/>
    <cellStyle name="DefaultBordGaucheBordDroitBordHautGrisAlignementDroite 2" xfId="53257"/>
    <cellStyle name="DefaultBordGaucheBordDroitBordHautGrisAlignementGauche" xfId="53258"/>
    <cellStyle name="DefaultBordGaucheBordDroitBordHautGrisAlignementGauche 2" xfId="53259"/>
    <cellStyle name="DefaultBordGaucheBordDroitBordHautGrisAlignementGauche 3" xfId="53260"/>
    <cellStyle name="DefaultBordGaucheBordDroitGrisAlignementGauche" xfId="53261"/>
    <cellStyle name="DefaultBordGaucheBordDroitGrisAlignementGauche 2" xfId="53262"/>
    <cellStyle name="DefaultBordGaucheBordDroitGrisAlignementGauche 3" xfId="53263"/>
    <cellStyle name="DefaultBordGaucheBordDroitNoir" xfId="53264"/>
    <cellStyle name="DefaultBordGaucheBordDroitNoir 2" xfId="53265"/>
    <cellStyle name="DefaultBordGaucheBordGaucheNoir" xfId="53266"/>
    <cellStyle name="DefaultBordGaucheBordGaucheNoir 2" xfId="53267"/>
    <cellStyle name="DefaultBordGris" xfId="53268"/>
    <cellStyle name="DefaultBordGris 2" xfId="53269"/>
    <cellStyle name="DefaultBordGris 2 2" xfId="53270"/>
    <cellStyle name="DefaultBordGris 3" xfId="53271"/>
    <cellStyle name="DefaultBordGris2" xfId="53272"/>
    <cellStyle name="DefaultBordGris2 2" xfId="53273"/>
    <cellStyle name="DefaultBordGrisGras" xfId="53274"/>
    <cellStyle name="DefaultBordGrisGras 2" xfId="53275"/>
    <cellStyle name="DefaultBordGrisGras2" xfId="53276"/>
    <cellStyle name="DefaultBordGrisGras2 2" xfId="53277"/>
    <cellStyle name="DefaultBordHaut" xfId="53278"/>
    <cellStyle name="DefaultBordHaut 2" xfId="53279"/>
    <cellStyle name="DefaultCentre" xfId="53280"/>
    <cellStyle name="DefaultCentre 2" xfId="53281"/>
    <cellStyle name="DefaultCentreBordGris" xfId="53282"/>
    <cellStyle name="DefaultCentreBordGris 2" xfId="53283"/>
    <cellStyle name="DefaultDroit" xfId="53284"/>
    <cellStyle name="DefaultDroit 2" xfId="53285"/>
    <cellStyle name="DefaultFondBlancBordsGaucheDroiteGris" xfId="53286"/>
    <cellStyle name="DefaultFondBlancBordsGaucheDroiteGris 2" xfId="53287"/>
    <cellStyle name="DefaultFondBlancBordsGaucheDroiteGris 3" xfId="53288"/>
    <cellStyle name="DefaultFondJaune" xfId="53289"/>
    <cellStyle name="DefaultFondJaune 2" xfId="53290"/>
    <cellStyle name="DefaultFondJauneBordHaut" xfId="53291"/>
    <cellStyle name="DefaultFondJauneBordHaut 2" xfId="53292"/>
    <cellStyle name="DefaultFondParme" xfId="53293"/>
    <cellStyle name="DefaultFondParme 2" xfId="53294"/>
    <cellStyle name="DefaultFondParmeBordGris" xfId="53295"/>
    <cellStyle name="DefaultFondParmeBordGris 2" xfId="53296"/>
    <cellStyle name="DefaultGras" xfId="53297"/>
    <cellStyle name="DefaultGras 2" xfId="53298"/>
    <cellStyle name="DefaultTousBordsGris" xfId="53299"/>
    <cellStyle name="DefaultTousBordsGris 2" xfId="53300"/>
    <cellStyle name="DefaultTousBordsGrisGras" xfId="53301"/>
    <cellStyle name="DefaultTousBordsGrisGras 2" xfId="53302"/>
    <cellStyle name="Detail" xfId="53303"/>
    <cellStyle name="Detail 2" xfId="53304"/>
    <cellStyle name="DetailCentre" xfId="53305"/>
    <cellStyle name="DetailCentre 2" xfId="53306"/>
    <cellStyle name="DetailCentre 3" xfId="53307"/>
    <cellStyle name="DetailCentreMag" xfId="53308"/>
    <cellStyle name="DetailCentreMag 2" xfId="53309"/>
    <cellStyle name="DetailCentreMag 3" xfId="53310"/>
    <cellStyle name="DetailGauche" xfId="53311"/>
    <cellStyle name="DetailGauche 2" xfId="53312"/>
    <cellStyle name="DetailGauche 3" xfId="53313"/>
    <cellStyle name="DetailGaucheMag" xfId="53314"/>
    <cellStyle name="DetailGaucheMag 2" xfId="53315"/>
    <cellStyle name="DetailMag" xfId="53316"/>
    <cellStyle name="DetailMag 2" xfId="53317"/>
    <cellStyle name="Detalle Cuentas" xfId="7364"/>
    <cellStyle name="Detalle Cuentas 2" xfId="7365"/>
    <cellStyle name="Detalle Cuentas 3" xfId="7366"/>
    <cellStyle name="Dezimal [0]_Sky Team" xfId="7367"/>
    <cellStyle name="Dezimal 2" xfId="53318"/>
    <cellStyle name="Dezimal 2 2" xfId="53319"/>
    <cellStyle name="Dezimal 3" xfId="53320"/>
    <cellStyle name="Dezimal_Sky Team" xfId="7368"/>
    <cellStyle name="Diseño" xfId="7369"/>
    <cellStyle name="Diseño 10" xfId="7370"/>
    <cellStyle name="Diseño 11" xfId="7371"/>
    <cellStyle name="Diseño 12" xfId="7372"/>
    <cellStyle name="Diseño 12 2" xfId="7373"/>
    <cellStyle name="Diseño 12 3" xfId="7374"/>
    <cellStyle name="Diseño 13" xfId="7375"/>
    <cellStyle name="Diseño 14" xfId="7376"/>
    <cellStyle name="Diseño 15" xfId="7377"/>
    <cellStyle name="Diseño 16" xfId="7378"/>
    <cellStyle name="Diseño 2" xfId="7379"/>
    <cellStyle name="Diseño 2 2" xfId="7380"/>
    <cellStyle name="Diseño 2 2 2" xfId="7381"/>
    <cellStyle name="Diseño 2 2 3" xfId="7382"/>
    <cellStyle name="Diseño 2 3" xfId="7383"/>
    <cellStyle name="Diseño 2 4" xfId="7384"/>
    <cellStyle name="Diseño 3" xfId="7385"/>
    <cellStyle name="Diseño 3 2" xfId="7386"/>
    <cellStyle name="Diseño 3 3" xfId="7387"/>
    <cellStyle name="Diseño 4" xfId="7388"/>
    <cellStyle name="Diseño 5" xfId="7389"/>
    <cellStyle name="Diseño 6" xfId="7390"/>
    <cellStyle name="Diseño 7" xfId="7391"/>
    <cellStyle name="Diseño 8" xfId="7392"/>
    <cellStyle name="Diseño 9" xfId="7393"/>
    <cellStyle name="Diseño_~8403216" xfId="7394"/>
    <cellStyle name="Dobre" xfId="53321"/>
    <cellStyle name="Dollar (zero dec)" xfId="7395"/>
    <cellStyle name="Dollar (zero dec) 2" xfId="7396"/>
    <cellStyle name="Droit" xfId="53322"/>
    <cellStyle name="Droit 2" xfId="53323"/>
    <cellStyle name="Droit 3" xfId="53324"/>
    <cellStyle name="DroitEuro" xfId="53325"/>
    <cellStyle name="DroitEuro 2" xfId="53326"/>
    <cellStyle name="DroitEuro 3" xfId="53327"/>
    <cellStyle name="Dziesiętny 2" xfId="7397"/>
    <cellStyle name="Dziesiętny 3" xfId="7398"/>
    <cellStyle name="Ecran" xfId="53328"/>
    <cellStyle name="Ecran 2" xfId="53329"/>
    <cellStyle name="EcranBordGris" xfId="53330"/>
    <cellStyle name="EcranBordGris 2" xfId="53331"/>
    <cellStyle name="EcranBordGris 2 2" xfId="53332"/>
    <cellStyle name="EcranBordGris 3" xfId="53333"/>
    <cellStyle name="EcranBordGris 3 2" xfId="53334"/>
    <cellStyle name="EcranBordGris 4" xfId="53335"/>
    <cellStyle name="EcranBordGris 4 2" xfId="53336"/>
    <cellStyle name="EcranBordGris 5" xfId="53337"/>
    <cellStyle name="EcranBordGris 5 2" xfId="53338"/>
    <cellStyle name="EcranBordGris 6" xfId="53339"/>
    <cellStyle name="EcranBordGris 6 2" xfId="53340"/>
    <cellStyle name="EcranBordGris 7" xfId="53341"/>
    <cellStyle name="EcranBordHaut" xfId="53342"/>
    <cellStyle name="EcranBordHaut 2" xfId="53343"/>
    <cellStyle name="EcranTableau" xfId="53344"/>
    <cellStyle name="EcranTableau 2" xfId="53345"/>
    <cellStyle name="Eingabe" xfId="7399"/>
    <cellStyle name="Eingabe 10" xfId="7400"/>
    <cellStyle name="Eingabe 11" xfId="7401"/>
    <cellStyle name="Eingabe 2" xfId="7402"/>
    <cellStyle name="Eingabe 2 2" xfId="7403"/>
    <cellStyle name="Eingabe 2 2 2" xfId="7404"/>
    <cellStyle name="Eingabe 2 2 2 2" xfId="7405"/>
    <cellStyle name="Eingabe 2 2 2 3" xfId="7406"/>
    <cellStyle name="Eingabe 2 2 2 4" xfId="7407"/>
    <cellStyle name="Eingabe 2 2 3" xfId="7408"/>
    <cellStyle name="Eingabe 2 2 3 2" xfId="7409"/>
    <cellStyle name="Eingabe 2 2 3 3" xfId="7410"/>
    <cellStyle name="Eingabe 2 2 3 4" xfId="7411"/>
    <cellStyle name="Eingabe 2 2 4" xfId="7412"/>
    <cellStyle name="Eingabe 2 2 4 2" xfId="7413"/>
    <cellStyle name="Eingabe 2 2 4 3" xfId="7414"/>
    <cellStyle name="Eingabe 2 2 4 4" xfId="7415"/>
    <cellStyle name="Eingabe 2 2 5" xfId="7416"/>
    <cellStyle name="Eingabe 2 2 6" xfId="7417"/>
    <cellStyle name="Eingabe 2 2 7" xfId="7418"/>
    <cellStyle name="Eingabe 2 2 8" xfId="7419"/>
    <cellStyle name="Eingabe 2 3" xfId="7420"/>
    <cellStyle name="Eingabe 2 3 2" xfId="7421"/>
    <cellStyle name="Eingabe 2 3 2 2" xfId="7422"/>
    <cellStyle name="Eingabe 2 3 2 3" xfId="7423"/>
    <cellStyle name="Eingabe 2 3 2 4" xfId="7424"/>
    <cellStyle name="Eingabe 2 3 3" xfId="7425"/>
    <cellStyle name="Eingabe 2 3 3 2" xfId="7426"/>
    <cellStyle name="Eingabe 2 3 3 3" xfId="7427"/>
    <cellStyle name="Eingabe 2 3 3 4" xfId="7428"/>
    <cellStyle name="Eingabe 2 3 4" xfId="7429"/>
    <cellStyle name="Eingabe 2 3 4 2" xfId="7430"/>
    <cellStyle name="Eingabe 2 3 4 3" xfId="7431"/>
    <cellStyle name="Eingabe 2 3 4 4" xfId="7432"/>
    <cellStyle name="Eingabe 2 3 5" xfId="7433"/>
    <cellStyle name="Eingabe 2 3 6" xfId="7434"/>
    <cellStyle name="Eingabe 2 3 7" xfId="7435"/>
    <cellStyle name="Eingabe 2 3 8" xfId="7436"/>
    <cellStyle name="Eingabe 2 4" xfId="7437"/>
    <cellStyle name="Eingabe 2 4 2" xfId="7438"/>
    <cellStyle name="Eingabe 2 4 2 2" xfId="7439"/>
    <cellStyle name="Eingabe 2 4 2 3" xfId="7440"/>
    <cellStyle name="Eingabe 2 4 2 4" xfId="7441"/>
    <cellStyle name="Eingabe 2 4 3" xfId="7442"/>
    <cellStyle name="Eingabe 2 4 3 2" xfId="7443"/>
    <cellStyle name="Eingabe 2 4 3 3" xfId="7444"/>
    <cellStyle name="Eingabe 2 4 3 4" xfId="7445"/>
    <cellStyle name="Eingabe 2 4 4" xfId="7446"/>
    <cellStyle name="Eingabe 2 4 4 2" xfId="7447"/>
    <cellStyle name="Eingabe 2 4 4 3" xfId="7448"/>
    <cellStyle name="Eingabe 2 4 4 4" xfId="7449"/>
    <cellStyle name="Eingabe 2 4 5" xfId="7450"/>
    <cellStyle name="Eingabe 2 4 6" xfId="7451"/>
    <cellStyle name="Eingabe 2 4 7" xfId="7452"/>
    <cellStyle name="Eingabe 2 4 8" xfId="7453"/>
    <cellStyle name="Eingabe 2 5" xfId="7454"/>
    <cellStyle name="Eingabe 2 5 2" xfId="7455"/>
    <cellStyle name="Eingabe 2 5 2 2" xfId="7456"/>
    <cellStyle name="Eingabe 2 5 2 3" xfId="7457"/>
    <cellStyle name="Eingabe 2 5 2 4" xfId="7458"/>
    <cellStyle name="Eingabe 2 5 3" xfId="7459"/>
    <cellStyle name="Eingabe 2 5 3 2" xfId="7460"/>
    <cellStyle name="Eingabe 2 5 3 3" xfId="7461"/>
    <cellStyle name="Eingabe 2 5 3 4" xfId="7462"/>
    <cellStyle name="Eingabe 2 5 4" xfId="7463"/>
    <cellStyle name="Eingabe 2 5 4 2" xfId="7464"/>
    <cellStyle name="Eingabe 2 5 4 3" xfId="7465"/>
    <cellStyle name="Eingabe 2 5 4 4" xfId="7466"/>
    <cellStyle name="Eingabe 2 5 5" xfId="7467"/>
    <cellStyle name="Eingabe 2 5 6" xfId="7468"/>
    <cellStyle name="Eingabe 2 5 7" xfId="7469"/>
    <cellStyle name="Eingabe 2 5 8" xfId="7470"/>
    <cellStyle name="Eingabe 2 6" xfId="7471"/>
    <cellStyle name="Eingabe 2 6 2" xfId="7472"/>
    <cellStyle name="Eingabe 2 6 3" xfId="7473"/>
    <cellStyle name="Eingabe 2 6 4" xfId="7474"/>
    <cellStyle name="Eingabe 2 7" xfId="7475"/>
    <cellStyle name="Eingabe 2 7 2" xfId="7476"/>
    <cellStyle name="Eingabe 2 7 3" xfId="7477"/>
    <cellStyle name="Eingabe 2 7 4" xfId="7478"/>
    <cellStyle name="Eingabe 2 8" xfId="7479"/>
    <cellStyle name="Eingabe 2 9" xfId="7480"/>
    <cellStyle name="Eingabe 3" xfId="7481"/>
    <cellStyle name="Eingabe 3 2" xfId="7482"/>
    <cellStyle name="Eingabe 3 2 2" xfId="7483"/>
    <cellStyle name="Eingabe 3 2 3" xfId="7484"/>
    <cellStyle name="Eingabe 3 2 4" xfId="7485"/>
    <cellStyle name="Eingabe 3 3" xfId="7486"/>
    <cellStyle name="Eingabe 3 3 2" xfId="7487"/>
    <cellStyle name="Eingabe 3 3 3" xfId="7488"/>
    <cellStyle name="Eingabe 3 3 4" xfId="7489"/>
    <cellStyle name="Eingabe 3 4" xfId="7490"/>
    <cellStyle name="Eingabe 3 4 2" xfId="7491"/>
    <cellStyle name="Eingabe 3 4 3" xfId="7492"/>
    <cellStyle name="Eingabe 3 4 4" xfId="7493"/>
    <cellStyle name="Eingabe 3 5" xfId="7494"/>
    <cellStyle name="Eingabe 3 6" xfId="7495"/>
    <cellStyle name="Eingabe 3 7" xfId="7496"/>
    <cellStyle name="Eingabe 3 8" xfId="7497"/>
    <cellStyle name="Eingabe 4" xfId="7498"/>
    <cellStyle name="Eingabe 4 2" xfId="7499"/>
    <cellStyle name="Eingabe 4 2 2" xfId="7500"/>
    <cellStyle name="Eingabe 4 2 3" xfId="7501"/>
    <cellStyle name="Eingabe 4 2 4" xfId="7502"/>
    <cellStyle name="Eingabe 4 3" xfId="7503"/>
    <cellStyle name="Eingabe 4 3 2" xfId="7504"/>
    <cellStyle name="Eingabe 4 3 3" xfId="7505"/>
    <cellStyle name="Eingabe 4 3 4" xfId="7506"/>
    <cellStyle name="Eingabe 4 4" xfId="7507"/>
    <cellStyle name="Eingabe 4 4 2" xfId="7508"/>
    <cellStyle name="Eingabe 4 4 3" xfId="7509"/>
    <cellStyle name="Eingabe 4 4 4" xfId="7510"/>
    <cellStyle name="Eingabe 4 5" xfId="7511"/>
    <cellStyle name="Eingabe 4 6" xfId="7512"/>
    <cellStyle name="Eingabe 4 7" xfId="7513"/>
    <cellStyle name="Eingabe 4 8" xfId="7514"/>
    <cellStyle name="Eingabe 5" xfId="7515"/>
    <cellStyle name="Eingabe 5 2" xfId="7516"/>
    <cellStyle name="Eingabe 5 2 2" xfId="7517"/>
    <cellStyle name="Eingabe 5 2 3" xfId="7518"/>
    <cellStyle name="Eingabe 5 2 4" xfId="7519"/>
    <cellStyle name="Eingabe 5 3" xfId="7520"/>
    <cellStyle name="Eingabe 5 3 2" xfId="7521"/>
    <cellStyle name="Eingabe 5 3 3" xfId="7522"/>
    <cellStyle name="Eingabe 5 3 4" xfId="7523"/>
    <cellStyle name="Eingabe 5 4" xfId="7524"/>
    <cellStyle name="Eingabe 5 4 2" xfId="7525"/>
    <cellStyle name="Eingabe 5 4 3" xfId="7526"/>
    <cellStyle name="Eingabe 5 4 4" xfId="7527"/>
    <cellStyle name="Eingabe 5 5" xfId="7528"/>
    <cellStyle name="Eingabe 5 6" xfId="7529"/>
    <cellStyle name="Eingabe 5 7" xfId="7530"/>
    <cellStyle name="Eingabe 5 8" xfId="7531"/>
    <cellStyle name="Eingabe 6" xfId="7532"/>
    <cellStyle name="Eingabe 6 2" xfId="7533"/>
    <cellStyle name="Eingabe 6 2 2" xfId="7534"/>
    <cellStyle name="Eingabe 6 2 3" xfId="7535"/>
    <cellStyle name="Eingabe 6 2 4" xfId="7536"/>
    <cellStyle name="Eingabe 6 3" xfId="7537"/>
    <cellStyle name="Eingabe 6 3 2" xfId="7538"/>
    <cellStyle name="Eingabe 6 3 3" xfId="7539"/>
    <cellStyle name="Eingabe 6 3 4" xfId="7540"/>
    <cellStyle name="Eingabe 6 4" xfId="7541"/>
    <cellStyle name="Eingabe 6 4 2" xfId="7542"/>
    <cellStyle name="Eingabe 6 4 3" xfId="7543"/>
    <cellStyle name="Eingabe 6 4 4" xfId="7544"/>
    <cellStyle name="Eingabe 6 5" xfId="7545"/>
    <cellStyle name="Eingabe 6 6" xfId="7546"/>
    <cellStyle name="Eingabe 6 7" xfId="7547"/>
    <cellStyle name="Eingabe 6 8" xfId="7548"/>
    <cellStyle name="Eingabe 7" xfId="7549"/>
    <cellStyle name="Eingabe 7 2" xfId="7550"/>
    <cellStyle name="Eingabe 7 2 2" xfId="7551"/>
    <cellStyle name="Eingabe 7 2 3" xfId="7552"/>
    <cellStyle name="Eingabe 7 2 4" xfId="7553"/>
    <cellStyle name="Eingabe 7 3" xfId="7554"/>
    <cellStyle name="Eingabe 7 3 2" xfId="7555"/>
    <cellStyle name="Eingabe 7 3 3" xfId="7556"/>
    <cellStyle name="Eingabe 7 3 4" xfId="7557"/>
    <cellStyle name="Eingabe 7 4" xfId="7558"/>
    <cellStyle name="Eingabe 7 4 2" xfId="7559"/>
    <cellStyle name="Eingabe 7 4 3" xfId="7560"/>
    <cellStyle name="Eingabe 7 4 4" xfId="7561"/>
    <cellStyle name="Eingabe 7 5" xfId="7562"/>
    <cellStyle name="Eingabe 7 6" xfId="7563"/>
    <cellStyle name="Eingabe 7 7" xfId="7564"/>
    <cellStyle name="Eingabe 7 8" xfId="7565"/>
    <cellStyle name="Eingabe 8" xfId="7566"/>
    <cellStyle name="Eingabe 8 2" xfId="7567"/>
    <cellStyle name="Eingabe 8 3" xfId="7568"/>
    <cellStyle name="Eingabe 8 4" xfId="7569"/>
    <cellStyle name="Eingabe 9" xfId="7570"/>
    <cellStyle name="Eingabe 9 2" xfId="7571"/>
    <cellStyle name="Eingabe 9 3" xfId="7572"/>
    <cellStyle name="Eingabe 9 4" xfId="7573"/>
    <cellStyle name="Encabezado 4 2" xfId="7574"/>
    <cellStyle name="Encabezado 4 3" xfId="7575"/>
    <cellStyle name="Encabezado 4 4" xfId="7576"/>
    <cellStyle name="Ênfase1" xfId="7577"/>
    <cellStyle name="Ênfase2" xfId="7578"/>
    <cellStyle name="Ênfase3" xfId="7579"/>
    <cellStyle name="Ênfase4" xfId="7580"/>
    <cellStyle name="Ênfase5" xfId="7581"/>
    <cellStyle name="Ênfase6" xfId="7582"/>
    <cellStyle name="Énfasis 1" xfId="7583"/>
    <cellStyle name="Énfasis 2" xfId="7584"/>
    <cellStyle name="Énfasis 3" xfId="7585"/>
    <cellStyle name="Énfasis1 - 20%" xfId="7586"/>
    <cellStyle name="Énfasis1 - 20% 2" xfId="7587"/>
    <cellStyle name="Énfasis1 - 40%" xfId="7588"/>
    <cellStyle name="Énfasis1 - 40% 2" xfId="7589"/>
    <cellStyle name="Énfasis1 - 60%" xfId="7590"/>
    <cellStyle name="Énfasis1 2" xfId="7591"/>
    <cellStyle name="Énfasis1 2 2" xfId="7592"/>
    <cellStyle name="Énfasis1 3" xfId="7593"/>
    <cellStyle name="Énfasis1 4" xfId="7594"/>
    <cellStyle name="Énfasis1 5" xfId="7595"/>
    <cellStyle name="Énfasis1 6" xfId="7596"/>
    <cellStyle name="Énfasis2 - 20%" xfId="7597"/>
    <cellStyle name="Énfasis2 - 20% 2" xfId="7598"/>
    <cellStyle name="Énfasis2 - 40%" xfId="7599"/>
    <cellStyle name="Énfasis2 - 40% 2" xfId="7600"/>
    <cellStyle name="Énfasis2 - 60%" xfId="7601"/>
    <cellStyle name="Énfasis2 2" xfId="7602"/>
    <cellStyle name="Énfasis2 3" xfId="7603"/>
    <cellStyle name="Énfasis2 4" xfId="7604"/>
    <cellStyle name="Énfasis2 5" xfId="7605"/>
    <cellStyle name="Énfasis2 6" xfId="7606"/>
    <cellStyle name="Énfasis3 - 20%" xfId="7607"/>
    <cellStyle name="Énfasis3 - 20% 2" xfId="7608"/>
    <cellStyle name="Énfasis3 - 40%" xfId="7609"/>
    <cellStyle name="Énfasis3 - 40% 2" xfId="7610"/>
    <cellStyle name="Énfasis3 - 60%" xfId="7611"/>
    <cellStyle name="Énfasis3 2" xfId="7612"/>
    <cellStyle name="Énfasis3 2 2" xfId="7613"/>
    <cellStyle name="Énfasis3 3" xfId="7614"/>
    <cellStyle name="Énfasis3 4" xfId="7615"/>
    <cellStyle name="Énfasis3 5" xfId="7616"/>
    <cellStyle name="Énfasis3 6" xfId="7617"/>
    <cellStyle name="Énfasis4 - 20%" xfId="7618"/>
    <cellStyle name="Énfasis4 - 20% 2" xfId="7619"/>
    <cellStyle name="Énfasis4 - 40%" xfId="7620"/>
    <cellStyle name="Énfasis4 - 40% 2" xfId="7621"/>
    <cellStyle name="Énfasis4 - 60%" xfId="7622"/>
    <cellStyle name="Énfasis4 2" xfId="7623"/>
    <cellStyle name="Énfasis4 3" xfId="7624"/>
    <cellStyle name="Énfasis4 4" xfId="7625"/>
    <cellStyle name="Énfasis4 5" xfId="7626"/>
    <cellStyle name="Énfasis4 6" xfId="7627"/>
    <cellStyle name="Énfasis5 - 20%" xfId="7628"/>
    <cellStyle name="Énfasis5 - 20% 2" xfId="7629"/>
    <cellStyle name="Énfasis5 - 40%" xfId="7630"/>
    <cellStyle name="Énfasis5 - 40% 2" xfId="7631"/>
    <cellStyle name="Énfasis5 - 60%" xfId="7632"/>
    <cellStyle name="Énfasis5 2" xfId="7633"/>
    <cellStyle name="Énfasis5 3" xfId="7634"/>
    <cellStyle name="Énfasis5 4" xfId="7635"/>
    <cellStyle name="Énfasis5 5" xfId="7636"/>
    <cellStyle name="Énfasis5 6" xfId="7637"/>
    <cellStyle name="Énfasis6 - 20%" xfId="7638"/>
    <cellStyle name="Énfasis6 - 20% 2" xfId="7639"/>
    <cellStyle name="Énfasis6 - 40%" xfId="7640"/>
    <cellStyle name="Énfasis6 - 40% 2" xfId="7641"/>
    <cellStyle name="Énfasis6 - 60%" xfId="7642"/>
    <cellStyle name="Énfasis6 2" xfId="7643"/>
    <cellStyle name="Énfasis6 3" xfId="7644"/>
    <cellStyle name="Énfasis6 4" xfId="7645"/>
    <cellStyle name="Énfasis6 5" xfId="7646"/>
    <cellStyle name="Énfasis6 6" xfId="7647"/>
    <cellStyle name="Enter Currency (0)" xfId="7648"/>
    <cellStyle name="Enter Currency (0) 2" xfId="7649"/>
    <cellStyle name="Enter Currency (0) 3" xfId="7650"/>
    <cellStyle name="Enter Currency (2)" xfId="7651"/>
    <cellStyle name="Enter Currency (2) 2" xfId="7652"/>
    <cellStyle name="Enter Currency (2) 3" xfId="7653"/>
    <cellStyle name="Enter Units (0)" xfId="7654"/>
    <cellStyle name="Enter Units (0) 2" xfId="7655"/>
    <cellStyle name="Enter Units (0) 3" xfId="7656"/>
    <cellStyle name="Enter Units (1)" xfId="7657"/>
    <cellStyle name="Enter Units (1) 2" xfId="7658"/>
    <cellStyle name="Enter Units (1) 3" xfId="7659"/>
    <cellStyle name="Enter Units (2)" xfId="7660"/>
    <cellStyle name="Enter Units (2) 2" xfId="7661"/>
    <cellStyle name="Enter Units (2) 3" xfId="7662"/>
    <cellStyle name="Entered" xfId="7663"/>
    <cellStyle name="Entete" xfId="53346"/>
    <cellStyle name="Entete 2" xfId="53347"/>
    <cellStyle name="EnteteAgglo" xfId="53348"/>
    <cellStyle name="EnteteAgglo 2" xfId="53349"/>
    <cellStyle name="EnteteBordDroitNoir" xfId="53350"/>
    <cellStyle name="EnteteBordDroitNoir 2" xfId="53351"/>
    <cellStyle name="EnteteBordGaucheNoir" xfId="53352"/>
    <cellStyle name="EnteteBordGaucheNoir 2" xfId="53353"/>
    <cellStyle name="EnteteFondBlancBordsGaucheDroiteGris" xfId="53354"/>
    <cellStyle name="EnteteFondBlancBordsGaucheDroiteGris 2" xfId="53355"/>
    <cellStyle name="EnteteFondBlancBordsGaucheDroiteGris 3" xfId="53356"/>
    <cellStyle name="EnteteFondBleu" xfId="53357"/>
    <cellStyle name="EnteteFondBleu 2" xfId="53358"/>
    <cellStyle name="EnteteFondBleu2" xfId="53359"/>
    <cellStyle name="EnteteFondBleu2 2" xfId="53360"/>
    <cellStyle name="EnteteFondJaune" xfId="53361"/>
    <cellStyle name="EnteteFondJaune 2" xfId="53362"/>
    <cellStyle name="EnteteMag" xfId="53363"/>
    <cellStyle name="EnteteMag 2" xfId="53364"/>
    <cellStyle name="EnteteParme" xfId="53365"/>
    <cellStyle name="EnteteParme 2" xfId="53366"/>
    <cellStyle name="EnteteRegion" xfId="53367"/>
    <cellStyle name="EnteteRegion 2" xfId="53368"/>
    <cellStyle name="EnteteZone" xfId="53369"/>
    <cellStyle name="EnteteZone 2" xfId="53370"/>
    <cellStyle name="EnteteZone 3" xfId="53371"/>
    <cellStyle name="Entrada 2" xfId="7664"/>
    <cellStyle name="Entrada 2 10" xfId="7665"/>
    <cellStyle name="Entrada 2 11" xfId="7666"/>
    <cellStyle name="Entrada 2 2" xfId="7667"/>
    <cellStyle name="Entrada 2 2 10" xfId="7668"/>
    <cellStyle name="Entrada 2 2 11" xfId="7669"/>
    <cellStyle name="Entrada 2 2 12" xfId="7670"/>
    <cellStyle name="Entrada 2 2 2" xfId="7671"/>
    <cellStyle name="Entrada 2 2 2 2" xfId="7672"/>
    <cellStyle name="Entrada 2 2 2 2 2" xfId="7673"/>
    <cellStyle name="Entrada 2 2 2 2 3" xfId="7674"/>
    <cellStyle name="Entrada 2 2 2 2 4" xfId="7675"/>
    <cellStyle name="Entrada 2 2 2 3" xfId="7676"/>
    <cellStyle name="Entrada 2 2 2 3 2" xfId="7677"/>
    <cellStyle name="Entrada 2 2 2 3 3" xfId="7678"/>
    <cellStyle name="Entrada 2 2 2 3 4" xfId="7679"/>
    <cellStyle name="Entrada 2 2 2 4" xfId="7680"/>
    <cellStyle name="Entrada 2 2 2 4 2" xfId="7681"/>
    <cellStyle name="Entrada 2 2 2 4 3" xfId="7682"/>
    <cellStyle name="Entrada 2 2 2 4 4" xfId="7683"/>
    <cellStyle name="Entrada 2 2 2 5" xfId="7684"/>
    <cellStyle name="Entrada 2 2 2 6" xfId="7685"/>
    <cellStyle name="Entrada 2 2 2 7" xfId="7686"/>
    <cellStyle name="Entrada 2 2 2 8" xfId="7687"/>
    <cellStyle name="Entrada 2 2 3" xfId="7688"/>
    <cellStyle name="Entrada 2 2 3 2" xfId="7689"/>
    <cellStyle name="Entrada 2 2 3 2 2" xfId="7690"/>
    <cellStyle name="Entrada 2 2 3 2 3" xfId="7691"/>
    <cellStyle name="Entrada 2 2 3 2 4" xfId="7692"/>
    <cellStyle name="Entrada 2 2 3 3" xfId="7693"/>
    <cellStyle name="Entrada 2 2 3 3 2" xfId="7694"/>
    <cellStyle name="Entrada 2 2 3 3 3" xfId="7695"/>
    <cellStyle name="Entrada 2 2 3 3 4" xfId="7696"/>
    <cellStyle name="Entrada 2 2 3 4" xfId="7697"/>
    <cellStyle name="Entrada 2 2 3 4 2" xfId="7698"/>
    <cellStyle name="Entrada 2 2 3 4 3" xfId="7699"/>
    <cellStyle name="Entrada 2 2 3 4 4" xfId="7700"/>
    <cellStyle name="Entrada 2 2 3 5" xfId="7701"/>
    <cellStyle name="Entrada 2 2 3 6" xfId="7702"/>
    <cellStyle name="Entrada 2 2 3 7" xfId="7703"/>
    <cellStyle name="Entrada 2 2 3 8" xfId="7704"/>
    <cellStyle name="Entrada 2 2 4" xfId="7705"/>
    <cellStyle name="Entrada 2 2 4 2" xfId="7706"/>
    <cellStyle name="Entrada 2 2 4 2 2" xfId="7707"/>
    <cellStyle name="Entrada 2 2 4 2 3" xfId="7708"/>
    <cellStyle name="Entrada 2 2 4 2 4" xfId="7709"/>
    <cellStyle name="Entrada 2 2 4 3" xfId="7710"/>
    <cellStyle name="Entrada 2 2 4 3 2" xfId="7711"/>
    <cellStyle name="Entrada 2 2 4 3 3" xfId="7712"/>
    <cellStyle name="Entrada 2 2 4 3 4" xfId="7713"/>
    <cellStyle name="Entrada 2 2 4 4" xfId="7714"/>
    <cellStyle name="Entrada 2 2 4 4 2" xfId="7715"/>
    <cellStyle name="Entrada 2 2 4 4 3" xfId="7716"/>
    <cellStyle name="Entrada 2 2 4 4 4" xfId="7717"/>
    <cellStyle name="Entrada 2 2 4 5" xfId="7718"/>
    <cellStyle name="Entrada 2 2 4 6" xfId="7719"/>
    <cellStyle name="Entrada 2 2 4 7" xfId="7720"/>
    <cellStyle name="Entrada 2 2 4 8" xfId="7721"/>
    <cellStyle name="Entrada 2 2 5" xfId="7722"/>
    <cellStyle name="Entrada 2 2 5 2" xfId="7723"/>
    <cellStyle name="Entrada 2 2 5 2 2" xfId="7724"/>
    <cellStyle name="Entrada 2 2 5 2 3" xfId="7725"/>
    <cellStyle name="Entrada 2 2 5 2 4" xfId="7726"/>
    <cellStyle name="Entrada 2 2 5 3" xfId="7727"/>
    <cellStyle name="Entrada 2 2 5 3 2" xfId="7728"/>
    <cellStyle name="Entrada 2 2 5 3 3" xfId="7729"/>
    <cellStyle name="Entrada 2 2 5 3 4" xfId="7730"/>
    <cellStyle name="Entrada 2 2 5 4" xfId="7731"/>
    <cellStyle name="Entrada 2 2 5 4 2" xfId="7732"/>
    <cellStyle name="Entrada 2 2 5 4 3" xfId="7733"/>
    <cellStyle name="Entrada 2 2 5 4 4" xfId="7734"/>
    <cellStyle name="Entrada 2 2 5 5" xfId="7735"/>
    <cellStyle name="Entrada 2 2 5 6" xfId="7736"/>
    <cellStyle name="Entrada 2 2 5 7" xfId="7737"/>
    <cellStyle name="Entrada 2 2 5 8" xfId="7738"/>
    <cellStyle name="Entrada 2 2 6" xfId="7739"/>
    <cellStyle name="Entrada 2 2 6 2" xfId="7740"/>
    <cellStyle name="Entrada 2 2 6 3" xfId="7741"/>
    <cellStyle name="Entrada 2 2 6 4" xfId="7742"/>
    <cellStyle name="Entrada 2 2 7" xfId="7743"/>
    <cellStyle name="Entrada 2 2 7 2" xfId="7744"/>
    <cellStyle name="Entrada 2 2 7 3" xfId="7745"/>
    <cellStyle name="Entrada 2 2 7 4" xfId="7746"/>
    <cellStyle name="Entrada 2 2 8" xfId="7747"/>
    <cellStyle name="Entrada 2 2 8 2" xfId="7748"/>
    <cellStyle name="Entrada 2 2 8 3" xfId="7749"/>
    <cellStyle name="Entrada 2 2 8 4" xfId="7750"/>
    <cellStyle name="Entrada 2 2 9" xfId="7751"/>
    <cellStyle name="Entrada 2 3" xfId="7752"/>
    <cellStyle name="Entrada 2 3 2" xfId="7753"/>
    <cellStyle name="Entrada 2 3 2 2" xfId="7754"/>
    <cellStyle name="Entrada 2 3 2 3" xfId="7755"/>
    <cellStyle name="Entrada 2 3 2 4" xfId="7756"/>
    <cellStyle name="Entrada 2 3 3" xfId="7757"/>
    <cellStyle name="Entrada 2 3 3 2" xfId="7758"/>
    <cellStyle name="Entrada 2 3 3 3" xfId="7759"/>
    <cellStyle name="Entrada 2 3 3 4" xfId="7760"/>
    <cellStyle name="Entrada 2 3 4" xfId="7761"/>
    <cellStyle name="Entrada 2 3 4 2" xfId="7762"/>
    <cellStyle name="Entrada 2 3 4 3" xfId="7763"/>
    <cellStyle name="Entrada 2 3 4 4" xfId="7764"/>
    <cellStyle name="Entrada 2 3 5" xfId="7765"/>
    <cellStyle name="Entrada 2 3 6" xfId="7766"/>
    <cellStyle name="Entrada 2 3 7" xfId="7767"/>
    <cellStyle name="Entrada 2 3 8" xfId="7768"/>
    <cellStyle name="Entrada 2 4" xfId="7769"/>
    <cellStyle name="Entrada 2 4 2" xfId="7770"/>
    <cellStyle name="Entrada 2 4 2 2" xfId="7771"/>
    <cellStyle name="Entrada 2 4 2 3" xfId="7772"/>
    <cellStyle name="Entrada 2 4 2 4" xfId="7773"/>
    <cellStyle name="Entrada 2 4 3" xfId="7774"/>
    <cellStyle name="Entrada 2 4 3 2" xfId="7775"/>
    <cellStyle name="Entrada 2 4 3 3" xfId="7776"/>
    <cellStyle name="Entrada 2 4 3 4" xfId="7777"/>
    <cellStyle name="Entrada 2 4 4" xfId="7778"/>
    <cellStyle name="Entrada 2 4 4 2" xfId="7779"/>
    <cellStyle name="Entrada 2 4 4 3" xfId="7780"/>
    <cellStyle name="Entrada 2 4 4 4" xfId="7781"/>
    <cellStyle name="Entrada 2 4 5" xfId="7782"/>
    <cellStyle name="Entrada 2 4 6" xfId="7783"/>
    <cellStyle name="Entrada 2 4 7" xfId="7784"/>
    <cellStyle name="Entrada 2 4 8" xfId="7785"/>
    <cellStyle name="Entrada 2 5" xfId="7786"/>
    <cellStyle name="Entrada 2 5 2" xfId="7787"/>
    <cellStyle name="Entrada 2 5 2 2" xfId="7788"/>
    <cellStyle name="Entrada 2 5 2 3" xfId="7789"/>
    <cellStyle name="Entrada 2 5 2 4" xfId="7790"/>
    <cellStyle name="Entrada 2 5 3" xfId="7791"/>
    <cellStyle name="Entrada 2 5 3 2" xfId="7792"/>
    <cellStyle name="Entrada 2 5 3 3" xfId="7793"/>
    <cellStyle name="Entrada 2 5 3 4" xfId="7794"/>
    <cellStyle name="Entrada 2 5 4" xfId="7795"/>
    <cellStyle name="Entrada 2 5 4 2" xfId="7796"/>
    <cellStyle name="Entrada 2 5 4 3" xfId="7797"/>
    <cellStyle name="Entrada 2 5 4 4" xfId="7798"/>
    <cellStyle name="Entrada 2 5 5" xfId="7799"/>
    <cellStyle name="Entrada 2 5 6" xfId="7800"/>
    <cellStyle name="Entrada 2 5 7" xfId="7801"/>
    <cellStyle name="Entrada 2 5 8" xfId="7802"/>
    <cellStyle name="Entrada 2 6" xfId="7803"/>
    <cellStyle name="Entrada 2 6 2" xfId="7804"/>
    <cellStyle name="Entrada 2 6 2 2" xfId="7805"/>
    <cellStyle name="Entrada 2 6 2 3" xfId="7806"/>
    <cellStyle name="Entrada 2 6 2 4" xfId="7807"/>
    <cellStyle name="Entrada 2 6 3" xfId="7808"/>
    <cellStyle name="Entrada 2 6 3 2" xfId="7809"/>
    <cellStyle name="Entrada 2 6 3 3" xfId="7810"/>
    <cellStyle name="Entrada 2 6 3 4" xfId="7811"/>
    <cellStyle name="Entrada 2 6 4" xfId="7812"/>
    <cellStyle name="Entrada 2 6 4 2" xfId="7813"/>
    <cellStyle name="Entrada 2 6 4 3" xfId="7814"/>
    <cellStyle name="Entrada 2 6 4 4" xfId="7815"/>
    <cellStyle name="Entrada 2 6 5" xfId="7816"/>
    <cellStyle name="Entrada 2 6 6" xfId="7817"/>
    <cellStyle name="Entrada 2 6 7" xfId="7818"/>
    <cellStyle name="Entrada 2 6 8" xfId="7819"/>
    <cellStyle name="Entrada 2 7" xfId="7820"/>
    <cellStyle name="Entrada 2 7 2" xfId="7821"/>
    <cellStyle name="Entrada 2 7 2 2" xfId="7822"/>
    <cellStyle name="Entrada 2 7 2 3" xfId="7823"/>
    <cellStyle name="Entrada 2 7 2 4" xfId="7824"/>
    <cellStyle name="Entrada 2 7 3" xfId="7825"/>
    <cellStyle name="Entrada 2 7 3 2" xfId="7826"/>
    <cellStyle name="Entrada 2 7 3 3" xfId="7827"/>
    <cellStyle name="Entrada 2 7 3 4" xfId="7828"/>
    <cellStyle name="Entrada 2 7 4" xfId="7829"/>
    <cellStyle name="Entrada 2 7 4 2" xfId="7830"/>
    <cellStyle name="Entrada 2 7 4 3" xfId="7831"/>
    <cellStyle name="Entrada 2 7 4 4" xfId="7832"/>
    <cellStyle name="Entrada 2 7 5" xfId="7833"/>
    <cellStyle name="Entrada 2 7 6" xfId="7834"/>
    <cellStyle name="Entrada 2 7 7" xfId="7835"/>
    <cellStyle name="Entrada 2 7 8" xfId="7836"/>
    <cellStyle name="Entrada 2 8" xfId="7837"/>
    <cellStyle name="Entrada 2 8 2" xfId="7838"/>
    <cellStyle name="Entrada 2 8 3" xfId="7839"/>
    <cellStyle name="Entrada 2 8 4" xfId="7840"/>
    <cellStyle name="Entrada 2 9" xfId="7841"/>
    <cellStyle name="Entrada 2 9 2" xfId="7842"/>
    <cellStyle name="Entrada 2 9 3" xfId="7843"/>
    <cellStyle name="Entrada 2 9 4" xfId="7844"/>
    <cellStyle name="Entrada 3" xfId="7845"/>
    <cellStyle name="Entrada 3 10" xfId="7846"/>
    <cellStyle name="Entrada 3 11" xfId="7847"/>
    <cellStyle name="Entrada 3 2" xfId="7848"/>
    <cellStyle name="Entrada 3 2 2" xfId="7849"/>
    <cellStyle name="Entrada 3 2 2 2" xfId="7850"/>
    <cellStyle name="Entrada 3 2 2 2 2" xfId="7851"/>
    <cellStyle name="Entrada 3 2 2 2 3" xfId="7852"/>
    <cellStyle name="Entrada 3 2 2 2 4" xfId="7853"/>
    <cellStyle name="Entrada 3 2 2 3" xfId="7854"/>
    <cellStyle name="Entrada 3 2 2 3 2" xfId="7855"/>
    <cellStyle name="Entrada 3 2 2 3 3" xfId="7856"/>
    <cellStyle name="Entrada 3 2 2 3 4" xfId="7857"/>
    <cellStyle name="Entrada 3 2 2 4" xfId="7858"/>
    <cellStyle name="Entrada 3 2 2 4 2" xfId="7859"/>
    <cellStyle name="Entrada 3 2 2 4 3" xfId="7860"/>
    <cellStyle name="Entrada 3 2 2 4 4" xfId="7861"/>
    <cellStyle name="Entrada 3 2 2 5" xfId="7862"/>
    <cellStyle name="Entrada 3 2 2 6" xfId="7863"/>
    <cellStyle name="Entrada 3 2 2 7" xfId="7864"/>
    <cellStyle name="Entrada 3 2 2 8" xfId="7865"/>
    <cellStyle name="Entrada 3 2 3" xfId="7866"/>
    <cellStyle name="Entrada 3 2 3 2" xfId="7867"/>
    <cellStyle name="Entrada 3 2 3 2 2" xfId="7868"/>
    <cellStyle name="Entrada 3 2 3 2 3" xfId="7869"/>
    <cellStyle name="Entrada 3 2 3 2 4" xfId="7870"/>
    <cellStyle name="Entrada 3 2 3 3" xfId="7871"/>
    <cellStyle name="Entrada 3 2 3 3 2" xfId="7872"/>
    <cellStyle name="Entrada 3 2 3 3 3" xfId="7873"/>
    <cellStyle name="Entrada 3 2 3 3 4" xfId="7874"/>
    <cellStyle name="Entrada 3 2 3 4" xfId="7875"/>
    <cellStyle name="Entrada 3 2 3 4 2" xfId="7876"/>
    <cellStyle name="Entrada 3 2 3 4 3" xfId="7877"/>
    <cellStyle name="Entrada 3 2 3 4 4" xfId="7878"/>
    <cellStyle name="Entrada 3 2 3 5" xfId="7879"/>
    <cellStyle name="Entrada 3 2 3 6" xfId="7880"/>
    <cellStyle name="Entrada 3 2 3 7" xfId="7881"/>
    <cellStyle name="Entrada 3 2 3 8" xfId="7882"/>
    <cellStyle name="Entrada 3 2 4" xfId="7883"/>
    <cellStyle name="Entrada 3 2 4 2" xfId="7884"/>
    <cellStyle name="Entrada 3 2 4 2 2" xfId="7885"/>
    <cellStyle name="Entrada 3 2 4 2 3" xfId="7886"/>
    <cellStyle name="Entrada 3 2 4 2 4" xfId="7887"/>
    <cellStyle name="Entrada 3 2 4 3" xfId="7888"/>
    <cellStyle name="Entrada 3 2 4 3 2" xfId="7889"/>
    <cellStyle name="Entrada 3 2 4 3 3" xfId="7890"/>
    <cellStyle name="Entrada 3 2 4 3 4" xfId="7891"/>
    <cellStyle name="Entrada 3 2 4 4" xfId="7892"/>
    <cellStyle name="Entrada 3 2 4 4 2" xfId="7893"/>
    <cellStyle name="Entrada 3 2 4 4 3" xfId="7894"/>
    <cellStyle name="Entrada 3 2 4 4 4" xfId="7895"/>
    <cellStyle name="Entrada 3 2 4 5" xfId="7896"/>
    <cellStyle name="Entrada 3 2 4 6" xfId="7897"/>
    <cellStyle name="Entrada 3 2 4 7" xfId="7898"/>
    <cellStyle name="Entrada 3 2 4 8" xfId="7899"/>
    <cellStyle name="Entrada 3 2 5" xfId="7900"/>
    <cellStyle name="Entrada 3 2 5 2" xfId="7901"/>
    <cellStyle name="Entrada 3 2 5 2 2" xfId="7902"/>
    <cellStyle name="Entrada 3 2 5 2 3" xfId="7903"/>
    <cellStyle name="Entrada 3 2 5 2 4" xfId="7904"/>
    <cellStyle name="Entrada 3 2 5 3" xfId="7905"/>
    <cellStyle name="Entrada 3 2 5 3 2" xfId="7906"/>
    <cellStyle name="Entrada 3 2 5 3 3" xfId="7907"/>
    <cellStyle name="Entrada 3 2 5 3 4" xfId="7908"/>
    <cellStyle name="Entrada 3 2 5 4" xfId="7909"/>
    <cellStyle name="Entrada 3 2 5 4 2" xfId="7910"/>
    <cellStyle name="Entrada 3 2 5 4 3" xfId="7911"/>
    <cellStyle name="Entrada 3 2 5 4 4" xfId="7912"/>
    <cellStyle name="Entrada 3 2 5 5" xfId="7913"/>
    <cellStyle name="Entrada 3 2 5 6" xfId="7914"/>
    <cellStyle name="Entrada 3 2 5 7" xfId="7915"/>
    <cellStyle name="Entrada 3 2 5 8" xfId="7916"/>
    <cellStyle name="Entrada 3 2 6" xfId="7917"/>
    <cellStyle name="Entrada 3 2 6 2" xfId="7918"/>
    <cellStyle name="Entrada 3 2 6 3" xfId="7919"/>
    <cellStyle name="Entrada 3 2 6 4" xfId="7920"/>
    <cellStyle name="Entrada 3 2 7" xfId="7921"/>
    <cellStyle name="Entrada 3 2 7 2" xfId="7922"/>
    <cellStyle name="Entrada 3 2 7 3" xfId="7923"/>
    <cellStyle name="Entrada 3 2 7 4" xfId="7924"/>
    <cellStyle name="Entrada 3 2 8" xfId="7925"/>
    <cellStyle name="Entrada 3 2 9" xfId="7926"/>
    <cellStyle name="Entrada 3 3" xfId="7927"/>
    <cellStyle name="Entrada 3 3 2" xfId="7928"/>
    <cellStyle name="Entrada 3 3 2 2" xfId="7929"/>
    <cellStyle name="Entrada 3 3 2 3" xfId="7930"/>
    <cellStyle name="Entrada 3 3 2 4" xfId="7931"/>
    <cellStyle name="Entrada 3 3 3" xfId="7932"/>
    <cellStyle name="Entrada 3 3 3 2" xfId="7933"/>
    <cellStyle name="Entrada 3 3 3 3" xfId="7934"/>
    <cellStyle name="Entrada 3 3 3 4" xfId="7935"/>
    <cellStyle name="Entrada 3 3 4" xfId="7936"/>
    <cellStyle name="Entrada 3 3 4 2" xfId="7937"/>
    <cellStyle name="Entrada 3 3 4 3" xfId="7938"/>
    <cellStyle name="Entrada 3 3 4 4" xfId="7939"/>
    <cellStyle name="Entrada 3 3 5" xfId="7940"/>
    <cellStyle name="Entrada 3 3 6" xfId="7941"/>
    <cellStyle name="Entrada 3 3 7" xfId="7942"/>
    <cellStyle name="Entrada 3 3 8" xfId="7943"/>
    <cellStyle name="Entrada 3 4" xfId="7944"/>
    <cellStyle name="Entrada 3 4 2" xfId="7945"/>
    <cellStyle name="Entrada 3 4 2 2" xfId="7946"/>
    <cellStyle name="Entrada 3 4 2 3" xfId="7947"/>
    <cellStyle name="Entrada 3 4 2 4" xfId="7948"/>
    <cellStyle name="Entrada 3 4 3" xfId="7949"/>
    <cellStyle name="Entrada 3 4 3 2" xfId="7950"/>
    <cellStyle name="Entrada 3 4 3 3" xfId="7951"/>
    <cellStyle name="Entrada 3 4 3 4" xfId="7952"/>
    <cellStyle name="Entrada 3 4 4" xfId="7953"/>
    <cellStyle name="Entrada 3 4 4 2" xfId="7954"/>
    <cellStyle name="Entrada 3 4 4 3" xfId="7955"/>
    <cellStyle name="Entrada 3 4 4 4" xfId="7956"/>
    <cellStyle name="Entrada 3 4 5" xfId="7957"/>
    <cellStyle name="Entrada 3 4 6" xfId="7958"/>
    <cellStyle name="Entrada 3 4 7" xfId="7959"/>
    <cellStyle name="Entrada 3 4 8" xfId="7960"/>
    <cellStyle name="Entrada 3 5" xfId="7961"/>
    <cellStyle name="Entrada 3 5 2" xfId="7962"/>
    <cellStyle name="Entrada 3 5 2 2" xfId="7963"/>
    <cellStyle name="Entrada 3 5 2 3" xfId="7964"/>
    <cellStyle name="Entrada 3 5 2 4" xfId="7965"/>
    <cellStyle name="Entrada 3 5 3" xfId="7966"/>
    <cellStyle name="Entrada 3 5 3 2" xfId="7967"/>
    <cellStyle name="Entrada 3 5 3 3" xfId="7968"/>
    <cellStyle name="Entrada 3 5 3 4" xfId="7969"/>
    <cellStyle name="Entrada 3 5 4" xfId="7970"/>
    <cellStyle name="Entrada 3 5 4 2" xfId="7971"/>
    <cellStyle name="Entrada 3 5 4 3" xfId="7972"/>
    <cellStyle name="Entrada 3 5 4 4" xfId="7973"/>
    <cellStyle name="Entrada 3 5 5" xfId="7974"/>
    <cellStyle name="Entrada 3 5 6" xfId="7975"/>
    <cellStyle name="Entrada 3 5 7" xfId="7976"/>
    <cellStyle name="Entrada 3 5 8" xfId="7977"/>
    <cellStyle name="Entrada 3 6" xfId="7978"/>
    <cellStyle name="Entrada 3 6 2" xfId="7979"/>
    <cellStyle name="Entrada 3 6 2 2" xfId="7980"/>
    <cellStyle name="Entrada 3 6 2 3" xfId="7981"/>
    <cellStyle name="Entrada 3 6 2 4" xfId="7982"/>
    <cellStyle name="Entrada 3 6 3" xfId="7983"/>
    <cellStyle name="Entrada 3 6 3 2" xfId="7984"/>
    <cellStyle name="Entrada 3 6 3 3" xfId="7985"/>
    <cellStyle name="Entrada 3 6 3 4" xfId="7986"/>
    <cellStyle name="Entrada 3 6 4" xfId="7987"/>
    <cellStyle name="Entrada 3 6 4 2" xfId="7988"/>
    <cellStyle name="Entrada 3 6 4 3" xfId="7989"/>
    <cellStyle name="Entrada 3 6 4 4" xfId="7990"/>
    <cellStyle name="Entrada 3 6 5" xfId="7991"/>
    <cellStyle name="Entrada 3 6 6" xfId="7992"/>
    <cellStyle name="Entrada 3 6 7" xfId="7993"/>
    <cellStyle name="Entrada 3 6 8" xfId="7994"/>
    <cellStyle name="Entrada 3 7" xfId="7995"/>
    <cellStyle name="Entrada 3 7 2" xfId="7996"/>
    <cellStyle name="Entrada 3 7 2 2" xfId="7997"/>
    <cellStyle name="Entrada 3 7 2 3" xfId="7998"/>
    <cellStyle name="Entrada 3 7 2 4" xfId="7999"/>
    <cellStyle name="Entrada 3 7 3" xfId="8000"/>
    <cellStyle name="Entrada 3 7 3 2" xfId="8001"/>
    <cellStyle name="Entrada 3 7 3 3" xfId="8002"/>
    <cellStyle name="Entrada 3 7 3 4" xfId="8003"/>
    <cellStyle name="Entrada 3 7 4" xfId="8004"/>
    <cellStyle name="Entrada 3 7 4 2" xfId="8005"/>
    <cellStyle name="Entrada 3 7 4 3" xfId="8006"/>
    <cellStyle name="Entrada 3 7 4 4" xfId="8007"/>
    <cellStyle name="Entrada 3 7 5" xfId="8008"/>
    <cellStyle name="Entrada 3 7 6" xfId="8009"/>
    <cellStyle name="Entrada 3 7 7" xfId="8010"/>
    <cellStyle name="Entrada 3 7 8" xfId="8011"/>
    <cellStyle name="Entrada 3 8" xfId="8012"/>
    <cellStyle name="Entrada 3 8 2" xfId="8013"/>
    <cellStyle name="Entrada 3 8 3" xfId="8014"/>
    <cellStyle name="Entrada 3 8 4" xfId="8015"/>
    <cellStyle name="Entrada 3 9" xfId="8016"/>
    <cellStyle name="Entrada 3 9 2" xfId="8017"/>
    <cellStyle name="Entrada 3 9 3" xfId="8018"/>
    <cellStyle name="Entrada 3 9 4" xfId="8019"/>
    <cellStyle name="Entrada 4" xfId="8020"/>
    <cellStyle name="Entrada 4 10" xfId="8021"/>
    <cellStyle name="Entrada 4 11" xfId="8022"/>
    <cellStyle name="Entrada 4 2" xfId="8023"/>
    <cellStyle name="Entrada 4 2 2" xfId="8024"/>
    <cellStyle name="Entrada 4 2 2 2" xfId="8025"/>
    <cellStyle name="Entrada 4 2 2 2 2" xfId="8026"/>
    <cellStyle name="Entrada 4 2 2 2 3" xfId="8027"/>
    <cellStyle name="Entrada 4 2 2 2 4" xfId="8028"/>
    <cellStyle name="Entrada 4 2 2 3" xfId="8029"/>
    <cellStyle name="Entrada 4 2 2 3 2" xfId="8030"/>
    <cellStyle name="Entrada 4 2 2 3 3" xfId="8031"/>
    <cellStyle name="Entrada 4 2 2 3 4" xfId="8032"/>
    <cellStyle name="Entrada 4 2 2 4" xfId="8033"/>
    <cellStyle name="Entrada 4 2 2 4 2" xfId="8034"/>
    <cellStyle name="Entrada 4 2 2 4 3" xfId="8035"/>
    <cellStyle name="Entrada 4 2 2 4 4" xfId="8036"/>
    <cellStyle name="Entrada 4 2 2 5" xfId="8037"/>
    <cellStyle name="Entrada 4 2 2 6" xfId="8038"/>
    <cellStyle name="Entrada 4 2 2 7" xfId="8039"/>
    <cellStyle name="Entrada 4 2 2 8" xfId="8040"/>
    <cellStyle name="Entrada 4 2 3" xfId="8041"/>
    <cellStyle name="Entrada 4 2 3 2" xfId="8042"/>
    <cellStyle name="Entrada 4 2 3 2 2" xfId="8043"/>
    <cellStyle name="Entrada 4 2 3 2 3" xfId="8044"/>
    <cellStyle name="Entrada 4 2 3 2 4" xfId="8045"/>
    <cellStyle name="Entrada 4 2 3 3" xfId="8046"/>
    <cellStyle name="Entrada 4 2 3 3 2" xfId="8047"/>
    <cellStyle name="Entrada 4 2 3 3 3" xfId="8048"/>
    <cellStyle name="Entrada 4 2 3 3 4" xfId="8049"/>
    <cellStyle name="Entrada 4 2 3 4" xfId="8050"/>
    <cellStyle name="Entrada 4 2 3 4 2" xfId="8051"/>
    <cellStyle name="Entrada 4 2 3 4 3" xfId="8052"/>
    <cellStyle name="Entrada 4 2 3 4 4" xfId="8053"/>
    <cellStyle name="Entrada 4 2 3 5" xfId="8054"/>
    <cellStyle name="Entrada 4 2 3 6" xfId="8055"/>
    <cellStyle name="Entrada 4 2 3 7" xfId="8056"/>
    <cellStyle name="Entrada 4 2 3 8" xfId="8057"/>
    <cellStyle name="Entrada 4 2 4" xfId="8058"/>
    <cellStyle name="Entrada 4 2 4 2" xfId="8059"/>
    <cellStyle name="Entrada 4 2 4 2 2" xfId="8060"/>
    <cellStyle name="Entrada 4 2 4 2 3" xfId="8061"/>
    <cellStyle name="Entrada 4 2 4 2 4" xfId="8062"/>
    <cellStyle name="Entrada 4 2 4 3" xfId="8063"/>
    <cellStyle name="Entrada 4 2 4 3 2" xfId="8064"/>
    <cellStyle name="Entrada 4 2 4 3 3" xfId="8065"/>
    <cellStyle name="Entrada 4 2 4 3 4" xfId="8066"/>
    <cellStyle name="Entrada 4 2 4 4" xfId="8067"/>
    <cellStyle name="Entrada 4 2 4 4 2" xfId="8068"/>
    <cellStyle name="Entrada 4 2 4 4 3" xfId="8069"/>
    <cellStyle name="Entrada 4 2 4 4 4" xfId="8070"/>
    <cellStyle name="Entrada 4 2 4 5" xfId="8071"/>
    <cellStyle name="Entrada 4 2 4 6" xfId="8072"/>
    <cellStyle name="Entrada 4 2 4 7" xfId="8073"/>
    <cellStyle name="Entrada 4 2 4 8" xfId="8074"/>
    <cellStyle name="Entrada 4 2 5" xfId="8075"/>
    <cellStyle name="Entrada 4 2 5 2" xfId="8076"/>
    <cellStyle name="Entrada 4 2 5 2 2" xfId="8077"/>
    <cellStyle name="Entrada 4 2 5 2 3" xfId="8078"/>
    <cellStyle name="Entrada 4 2 5 2 4" xfId="8079"/>
    <cellStyle name="Entrada 4 2 5 3" xfId="8080"/>
    <cellStyle name="Entrada 4 2 5 3 2" xfId="8081"/>
    <cellStyle name="Entrada 4 2 5 3 3" xfId="8082"/>
    <cellStyle name="Entrada 4 2 5 3 4" xfId="8083"/>
    <cellStyle name="Entrada 4 2 5 4" xfId="8084"/>
    <cellStyle name="Entrada 4 2 5 4 2" xfId="8085"/>
    <cellStyle name="Entrada 4 2 5 4 3" xfId="8086"/>
    <cellStyle name="Entrada 4 2 5 4 4" xfId="8087"/>
    <cellStyle name="Entrada 4 2 5 5" xfId="8088"/>
    <cellStyle name="Entrada 4 2 5 6" xfId="8089"/>
    <cellStyle name="Entrada 4 2 5 7" xfId="8090"/>
    <cellStyle name="Entrada 4 2 5 8" xfId="8091"/>
    <cellStyle name="Entrada 4 2 6" xfId="8092"/>
    <cellStyle name="Entrada 4 2 6 2" xfId="8093"/>
    <cellStyle name="Entrada 4 2 6 3" xfId="8094"/>
    <cellStyle name="Entrada 4 2 6 4" xfId="8095"/>
    <cellStyle name="Entrada 4 2 7" xfId="8096"/>
    <cellStyle name="Entrada 4 2 7 2" xfId="8097"/>
    <cellStyle name="Entrada 4 2 7 3" xfId="8098"/>
    <cellStyle name="Entrada 4 2 7 4" xfId="8099"/>
    <cellStyle name="Entrada 4 2 8" xfId="8100"/>
    <cellStyle name="Entrada 4 2 9" xfId="8101"/>
    <cellStyle name="Entrada 4 3" xfId="8102"/>
    <cellStyle name="Entrada 4 3 2" xfId="8103"/>
    <cellStyle name="Entrada 4 3 2 2" xfId="8104"/>
    <cellStyle name="Entrada 4 3 2 3" xfId="8105"/>
    <cellStyle name="Entrada 4 3 2 4" xfId="8106"/>
    <cellStyle name="Entrada 4 3 3" xfId="8107"/>
    <cellStyle name="Entrada 4 3 3 2" xfId="8108"/>
    <cellStyle name="Entrada 4 3 3 3" xfId="8109"/>
    <cellStyle name="Entrada 4 3 3 4" xfId="8110"/>
    <cellStyle name="Entrada 4 3 4" xfId="8111"/>
    <cellStyle name="Entrada 4 3 4 2" xfId="8112"/>
    <cellStyle name="Entrada 4 3 4 3" xfId="8113"/>
    <cellStyle name="Entrada 4 3 4 4" xfId="8114"/>
    <cellStyle name="Entrada 4 3 5" xfId="8115"/>
    <cellStyle name="Entrada 4 3 6" xfId="8116"/>
    <cellStyle name="Entrada 4 3 7" xfId="8117"/>
    <cellStyle name="Entrada 4 3 8" xfId="8118"/>
    <cellStyle name="Entrada 4 4" xfId="8119"/>
    <cellStyle name="Entrada 4 4 2" xfId="8120"/>
    <cellStyle name="Entrada 4 4 2 2" xfId="8121"/>
    <cellStyle name="Entrada 4 4 2 3" xfId="8122"/>
    <cellStyle name="Entrada 4 4 2 4" xfId="8123"/>
    <cellStyle name="Entrada 4 4 3" xfId="8124"/>
    <cellStyle name="Entrada 4 4 3 2" xfId="8125"/>
    <cellStyle name="Entrada 4 4 3 3" xfId="8126"/>
    <cellStyle name="Entrada 4 4 3 4" xfId="8127"/>
    <cellStyle name="Entrada 4 4 4" xfId="8128"/>
    <cellStyle name="Entrada 4 4 4 2" xfId="8129"/>
    <cellStyle name="Entrada 4 4 4 3" xfId="8130"/>
    <cellStyle name="Entrada 4 4 4 4" xfId="8131"/>
    <cellStyle name="Entrada 4 4 5" xfId="8132"/>
    <cellStyle name="Entrada 4 4 6" xfId="8133"/>
    <cellStyle name="Entrada 4 4 7" xfId="8134"/>
    <cellStyle name="Entrada 4 4 8" xfId="8135"/>
    <cellStyle name="Entrada 4 5" xfId="8136"/>
    <cellStyle name="Entrada 4 5 2" xfId="8137"/>
    <cellStyle name="Entrada 4 5 2 2" xfId="8138"/>
    <cellStyle name="Entrada 4 5 2 3" xfId="8139"/>
    <cellStyle name="Entrada 4 5 2 4" xfId="8140"/>
    <cellStyle name="Entrada 4 5 3" xfId="8141"/>
    <cellStyle name="Entrada 4 5 3 2" xfId="8142"/>
    <cellStyle name="Entrada 4 5 3 3" xfId="8143"/>
    <cellStyle name="Entrada 4 5 3 4" xfId="8144"/>
    <cellStyle name="Entrada 4 5 4" xfId="8145"/>
    <cellStyle name="Entrada 4 5 4 2" xfId="8146"/>
    <cellStyle name="Entrada 4 5 4 3" xfId="8147"/>
    <cellStyle name="Entrada 4 5 4 4" xfId="8148"/>
    <cellStyle name="Entrada 4 5 5" xfId="8149"/>
    <cellStyle name="Entrada 4 5 6" xfId="8150"/>
    <cellStyle name="Entrada 4 5 7" xfId="8151"/>
    <cellStyle name="Entrada 4 5 8" xfId="8152"/>
    <cellStyle name="Entrada 4 6" xfId="8153"/>
    <cellStyle name="Entrada 4 6 2" xfId="8154"/>
    <cellStyle name="Entrada 4 6 2 2" xfId="8155"/>
    <cellStyle name="Entrada 4 6 2 3" xfId="8156"/>
    <cellStyle name="Entrada 4 6 2 4" xfId="8157"/>
    <cellStyle name="Entrada 4 6 3" xfId="8158"/>
    <cellStyle name="Entrada 4 6 3 2" xfId="8159"/>
    <cellStyle name="Entrada 4 6 3 3" xfId="8160"/>
    <cellStyle name="Entrada 4 6 3 4" xfId="8161"/>
    <cellStyle name="Entrada 4 6 4" xfId="8162"/>
    <cellStyle name="Entrada 4 6 4 2" xfId="8163"/>
    <cellStyle name="Entrada 4 6 4 3" xfId="8164"/>
    <cellStyle name="Entrada 4 6 4 4" xfId="8165"/>
    <cellStyle name="Entrada 4 6 5" xfId="8166"/>
    <cellStyle name="Entrada 4 6 6" xfId="8167"/>
    <cellStyle name="Entrada 4 6 7" xfId="8168"/>
    <cellStyle name="Entrada 4 6 8" xfId="8169"/>
    <cellStyle name="Entrada 4 7" xfId="8170"/>
    <cellStyle name="Entrada 4 7 2" xfId="8171"/>
    <cellStyle name="Entrada 4 7 2 2" xfId="8172"/>
    <cellStyle name="Entrada 4 7 2 3" xfId="8173"/>
    <cellStyle name="Entrada 4 7 2 4" xfId="8174"/>
    <cellStyle name="Entrada 4 7 3" xfId="8175"/>
    <cellStyle name="Entrada 4 7 3 2" xfId="8176"/>
    <cellStyle name="Entrada 4 7 3 3" xfId="8177"/>
    <cellStyle name="Entrada 4 7 3 4" xfId="8178"/>
    <cellStyle name="Entrada 4 7 4" xfId="8179"/>
    <cellStyle name="Entrada 4 7 4 2" xfId="8180"/>
    <cellStyle name="Entrada 4 7 4 3" xfId="8181"/>
    <cellStyle name="Entrada 4 7 4 4" xfId="8182"/>
    <cellStyle name="Entrada 4 7 5" xfId="8183"/>
    <cellStyle name="Entrada 4 7 6" xfId="8184"/>
    <cellStyle name="Entrada 4 7 7" xfId="8185"/>
    <cellStyle name="Entrada 4 7 8" xfId="8186"/>
    <cellStyle name="Entrada 4 8" xfId="8187"/>
    <cellStyle name="Entrada 4 8 2" xfId="8188"/>
    <cellStyle name="Entrada 4 8 3" xfId="8189"/>
    <cellStyle name="Entrada 4 8 4" xfId="8190"/>
    <cellStyle name="Entrada 4 9" xfId="8191"/>
    <cellStyle name="Entrada 4 9 2" xfId="8192"/>
    <cellStyle name="Entrada 4 9 3" xfId="8193"/>
    <cellStyle name="Entrada 4 9 4" xfId="8194"/>
    <cellStyle name="Entrée" xfId="53372"/>
    <cellStyle name="Entrée 2" xfId="53373"/>
    <cellStyle name="Entrée 2 2" xfId="53374"/>
    <cellStyle name="Entrée 3" xfId="53375"/>
    <cellStyle name="Entrée 4" xfId="53376"/>
    <cellStyle name="Ergebnis" xfId="8195"/>
    <cellStyle name="Ergebnis 10" xfId="8196"/>
    <cellStyle name="Ergebnis 11" xfId="8197"/>
    <cellStyle name="Ergebnis 2" xfId="8198"/>
    <cellStyle name="Ergebnis 2 2" xfId="8199"/>
    <cellStyle name="Ergebnis 2 2 2" xfId="8200"/>
    <cellStyle name="Ergebnis 2 2 2 2" xfId="8201"/>
    <cellStyle name="Ergebnis 2 2 2 3" xfId="8202"/>
    <cellStyle name="Ergebnis 2 2 2 4" xfId="8203"/>
    <cellStyle name="Ergebnis 2 2 3" xfId="8204"/>
    <cellStyle name="Ergebnis 2 2 3 2" xfId="8205"/>
    <cellStyle name="Ergebnis 2 2 3 3" xfId="8206"/>
    <cellStyle name="Ergebnis 2 2 3 4" xfId="8207"/>
    <cellStyle name="Ergebnis 2 2 4" xfId="8208"/>
    <cellStyle name="Ergebnis 2 2 4 2" xfId="8209"/>
    <cellStyle name="Ergebnis 2 2 4 3" xfId="8210"/>
    <cellStyle name="Ergebnis 2 2 4 4" xfId="8211"/>
    <cellStyle name="Ergebnis 2 2 5" xfId="8212"/>
    <cellStyle name="Ergebnis 2 2 6" xfId="8213"/>
    <cellStyle name="Ergebnis 2 2 7" xfId="8214"/>
    <cellStyle name="Ergebnis 2 2 8" xfId="8215"/>
    <cellStyle name="Ergebnis 2 3" xfId="8216"/>
    <cellStyle name="Ergebnis 2 3 2" xfId="8217"/>
    <cellStyle name="Ergebnis 2 3 2 2" xfId="8218"/>
    <cellStyle name="Ergebnis 2 3 2 3" xfId="8219"/>
    <cellStyle name="Ergebnis 2 3 2 4" xfId="8220"/>
    <cellStyle name="Ergebnis 2 3 3" xfId="8221"/>
    <cellStyle name="Ergebnis 2 3 3 2" xfId="8222"/>
    <cellStyle name="Ergebnis 2 3 3 3" xfId="8223"/>
    <cellStyle name="Ergebnis 2 3 3 4" xfId="8224"/>
    <cellStyle name="Ergebnis 2 3 4" xfId="8225"/>
    <cellStyle name="Ergebnis 2 3 4 2" xfId="8226"/>
    <cellStyle name="Ergebnis 2 3 4 3" xfId="8227"/>
    <cellStyle name="Ergebnis 2 3 4 4" xfId="8228"/>
    <cellStyle name="Ergebnis 2 3 5" xfId="8229"/>
    <cellStyle name="Ergebnis 2 3 6" xfId="8230"/>
    <cellStyle name="Ergebnis 2 3 7" xfId="8231"/>
    <cellStyle name="Ergebnis 2 3 8" xfId="8232"/>
    <cellStyle name="Ergebnis 2 4" xfId="8233"/>
    <cellStyle name="Ergebnis 2 4 2" xfId="8234"/>
    <cellStyle name="Ergebnis 2 4 2 2" xfId="8235"/>
    <cellStyle name="Ergebnis 2 4 2 3" xfId="8236"/>
    <cellStyle name="Ergebnis 2 4 2 4" xfId="8237"/>
    <cellStyle name="Ergebnis 2 4 3" xfId="8238"/>
    <cellStyle name="Ergebnis 2 4 3 2" xfId="8239"/>
    <cellStyle name="Ergebnis 2 4 3 3" xfId="8240"/>
    <cellStyle name="Ergebnis 2 4 3 4" xfId="8241"/>
    <cellStyle name="Ergebnis 2 4 4" xfId="8242"/>
    <cellStyle name="Ergebnis 2 4 4 2" xfId="8243"/>
    <cellStyle name="Ergebnis 2 4 4 3" xfId="8244"/>
    <cellStyle name="Ergebnis 2 4 4 4" xfId="8245"/>
    <cellStyle name="Ergebnis 2 4 5" xfId="8246"/>
    <cellStyle name="Ergebnis 2 4 6" xfId="8247"/>
    <cellStyle name="Ergebnis 2 4 7" xfId="8248"/>
    <cellStyle name="Ergebnis 2 4 8" xfId="8249"/>
    <cellStyle name="Ergebnis 2 5" xfId="8250"/>
    <cellStyle name="Ergebnis 2 5 2" xfId="8251"/>
    <cellStyle name="Ergebnis 2 5 2 2" xfId="8252"/>
    <cellStyle name="Ergebnis 2 5 2 3" xfId="8253"/>
    <cellStyle name="Ergebnis 2 5 2 4" xfId="8254"/>
    <cellStyle name="Ergebnis 2 5 3" xfId="8255"/>
    <cellStyle name="Ergebnis 2 5 3 2" xfId="8256"/>
    <cellStyle name="Ergebnis 2 5 3 3" xfId="8257"/>
    <cellStyle name="Ergebnis 2 5 3 4" xfId="8258"/>
    <cellStyle name="Ergebnis 2 5 4" xfId="8259"/>
    <cellStyle name="Ergebnis 2 5 4 2" xfId="8260"/>
    <cellStyle name="Ergebnis 2 5 4 3" xfId="8261"/>
    <cellStyle name="Ergebnis 2 5 4 4" xfId="8262"/>
    <cellStyle name="Ergebnis 2 5 5" xfId="8263"/>
    <cellStyle name="Ergebnis 2 5 6" xfId="8264"/>
    <cellStyle name="Ergebnis 2 5 7" xfId="8265"/>
    <cellStyle name="Ergebnis 2 5 8" xfId="8266"/>
    <cellStyle name="Ergebnis 2 6" xfId="8267"/>
    <cellStyle name="Ergebnis 2 6 2" xfId="8268"/>
    <cellStyle name="Ergebnis 2 6 3" xfId="8269"/>
    <cellStyle name="Ergebnis 2 6 4" xfId="8270"/>
    <cellStyle name="Ergebnis 2 7" xfId="8271"/>
    <cellStyle name="Ergebnis 2 7 2" xfId="8272"/>
    <cellStyle name="Ergebnis 2 7 3" xfId="8273"/>
    <cellStyle name="Ergebnis 2 7 4" xfId="8274"/>
    <cellStyle name="Ergebnis 2 8" xfId="8275"/>
    <cellStyle name="Ergebnis 2 9" xfId="8276"/>
    <cellStyle name="Ergebnis 3" xfId="8277"/>
    <cellStyle name="Ergebnis 3 2" xfId="8278"/>
    <cellStyle name="Ergebnis 3 2 2" xfId="8279"/>
    <cellStyle name="Ergebnis 3 2 3" xfId="8280"/>
    <cellStyle name="Ergebnis 3 2 4" xfId="8281"/>
    <cellStyle name="Ergebnis 3 3" xfId="8282"/>
    <cellStyle name="Ergebnis 3 3 2" xfId="8283"/>
    <cellStyle name="Ergebnis 3 3 3" xfId="8284"/>
    <cellStyle name="Ergebnis 3 3 4" xfId="8285"/>
    <cellStyle name="Ergebnis 3 4" xfId="8286"/>
    <cellStyle name="Ergebnis 3 5" xfId="8287"/>
    <cellStyle name="Ergebnis 3 6" xfId="8288"/>
    <cellStyle name="Ergebnis 3 7" xfId="8289"/>
    <cellStyle name="Ergebnis 4" xfId="8290"/>
    <cellStyle name="Ergebnis 4 2" xfId="8291"/>
    <cellStyle name="Ergebnis 4 2 2" xfId="8292"/>
    <cellStyle name="Ergebnis 4 2 3" xfId="8293"/>
    <cellStyle name="Ergebnis 4 2 4" xfId="8294"/>
    <cellStyle name="Ergebnis 4 3" xfId="8295"/>
    <cellStyle name="Ergebnis 4 3 2" xfId="8296"/>
    <cellStyle name="Ergebnis 4 3 3" xfId="8297"/>
    <cellStyle name="Ergebnis 4 3 4" xfId="8298"/>
    <cellStyle name="Ergebnis 4 4" xfId="8299"/>
    <cellStyle name="Ergebnis 4 4 2" xfId="8300"/>
    <cellStyle name="Ergebnis 4 4 3" xfId="8301"/>
    <cellStyle name="Ergebnis 4 4 4" xfId="8302"/>
    <cellStyle name="Ergebnis 4 5" xfId="8303"/>
    <cellStyle name="Ergebnis 4 6" xfId="8304"/>
    <cellStyle name="Ergebnis 4 7" xfId="8305"/>
    <cellStyle name="Ergebnis 4 8" xfId="8306"/>
    <cellStyle name="Ergebnis 5" xfId="8307"/>
    <cellStyle name="Ergebnis 5 2" xfId="8308"/>
    <cellStyle name="Ergebnis 5 2 2" xfId="8309"/>
    <cellStyle name="Ergebnis 5 2 3" xfId="8310"/>
    <cellStyle name="Ergebnis 5 2 4" xfId="8311"/>
    <cellStyle name="Ergebnis 5 3" xfId="8312"/>
    <cellStyle name="Ergebnis 5 3 2" xfId="8313"/>
    <cellStyle name="Ergebnis 5 3 3" xfId="8314"/>
    <cellStyle name="Ergebnis 5 3 4" xfId="8315"/>
    <cellStyle name="Ergebnis 5 4" xfId="8316"/>
    <cellStyle name="Ergebnis 5 4 2" xfId="8317"/>
    <cellStyle name="Ergebnis 5 4 3" xfId="8318"/>
    <cellStyle name="Ergebnis 5 4 4" xfId="8319"/>
    <cellStyle name="Ergebnis 5 5" xfId="8320"/>
    <cellStyle name="Ergebnis 5 6" xfId="8321"/>
    <cellStyle name="Ergebnis 5 7" xfId="8322"/>
    <cellStyle name="Ergebnis 5 8" xfId="8323"/>
    <cellStyle name="Ergebnis 6" xfId="8324"/>
    <cellStyle name="Ergebnis 6 2" xfId="8325"/>
    <cellStyle name="Ergebnis 6 2 2" xfId="8326"/>
    <cellStyle name="Ergebnis 6 2 3" xfId="8327"/>
    <cellStyle name="Ergebnis 6 2 4" xfId="8328"/>
    <cellStyle name="Ergebnis 6 3" xfId="8329"/>
    <cellStyle name="Ergebnis 6 3 2" xfId="8330"/>
    <cellStyle name="Ergebnis 6 3 3" xfId="8331"/>
    <cellStyle name="Ergebnis 6 3 4" xfId="8332"/>
    <cellStyle name="Ergebnis 6 4" xfId="8333"/>
    <cellStyle name="Ergebnis 6 4 2" xfId="8334"/>
    <cellStyle name="Ergebnis 6 4 3" xfId="8335"/>
    <cellStyle name="Ergebnis 6 4 4" xfId="8336"/>
    <cellStyle name="Ergebnis 6 5" xfId="8337"/>
    <cellStyle name="Ergebnis 6 6" xfId="8338"/>
    <cellStyle name="Ergebnis 6 7" xfId="8339"/>
    <cellStyle name="Ergebnis 6 8" xfId="8340"/>
    <cellStyle name="Ergebnis 7" xfId="8341"/>
    <cellStyle name="Ergebnis 7 2" xfId="8342"/>
    <cellStyle name="Ergebnis 7 2 2" xfId="8343"/>
    <cellStyle name="Ergebnis 7 2 3" xfId="8344"/>
    <cellStyle name="Ergebnis 7 2 4" xfId="8345"/>
    <cellStyle name="Ergebnis 7 3" xfId="8346"/>
    <cellStyle name="Ergebnis 7 3 2" xfId="8347"/>
    <cellStyle name="Ergebnis 7 3 3" xfId="8348"/>
    <cellStyle name="Ergebnis 7 3 4" xfId="8349"/>
    <cellStyle name="Ergebnis 7 4" xfId="8350"/>
    <cellStyle name="Ergebnis 7 4 2" xfId="8351"/>
    <cellStyle name="Ergebnis 7 4 3" xfId="8352"/>
    <cellStyle name="Ergebnis 7 4 4" xfId="8353"/>
    <cellStyle name="Ergebnis 7 5" xfId="8354"/>
    <cellStyle name="Ergebnis 7 6" xfId="8355"/>
    <cellStyle name="Ergebnis 7 7" xfId="8356"/>
    <cellStyle name="Ergebnis 7 8" xfId="8357"/>
    <cellStyle name="Ergebnis 8" xfId="8358"/>
    <cellStyle name="Ergebnis 8 2" xfId="8359"/>
    <cellStyle name="Ergebnis 8 3" xfId="8360"/>
    <cellStyle name="Ergebnis 8 4" xfId="8361"/>
    <cellStyle name="Ergebnis 9" xfId="8362"/>
    <cellStyle name="Ergebnis 9 2" xfId="8363"/>
    <cellStyle name="Ergebnis 9 3" xfId="8364"/>
    <cellStyle name="Ergebnis 9 4" xfId="8365"/>
    <cellStyle name="Erklärender Text" xfId="8366"/>
    <cellStyle name="Estilo 1" xfId="6"/>
    <cellStyle name="Estilo 1 10" xfId="8367"/>
    <cellStyle name="Estilo 1 10 2" xfId="8368"/>
    <cellStyle name="Estilo 1 10 3" xfId="8369"/>
    <cellStyle name="Estilo 1 11" xfId="8370"/>
    <cellStyle name="Estilo 1 11 2" xfId="8371"/>
    <cellStyle name="Estilo 1 11 3" xfId="8372"/>
    <cellStyle name="Estilo 1 12" xfId="8373"/>
    <cellStyle name="Estilo 1 12 2" xfId="8374"/>
    <cellStyle name="Estilo 1 12 3" xfId="8375"/>
    <cellStyle name="Estilo 1 13" xfId="8376"/>
    <cellStyle name="Estilo 1 13 2" xfId="8377"/>
    <cellStyle name="Estilo 1 13 3" xfId="8378"/>
    <cellStyle name="Estilo 1 14" xfId="8379"/>
    <cellStyle name="Estilo 1 14 2" xfId="8380"/>
    <cellStyle name="Estilo 1 14 3" xfId="8381"/>
    <cellStyle name="Estilo 1 15" xfId="8382"/>
    <cellStyle name="Estilo 1 15 2" xfId="8383"/>
    <cellStyle name="Estilo 1 15 3" xfId="8384"/>
    <cellStyle name="Estilo 1 16" xfId="8385"/>
    <cellStyle name="Estilo 1 16 2" xfId="8386"/>
    <cellStyle name="Estilo 1 16 3" xfId="8387"/>
    <cellStyle name="Estilo 1 17" xfId="8388"/>
    <cellStyle name="Estilo 1 17 2" xfId="8389"/>
    <cellStyle name="Estilo 1 17 3" xfId="8390"/>
    <cellStyle name="Estilo 1 18" xfId="8391"/>
    <cellStyle name="Estilo 1 18 2" xfId="8392"/>
    <cellStyle name="Estilo 1 18 3" xfId="8393"/>
    <cellStyle name="Estilo 1 19" xfId="8394"/>
    <cellStyle name="Estilo 1 19 2" xfId="8395"/>
    <cellStyle name="Estilo 1 19 3" xfId="8396"/>
    <cellStyle name="Estilo 1 2" xfId="63"/>
    <cellStyle name="Estilo 1 2 2" xfId="8397"/>
    <cellStyle name="Estilo 1 2 2 2" xfId="8398"/>
    <cellStyle name="Estilo 1 2 3" xfId="8399"/>
    <cellStyle name="Estilo 1 20" xfId="8400"/>
    <cellStyle name="Estilo 1 20 2" xfId="8401"/>
    <cellStyle name="Estilo 1 20 3" xfId="8402"/>
    <cellStyle name="Estilo 1 21" xfId="8403"/>
    <cellStyle name="Estilo 1 21 2" xfId="8404"/>
    <cellStyle name="Estilo 1 21 3" xfId="8405"/>
    <cellStyle name="Estilo 1 3" xfId="8406"/>
    <cellStyle name="Estilo 1 3 2" xfId="8407"/>
    <cellStyle name="Estilo 1 3 3" xfId="8408"/>
    <cellStyle name="Estilo 1 4" xfId="8409"/>
    <cellStyle name="Estilo 1 4 2" xfId="8410"/>
    <cellStyle name="Estilo 1 4 3" xfId="8411"/>
    <cellStyle name="Estilo 1 5" xfId="8412"/>
    <cellStyle name="Estilo 1 5 2" xfId="8413"/>
    <cellStyle name="Estilo 1 5 3" xfId="8414"/>
    <cellStyle name="Estilo 1 6" xfId="8415"/>
    <cellStyle name="Estilo 1 6 2" xfId="8416"/>
    <cellStyle name="Estilo 1 6 3" xfId="8417"/>
    <cellStyle name="Estilo 1 7" xfId="8418"/>
    <cellStyle name="Estilo 1 7 2" xfId="8419"/>
    <cellStyle name="Estilo 1 7 3" xfId="8420"/>
    <cellStyle name="Estilo 1 8" xfId="8421"/>
    <cellStyle name="Estilo 1 8 2" xfId="8422"/>
    <cellStyle name="Estilo 1 8 3" xfId="8423"/>
    <cellStyle name="Estilo 1 9" xfId="8424"/>
    <cellStyle name="Estilo 1 9 2" xfId="8425"/>
    <cellStyle name="Estilo 1 9 3" xfId="8426"/>
    <cellStyle name="Euro" xfId="7"/>
    <cellStyle name="Euro 10" xfId="8427"/>
    <cellStyle name="Euro 10 2" xfId="8428"/>
    <cellStyle name="Euro 10 3" xfId="8429"/>
    <cellStyle name="Euro 11" xfId="8430"/>
    <cellStyle name="Euro 11 2" xfId="8431"/>
    <cellStyle name="Euro 11 3" xfId="8432"/>
    <cellStyle name="Euro 12" xfId="8433"/>
    <cellStyle name="Euro 12 2" xfId="8434"/>
    <cellStyle name="Euro 12 3" xfId="8435"/>
    <cellStyle name="Euro 13" xfId="8436"/>
    <cellStyle name="Euro 13 2" xfId="8437"/>
    <cellStyle name="Euro 13 3" xfId="8438"/>
    <cellStyle name="Euro 14" xfId="8439"/>
    <cellStyle name="Euro 14 2" xfId="8440"/>
    <cellStyle name="Euro 14 3" xfId="8441"/>
    <cellStyle name="Euro 15" xfId="8442"/>
    <cellStyle name="Euro 15 2" xfId="8443"/>
    <cellStyle name="Euro 15 3" xfId="8444"/>
    <cellStyle name="Euro 16" xfId="8445"/>
    <cellStyle name="Euro 16 2" xfId="8446"/>
    <cellStyle name="Euro 16 3" xfId="8447"/>
    <cellStyle name="Euro 17" xfId="8448"/>
    <cellStyle name="Euro 17 2" xfId="8449"/>
    <cellStyle name="Euro 17 3" xfId="8450"/>
    <cellStyle name="Euro 18" xfId="8451"/>
    <cellStyle name="Euro 18 2" xfId="8452"/>
    <cellStyle name="Euro 18 3" xfId="8453"/>
    <cellStyle name="Euro 19" xfId="8454"/>
    <cellStyle name="Euro 19 2" xfId="8455"/>
    <cellStyle name="Euro 19 3" xfId="8456"/>
    <cellStyle name="Euro 2" xfId="8457"/>
    <cellStyle name="Euro 2 2" xfId="8458"/>
    <cellStyle name="Euro 2 2 2" xfId="8459"/>
    <cellStyle name="Euro 2 2 3" xfId="8460"/>
    <cellStyle name="Euro 2 3" xfId="8461"/>
    <cellStyle name="Euro 2 4" xfId="8462"/>
    <cellStyle name="Euro 20" xfId="8463"/>
    <cellStyle name="Euro 20 2" xfId="8464"/>
    <cellStyle name="Euro 20 3" xfId="8465"/>
    <cellStyle name="Euro 21" xfId="8466"/>
    <cellStyle name="Euro 21 2" xfId="8467"/>
    <cellStyle name="Euro 21 3" xfId="8468"/>
    <cellStyle name="Euro 22" xfId="8469"/>
    <cellStyle name="Euro 22 2" xfId="8470"/>
    <cellStyle name="Euro 22 3" xfId="8471"/>
    <cellStyle name="Euro 23" xfId="8472"/>
    <cellStyle name="Euro 23 2" xfId="8473"/>
    <cellStyle name="Euro 23 3" xfId="8474"/>
    <cellStyle name="Euro 24" xfId="8475"/>
    <cellStyle name="Euro 3" xfId="8476"/>
    <cellStyle name="Euro 3 2" xfId="8477"/>
    <cellStyle name="Euro 3 2 2" xfId="8478"/>
    <cellStyle name="Euro 3 2 3" xfId="8479"/>
    <cellStyle name="Euro 3 3" xfId="8480"/>
    <cellStyle name="Euro 3 4" xfId="8481"/>
    <cellStyle name="Euro 4" xfId="8482"/>
    <cellStyle name="Euro 4 2" xfId="8483"/>
    <cellStyle name="Euro 4 3" xfId="8484"/>
    <cellStyle name="Euro 5" xfId="8485"/>
    <cellStyle name="Euro 5 2" xfId="8486"/>
    <cellStyle name="Euro 5 3" xfId="8487"/>
    <cellStyle name="Euro 6" xfId="8488"/>
    <cellStyle name="Euro 6 2" xfId="8489"/>
    <cellStyle name="Euro 6 3" xfId="8490"/>
    <cellStyle name="Euro 7" xfId="8491"/>
    <cellStyle name="Euro 7 2" xfId="8492"/>
    <cellStyle name="Euro 7 3" xfId="8493"/>
    <cellStyle name="Euro 8" xfId="8494"/>
    <cellStyle name="Euro 8 2" xfId="8495"/>
    <cellStyle name="Euro 8 3" xfId="8496"/>
    <cellStyle name="Euro 9" xfId="8497"/>
    <cellStyle name="Euro 9 2" xfId="8498"/>
    <cellStyle name="Euro 9 3" xfId="8499"/>
    <cellStyle name="Euro_~2379434" xfId="8500"/>
    <cellStyle name="Excel Built-in Hyperlink" xfId="53377"/>
    <cellStyle name="Excel Built-in Normal" xfId="53378"/>
    <cellStyle name="Excel_BuiltIn_20% - Énfasis3" xfId="53379"/>
    <cellStyle name="Explanatory Text" xfId="8501"/>
    <cellStyle name="Explanatory Text 2" xfId="8502"/>
    <cellStyle name="Explanatory Text 3" xfId="8503"/>
    <cellStyle name="Explanatory Text_Plan Campaña Día de la Madre 2010 - v2" xfId="8504"/>
    <cellStyle name="Fixed" xfId="8505"/>
    <cellStyle name="Fixed 2" xfId="8506"/>
    <cellStyle name="Fixed 3" xfId="8507"/>
    <cellStyle name="Followed Hyperlink" xfId="8508"/>
    <cellStyle name="Followed Hyperlink 10" xfId="8509"/>
    <cellStyle name="Followed Hyperlink 11" xfId="8510"/>
    <cellStyle name="Followed Hyperlink 12" xfId="8511"/>
    <cellStyle name="Followed Hyperlink 13" xfId="8512"/>
    <cellStyle name="Followed Hyperlink 14" xfId="8513"/>
    <cellStyle name="Followed Hyperlink 15" xfId="8514"/>
    <cellStyle name="Followed Hyperlink 16" xfId="8515"/>
    <cellStyle name="Followed Hyperlink 17" xfId="8516"/>
    <cellStyle name="Followed Hyperlink 18" xfId="8517"/>
    <cellStyle name="Followed Hyperlink 19" xfId="8518"/>
    <cellStyle name="Followed Hyperlink 2" xfId="8519"/>
    <cellStyle name="Followed Hyperlink 20" xfId="8520"/>
    <cellStyle name="Followed Hyperlink 21" xfId="8521"/>
    <cellStyle name="Followed Hyperlink 22" xfId="8522"/>
    <cellStyle name="Followed Hyperlink 23" xfId="8523"/>
    <cellStyle name="Followed Hyperlink 3" xfId="8524"/>
    <cellStyle name="Followed Hyperlink 4" xfId="8525"/>
    <cellStyle name="Followed Hyperlink 5" xfId="8526"/>
    <cellStyle name="Followed Hyperlink 6" xfId="8527"/>
    <cellStyle name="Followed Hyperlink 7" xfId="8528"/>
    <cellStyle name="Followed Hyperlink 8" xfId="8529"/>
    <cellStyle name="Followed Hyperlink 9" xfId="8530"/>
    <cellStyle name="Followed Hyperlink_CPM-sh0405-Mar 21" xfId="53380"/>
    <cellStyle name="Forklarende tekst" xfId="53381"/>
    <cellStyle name="Format 1" xfId="53382"/>
    <cellStyle name="Formel" xfId="53383"/>
    <cellStyle name="Formel 2" xfId="53384"/>
    <cellStyle name="Gauche" xfId="53385"/>
    <cellStyle name="Gauche 2" xfId="53386"/>
    <cellStyle name="Gauche 3" xfId="53387"/>
    <cellStyle name="God" xfId="53388"/>
    <cellStyle name="Good" xfId="8531"/>
    <cellStyle name="Good 2" xfId="8532"/>
    <cellStyle name="Good 3" xfId="8533"/>
    <cellStyle name="Good_Plan Campaña Día de la Madre 2010 - v2" xfId="8534"/>
    <cellStyle name="Grey" xfId="8535"/>
    <cellStyle name="Grey 10" xfId="8536"/>
    <cellStyle name="Grey 11" xfId="8537"/>
    <cellStyle name="Grey 12" xfId="8538"/>
    <cellStyle name="Grey 13" xfId="8539"/>
    <cellStyle name="Grey 14" xfId="8540"/>
    <cellStyle name="Grey 15" xfId="8541"/>
    <cellStyle name="Grey 16" xfId="8542"/>
    <cellStyle name="Grey 17" xfId="8543"/>
    <cellStyle name="Grey 18" xfId="8544"/>
    <cellStyle name="Grey 19" xfId="8545"/>
    <cellStyle name="Grey 2" xfId="8546"/>
    <cellStyle name="Grey 20" xfId="8547"/>
    <cellStyle name="Grey 21" xfId="8548"/>
    <cellStyle name="Grey 22" xfId="8549"/>
    <cellStyle name="Grey 23" xfId="8550"/>
    <cellStyle name="Grey 3" xfId="8551"/>
    <cellStyle name="Grey 4" xfId="8552"/>
    <cellStyle name="Grey 5" xfId="8553"/>
    <cellStyle name="Grey 6" xfId="8554"/>
    <cellStyle name="Grey 7" xfId="8555"/>
    <cellStyle name="Grey 8" xfId="8556"/>
    <cellStyle name="Grey 9" xfId="8557"/>
    <cellStyle name="GRP" xfId="53389"/>
    <cellStyle name="GRP 2" xfId="53390"/>
    <cellStyle name="GRPBordGris" xfId="53391"/>
    <cellStyle name="GRPBordGris 2" xfId="53392"/>
    <cellStyle name="GRPBordGris 2 2" xfId="53393"/>
    <cellStyle name="GRPBordGris 3" xfId="53394"/>
    <cellStyle name="GRPBordGris 3 2" xfId="53395"/>
    <cellStyle name="GRPBordGris 4" xfId="53396"/>
    <cellStyle name="GRPBordGris 4 2" xfId="53397"/>
    <cellStyle name="GRPBordGris 5" xfId="53398"/>
    <cellStyle name="GRPBordGris 5 2" xfId="53399"/>
    <cellStyle name="GRPBordGris 6" xfId="53400"/>
    <cellStyle name="GRPBordGris 6 2" xfId="53401"/>
    <cellStyle name="GRPBordGris 7" xfId="53402"/>
    <cellStyle name="GRPTableau" xfId="53403"/>
    <cellStyle name="GRPTableau 2" xfId="53404"/>
    <cellStyle name="GRPTotal" xfId="53405"/>
    <cellStyle name="GRPTotal 2" xfId="53406"/>
    <cellStyle name="Gut" xfId="8558"/>
    <cellStyle name="HautDroit" xfId="53407"/>
    <cellStyle name="HautDroit 2" xfId="53408"/>
    <cellStyle name="HautDroit 3" xfId="53409"/>
    <cellStyle name="HautGauche" xfId="53410"/>
    <cellStyle name="HautGauche 2" xfId="53411"/>
    <cellStyle name="HautGauche 3" xfId="53412"/>
    <cellStyle name="HEADER" xfId="8559"/>
    <cellStyle name="Header1" xfId="8560"/>
    <cellStyle name="Header2" xfId="8561"/>
    <cellStyle name="Header2 2" xfId="8562"/>
    <cellStyle name="Header2 2 2" xfId="8563"/>
    <cellStyle name="Header2 2 2 2" xfId="8564"/>
    <cellStyle name="Header2 2 2 2 2" xfId="8565"/>
    <cellStyle name="Header2 2 2 2 3" xfId="8566"/>
    <cellStyle name="Header2 2 2 2 4" xfId="8567"/>
    <cellStyle name="Header2 2 2 3" xfId="8568"/>
    <cellStyle name="Header2 2 2 3 2" xfId="8569"/>
    <cellStyle name="Header2 2 2 3 3" xfId="8570"/>
    <cellStyle name="Header2 2 2 3 4" xfId="8571"/>
    <cellStyle name="Header2 2 2 4" xfId="8572"/>
    <cellStyle name="Header2 2 2 4 2" xfId="8573"/>
    <cellStyle name="Header2 2 2 4 3" xfId="8574"/>
    <cellStyle name="Header2 2 2 4 4" xfId="8575"/>
    <cellStyle name="Header2 2 2 5" xfId="8576"/>
    <cellStyle name="Header2 2 2 6" xfId="8577"/>
    <cellStyle name="Header2 2 2 7" xfId="8578"/>
    <cellStyle name="Header2 2 2 8" xfId="8579"/>
    <cellStyle name="Header2 2 3" xfId="8580"/>
    <cellStyle name="Header2 2 3 2" xfId="8581"/>
    <cellStyle name="Header2 2 3 2 2" xfId="8582"/>
    <cellStyle name="Header2 2 3 2 3" xfId="8583"/>
    <cellStyle name="Header2 2 3 2 4" xfId="8584"/>
    <cellStyle name="Header2 2 3 3" xfId="8585"/>
    <cellStyle name="Header2 2 3 3 2" xfId="8586"/>
    <cellStyle name="Header2 2 3 3 3" xfId="8587"/>
    <cellStyle name="Header2 2 3 3 4" xfId="8588"/>
    <cellStyle name="Header2 2 3 4" xfId="8589"/>
    <cellStyle name="Header2 2 3 4 2" xfId="8590"/>
    <cellStyle name="Header2 2 3 4 3" xfId="8591"/>
    <cellStyle name="Header2 2 3 4 4" xfId="8592"/>
    <cellStyle name="Header2 2 3 5" xfId="8593"/>
    <cellStyle name="Header2 2 3 6" xfId="8594"/>
    <cellStyle name="Header2 2 3 7" xfId="8595"/>
    <cellStyle name="Header2 2 3 8" xfId="8596"/>
    <cellStyle name="Header2 2 4" xfId="8597"/>
    <cellStyle name="Header2 2 4 2" xfId="8598"/>
    <cellStyle name="Header2 2 4 2 2" xfId="8599"/>
    <cellStyle name="Header2 2 4 2 3" xfId="8600"/>
    <cellStyle name="Header2 2 4 2 4" xfId="8601"/>
    <cellStyle name="Header2 2 4 3" xfId="8602"/>
    <cellStyle name="Header2 2 4 3 2" xfId="8603"/>
    <cellStyle name="Header2 2 4 3 3" xfId="8604"/>
    <cellStyle name="Header2 2 4 3 4" xfId="8605"/>
    <cellStyle name="Header2 2 4 4" xfId="8606"/>
    <cellStyle name="Header2 2 4 4 2" xfId="8607"/>
    <cellStyle name="Header2 2 4 4 3" xfId="8608"/>
    <cellStyle name="Header2 2 4 4 4" xfId="8609"/>
    <cellStyle name="Header2 2 4 5" xfId="8610"/>
    <cellStyle name="Header2 2 4 6" xfId="8611"/>
    <cellStyle name="Header2 2 4 7" xfId="8612"/>
    <cellStyle name="Header2 2 4 8" xfId="8613"/>
    <cellStyle name="Header2 2 5" xfId="8614"/>
    <cellStyle name="Header2 2 5 2" xfId="8615"/>
    <cellStyle name="Header2 2 5 3" xfId="8616"/>
    <cellStyle name="Header2 2 5 4" xfId="8617"/>
    <cellStyle name="Header2 2 6" xfId="8618"/>
    <cellStyle name="Header2 2 6 2" xfId="8619"/>
    <cellStyle name="Header2 2 6 3" xfId="8620"/>
    <cellStyle name="Header2 2 6 4" xfId="8621"/>
    <cellStyle name="Header2 2 7" xfId="8622"/>
    <cellStyle name="Header2 2 8" xfId="8623"/>
    <cellStyle name="Header2 3" xfId="8624"/>
    <cellStyle name="Header2 3 2" xfId="8625"/>
    <cellStyle name="Header2 3 2 2" xfId="8626"/>
    <cellStyle name="Header2 3 2 3" xfId="8627"/>
    <cellStyle name="Header2 3 2 4" xfId="8628"/>
    <cellStyle name="Header2 3 3" xfId="8629"/>
    <cellStyle name="Header2 3 3 2" xfId="8630"/>
    <cellStyle name="Header2 3 3 3" xfId="8631"/>
    <cellStyle name="Header2 3 3 4" xfId="8632"/>
    <cellStyle name="Header2 3 4" xfId="8633"/>
    <cellStyle name="Header2 3 4 2" xfId="8634"/>
    <cellStyle name="Header2 3 4 3" xfId="8635"/>
    <cellStyle name="Header2 3 4 4" xfId="8636"/>
    <cellStyle name="Header2 3 5" xfId="8637"/>
    <cellStyle name="Header2 3 6" xfId="8638"/>
    <cellStyle name="Header2 3 7" xfId="8639"/>
    <cellStyle name="Header2 3 8" xfId="8640"/>
    <cellStyle name="Header2 4" xfId="8641"/>
    <cellStyle name="Header2 4 2" xfId="8642"/>
    <cellStyle name="Header2 4 2 2" xfId="8643"/>
    <cellStyle name="Header2 4 2 3" xfId="8644"/>
    <cellStyle name="Header2 4 2 4" xfId="8645"/>
    <cellStyle name="Header2 4 3" xfId="8646"/>
    <cellStyle name="Header2 4 3 2" xfId="8647"/>
    <cellStyle name="Header2 4 3 3" xfId="8648"/>
    <cellStyle name="Header2 4 3 4" xfId="8649"/>
    <cellStyle name="Header2 4 4" xfId="8650"/>
    <cellStyle name="Header2 4 4 2" xfId="8651"/>
    <cellStyle name="Header2 4 4 3" xfId="8652"/>
    <cellStyle name="Header2 4 4 4" xfId="8653"/>
    <cellStyle name="Header2 4 5" xfId="8654"/>
    <cellStyle name="Header2 4 6" xfId="8655"/>
    <cellStyle name="Header2 4 7" xfId="8656"/>
    <cellStyle name="Header2 4 8" xfId="8657"/>
    <cellStyle name="Header2 5" xfId="8658"/>
    <cellStyle name="Header2 5 2" xfId="8659"/>
    <cellStyle name="Header2 5 2 2" xfId="8660"/>
    <cellStyle name="Header2 5 2 3" xfId="8661"/>
    <cellStyle name="Header2 5 2 4" xfId="8662"/>
    <cellStyle name="Header2 5 3" xfId="8663"/>
    <cellStyle name="Header2 5 3 2" xfId="8664"/>
    <cellStyle name="Header2 5 3 3" xfId="8665"/>
    <cellStyle name="Header2 5 3 4" xfId="8666"/>
    <cellStyle name="Header2 5 4" xfId="8667"/>
    <cellStyle name="Header2 5 4 2" xfId="8668"/>
    <cellStyle name="Header2 5 4 3" xfId="8669"/>
    <cellStyle name="Header2 5 4 4" xfId="8670"/>
    <cellStyle name="Header2 5 5" xfId="8671"/>
    <cellStyle name="Header2 5 6" xfId="8672"/>
    <cellStyle name="Header2 5 7" xfId="8673"/>
    <cellStyle name="Header2 5 8" xfId="8674"/>
    <cellStyle name="Header2 6" xfId="8675"/>
    <cellStyle name="Header2 6 2" xfId="8676"/>
    <cellStyle name="Header2 6 3" xfId="8677"/>
    <cellStyle name="Header2 6 4" xfId="8678"/>
    <cellStyle name="Header2 7" xfId="8679"/>
    <cellStyle name="Header2 7 2" xfId="8680"/>
    <cellStyle name="Header2 7 3" xfId="8681"/>
    <cellStyle name="Header2 7 4" xfId="8682"/>
    <cellStyle name="Header2 8" xfId="8683"/>
    <cellStyle name="Header2 9" xfId="8684"/>
    <cellStyle name="Heading" xfId="53413"/>
    <cellStyle name="Heading 1" xfId="8685"/>
    <cellStyle name="Heading 1 2" xfId="8686"/>
    <cellStyle name="Heading 1 3" xfId="8687"/>
    <cellStyle name="Heading 1_Plan Campaña Día de la Madre 2010 - v2" xfId="8688"/>
    <cellStyle name="Heading 2" xfId="8689"/>
    <cellStyle name="Heading 2 2" xfId="8690"/>
    <cellStyle name="Heading 2 3" xfId="8691"/>
    <cellStyle name="Heading 2_Plan Campaña Día de la Madre 2010 - v2" xfId="8692"/>
    <cellStyle name="Heading 3" xfId="8693"/>
    <cellStyle name="Heading 3 2" xfId="8694"/>
    <cellStyle name="Heading 3 2 2" xfId="8695"/>
    <cellStyle name="Heading 3 2 2 2" xfId="8696"/>
    <cellStyle name="Heading 3 2 2 2 2" xfId="8697"/>
    <cellStyle name="Heading 3 2 2 2 3" xfId="8698"/>
    <cellStyle name="Heading 3 2 2 2 4" xfId="8699"/>
    <cellStyle name="Heading 3 2 2 3" xfId="8700"/>
    <cellStyle name="Heading 3 2 2 4" xfId="8701"/>
    <cellStyle name="Heading 3 2 2 5" xfId="8702"/>
    <cellStyle name="Heading 3 2 3" xfId="8703"/>
    <cellStyle name="Heading 3 2 3 2" xfId="8704"/>
    <cellStyle name="Heading 3 2 3 3" xfId="8705"/>
    <cellStyle name="Heading 3 2 3 4" xfId="8706"/>
    <cellStyle name="Heading 3 2 4" xfId="8707"/>
    <cellStyle name="Heading 3 2 4 2" xfId="8708"/>
    <cellStyle name="Heading 3 2 4 3" xfId="8709"/>
    <cellStyle name="Heading 3 2 4 4" xfId="8710"/>
    <cellStyle name="Heading 3 2 5" xfId="8711"/>
    <cellStyle name="Heading 3 2 6" xfId="8712"/>
    <cellStyle name="Heading 3 2 7" xfId="8713"/>
    <cellStyle name="Heading 3 3" xfId="8714"/>
    <cellStyle name="Heading 3 3 2" xfId="8715"/>
    <cellStyle name="Heading 3 3 2 2" xfId="8716"/>
    <cellStyle name="Heading 3 3 2 2 2" xfId="8717"/>
    <cellStyle name="Heading 3 3 2 2 3" xfId="8718"/>
    <cellStyle name="Heading 3 3 2 2 4" xfId="8719"/>
    <cellStyle name="Heading 3 3 2 3" xfId="8720"/>
    <cellStyle name="Heading 3 3 2 4" xfId="8721"/>
    <cellStyle name="Heading 3 3 2 5" xfId="8722"/>
    <cellStyle name="Heading 3 3 3" xfId="8723"/>
    <cellStyle name="Heading 3 3 3 2" xfId="8724"/>
    <cellStyle name="Heading 3 3 3 3" xfId="8725"/>
    <cellStyle name="Heading 3 3 3 4" xfId="8726"/>
    <cellStyle name="Heading 3 3 4" xfId="8727"/>
    <cellStyle name="Heading 3 3 4 2" xfId="8728"/>
    <cellStyle name="Heading 3 3 4 3" xfId="8729"/>
    <cellStyle name="Heading 3 3 4 4" xfId="8730"/>
    <cellStyle name="Heading 3 3 5" xfId="8731"/>
    <cellStyle name="Heading 3 3 6" xfId="8732"/>
    <cellStyle name="Heading 3 3 7" xfId="8733"/>
    <cellStyle name="Heading 3 4" xfId="8734"/>
    <cellStyle name="Heading 3 4 2" xfId="8735"/>
    <cellStyle name="Heading 3 4 2 2" xfId="8736"/>
    <cellStyle name="Heading 3 4 2 3" xfId="8737"/>
    <cellStyle name="Heading 3 4 2 4" xfId="8738"/>
    <cellStyle name="Heading 3 4 3" xfId="8739"/>
    <cellStyle name="Heading 3 4 4" xfId="8740"/>
    <cellStyle name="Heading 3 4 5" xfId="8741"/>
    <cellStyle name="Heading 3 5" xfId="8742"/>
    <cellStyle name="Heading 3 5 2" xfId="8743"/>
    <cellStyle name="Heading 3 5 3" xfId="8744"/>
    <cellStyle name="Heading 3 5 4" xfId="8745"/>
    <cellStyle name="Heading 3 6" xfId="8746"/>
    <cellStyle name="Heading 3 6 2" xfId="8747"/>
    <cellStyle name="Heading 3 6 3" xfId="8748"/>
    <cellStyle name="Heading 3 6 4" xfId="8749"/>
    <cellStyle name="Heading 3 7" xfId="8750"/>
    <cellStyle name="Heading 3 8" xfId="8751"/>
    <cellStyle name="Heading 3 9" xfId="8752"/>
    <cellStyle name="Heading 3_Plan Campaña Día de la Madre 2010 - v2" xfId="8753"/>
    <cellStyle name="Heading 4" xfId="8754"/>
    <cellStyle name="Heading 4 2" xfId="8755"/>
    <cellStyle name="Heading 4 3" xfId="8756"/>
    <cellStyle name="Heading 4_Plan Campaña Día de la Madre 2010 - v2" xfId="8757"/>
    <cellStyle name="Heading1" xfId="8758"/>
    <cellStyle name="Heading1 2" xfId="8759"/>
    <cellStyle name="Heading1 2 2" xfId="8760"/>
    <cellStyle name="Heading1 2 3" xfId="8761"/>
    <cellStyle name="Heading1 3" xfId="8762"/>
    <cellStyle name="Heading1 4" xfId="8763"/>
    <cellStyle name="Heading2" xfId="8764"/>
    <cellStyle name="Heading2 2" xfId="8765"/>
    <cellStyle name="Heading2 2 2" xfId="8766"/>
    <cellStyle name="Heading2 2 3" xfId="8767"/>
    <cellStyle name="Heading2 3" xfId="8768"/>
    <cellStyle name="Heading2 4" xfId="8769"/>
    <cellStyle name="HEADINGS" xfId="8770"/>
    <cellStyle name="HEADINGS 2" xfId="8771"/>
    <cellStyle name="HEADINGS 2 2" xfId="8772"/>
    <cellStyle name="HEADINGS 2 2 2" xfId="8773"/>
    <cellStyle name="HEADINGS 2 2 3" xfId="8774"/>
    <cellStyle name="HEADINGS 2 2 4" xfId="8775"/>
    <cellStyle name="HEADINGS 2 3" xfId="8776"/>
    <cellStyle name="HEADINGS 2 4" xfId="8777"/>
    <cellStyle name="HEADINGS 2 5" xfId="8778"/>
    <cellStyle name="HEADINGS 2 6" xfId="8779"/>
    <cellStyle name="HEADINGS 3" xfId="8780"/>
    <cellStyle name="HEADINGS 3 2" xfId="8781"/>
    <cellStyle name="HEADINGS 3 3" xfId="8782"/>
    <cellStyle name="HEADINGS 3 4" xfId="8783"/>
    <cellStyle name="HEADINGSTOP" xfId="8784"/>
    <cellStyle name="HIGHLIGHT" xfId="8785"/>
    <cellStyle name="Hipervínculo 2" xfId="8786"/>
    <cellStyle name="Hipervínculo 2 2" xfId="8787"/>
    <cellStyle name="Hipervínculo 3" xfId="8788"/>
    <cellStyle name="Hipervínculo 4" xfId="8789"/>
    <cellStyle name="Hyperlink" xfId="8790"/>
    <cellStyle name="Hyperlink 10" xfId="8791"/>
    <cellStyle name="Hyperlink 11" xfId="8792"/>
    <cellStyle name="Hyperlink 12" xfId="8793"/>
    <cellStyle name="Hyperlink 13" xfId="8794"/>
    <cellStyle name="Hyperlink 14" xfId="8795"/>
    <cellStyle name="Hyperlink 15" xfId="8796"/>
    <cellStyle name="Hyperlink 16" xfId="8797"/>
    <cellStyle name="Hyperlink 17" xfId="8798"/>
    <cellStyle name="Hyperlink 18" xfId="8799"/>
    <cellStyle name="Hyperlink 19" xfId="8800"/>
    <cellStyle name="Hyperlink 2" xfId="8801"/>
    <cellStyle name="Hyperlink 2 2" xfId="53414"/>
    <cellStyle name="Hyperlink 20" xfId="8802"/>
    <cellStyle name="Hyperlink 21" xfId="8803"/>
    <cellStyle name="Hyperlink 22" xfId="8804"/>
    <cellStyle name="Hyperlink 23" xfId="8805"/>
    <cellStyle name="Hyperlink 3" xfId="8806"/>
    <cellStyle name="Hyperlink 4" xfId="8807"/>
    <cellStyle name="Hyperlink 5" xfId="8808"/>
    <cellStyle name="Hyperlink 6" xfId="8809"/>
    <cellStyle name="Hyperlink 7" xfId="8810"/>
    <cellStyle name="Hyperlink 8" xfId="8811"/>
    <cellStyle name="Hyperlink 9" xfId="8812"/>
    <cellStyle name="Hyperlink seguido_Color Leadership Q2 2004_Rev.3" xfId="8813"/>
    <cellStyle name="Hyperlink_ MODELO OFERTAS AÑO 2006.xls" xfId="8814"/>
    <cellStyle name="Incorrecto 2" xfId="8815"/>
    <cellStyle name="Incorrecto 3" xfId="8816"/>
    <cellStyle name="Incorrecto 4" xfId="8817"/>
    <cellStyle name="Incorreto" xfId="8818"/>
    <cellStyle name="Index" xfId="53415"/>
    <cellStyle name="Input" xfId="8819"/>
    <cellStyle name="Input [yellow]" xfId="8820"/>
    <cellStyle name="Input [yellow] 10" xfId="8821"/>
    <cellStyle name="Input [yellow] 10 2" xfId="8822"/>
    <cellStyle name="Input [yellow] 10 2 2" xfId="8823"/>
    <cellStyle name="Input [yellow] 10 2 2 2" xfId="8824"/>
    <cellStyle name="Input [yellow] 10 2 2 2 2" xfId="8825"/>
    <cellStyle name="Input [yellow] 10 2 2 2 3" xfId="8826"/>
    <cellStyle name="Input [yellow] 10 2 2 2 4" xfId="8827"/>
    <cellStyle name="Input [yellow] 10 2 2 3" xfId="8828"/>
    <cellStyle name="Input [yellow] 10 2 2 3 2" xfId="8829"/>
    <cellStyle name="Input [yellow] 10 2 2 3 3" xfId="8830"/>
    <cellStyle name="Input [yellow] 10 2 2 3 4" xfId="8831"/>
    <cellStyle name="Input [yellow] 10 2 2 4" xfId="8832"/>
    <cellStyle name="Input [yellow] 10 2 2 4 2" xfId="8833"/>
    <cellStyle name="Input [yellow] 10 2 2 4 3" xfId="8834"/>
    <cellStyle name="Input [yellow] 10 2 2 4 4" xfId="8835"/>
    <cellStyle name="Input [yellow] 10 2 2 5" xfId="8836"/>
    <cellStyle name="Input [yellow] 10 2 2 6" xfId="8837"/>
    <cellStyle name="Input [yellow] 10 2 2 7" xfId="8838"/>
    <cellStyle name="Input [yellow] 10 2 2 8" xfId="8839"/>
    <cellStyle name="Input [yellow] 10 2 3" xfId="8840"/>
    <cellStyle name="Input [yellow] 10 2 3 2" xfId="8841"/>
    <cellStyle name="Input [yellow] 10 2 3 2 2" xfId="8842"/>
    <cellStyle name="Input [yellow] 10 2 3 2 3" xfId="8843"/>
    <cellStyle name="Input [yellow] 10 2 3 2 4" xfId="8844"/>
    <cellStyle name="Input [yellow] 10 2 3 3" xfId="8845"/>
    <cellStyle name="Input [yellow] 10 2 3 3 2" xfId="8846"/>
    <cellStyle name="Input [yellow] 10 2 3 3 3" xfId="8847"/>
    <cellStyle name="Input [yellow] 10 2 3 3 4" xfId="8848"/>
    <cellStyle name="Input [yellow] 10 2 3 4" xfId="8849"/>
    <cellStyle name="Input [yellow] 10 2 3 4 2" xfId="8850"/>
    <cellStyle name="Input [yellow] 10 2 3 4 3" xfId="8851"/>
    <cellStyle name="Input [yellow] 10 2 3 4 4" xfId="8852"/>
    <cellStyle name="Input [yellow] 10 2 3 5" xfId="8853"/>
    <cellStyle name="Input [yellow] 10 2 3 6" xfId="8854"/>
    <cellStyle name="Input [yellow] 10 2 3 7" xfId="8855"/>
    <cellStyle name="Input [yellow] 10 2 3 8" xfId="8856"/>
    <cellStyle name="Input [yellow] 10 2 4" xfId="8857"/>
    <cellStyle name="Input [yellow] 10 2 4 2" xfId="8858"/>
    <cellStyle name="Input [yellow] 10 2 4 2 2" xfId="8859"/>
    <cellStyle name="Input [yellow] 10 2 4 2 3" xfId="8860"/>
    <cellStyle name="Input [yellow] 10 2 4 2 4" xfId="8861"/>
    <cellStyle name="Input [yellow] 10 2 4 3" xfId="8862"/>
    <cellStyle name="Input [yellow] 10 2 4 3 2" xfId="8863"/>
    <cellStyle name="Input [yellow] 10 2 4 3 3" xfId="8864"/>
    <cellStyle name="Input [yellow] 10 2 4 3 4" xfId="8865"/>
    <cellStyle name="Input [yellow] 10 2 4 4" xfId="8866"/>
    <cellStyle name="Input [yellow] 10 2 4 4 2" xfId="8867"/>
    <cellStyle name="Input [yellow] 10 2 4 4 3" xfId="8868"/>
    <cellStyle name="Input [yellow] 10 2 4 4 4" xfId="8869"/>
    <cellStyle name="Input [yellow] 10 2 4 5" xfId="8870"/>
    <cellStyle name="Input [yellow] 10 2 4 6" xfId="8871"/>
    <cellStyle name="Input [yellow] 10 2 4 7" xfId="8872"/>
    <cellStyle name="Input [yellow] 10 2 4 8" xfId="8873"/>
    <cellStyle name="Input [yellow] 10 2 5" xfId="8874"/>
    <cellStyle name="Input [yellow] 10 2 5 2" xfId="8875"/>
    <cellStyle name="Input [yellow] 10 2 5 3" xfId="8876"/>
    <cellStyle name="Input [yellow] 10 2 5 4" xfId="8877"/>
    <cellStyle name="Input [yellow] 10 2 6" xfId="8878"/>
    <cellStyle name="Input [yellow] 10 2 6 2" xfId="8879"/>
    <cellStyle name="Input [yellow] 10 2 6 3" xfId="8880"/>
    <cellStyle name="Input [yellow] 10 2 6 4" xfId="8881"/>
    <cellStyle name="Input [yellow] 10 2 7" xfId="8882"/>
    <cellStyle name="Input [yellow] 10 2 8" xfId="8883"/>
    <cellStyle name="Input [yellow] 10 3" xfId="8884"/>
    <cellStyle name="Input [yellow] 10 3 2" xfId="8885"/>
    <cellStyle name="Input [yellow] 10 3 2 2" xfId="8886"/>
    <cellStyle name="Input [yellow] 10 3 2 3" xfId="8887"/>
    <cellStyle name="Input [yellow] 10 3 2 4" xfId="8888"/>
    <cellStyle name="Input [yellow] 10 3 3" xfId="8889"/>
    <cellStyle name="Input [yellow] 10 3 3 2" xfId="8890"/>
    <cellStyle name="Input [yellow] 10 3 3 3" xfId="8891"/>
    <cellStyle name="Input [yellow] 10 3 3 4" xfId="8892"/>
    <cellStyle name="Input [yellow] 10 3 4" xfId="8893"/>
    <cellStyle name="Input [yellow] 10 3 4 2" xfId="8894"/>
    <cellStyle name="Input [yellow] 10 3 4 3" xfId="8895"/>
    <cellStyle name="Input [yellow] 10 3 4 4" xfId="8896"/>
    <cellStyle name="Input [yellow] 10 3 5" xfId="8897"/>
    <cellStyle name="Input [yellow] 10 3 6" xfId="8898"/>
    <cellStyle name="Input [yellow] 10 3 7" xfId="8899"/>
    <cellStyle name="Input [yellow] 10 3 8" xfId="8900"/>
    <cellStyle name="Input [yellow] 10 4" xfId="8901"/>
    <cellStyle name="Input [yellow] 10 4 2" xfId="8902"/>
    <cellStyle name="Input [yellow] 10 4 2 2" xfId="8903"/>
    <cellStyle name="Input [yellow] 10 4 2 3" xfId="8904"/>
    <cellStyle name="Input [yellow] 10 4 2 4" xfId="8905"/>
    <cellStyle name="Input [yellow] 10 4 3" xfId="8906"/>
    <cellStyle name="Input [yellow] 10 4 3 2" xfId="8907"/>
    <cellStyle name="Input [yellow] 10 4 3 3" xfId="8908"/>
    <cellStyle name="Input [yellow] 10 4 3 4" xfId="8909"/>
    <cellStyle name="Input [yellow] 10 4 4" xfId="8910"/>
    <cellStyle name="Input [yellow] 10 4 4 2" xfId="8911"/>
    <cellStyle name="Input [yellow] 10 4 4 3" xfId="8912"/>
    <cellStyle name="Input [yellow] 10 4 4 4" xfId="8913"/>
    <cellStyle name="Input [yellow] 10 4 5" xfId="8914"/>
    <cellStyle name="Input [yellow] 10 4 6" xfId="8915"/>
    <cellStyle name="Input [yellow] 10 4 7" xfId="8916"/>
    <cellStyle name="Input [yellow] 10 4 8" xfId="8917"/>
    <cellStyle name="Input [yellow] 10 5" xfId="8918"/>
    <cellStyle name="Input [yellow] 10 5 2" xfId="8919"/>
    <cellStyle name="Input [yellow] 10 5 2 2" xfId="8920"/>
    <cellStyle name="Input [yellow] 10 5 2 3" xfId="8921"/>
    <cellStyle name="Input [yellow] 10 5 2 4" xfId="8922"/>
    <cellStyle name="Input [yellow] 10 5 3" xfId="8923"/>
    <cellStyle name="Input [yellow] 10 5 3 2" xfId="8924"/>
    <cellStyle name="Input [yellow] 10 5 3 3" xfId="8925"/>
    <cellStyle name="Input [yellow] 10 5 3 4" xfId="8926"/>
    <cellStyle name="Input [yellow] 10 5 4" xfId="8927"/>
    <cellStyle name="Input [yellow] 10 5 4 2" xfId="8928"/>
    <cellStyle name="Input [yellow] 10 5 4 3" xfId="8929"/>
    <cellStyle name="Input [yellow] 10 5 4 4" xfId="8930"/>
    <cellStyle name="Input [yellow] 10 5 5" xfId="8931"/>
    <cellStyle name="Input [yellow] 10 5 6" xfId="8932"/>
    <cellStyle name="Input [yellow] 10 5 7" xfId="8933"/>
    <cellStyle name="Input [yellow] 10 5 8" xfId="8934"/>
    <cellStyle name="Input [yellow] 10 6" xfId="8935"/>
    <cellStyle name="Input [yellow] 10 6 2" xfId="8936"/>
    <cellStyle name="Input [yellow] 10 6 3" xfId="8937"/>
    <cellStyle name="Input [yellow] 10 6 4" xfId="8938"/>
    <cellStyle name="Input [yellow] 10 7" xfId="8939"/>
    <cellStyle name="Input [yellow] 10 7 2" xfId="8940"/>
    <cellStyle name="Input [yellow] 10 7 3" xfId="8941"/>
    <cellStyle name="Input [yellow] 10 7 4" xfId="8942"/>
    <cellStyle name="Input [yellow] 10 8" xfId="8943"/>
    <cellStyle name="Input [yellow] 10 9" xfId="8944"/>
    <cellStyle name="Input [yellow] 11" xfId="8945"/>
    <cellStyle name="Input [yellow] 11 2" xfId="8946"/>
    <cellStyle name="Input [yellow] 11 2 2" xfId="8947"/>
    <cellStyle name="Input [yellow] 11 2 2 2" xfId="8948"/>
    <cellStyle name="Input [yellow] 11 2 2 2 2" xfId="8949"/>
    <cellStyle name="Input [yellow] 11 2 2 2 3" xfId="8950"/>
    <cellStyle name="Input [yellow] 11 2 2 2 4" xfId="8951"/>
    <cellStyle name="Input [yellow] 11 2 2 3" xfId="8952"/>
    <cellStyle name="Input [yellow] 11 2 2 3 2" xfId="8953"/>
    <cellStyle name="Input [yellow] 11 2 2 3 3" xfId="8954"/>
    <cellStyle name="Input [yellow] 11 2 2 3 4" xfId="8955"/>
    <cellStyle name="Input [yellow] 11 2 2 4" xfId="8956"/>
    <cellStyle name="Input [yellow] 11 2 2 4 2" xfId="8957"/>
    <cellStyle name="Input [yellow] 11 2 2 4 3" xfId="8958"/>
    <cellStyle name="Input [yellow] 11 2 2 4 4" xfId="8959"/>
    <cellStyle name="Input [yellow] 11 2 2 5" xfId="8960"/>
    <cellStyle name="Input [yellow] 11 2 2 6" xfId="8961"/>
    <cellStyle name="Input [yellow] 11 2 2 7" xfId="8962"/>
    <cellStyle name="Input [yellow] 11 2 2 8" xfId="8963"/>
    <cellStyle name="Input [yellow] 11 2 3" xfId="8964"/>
    <cellStyle name="Input [yellow] 11 2 3 2" xfId="8965"/>
    <cellStyle name="Input [yellow] 11 2 3 2 2" xfId="8966"/>
    <cellStyle name="Input [yellow] 11 2 3 2 3" xfId="8967"/>
    <cellStyle name="Input [yellow] 11 2 3 2 4" xfId="8968"/>
    <cellStyle name="Input [yellow] 11 2 3 3" xfId="8969"/>
    <cellStyle name="Input [yellow] 11 2 3 3 2" xfId="8970"/>
    <cellStyle name="Input [yellow] 11 2 3 3 3" xfId="8971"/>
    <cellStyle name="Input [yellow] 11 2 3 3 4" xfId="8972"/>
    <cellStyle name="Input [yellow] 11 2 3 4" xfId="8973"/>
    <cellStyle name="Input [yellow] 11 2 3 4 2" xfId="8974"/>
    <cellStyle name="Input [yellow] 11 2 3 4 3" xfId="8975"/>
    <cellStyle name="Input [yellow] 11 2 3 4 4" xfId="8976"/>
    <cellStyle name="Input [yellow] 11 2 3 5" xfId="8977"/>
    <cellStyle name="Input [yellow] 11 2 3 6" xfId="8978"/>
    <cellStyle name="Input [yellow] 11 2 3 7" xfId="8979"/>
    <cellStyle name="Input [yellow] 11 2 3 8" xfId="8980"/>
    <cellStyle name="Input [yellow] 11 2 4" xfId="8981"/>
    <cellStyle name="Input [yellow] 11 2 4 2" xfId="8982"/>
    <cellStyle name="Input [yellow] 11 2 4 2 2" xfId="8983"/>
    <cellStyle name="Input [yellow] 11 2 4 2 3" xfId="8984"/>
    <cellStyle name="Input [yellow] 11 2 4 2 4" xfId="8985"/>
    <cellStyle name="Input [yellow] 11 2 4 3" xfId="8986"/>
    <cellStyle name="Input [yellow] 11 2 4 3 2" xfId="8987"/>
    <cellStyle name="Input [yellow] 11 2 4 3 3" xfId="8988"/>
    <cellStyle name="Input [yellow] 11 2 4 3 4" xfId="8989"/>
    <cellStyle name="Input [yellow] 11 2 4 4" xfId="8990"/>
    <cellStyle name="Input [yellow] 11 2 4 4 2" xfId="8991"/>
    <cellStyle name="Input [yellow] 11 2 4 4 3" xfId="8992"/>
    <cellStyle name="Input [yellow] 11 2 4 4 4" xfId="8993"/>
    <cellStyle name="Input [yellow] 11 2 4 5" xfId="8994"/>
    <cellStyle name="Input [yellow] 11 2 4 6" xfId="8995"/>
    <cellStyle name="Input [yellow] 11 2 4 7" xfId="8996"/>
    <cellStyle name="Input [yellow] 11 2 4 8" xfId="8997"/>
    <cellStyle name="Input [yellow] 11 2 5" xfId="8998"/>
    <cellStyle name="Input [yellow] 11 2 5 2" xfId="8999"/>
    <cellStyle name="Input [yellow] 11 2 5 3" xfId="9000"/>
    <cellStyle name="Input [yellow] 11 2 5 4" xfId="9001"/>
    <cellStyle name="Input [yellow] 11 2 6" xfId="9002"/>
    <cellStyle name="Input [yellow] 11 2 6 2" xfId="9003"/>
    <cellStyle name="Input [yellow] 11 2 6 3" xfId="9004"/>
    <cellStyle name="Input [yellow] 11 2 6 4" xfId="9005"/>
    <cellStyle name="Input [yellow] 11 2 7" xfId="9006"/>
    <cellStyle name="Input [yellow] 11 2 8" xfId="9007"/>
    <cellStyle name="Input [yellow] 11 3" xfId="9008"/>
    <cellStyle name="Input [yellow] 11 3 2" xfId="9009"/>
    <cellStyle name="Input [yellow] 11 3 2 2" xfId="9010"/>
    <cellStyle name="Input [yellow] 11 3 2 3" xfId="9011"/>
    <cellStyle name="Input [yellow] 11 3 2 4" xfId="9012"/>
    <cellStyle name="Input [yellow] 11 3 3" xfId="9013"/>
    <cellStyle name="Input [yellow] 11 3 3 2" xfId="9014"/>
    <cellStyle name="Input [yellow] 11 3 3 3" xfId="9015"/>
    <cellStyle name="Input [yellow] 11 3 3 4" xfId="9016"/>
    <cellStyle name="Input [yellow] 11 3 4" xfId="9017"/>
    <cellStyle name="Input [yellow] 11 3 4 2" xfId="9018"/>
    <cellStyle name="Input [yellow] 11 3 4 3" xfId="9019"/>
    <cellStyle name="Input [yellow] 11 3 4 4" xfId="9020"/>
    <cellStyle name="Input [yellow] 11 3 5" xfId="9021"/>
    <cellStyle name="Input [yellow] 11 3 6" xfId="9022"/>
    <cellStyle name="Input [yellow] 11 3 7" xfId="9023"/>
    <cellStyle name="Input [yellow] 11 3 8" xfId="9024"/>
    <cellStyle name="Input [yellow] 11 4" xfId="9025"/>
    <cellStyle name="Input [yellow] 11 4 2" xfId="9026"/>
    <cellStyle name="Input [yellow] 11 4 2 2" xfId="9027"/>
    <cellStyle name="Input [yellow] 11 4 2 3" xfId="9028"/>
    <cellStyle name="Input [yellow] 11 4 2 4" xfId="9029"/>
    <cellStyle name="Input [yellow] 11 4 3" xfId="9030"/>
    <cellStyle name="Input [yellow] 11 4 3 2" xfId="9031"/>
    <cellStyle name="Input [yellow] 11 4 3 3" xfId="9032"/>
    <cellStyle name="Input [yellow] 11 4 3 4" xfId="9033"/>
    <cellStyle name="Input [yellow] 11 4 4" xfId="9034"/>
    <cellStyle name="Input [yellow] 11 4 4 2" xfId="9035"/>
    <cellStyle name="Input [yellow] 11 4 4 3" xfId="9036"/>
    <cellStyle name="Input [yellow] 11 4 4 4" xfId="9037"/>
    <cellStyle name="Input [yellow] 11 4 5" xfId="9038"/>
    <cellStyle name="Input [yellow] 11 4 6" xfId="9039"/>
    <cellStyle name="Input [yellow] 11 4 7" xfId="9040"/>
    <cellStyle name="Input [yellow] 11 4 8" xfId="9041"/>
    <cellStyle name="Input [yellow] 11 5" xfId="9042"/>
    <cellStyle name="Input [yellow] 11 5 2" xfId="9043"/>
    <cellStyle name="Input [yellow] 11 5 2 2" xfId="9044"/>
    <cellStyle name="Input [yellow] 11 5 2 3" xfId="9045"/>
    <cellStyle name="Input [yellow] 11 5 2 4" xfId="9046"/>
    <cellStyle name="Input [yellow] 11 5 3" xfId="9047"/>
    <cellStyle name="Input [yellow] 11 5 3 2" xfId="9048"/>
    <cellStyle name="Input [yellow] 11 5 3 3" xfId="9049"/>
    <cellStyle name="Input [yellow] 11 5 3 4" xfId="9050"/>
    <cellStyle name="Input [yellow] 11 5 4" xfId="9051"/>
    <cellStyle name="Input [yellow] 11 5 4 2" xfId="9052"/>
    <cellStyle name="Input [yellow] 11 5 4 3" xfId="9053"/>
    <cellStyle name="Input [yellow] 11 5 4 4" xfId="9054"/>
    <cellStyle name="Input [yellow] 11 5 5" xfId="9055"/>
    <cellStyle name="Input [yellow] 11 5 6" xfId="9056"/>
    <cellStyle name="Input [yellow] 11 5 7" xfId="9057"/>
    <cellStyle name="Input [yellow] 11 5 8" xfId="9058"/>
    <cellStyle name="Input [yellow] 11 6" xfId="9059"/>
    <cellStyle name="Input [yellow] 11 6 2" xfId="9060"/>
    <cellStyle name="Input [yellow] 11 6 3" xfId="9061"/>
    <cellStyle name="Input [yellow] 11 6 4" xfId="9062"/>
    <cellStyle name="Input [yellow] 11 7" xfId="9063"/>
    <cellStyle name="Input [yellow] 11 7 2" xfId="9064"/>
    <cellStyle name="Input [yellow] 11 7 3" xfId="9065"/>
    <cellStyle name="Input [yellow] 11 7 4" xfId="9066"/>
    <cellStyle name="Input [yellow] 11 8" xfId="9067"/>
    <cellStyle name="Input [yellow] 11 9" xfId="9068"/>
    <cellStyle name="Input [yellow] 12" xfId="9069"/>
    <cellStyle name="Input [yellow] 12 2" xfId="9070"/>
    <cellStyle name="Input [yellow] 12 2 2" xfId="9071"/>
    <cellStyle name="Input [yellow] 12 2 2 2" xfId="9072"/>
    <cellStyle name="Input [yellow] 12 2 2 2 2" xfId="9073"/>
    <cellStyle name="Input [yellow] 12 2 2 2 3" xfId="9074"/>
    <cellStyle name="Input [yellow] 12 2 2 2 4" xfId="9075"/>
    <cellStyle name="Input [yellow] 12 2 2 3" xfId="9076"/>
    <cellStyle name="Input [yellow] 12 2 2 3 2" xfId="9077"/>
    <cellStyle name="Input [yellow] 12 2 2 3 3" xfId="9078"/>
    <cellStyle name="Input [yellow] 12 2 2 3 4" xfId="9079"/>
    <cellStyle name="Input [yellow] 12 2 2 4" xfId="9080"/>
    <cellStyle name="Input [yellow] 12 2 2 4 2" xfId="9081"/>
    <cellStyle name="Input [yellow] 12 2 2 4 3" xfId="9082"/>
    <cellStyle name="Input [yellow] 12 2 2 4 4" xfId="9083"/>
    <cellStyle name="Input [yellow] 12 2 2 5" xfId="9084"/>
    <cellStyle name="Input [yellow] 12 2 2 6" xfId="9085"/>
    <cellStyle name="Input [yellow] 12 2 2 7" xfId="9086"/>
    <cellStyle name="Input [yellow] 12 2 2 8" xfId="9087"/>
    <cellStyle name="Input [yellow] 12 2 3" xfId="9088"/>
    <cellStyle name="Input [yellow] 12 2 3 2" xfId="9089"/>
    <cellStyle name="Input [yellow] 12 2 3 2 2" xfId="9090"/>
    <cellStyle name="Input [yellow] 12 2 3 2 3" xfId="9091"/>
    <cellStyle name="Input [yellow] 12 2 3 2 4" xfId="9092"/>
    <cellStyle name="Input [yellow] 12 2 3 3" xfId="9093"/>
    <cellStyle name="Input [yellow] 12 2 3 3 2" xfId="9094"/>
    <cellStyle name="Input [yellow] 12 2 3 3 3" xfId="9095"/>
    <cellStyle name="Input [yellow] 12 2 3 3 4" xfId="9096"/>
    <cellStyle name="Input [yellow] 12 2 3 4" xfId="9097"/>
    <cellStyle name="Input [yellow] 12 2 3 4 2" xfId="9098"/>
    <cellStyle name="Input [yellow] 12 2 3 4 3" xfId="9099"/>
    <cellStyle name="Input [yellow] 12 2 3 4 4" xfId="9100"/>
    <cellStyle name="Input [yellow] 12 2 3 5" xfId="9101"/>
    <cellStyle name="Input [yellow] 12 2 3 6" xfId="9102"/>
    <cellStyle name="Input [yellow] 12 2 3 7" xfId="9103"/>
    <cellStyle name="Input [yellow] 12 2 3 8" xfId="9104"/>
    <cellStyle name="Input [yellow] 12 2 4" xfId="9105"/>
    <cellStyle name="Input [yellow] 12 2 4 2" xfId="9106"/>
    <cellStyle name="Input [yellow] 12 2 4 2 2" xfId="9107"/>
    <cellStyle name="Input [yellow] 12 2 4 2 3" xfId="9108"/>
    <cellStyle name="Input [yellow] 12 2 4 2 4" xfId="9109"/>
    <cellStyle name="Input [yellow] 12 2 4 3" xfId="9110"/>
    <cellStyle name="Input [yellow] 12 2 4 3 2" xfId="9111"/>
    <cellStyle name="Input [yellow] 12 2 4 3 3" xfId="9112"/>
    <cellStyle name="Input [yellow] 12 2 4 3 4" xfId="9113"/>
    <cellStyle name="Input [yellow] 12 2 4 4" xfId="9114"/>
    <cellStyle name="Input [yellow] 12 2 4 4 2" xfId="9115"/>
    <cellStyle name="Input [yellow] 12 2 4 4 3" xfId="9116"/>
    <cellStyle name="Input [yellow] 12 2 4 4 4" xfId="9117"/>
    <cellStyle name="Input [yellow] 12 2 4 5" xfId="9118"/>
    <cellStyle name="Input [yellow] 12 2 4 6" xfId="9119"/>
    <cellStyle name="Input [yellow] 12 2 4 7" xfId="9120"/>
    <cellStyle name="Input [yellow] 12 2 4 8" xfId="9121"/>
    <cellStyle name="Input [yellow] 12 2 5" xfId="9122"/>
    <cellStyle name="Input [yellow] 12 2 5 2" xfId="9123"/>
    <cellStyle name="Input [yellow] 12 2 5 3" xfId="9124"/>
    <cellStyle name="Input [yellow] 12 2 5 4" xfId="9125"/>
    <cellStyle name="Input [yellow] 12 2 6" xfId="9126"/>
    <cellStyle name="Input [yellow] 12 2 6 2" xfId="9127"/>
    <cellStyle name="Input [yellow] 12 2 6 3" xfId="9128"/>
    <cellStyle name="Input [yellow] 12 2 6 4" xfId="9129"/>
    <cellStyle name="Input [yellow] 12 2 7" xfId="9130"/>
    <cellStyle name="Input [yellow] 12 2 8" xfId="9131"/>
    <cellStyle name="Input [yellow] 12 3" xfId="9132"/>
    <cellStyle name="Input [yellow] 12 3 2" xfId="9133"/>
    <cellStyle name="Input [yellow] 12 3 2 2" xfId="9134"/>
    <cellStyle name="Input [yellow] 12 3 2 3" xfId="9135"/>
    <cellStyle name="Input [yellow] 12 3 2 4" xfId="9136"/>
    <cellStyle name="Input [yellow] 12 3 3" xfId="9137"/>
    <cellStyle name="Input [yellow] 12 3 3 2" xfId="9138"/>
    <cellStyle name="Input [yellow] 12 3 3 3" xfId="9139"/>
    <cellStyle name="Input [yellow] 12 3 3 4" xfId="9140"/>
    <cellStyle name="Input [yellow] 12 3 4" xfId="9141"/>
    <cellStyle name="Input [yellow] 12 3 4 2" xfId="9142"/>
    <cellStyle name="Input [yellow] 12 3 4 3" xfId="9143"/>
    <cellStyle name="Input [yellow] 12 3 4 4" xfId="9144"/>
    <cellStyle name="Input [yellow] 12 3 5" xfId="9145"/>
    <cellStyle name="Input [yellow] 12 3 6" xfId="9146"/>
    <cellStyle name="Input [yellow] 12 3 7" xfId="9147"/>
    <cellStyle name="Input [yellow] 12 3 8" xfId="9148"/>
    <cellStyle name="Input [yellow] 12 4" xfId="9149"/>
    <cellStyle name="Input [yellow] 12 4 2" xfId="9150"/>
    <cellStyle name="Input [yellow] 12 4 2 2" xfId="9151"/>
    <cellStyle name="Input [yellow] 12 4 2 3" xfId="9152"/>
    <cellStyle name="Input [yellow] 12 4 2 4" xfId="9153"/>
    <cellStyle name="Input [yellow] 12 4 3" xfId="9154"/>
    <cellStyle name="Input [yellow] 12 4 3 2" xfId="9155"/>
    <cellStyle name="Input [yellow] 12 4 3 3" xfId="9156"/>
    <cellStyle name="Input [yellow] 12 4 3 4" xfId="9157"/>
    <cellStyle name="Input [yellow] 12 4 4" xfId="9158"/>
    <cellStyle name="Input [yellow] 12 4 4 2" xfId="9159"/>
    <cellStyle name="Input [yellow] 12 4 4 3" xfId="9160"/>
    <cellStyle name="Input [yellow] 12 4 4 4" xfId="9161"/>
    <cellStyle name="Input [yellow] 12 4 5" xfId="9162"/>
    <cellStyle name="Input [yellow] 12 4 6" xfId="9163"/>
    <cellStyle name="Input [yellow] 12 4 7" xfId="9164"/>
    <cellStyle name="Input [yellow] 12 4 8" xfId="9165"/>
    <cellStyle name="Input [yellow] 12 5" xfId="9166"/>
    <cellStyle name="Input [yellow] 12 5 2" xfId="9167"/>
    <cellStyle name="Input [yellow] 12 5 2 2" xfId="9168"/>
    <cellStyle name="Input [yellow] 12 5 2 3" xfId="9169"/>
    <cellStyle name="Input [yellow] 12 5 2 4" xfId="9170"/>
    <cellStyle name="Input [yellow] 12 5 3" xfId="9171"/>
    <cellStyle name="Input [yellow] 12 5 3 2" xfId="9172"/>
    <cellStyle name="Input [yellow] 12 5 3 3" xfId="9173"/>
    <cellStyle name="Input [yellow] 12 5 3 4" xfId="9174"/>
    <cellStyle name="Input [yellow] 12 5 4" xfId="9175"/>
    <cellStyle name="Input [yellow] 12 5 4 2" xfId="9176"/>
    <cellStyle name="Input [yellow] 12 5 4 3" xfId="9177"/>
    <cellStyle name="Input [yellow] 12 5 4 4" xfId="9178"/>
    <cellStyle name="Input [yellow] 12 5 5" xfId="9179"/>
    <cellStyle name="Input [yellow] 12 5 6" xfId="9180"/>
    <cellStyle name="Input [yellow] 12 5 7" xfId="9181"/>
    <cellStyle name="Input [yellow] 12 5 8" xfId="9182"/>
    <cellStyle name="Input [yellow] 12 6" xfId="9183"/>
    <cellStyle name="Input [yellow] 12 6 2" xfId="9184"/>
    <cellStyle name="Input [yellow] 12 6 3" xfId="9185"/>
    <cellStyle name="Input [yellow] 12 6 4" xfId="9186"/>
    <cellStyle name="Input [yellow] 12 7" xfId="9187"/>
    <cellStyle name="Input [yellow] 12 7 2" xfId="9188"/>
    <cellStyle name="Input [yellow] 12 7 3" xfId="9189"/>
    <cellStyle name="Input [yellow] 12 7 4" xfId="9190"/>
    <cellStyle name="Input [yellow] 12 8" xfId="9191"/>
    <cellStyle name="Input [yellow] 12 9" xfId="9192"/>
    <cellStyle name="Input [yellow] 13" xfId="9193"/>
    <cellStyle name="Input [yellow] 13 2" xfId="9194"/>
    <cellStyle name="Input [yellow] 13 2 2" xfId="9195"/>
    <cellStyle name="Input [yellow] 13 2 2 2" xfId="9196"/>
    <cellStyle name="Input [yellow] 13 2 2 2 2" xfId="9197"/>
    <cellStyle name="Input [yellow] 13 2 2 2 3" xfId="9198"/>
    <cellStyle name="Input [yellow] 13 2 2 2 4" xfId="9199"/>
    <cellStyle name="Input [yellow] 13 2 2 3" xfId="9200"/>
    <cellStyle name="Input [yellow] 13 2 2 3 2" xfId="9201"/>
    <cellStyle name="Input [yellow] 13 2 2 3 3" xfId="9202"/>
    <cellStyle name="Input [yellow] 13 2 2 3 4" xfId="9203"/>
    <cellStyle name="Input [yellow] 13 2 2 4" xfId="9204"/>
    <cellStyle name="Input [yellow] 13 2 2 4 2" xfId="9205"/>
    <cellStyle name="Input [yellow] 13 2 2 4 3" xfId="9206"/>
    <cellStyle name="Input [yellow] 13 2 2 4 4" xfId="9207"/>
    <cellStyle name="Input [yellow] 13 2 2 5" xfId="9208"/>
    <cellStyle name="Input [yellow] 13 2 2 6" xfId="9209"/>
    <cellStyle name="Input [yellow] 13 2 2 7" xfId="9210"/>
    <cellStyle name="Input [yellow] 13 2 2 8" xfId="9211"/>
    <cellStyle name="Input [yellow] 13 2 3" xfId="9212"/>
    <cellStyle name="Input [yellow] 13 2 3 2" xfId="9213"/>
    <cellStyle name="Input [yellow] 13 2 3 2 2" xfId="9214"/>
    <cellStyle name="Input [yellow] 13 2 3 2 3" xfId="9215"/>
    <cellStyle name="Input [yellow] 13 2 3 2 4" xfId="9216"/>
    <cellStyle name="Input [yellow] 13 2 3 3" xfId="9217"/>
    <cellStyle name="Input [yellow] 13 2 3 3 2" xfId="9218"/>
    <cellStyle name="Input [yellow] 13 2 3 3 3" xfId="9219"/>
    <cellStyle name="Input [yellow] 13 2 3 3 4" xfId="9220"/>
    <cellStyle name="Input [yellow] 13 2 3 4" xfId="9221"/>
    <cellStyle name="Input [yellow] 13 2 3 4 2" xfId="9222"/>
    <cellStyle name="Input [yellow] 13 2 3 4 3" xfId="9223"/>
    <cellStyle name="Input [yellow] 13 2 3 4 4" xfId="9224"/>
    <cellStyle name="Input [yellow] 13 2 3 5" xfId="9225"/>
    <cellStyle name="Input [yellow] 13 2 3 6" xfId="9226"/>
    <cellStyle name="Input [yellow] 13 2 3 7" xfId="9227"/>
    <cellStyle name="Input [yellow] 13 2 3 8" xfId="9228"/>
    <cellStyle name="Input [yellow] 13 2 4" xfId="9229"/>
    <cellStyle name="Input [yellow] 13 2 4 2" xfId="9230"/>
    <cellStyle name="Input [yellow] 13 2 4 2 2" xfId="9231"/>
    <cellStyle name="Input [yellow] 13 2 4 2 3" xfId="9232"/>
    <cellStyle name="Input [yellow] 13 2 4 2 4" xfId="9233"/>
    <cellStyle name="Input [yellow] 13 2 4 3" xfId="9234"/>
    <cellStyle name="Input [yellow] 13 2 4 3 2" xfId="9235"/>
    <cellStyle name="Input [yellow] 13 2 4 3 3" xfId="9236"/>
    <cellStyle name="Input [yellow] 13 2 4 3 4" xfId="9237"/>
    <cellStyle name="Input [yellow] 13 2 4 4" xfId="9238"/>
    <cellStyle name="Input [yellow] 13 2 4 4 2" xfId="9239"/>
    <cellStyle name="Input [yellow] 13 2 4 4 3" xfId="9240"/>
    <cellStyle name="Input [yellow] 13 2 4 4 4" xfId="9241"/>
    <cellStyle name="Input [yellow] 13 2 4 5" xfId="9242"/>
    <cellStyle name="Input [yellow] 13 2 4 6" xfId="9243"/>
    <cellStyle name="Input [yellow] 13 2 4 7" xfId="9244"/>
    <cellStyle name="Input [yellow] 13 2 4 8" xfId="9245"/>
    <cellStyle name="Input [yellow] 13 2 5" xfId="9246"/>
    <cellStyle name="Input [yellow] 13 2 5 2" xfId="9247"/>
    <cellStyle name="Input [yellow] 13 2 5 3" xfId="9248"/>
    <cellStyle name="Input [yellow] 13 2 5 4" xfId="9249"/>
    <cellStyle name="Input [yellow] 13 2 6" xfId="9250"/>
    <cellStyle name="Input [yellow] 13 2 6 2" xfId="9251"/>
    <cellStyle name="Input [yellow] 13 2 6 3" xfId="9252"/>
    <cellStyle name="Input [yellow] 13 2 6 4" xfId="9253"/>
    <cellStyle name="Input [yellow] 13 2 7" xfId="9254"/>
    <cellStyle name="Input [yellow] 13 2 8" xfId="9255"/>
    <cellStyle name="Input [yellow] 13 3" xfId="9256"/>
    <cellStyle name="Input [yellow] 13 3 2" xfId="9257"/>
    <cellStyle name="Input [yellow] 13 3 2 2" xfId="9258"/>
    <cellStyle name="Input [yellow] 13 3 2 3" xfId="9259"/>
    <cellStyle name="Input [yellow] 13 3 2 4" xfId="9260"/>
    <cellStyle name="Input [yellow] 13 3 3" xfId="9261"/>
    <cellStyle name="Input [yellow] 13 3 3 2" xfId="9262"/>
    <cellStyle name="Input [yellow] 13 3 3 3" xfId="9263"/>
    <cellStyle name="Input [yellow] 13 3 3 4" xfId="9264"/>
    <cellStyle name="Input [yellow] 13 3 4" xfId="9265"/>
    <cellStyle name="Input [yellow] 13 3 4 2" xfId="9266"/>
    <cellStyle name="Input [yellow] 13 3 4 3" xfId="9267"/>
    <cellStyle name="Input [yellow] 13 3 4 4" xfId="9268"/>
    <cellStyle name="Input [yellow] 13 3 5" xfId="9269"/>
    <cellStyle name="Input [yellow] 13 3 6" xfId="9270"/>
    <cellStyle name="Input [yellow] 13 3 7" xfId="9271"/>
    <cellStyle name="Input [yellow] 13 3 8" xfId="9272"/>
    <cellStyle name="Input [yellow] 13 4" xfId="9273"/>
    <cellStyle name="Input [yellow] 13 4 2" xfId="9274"/>
    <cellStyle name="Input [yellow] 13 4 2 2" xfId="9275"/>
    <cellStyle name="Input [yellow] 13 4 2 3" xfId="9276"/>
    <cellStyle name="Input [yellow] 13 4 2 4" xfId="9277"/>
    <cellStyle name="Input [yellow] 13 4 3" xfId="9278"/>
    <cellStyle name="Input [yellow] 13 4 3 2" xfId="9279"/>
    <cellStyle name="Input [yellow] 13 4 3 3" xfId="9280"/>
    <cellStyle name="Input [yellow] 13 4 3 4" xfId="9281"/>
    <cellStyle name="Input [yellow] 13 4 4" xfId="9282"/>
    <cellStyle name="Input [yellow] 13 4 4 2" xfId="9283"/>
    <cellStyle name="Input [yellow] 13 4 4 3" xfId="9284"/>
    <cellStyle name="Input [yellow] 13 4 4 4" xfId="9285"/>
    <cellStyle name="Input [yellow] 13 4 5" xfId="9286"/>
    <cellStyle name="Input [yellow] 13 4 6" xfId="9287"/>
    <cellStyle name="Input [yellow] 13 4 7" xfId="9288"/>
    <cellStyle name="Input [yellow] 13 4 8" xfId="9289"/>
    <cellStyle name="Input [yellow] 13 5" xfId="9290"/>
    <cellStyle name="Input [yellow] 13 5 2" xfId="9291"/>
    <cellStyle name="Input [yellow] 13 5 2 2" xfId="9292"/>
    <cellStyle name="Input [yellow] 13 5 2 3" xfId="9293"/>
    <cellStyle name="Input [yellow] 13 5 2 4" xfId="9294"/>
    <cellStyle name="Input [yellow] 13 5 3" xfId="9295"/>
    <cellStyle name="Input [yellow] 13 5 3 2" xfId="9296"/>
    <cellStyle name="Input [yellow] 13 5 3 3" xfId="9297"/>
    <cellStyle name="Input [yellow] 13 5 3 4" xfId="9298"/>
    <cellStyle name="Input [yellow] 13 5 4" xfId="9299"/>
    <cellStyle name="Input [yellow] 13 5 4 2" xfId="9300"/>
    <cellStyle name="Input [yellow] 13 5 4 3" xfId="9301"/>
    <cellStyle name="Input [yellow] 13 5 4 4" xfId="9302"/>
    <cellStyle name="Input [yellow] 13 5 5" xfId="9303"/>
    <cellStyle name="Input [yellow] 13 5 6" xfId="9304"/>
    <cellStyle name="Input [yellow] 13 5 7" xfId="9305"/>
    <cellStyle name="Input [yellow] 13 5 8" xfId="9306"/>
    <cellStyle name="Input [yellow] 13 6" xfId="9307"/>
    <cellStyle name="Input [yellow] 13 6 2" xfId="9308"/>
    <cellStyle name="Input [yellow] 13 6 3" xfId="9309"/>
    <cellStyle name="Input [yellow] 13 6 4" xfId="9310"/>
    <cellStyle name="Input [yellow] 13 7" xfId="9311"/>
    <cellStyle name="Input [yellow] 13 7 2" xfId="9312"/>
    <cellStyle name="Input [yellow] 13 7 3" xfId="9313"/>
    <cellStyle name="Input [yellow] 13 7 4" xfId="9314"/>
    <cellStyle name="Input [yellow] 13 8" xfId="9315"/>
    <cellStyle name="Input [yellow] 13 9" xfId="9316"/>
    <cellStyle name="Input [yellow] 14" xfId="9317"/>
    <cellStyle name="Input [yellow] 14 2" xfId="9318"/>
    <cellStyle name="Input [yellow] 14 2 2" xfId="9319"/>
    <cellStyle name="Input [yellow] 14 2 2 2" xfId="9320"/>
    <cellStyle name="Input [yellow] 14 2 2 2 2" xfId="9321"/>
    <cellStyle name="Input [yellow] 14 2 2 2 3" xfId="9322"/>
    <cellStyle name="Input [yellow] 14 2 2 2 4" xfId="9323"/>
    <cellStyle name="Input [yellow] 14 2 2 3" xfId="9324"/>
    <cellStyle name="Input [yellow] 14 2 2 3 2" xfId="9325"/>
    <cellStyle name="Input [yellow] 14 2 2 3 3" xfId="9326"/>
    <cellStyle name="Input [yellow] 14 2 2 3 4" xfId="9327"/>
    <cellStyle name="Input [yellow] 14 2 2 4" xfId="9328"/>
    <cellStyle name="Input [yellow] 14 2 2 4 2" xfId="9329"/>
    <cellStyle name="Input [yellow] 14 2 2 4 3" xfId="9330"/>
    <cellStyle name="Input [yellow] 14 2 2 4 4" xfId="9331"/>
    <cellStyle name="Input [yellow] 14 2 2 5" xfId="9332"/>
    <cellStyle name="Input [yellow] 14 2 2 6" xfId="9333"/>
    <cellStyle name="Input [yellow] 14 2 2 7" xfId="9334"/>
    <cellStyle name="Input [yellow] 14 2 2 8" xfId="9335"/>
    <cellStyle name="Input [yellow] 14 2 3" xfId="9336"/>
    <cellStyle name="Input [yellow] 14 2 3 2" xfId="9337"/>
    <cellStyle name="Input [yellow] 14 2 3 2 2" xfId="9338"/>
    <cellStyle name="Input [yellow] 14 2 3 2 3" xfId="9339"/>
    <cellStyle name="Input [yellow] 14 2 3 2 4" xfId="9340"/>
    <cellStyle name="Input [yellow] 14 2 3 3" xfId="9341"/>
    <cellStyle name="Input [yellow] 14 2 3 3 2" xfId="9342"/>
    <cellStyle name="Input [yellow] 14 2 3 3 3" xfId="9343"/>
    <cellStyle name="Input [yellow] 14 2 3 3 4" xfId="9344"/>
    <cellStyle name="Input [yellow] 14 2 3 4" xfId="9345"/>
    <cellStyle name="Input [yellow] 14 2 3 4 2" xfId="9346"/>
    <cellStyle name="Input [yellow] 14 2 3 4 3" xfId="9347"/>
    <cellStyle name="Input [yellow] 14 2 3 4 4" xfId="9348"/>
    <cellStyle name="Input [yellow] 14 2 3 5" xfId="9349"/>
    <cellStyle name="Input [yellow] 14 2 3 6" xfId="9350"/>
    <cellStyle name="Input [yellow] 14 2 3 7" xfId="9351"/>
    <cellStyle name="Input [yellow] 14 2 3 8" xfId="9352"/>
    <cellStyle name="Input [yellow] 14 2 4" xfId="9353"/>
    <cellStyle name="Input [yellow] 14 2 4 2" xfId="9354"/>
    <cellStyle name="Input [yellow] 14 2 4 2 2" xfId="9355"/>
    <cellStyle name="Input [yellow] 14 2 4 2 3" xfId="9356"/>
    <cellStyle name="Input [yellow] 14 2 4 2 4" xfId="9357"/>
    <cellStyle name="Input [yellow] 14 2 4 3" xfId="9358"/>
    <cellStyle name="Input [yellow] 14 2 4 3 2" xfId="9359"/>
    <cellStyle name="Input [yellow] 14 2 4 3 3" xfId="9360"/>
    <cellStyle name="Input [yellow] 14 2 4 3 4" xfId="9361"/>
    <cellStyle name="Input [yellow] 14 2 4 4" xfId="9362"/>
    <cellStyle name="Input [yellow] 14 2 4 4 2" xfId="9363"/>
    <cellStyle name="Input [yellow] 14 2 4 4 3" xfId="9364"/>
    <cellStyle name="Input [yellow] 14 2 4 4 4" xfId="9365"/>
    <cellStyle name="Input [yellow] 14 2 4 5" xfId="9366"/>
    <cellStyle name="Input [yellow] 14 2 4 6" xfId="9367"/>
    <cellStyle name="Input [yellow] 14 2 4 7" xfId="9368"/>
    <cellStyle name="Input [yellow] 14 2 4 8" xfId="9369"/>
    <cellStyle name="Input [yellow] 14 2 5" xfId="9370"/>
    <cellStyle name="Input [yellow] 14 2 5 2" xfId="9371"/>
    <cellStyle name="Input [yellow] 14 2 5 3" xfId="9372"/>
    <cellStyle name="Input [yellow] 14 2 5 4" xfId="9373"/>
    <cellStyle name="Input [yellow] 14 2 6" xfId="9374"/>
    <cellStyle name="Input [yellow] 14 2 6 2" xfId="9375"/>
    <cellStyle name="Input [yellow] 14 2 6 3" xfId="9376"/>
    <cellStyle name="Input [yellow] 14 2 6 4" xfId="9377"/>
    <cellStyle name="Input [yellow] 14 2 7" xfId="9378"/>
    <cellStyle name="Input [yellow] 14 2 8" xfId="9379"/>
    <cellStyle name="Input [yellow] 14 3" xfId="9380"/>
    <cellStyle name="Input [yellow] 14 3 2" xfId="9381"/>
    <cellStyle name="Input [yellow] 14 3 2 2" xfId="9382"/>
    <cellStyle name="Input [yellow] 14 3 2 3" xfId="9383"/>
    <cellStyle name="Input [yellow] 14 3 2 4" xfId="9384"/>
    <cellStyle name="Input [yellow] 14 3 3" xfId="9385"/>
    <cellStyle name="Input [yellow] 14 3 3 2" xfId="9386"/>
    <cellStyle name="Input [yellow] 14 3 3 3" xfId="9387"/>
    <cellStyle name="Input [yellow] 14 3 3 4" xfId="9388"/>
    <cellStyle name="Input [yellow] 14 3 4" xfId="9389"/>
    <cellStyle name="Input [yellow] 14 3 4 2" xfId="9390"/>
    <cellStyle name="Input [yellow] 14 3 4 3" xfId="9391"/>
    <cellStyle name="Input [yellow] 14 3 4 4" xfId="9392"/>
    <cellStyle name="Input [yellow] 14 3 5" xfId="9393"/>
    <cellStyle name="Input [yellow] 14 3 6" xfId="9394"/>
    <cellStyle name="Input [yellow] 14 3 7" xfId="9395"/>
    <cellStyle name="Input [yellow] 14 3 8" xfId="9396"/>
    <cellStyle name="Input [yellow] 14 4" xfId="9397"/>
    <cellStyle name="Input [yellow] 14 4 2" xfId="9398"/>
    <cellStyle name="Input [yellow] 14 4 2 2" xfId="9399"/>
    <cellStyle name="Input [yellow] 14 4 2 3" xfId="9400"/>
    <cellStyle name="Input [yellow] 14 4 2 4" xfId="9401"/>
    <cellStyle name="Input [yellow] 14 4 3" xfId="9402"/>
    <cellStyle name="Input [yellow] 14 4 3 2" xfId="9403"/>
    <cellStyle name="Input [yellow] 14 4 3 3" xfId="9404"/>
    <cellStyle name="Input [yellow] 14 4 3 4" xfId="9405"/>
    <cellStyle name="Input [yellow] 14 4 4" xfId="9406"/>
    <cellStyle name="Input [yellow] 14 4 4 2" xfId="9407"/>
    <cellStyle name="Input [yellow] 14 4 4 3" xfId="9408"/>
    <cellStyle name="Input [yellow] 14 4 4 4" xfId="9409"/>
    <cellStyle name="Input [yellow] 14 4 5" xfId="9410"/>
    <cellStyle name="Input [yellow] 14 4 6" xfId="9411"/>
    <cellStyle name="Input [yellow] 14 4 7" xfId="9412"/>
    <cellStyle name="Input [yellow] 14 4 8" xfId="9413"/>
    <cellStyle name="Input [yellow] 14 5" xfId="9414"/>
    <cellStyle name="Input [yellow] 14 5 2" xfId="9415"/>
    <cellStyle name="Input [yellow] 14 5 2 2" xfId="9416"/>
    <cellStyle name="Input [yellow] 14 5 2 3" xfId="9417"/>
    <cellStyle name="Input [yellow] 14 5 2 4" xfId="9418"/>
    <cellStyle name="Input [yellow] 14 5 3" xfId="9419"/>
    <cellStyle name="Input [yellow] 14 5 3 2" xfId="9420"/>
    <cellStyle name="Input [yellow] 14 5 3 3" xfId="9421"/>
    <cellStyle name="Input [yellow] 14 5 3 4" xfId="9422"/>
    <cellStyle name="Input [yellow] 14 5 4" xfId="9423"/>
    <cellStyle name="Input [yellow] 14 5 4 2" xfId="9424"/>
    <cellStyle name="Input [yellow] 14 5 4 3" xfId="9425"/>
    <cellStyle name="Input [yellow] 14 5 4 4" xfId="9426"/>
    <cellStyle name="Input [yellow] 14 5 5" xfId="9427"/>
    <cellStyle name="Input [yellow] 14 5 6" xfId="9428"/>
    <cellStyle name="Input [yellow] 14 5 7" xfId="9429"/>
    <cellStyle name="Input [yellow] 14 5 8" xfId="9430"/>
    <cellStyle name="Input [yellow] 14 6" xfId="9431"/>
    <cellStyle name="Input [yellow] 14 6 2" xfId="9432"/>
    <cellStyle name="Input [yellow] 14 6 3" xfId="9433"/>
    <cellStyle name="Input [yellow] 14 6 4" xfId="9434"/>
    <cellStyle name="Input [yellow] 14 7" xfId="9435"/>
    <cellStyle name="Input [yellow] 14 7 2" xfId="9436"/>
    <cellStyle name="Input [yellow] 14 7 3" xfId="9437"/>
    <cellStyle name="Input [yellow] 14 7 4" xfId="9438"/>
    <cellStyle name="Input [yellow] 14 8" xfId="9439"/>
    <cellStyle name="Input [yellow] 14 9" xfId="9440"/>
    <cellStyle name="Input [yellow] 15" xfId="9441"/>
    <cellStyle name="Input [yellow] 15 2" xfId="9442"/>
    <cellStyle name="Input [yellow] 15 2 2" xfId="9443"/>
    <cellStyle name="Input [yellow] 15 2 2 2" xfId="9444"/>
    <cellStyle name="Input [yellow] 15 2 2 2 2" xfId="9445"/>
    <cellStyle name="Input [yellow] 15 2 2 2 3" xfId="9446"/>
    <cellStyle name="Input [yellow] 15 2 2 2 4" xfId="9447"/>
    <cellStyle name="Input [yellow] 15 2 2 3" xfId="9448"/>
    <cellStyle name="Input [yellow] 15 2 2 3 2" xfId="9449"/>
    <cellStyle name="Input [yellow] 15 2 2 3 3" xfId="9450"/>
    <cellStyle name="Input [yellow] 15 2 2 3 4" xfId="9451"/>
    <cellStyle name="Input [yellow] 15 2 2 4" xfId="9452"/>
    <cellStyle name="Input [yellow] 15 2 2 4 2" xfId="9453"/>
    <cellStyle name="Input [yellow] 15 2 2 4 3" xfId="9454"/>
    <cellStyle name="Input [yellow] 15 2 2 4 4" xfId="9455"/>
    <cellStyle name="Input [yellow] 15 2 2 5" xfId="9456"/>
    <cellStyle name="Input [yellow] 15 2 2 6" xfId="9457"/>
    <cellStyle name="Input [yellow] 15 2 2 7" xfId="9458"/>
    <cellStyle name="Input [yellow] 15 2 2 8" xfId="9459"/>
    <cellStyle name="Input [yellow] 15 2 3" xfId="9460"/>
    <cellStyle name="Input [yellow] 15 2 3 2" xfId="9461"/>
    <cellStyle name="Input [yellow] 15 2 3 2 2" xfId="9462"/>
    <cellStyle name="Input [yellow] 15 2 3 2 3" xfId="9463"/>
    <cellStyle name="Input [yellow] 15 2 3 2 4" xfId="9464"/>
    <cellStyle name="Input [yellow] 15 2 3 3" xfId="9465"/>
    <cellStyle name="Input [yellow] 15 2 3 3 2" xfId="9466"/>
    <cellStyle name="Input [yellow] 15 2 3 3 3" xfId="9467"/>
    <cellStyle name="Input [yellow] 15 2 3 3 4" xfId="9468"/>
    <cellStyle name="Input [yellow] 15 2 3 4" xfId="9469"/>
    <cellStyle name="Input [yellow] 15 2 3 4 2" xfId="9470"/>
    <cellStyle name="Input [yellow] 15 2 3 4 3" xfId="9471"/>
    <cellStyle name="Input [yellow] 15 2 3 4 4" xfId="9472"/>
    <cellStyle name="Input [yellow] 15 2 3 5" xfId="9473"/>
    <cellStyle name="Input [yellow] 15 2 3 6" xfId="9474"/>
    <cellStyle name="Input [yellow] 15 2 3 7" xfId="9475"/>
    <cellStyle name="Input [yellow] 15 2 3 8" xfId="9476"/>
    <cellStyle name="Input [yellow] 15 2 4" xfId="9477"/>
    <cellStyle name="Input [yellow] 15 2 4 2" xfId="9478"/>
    <cellStyle name="Input [yellow] 15 2 4 2 2" xfId="9479"/>
    <cellStyle name="Input [yellow] 15 2 4 2 3" xfId="9480"/>
    <cellStyle name="Input [yellow] 15 2 4 2 4" xfId="9481"/>
    <cellStyle name="Input [yellow] 15 2 4 3" xfId="9482"/>
    <cellStyle name="Input [yellow] 15 2 4 3 2" xfId="9483"/>
    <cellStyle name="Input [yellow] 15 2 4 3 3" xfId="9484"/>
    <cellStyle name="Input [yellow] 15 2 4 3 4" xfId="9485"/>
    <cellStyle name="Input [yellow] 15 2 4 4" xfId="9486"/>
    <cellStyle name="Input [yellow] 15 2 4 4 2" xfId="9487"/>
    <cellStyle name="Input [yellow] 15 2 4 4 3" xfId="9488"/>
    <cellStyle name="Input [yellow] 15 2 4 4 4" xfId="9489"/>
    <cellStyle name="Input [yellow] 15 2 4 5" xfId="9490"/>
    <cellStyle name="Input [yellow] 15 2 4 6" xfId="9491"/>
    <cellStyle name="Input [yellow] 15 2 4 7" xfId="9492"/>
    <cellStyle name="Input [yellow] 15 2 4 8" xfId="9493"/>
    <cellStyle name="Input [yellow] 15 2 5" xfId="9494"/>
    <cellStyle name="Input [yellow] 15 2 5 2" xfId="9495"/>
    <cellStyle name="Input [yellow] 15 2 5 3" xfId="9496"/>
    <cellStyle name="Input [yellow] 15 2 5 4" xfId="9497"/>
    <cellStyle name="Input [yellow] 15 2 6" xfId="9498"/>
    <cellStyle name="Input [yellow] 15 2 6 2" xfId="9499"/>
    <cellStyle name="Input [yellow] 15 2 6 3" xfId="9500"/>
    <cellStyle name="Input [yellow] 15 2 6 4" xfId="9501"/>
    <cellStyle name="Input [yellow] 15 2 7" xfId="9502"/>
    <cellStyle name="Input [yellow] 15 2 8" xfId="9503"/>
    <cellStyle name="Input [yellow] 15 3" xfId="9504"/>
    <cellStyle name="Input [yellow] 15 3 2" xfId="9505"/>
    <cellStyle name="Input [yellow] 15 3 2 2" xfId="9506"/>
    <cellStyle name="Input [yellow] 15 3 2 3" xfId="9507"/>
    <cellStyle name="Input [yellow] 15 3 2 4" xfId="9508"/>
    <cellStyle name="Input [yellow] 15 3 3" xfId="9509"/>
    <cellStyle name="Input [yellow] 15 3 3 2" xfId="9510"/>
    <cellStyle name="Input [yellow] 15 3 3 3" xfId="9511"/>
    <cellStyle name="Input [yellow] 15 3 3 4" xfId="9512"/>
    <cellStyle name="Input [yellow] 15 3 4" xfId="9513"/>
    <cellStyle name="Input [yellow] 15 3 4 2" xfId="9514"/>
    <cellStyle name="Input [yellow] 15 3 4 3" xfId="9515"/>
    <cellStyle name="Input [yellow] 15 3 4 4" xfId="9516"/>
    <cellStyle name="Input [yellow] 15 3 5" xfId="9517"/>
    <cellStyle name="Input [yellow] 15 3 6" xfId="9518"/>
    <cellStyle name="Input [yellow] 15 3 7" xfId="9519"/>
    <cellStyle name="Input [yellow] 15 3 8" xfId="9520"/>
    <cellStyle name="Input [yellow] 15 4" xfId="9521"/>
    <cellStyle name="Input [yellow] 15 4 2" xfId="9522"/>
    <cellStyle name="Input [yellow] 15 4 2 2" xfId="9523"/>
    <cellStyle name="Input [yellow] 15 4 2 3" xfId="9524"/>
    <cellStyle name="Input [yellow] 15 4 2 4" xfId="9525"/>
    <cellStyle name="Input [yellow] 15 4 3" xfId="9526"/>
    <cellStyle name="Input [yellow] 15 4 3 2" xfId="9527"/>
    <cellStyle name="Input [yellow] 15 4 3 3" xfId="9528"/>
    <cellStyle name="Input [yellow] 15 4 3 4" xfId="9529"/>
    <cellStyle name="Input [yellow] 15 4 4" xfId="9530"/>
    <cellStyle name="Input [yellow] 15 4 4 2" xfId="9531"/>
    <cellStyle name="Input [yellow] 15 4 4 3" xfId="9532"/>
    <cellStyle name="Input [yellow] 15 4 4 4" xfId="9533"/>
    <cellStyle name="Input [yellow] 15 4 5" xfId="9534"/>
    <cellStyle name="Input [yellow] 15 4 6" xfId="9535"/>
    <cellStyle name="Input [yellow] 15 4 7" xfId="9536"/>
    <cellStyle name="Input [yellow] 15 4 8" xfId="9537"/>
    <cellStyle name="Input [yellow] 15 5" xfId="9538"/>
    <cellStyle name="Input [yellow] 15 5 2" xfId="9539"/>
    <cellStyle name="Input [yellow] 15 5 2 2" xfId="9540"/>
    <cellStyle name="Input [yellow] 15 5 2 3" xfId="9541"/>
    <cellStyle name="Input [yellow] 15 5 2 4" xfId="9542"/>
    <cellStyle name="Input [yellow] 15 5 3" xfId="9543"/>
    <cellStyle name="Input [yellow] 15 5 3 2" xfId="9544"/>
    <cellStyle name="Input [yellow] 15 5 3 3" xfId="9545"/>
    <cellStyle name="Input [yellow] 15 5 3 4" xfId="9546"/>
    <cellStyle name="Input [yellow] 15 5 4" xfId="9547"/>
    <cellStyle name="Input [yellow] 15 5 4 2" xfId="9548"/>
    <cellStyle name="Input [yellow] 15 5 4 3" xfId="9549"/>
    <cellStyle name="Input [yellow] 15 5 4 4" xfId="9550"/>
    <cellStyle name="Input [yellow] 15 5 5" xfId="9551"/>
    <cellStyle name="Input [yellow] 15 5 6" xfId="9552"/>
    <cellStyle name="Input [yellow] 15 5 7" xfId="9553"/>
    <cellStyle name="Input [yellow] 15 5 8" xfId="9554"/>
    <cellStyle name="Input [yellow] 15 6" xfId="9555"/>
    <cellStyle name="Input [yellow] 15 6 2" xfId="9556"/>
    <cellStyle name="Input [yellow] 15 6 3" xfId="9557"/>
    <cellStyle name="Input [yellow] 15 6 4" xfId="9558"/>
    <cellStyle name="Input [yellow] 15 7" xfId="9559"/>
    <cellStyle name="Input [yellow] 15 7 2" xfId="9560"/>
    <cellStyle name="Input [yellow] 15 7 3" xfId="9561"/>
    <cellStyle name="Input [yellow] 15 7 4" xfId="9562"/>
    <cellStyle name="Input [yellow] 15 8" xfId="9563"/>
    <cellStyle name="Input [yellow] 15 9" xfId="9564"/>
    <cellStyle name="Input [yellow] 16" xfId="9565"/>
    <cellStyle name="Input [yellow] 16 2" xfId="9566"/>
    <cellStyle name="Input [yellow] 16 2 2" xfId="9567"/>
    <cellStyle name="Input [yellow] 16 2 2 2" xfId="9568"/>
    <cellStyle name="Input [yellow] 16 2 2 2 2" xfId="9569"/>
    <cellStyle name="Input [yellow] 16 2 2 2 3" xfId="9570"/>
    <cellStyle name="Input [yellow] 16 2 2 2 4" xfId="9571"/>
    <cellStyle name="Input [yellow] 16 2 2 3" xfId="9572"/>
    <cellStyle name="Input [yellow] 16 2 2 3 2" xfId="9573"/>
    <cellStyle name="Input [yellow] 16 2 2 3 3" xfId="9574"/>
    <cellStyle name="Input [yellow] 16 2 2 3 4" xfId="9575"/>
    <cellStyle name="Input [yellow] 16 2 2 4" xfId="9576"/>
    <cellStyle name="Input [yellow] 16 2 2 4 2" xfId="9577"/>
    <cellStyle name="Input [yellow] 16 2 2 4 3" xfId="9578"/>
    <cellStyle name="Input [yellow] 16 2 2 4 4" xfId="9579"/>
    <cellStyle name="Input [yellow] 16 2 2 5" xfId="9580"/>
    <cellStyle name="Input [yellow] 16 2 2 6" xfId="9581"/>
    <cellStyle name="Input [yellow] 16 2 2 7" xfId="9582"/>
    <cellStyle name="Input [yellow] 16 2 2 8" xfId="9583"/>
    <cellStyle name="Input [yellow] 16 2 3" xfId="9584"/>
    <cellStyle name="Input [yellow] 16 2 3 2" xfId="9585"/>
    <cellStyle name="Input [yellow] 16 2 3 2 2" xfId="9586"/>
    <cellStyle name="Input [yellow] 16 2 3 2 3" xfId="9587"/>
    <cellStyle name="Input [yellow] 16 2 3 2 4" xfId="9588"/>
    <cellStyle name="Input [yellow] 16 2 3 3" xfId="9589"/>
    <cellStyle name="Input [yellow] 16 2 3 3 2" xfId="9590"/>
    <cellStyle name="Input [yellow] 16 2 3 3 3" xfId="9591"/>
    <cellStyle name="Input [yellow] 16 2 3 3 4" xfId="9592"/>
    <cellStyle name="Input [yellow] 16 2 3 4" xfId="9593"/>
    <cellStyle name="Input [yellow] 16 2 3 4 2" xfId="9594"/>
    <cellStyle name="Input [yellow] 16 2 3 4 3" xfId="9595"/>
    <cellStyle name="Input [yellow] 16 2 3 4 4" xfId="9596"/>
    <cellStyle name="Input [yellow] 16 2 3 5" xfId="9597"/>
    <cellStyle name="Input [yellow] 16 2 3 6" xfId="9598"/>
    <cellStyle name="Input [yellow] 16 2 3 7" xfId="9599"/>
    <cellStyle name="Input [yellow] 16 2 3 8" xfId="9600"/>
    <cellStyle name="Input [yellow] 16 2 4" xfId="9601"/>
    <cellStyle name="Input [yellow] 16 2 4 2" xfId="9602"/>
    <cellStyle name="Input [yellow] 16 2 4 2 2" xfId="9603"/>
    <cellStyle name="Input [yellow] 16 2 4 2 3" xfId="9604"/>
    <cellStyle name="Input [yellow] 16 2 4 2 4" xfId="9605"/>
    <cellStyle name="Input [yellow] 16 2 4 3" xfId="9606"/>
    <cellStyle name="Input [yellow] 16 2 4 3 2" xfId="9607"/>
    <cellStyle name="Input [yellow] 16 2 4 3 3" xfId="9608"/>
    <cellStyle name="Input [yellow] 16 2 4 3 4" xfId="9609"/>
    <cellStyle name="Input [yellow] 16 2 4 4" xfId="9610"/>
    <cellStyle name="Input [yellow] 16 2 4 4 2" xfId="9611"/>
    <cellStyle name="Input [yellow] 16 2 4 4 3" xfId="9612"/>
    <cellStyle name="Input [yellow] 16 2 4 4 4" xfId="9613"/>
    <cellStyle name="Input [yellow] 16 2 4 5" xfId="9614"/>
    <cellStyle name="Input [yellow] 16 2 4 6" xfId="9615"/>
    <cellStyle name="Input [yellow] 16 2 4 7" xfId="9616"/>
    <cellStyle name="Input [yellow] 16 2 4 8" xfId="9617"/>
    <cellStyle name="Input [yellow] 16 2 5" xfId="9618"/>
    <cellStyle name="Input [yellow] 16 2 5 2" xfId="9619"/>
    <cellStyle name="Input [yellow] 16 2 5 3" xfId="9620"/>
    <cellStyle name="Input [yellow] 16 2 5 4" xfId="9621"/>
    <cellStyle name="Input [yellow] 16 2 6" xfId="9622"/>
    <cellStyle name="Input [yellow] 16 2 6 2" xfId="9623"/>
    <cellStyle name="Input [yellow] 16 2 6 3" xfId="9624"/>
    <cellStyle name="Input [yellow] 16 2 6 4" xfId="9625"/>
    <cellStyle name="Input [yellow] 16 2 7" xfId="9626"/>
    <cellStyle name="Input [yellow] 16 2 8" xfId="9627"/>
    <cellStyle name="Input [yellow] 16 3" xfId="9628"/>
    <cellStyle name="Input [yellow] 16 3 2" xfId="9629"/>
    <cellStyle name="Input [yellow] 16 3 2 2" xfId="9630"/>
    <cellStyle name="Input [yellow] 16 3 2 3" xfId="9631"/>
    <cellStyle name="Input [yellow] 16 3 2 4" xfId="9632"/>
    <cellStyle name="Input [yellow] 16 3 3" xfId="9633"/>
    <cellStyle name="Input [yellow] 16 3 3 2" xfId="9634"/>
    <cellStyle name="Input [yellow] 16 3 3 3" xfId="9635"/>
    <cellStyle name="Input [yellow] 16 3 3 4" xfId="9636"/>
    <cellStyle name="Input [yellow] 16 3 4" xfId="9637"/>
    <cellStyle name="Input [yellow] 16 3 4 2" xfId="9638"/>
    <cellStyle name="Input [yellow] 16 3 4 3" xfId="9639"/>
    <cellStyle name="Input [yellow] 16 3 4 4" xfId="9640"/>
    <cellStyle name="Input [yellow] 16 3 5" xfId="9641"/>
    <cellStyle name="Input [yellow] 16 3 6" xfId="9642"/>
    <cellStyle name="Input [yellow] 16 3 7" xfId="9643"/>
    <cellStyle name="Input [yellow] 16 3 8" xfId="9644"/>
    <cellStyle name="Input [yellow] 16 4" xfId="9645"/>
    <cellStyle name="Input [yellow] 16 4 2" xfId="9646"/>
    <cellStyle name="Input [yellow] 16 4 2 2" xfId="9647"/>
    <cellStyle name="Input [yellow] 16 4 2 3" xfId="9648"/>
    <cellStyle name="Input [yellow] 16 4 2 4" xfId="9649"/>
    <cellStyle name="Input [yellow] 16 4 3" xfId="9650"/>
    <cellStyle name="Input [yellow] 16 4 3 2" xfId="9651"/>
    <cellStyle name="Input [yellow] 16 4 3 3" xfId="9652"/>
    <cellStyle name="Input [yellow] 16 4 3 4" xfId="9653"/>
    <cellStyle name="Input [yellow] 16 4 4" xfId="9654"/>
    <cellStyle name="Input [yellow] 16 4 4 2" xfId="9655"/>
    <cellStyle name="Input [yellow] 16 4 4 3" xfId="9656"/>
    <cellStyle name="Input [yellow] 16 4 4 4" xfId="9657"/>
    <cellStyle name="Input [yellow] 16 4 5" xfId="9658"/>
    <cellStyle name="Input [yellow] 16 4 6" xfId="9659"/>
    <cellStyle name="Input [yellow] 16 4 7" xfId="9660"/>
    <cellStyle name="Input [yellow] 16 4 8" xfId="9661"/>
    <cellStyle name="Input [yellow] 16 5" xfId="9662"/>
    <cellStyle name="Input [yellow] 16 5 2" xfId="9663"/>
    <cellStyle name="Input [yellow] 16 5 2 2" xfId="9664"/>
    <cellStyle name="Input [yellow] 16 5 2 3" xfId="9665"/>
    <cellStyle name="Input [yellow] 16 5 2 4" xfId="9666"/>
    <cellStyle name="Input [yellow] 16 5 3" xfId="9667"/>
    <cellStyle name="Input [yellow] 16 5 3 2" xfId="9668"/>
    <cellStyle name="Input [yellow] 16 5 3 3" xfId="9669"/>
    <cellStyle name="Input [yellow] 16 5 3 4" xfId="9670"/>
    <cellStyle name="Input [yellow] 16 5 4" xfId="9671"/>
    <cellStyle name="Input [yellow] 16 5 4 2" xfId="9672"/>
    <cellStyle name="Input [yellow] 16 5 4 3" xfId="9673"/>
    <cellStyle name="Input [yellow] 16 5 4 4" xfId="9674"/>
    <cellStyle name="Input [yellow] 16 5 5" xfId="9675"/>
    <cellStyle name="Input [yellow] 16 5 6" xfId="9676"/>
    <cellStyle name="Input [yellow] 16 5 7" xfId="9677"/>
    <cellStyle name="Input [yellow] 16 5 8" xfId="9678"/>
    <cellStyle name="Input [yellow] 16 6" xfId="9679"/>
    <cellStyle name="Input [yellow] 16 6 2" xfId="9680"/>
    <cellStyle name="Input [yellow] 16 6 3" xfId="9681"/>
    <cellStyle name="Input [yellow] 16 6 4" xfId="9682"/>
    <cellStyle name="Input [yellow] 16 7" xfId="9683"/>
    <cellStyle name="Input [yellow] 16 7 2" xfId="9684"/>
    <cellStyle name="Input [yellow] 16 7 3" xfId="9685"/>
    <cellStyle name="Input [yellow] 16 7 4" xfId="9686"/>
    <cellStyle name="Input [yellow] 16 8" xfId="9687"/>
    <cellStyle name="Input [yellow] 16 9" xfId="9688"/>
    <cellStyle name="Input [yellow] 17" xfId="9689"/>
    <cellStyle name="Input [yellow] 17 2" xfId="9690"/>
    <cellStyle name="Input [yellow] 17 2 2" xfId="9691"/>
    <cellStyle name="Input [yellow] 17 2 2 2" xfId="9692"/>
    <cellStyle name="Input [yellow] 17 2 2 2 2" xfId="9693"/>
    <cellStyle name="Input [yellow] 17 2 2 2 3" xfId="9694"/>
    <cellStyle name="Input [yellow] 17 2 2 2 4" xfId="9695"/>
    <cellStyle name="Input [yellow] 17 2 2 3" xfId="9696"/>
    <cellStyle name="Input [yellow] 17 2 2 3 2" xfId="9697"/>
    <cellStyle name="Input [yellow] 17 2 2 3 3" xfId="9698"/>
    <cellStyle name="Input [yellow] 17 2 2 3 4" xfId="9699"/>
    <cellStyle name="Input [yellow] 17 2 2 4" xfId="9700"/>
    <cellStyle name="Input [yellow] 17 2 2 4 2" xfId="9701"/>
    <cellStyle name="Input [yellow] 17 2 2 4 3" xfId="9702"/>
    <cellStyle name="Input [yellow] 17 2 2 4 4" xfId="9703"/>
    <cellStyle name="Input [yellow] 17 2 2 5" xfId="9704"/>
    <cellStyle name="Input [yellow] 17 2 2 6" xfId="9705"/>
    <cellStyle name="Input [yellow] 17 2 2 7" xfId="9706"/>
    <cellStyle name="Input [yellow] 17 2 2 8" xfId="9707"/>
    <cellStyle name="Input [yellow] 17 2 3" xfId="9708"/>
    <cellStyle name="Input [yellow] 17 2 3 2" xfId="9709"/>
    <cellStyle name="Input [yellow] 17 2 3 2 2" xfId="9710"/>
    <cellStyle name="Input [yellow] 17 2 3 2 3" xfId="9711"/>
    <cellStyle name="Input [yellow] 17 2 3 2 4" xfId="9712"/>
    <cellStyle name="Input [yellow] 17 2 3 3" xfId="9713"/>
    <cellStyle name="Input [yellow] 17 2 3 3 2" xfId="9714"/>
    <cellStyle name="Input [yellow] 17 2 3 3 3" xfId="9715"/>
    <cellStyle name="Input [yellow] 17 2 3 3 4" xfId="9716"/>
    <cellStyle name="Input [yellow] 17 2 3 4" xfId="9717"/>
    <cellStyle name="Input [yellow] 17 2 3 4 2" xfId="9718"/>
    <cellStyle name="Input [yellow] 17 2 3 4 3" xfId="9719"/>
    <cellStyle name="Input [yellow] 17 2 3 4 4" xfId="9720"/>
    <cellStyle name="Input [yellow] 17 2 3 5" xfId="9721"/>
    <cellStyle name="Input [yellow] 17 2 3 6" xfId="9722"/>
    <cellStyle name="Input [yellow] 17 2 3 7" xfId="9723"/>
    <cellStyle name="Input [yellow] 17 2 3 8" xfId="9724"/>
    <cellStyle name="Input [yellow] 17 2 4" xfId="9725"/>
    <cellStyle name="Input [yellow] 17 2 4 2" xfId="9726"/>
    <cellStyle name="Input [yellow] 17 2 4 2 2" xfId="9727"/>
    <cellStyle name="Input [yellow] 17 2 4 2 3" xfId="9728"/>
    <cellStyle name="Input [yellow] 17 2 4 2 4" xfId="9729"/>
    <cellStyle name="Input [yellow] 17 2 4 3" xfId="9730"/>
    <cellStyle name="Input [yellow] 17 2 4 3 2" xfId="9731"/>
    <cellStyle name="Input [yellow] 17 2 4 3 3" xfId="9732"/>
    <cellStyle name="Input [yellow] 17 2 4 3 4" xfId="9733"/>
    <cellStyle name="Input [yellow] 17 2 4 4" xfId="9734"/>
    <cellStyle name="Input [yellow] 17 2 4 4 2" xfId="9735"/>
    <cellStyle name="Input [yellow] 17 2 4 4 3" xfId="9736"/>
    <cellStyle name="Input [yellow] 17 2 4 4 4" xfId="9737"/>
    <cellStyle name="Input [yellow] 17 2 4 5" xfId="9738"/>
    <cellStyle name="Input [yellow] 17 2 4 6" xfId="9739"/>
    <cellStyle name="Input [yellow] 17 2 4 7" xfId="9740"/>
    <cellStyle name="Input [yellow] 17 2 4 8" xfId="9741"/>
    <cellStyle name="Input [yellow] 17 2 5" xfId="9742"/>
    <cellStyle name="Input [yellow] 17 2 5 2" xfId="9743"/>
    <cellStyle name="Input [yellow] 17 2 5 3" xfId="9744"/>
    <cellStyle name="Input [yellow] 17 2 5 4" xfId="9745"/>
    <cellStyle name="Input [yellow] 17 2 6" xfId="9746"/>
    <cellStyle name="Input [yellow] 17 2 6 2" xfId="9747"/>
    <cellStyle name="Input [yellow] 17 2 6 3" xfId="9748"/>
    <cellStyle name="Input [yellow] 17 2 6 4" xfId="9749"/>
    <cellStyle name="Input [yellow] 17 2 7" xfId="9750"/>
    <cellStyle name="Input [yellow] 17 2 8" xfId="9751"/>
    <cellStyle name="Input [yellow] 17 3" xfId="9752"/>
    <cellStyle name="Input [yellow] 17 3 2" xfId="9753"/>
    <cellStyle name="Input [yellow] 17 3 2 2" xfId="9754"/>
    <cellStyle name="Input [yellow] 17 3 2 3" xfId="9755"/>
    <cellStyle name="Input [yellow] 17 3 2 4" xfId="9756"/>
    <cellStyle name="Input [yellow] 17 3 3" xfId="9757"/>
    <cellStyle name="Input [yellow] 17 3 3 2" xfId="9758"/>
    <cellStyle name="Input [yellow] 17 3 3 3" xfId="9759"/>
    <cellStyle name="Input [yellow] 17 3 3 4" xfId="9760"/>
    <cellStyle name="Input [yellow] 17 3 4" xfId="9761"/>
    <cellStyle name="Input [yellow] 17 3 4 2" xfId="9762"/>
    <cellStyle name="Input [yellow] 17 3 4 3" xfId="9763"/>
    <cellStyle name="Input [yellow] 17 3 4 4" xfId="9764"/>
    <cellStyle name="Input [yellow] 17 3 5" xfId="9765"/>
    <cellStyle name="Input [yellow] 17 3 6" xfId="9766"/>
    <cellStyle name="Input [yellow] 17 3 7" xfId="9767"/>
    <cellStyle name="Input [yellow] 17 3 8" xfId="9768"/>
    <cellStyle name="Input [yellow] 17 4" xfId="9769"/>
    <cellStyle name="Input [yellow] 17 4 2" xfId="9770"/>
    <cellStyle name="Input [yellow] 17 4 2 2" xfId="9771"/>
    <cellStyle name="Input [yellow] 17 4 2 3" xfId="9772"/>
    <cellStyle name="Input [yellow] 17 4 2 4" xfId="9773"/>
    <cellStyle name="Input [yellow] 17 4 3" xfId="9774"/>
    <cellStyle name="Input [yellow] 17 4 3 2" xfId="9775"/>
    <cellStyle name="Input [yellow] 17 4 3 3" xfId="9776"/>
    <cellStyle name="Input [yellow] 17 4 3 4" xfId="9777"/>
    <cellStyle name="Input [yellow] 17 4 4" xfId="9778"/>
    <cellStyle name="Input [yellow] 17 4 4 2" xfId="9779"/>
    <cellStyle name="Input [yellow] 17 4 4 3" xfId="9780"/>
    <cellStyle name="Input [yellow] 17 4 4 4" xfId="9781"/>
    <cellStyle name="Input [yellow] 17 4 5" xfId="9782"/>
    <cellStyle name="Input [yellow] 17 4 6" xfId="9783"/>
    <cellStyle name="Input [yellow] 17 4 7" xfId="9784"/>
    <cellStyle name="Input [yellow] 17 4 8" xfId="9785"/>
    <cellStyle name="Input [yellow] 17 5" xfId="9786"/>
    <cellStyle name="Input [yellow] 17 5 2" xfId="9787"/>
    <cellStyle name="Input [yellow] 17 5 2 2" xfId="9788"/>
    <cellStyle name="Input [yellow] 17 5 2 3" xfId="9789"/>
    <cellStyle name="Input [yellow] 17 5 2 4" xfId="9790"/>
    <cellStyle name="Input [yellow] 17 5 3" xfId="9791"/>
    <cellStyle name="Input [yellow] 17 5 3 2" xfId="9792"/>
    <cellStyle name="Input [yellow] 17 5 3 3" xfId="9793"/>
    <cellStyle name="Input [yellow] 17 5 3 4" xfId="9794"/>
    <cellStyle name="Input [yellow] 17 5 4" xfId="9795"/>
    <cellStyle name="Input [yellow] 17 5 4 2" xfId="9796"/>
    <cellStyle name="Input [yellow] 17 5 4 3" xfId="9797"/>
    <cellStyle name="Input [yellow] 17 5 4 4" xfId="9798"/>
    <cellStyle name="Input [yellow] 17 5 5" xfId="9799"/>
    <cellStyle name="Input [yellow] 17 5 6" xfId="9800"/>
    <cellStyle name="Input [yellow] 17 5 7" xfId="9801"/>
    <cellStyle name="Input [yellow] 17 5 8" xfId="9802"/>
    <cellStyle name="Input [yellow] 17 6" xfId="9803"/>
    <cellStyle name="Input [yellow] 17 6 2" xfId="9804"/>
    <cellStyle name="Input [yellow] 17 6 3" xfId="9805"/>
    <cellStyle name="Input [yellow] 17 6 4" xfId="9806"/>
    <cellStyle name="Input [yellow] 17 7" xfId="9807"/>
    <cellStyle name="Input [yellow] 17 7 2" xfId="9808"/>
    <cellStyle name="Input [yellow] 17 7 3" xfId="9809"/>
    <cellStyle name="Input [yellow] 17 7 4" xfId="9810"/>
    <cellStyle name="Input [yellow] 17 8" xfId="9811"/>
    <cellStyle name="Input [yellow] 17 9" xfId="9812"/>
    <cellStyle name="Input [yellow] 18" xfId="9813"/>
    <cellStyle name="Input [yellow] 18 2" xfId="9814"/>
    <cellStyle name="Input [yellow] 18 2 2" xfId="9815"/>
    <cellStyle name="Input [yellow] 18 2 2 2" xfId="9816"/>
    <cellStyle name="Input [yellow] 18 2 2 2 2" xfId="9817"/>
    <cellStyle name="Input [yellow] 18 2 2 2 3" xfId="9818"/>
    <cellStyle name="Input [yellow] 18 2 2 2 4" xfId="9819"/>
    <cellStyle name="Input [yellow] 18 2 2 3" xfId="9820"/>
    <cellStyle name="Input [yellow] 18 2 2 3 2" xfId="9821"/>
    <cellStyle name="Input [yellow] 18 2 2 3 3" xfId="9822"/>
    <cellStyle name="Input [yellow] 18 2 2 3 4" xfId="9823"/>
    <cellStyle name="Input [yellow] 18 2 2 4" xfId="9824"/>
    <cellStyle name="Input [yellow] 18 2 2 4 2" xfId="9825"/>
    <cellStyle name="Input [yellow] 18 2 2 4 3" xfId="9826"/>
    <cellStyle name="Input [yellow] 18 2 2 4 4" xfId="9827"/>
    <cellStyle name="Input [yellow] 18 2 2 5" xfId="9828"/>
    <cellStyle name="Input [yellow] 18 2 2 6" xfId="9829"/>
    <cellStyle name="Input [yellow] 18 2 2 7" xfId="9830"/>
    <cellStyle name="Input [yellow] 18 2 2 8" xfId="9831"/>
    <cellStyle name="Input [yellow] 18 2 3" xfId="9832"/>
    <cellStyle name="Input [yellow] 18 2 3 2" xfId="9833"/>
    <cellStyle name="Input [yellow] 18 2 3 2 2" xfId="9834"/>
    <cellStyle name="Input [yellow] 18 2 3 2 3" xfId="9835"/>
    <cellStyle name="Input [yellow] 18 2 3 2 4" xfId="9836"/>
    <cellStyle name="Input [yellow] 18 2 3 3" xfId="9837"/>
    <cellStyle name="Input [yellow] 18 2 3 3 2" xfId="9838"/>
    <cellStyle name="Input [yellow] 18 2 3 3 3" xfId="9839"/>
    <cellStyle name="Input [yellow] 18 2 3 3 4" xfId="9840"/>
    <cellStyle name="Input [yellow] 18 2 3 4" xfId="9841"/>
    <cellStyle name="Input [yellow] 18 2 3 4 2" xfId="9842"/>
    <cellStyle name="Input [yellow] 18 2 3 4 3" xfId="9843"/>
    <cellStyle name="Input [yellow] 18 2 3 4 4" xfId="9844"/>
    <cellStyle name="Input [yellow] 18 2 3 5" xfId="9845"/>
    <cellStyle name="Input [yellow] 18 2 3 6" xfId="9846"/>
    <cellStyle name="Input [yellow] 18 2 3 7" xfId="9847"/>
    <cellStyle name="Input [yellow] 18 2 3 8" xfId="9848"/>
    <cellStyle name="Input [yellow] 18 2 4" xfId="9849"/>
    <cellStyle name="Input [yellow] 18 2 4 2" xfId="9850"/>
    <cellStyle name="Input [yellow] 18 2 4 2 2" xfId="9851"/>
    <cellStyle name="Input [yellow] 18 2 4 2 3" xfId="9852"/>
    <cellStyle name="Input [yellow] 18 2 4 2 4" xfId="9853"/>
    <cellStyle name="Input [yellow] 18 2 4 3" xfId="9854"/>
    <cellStyle name="Input [yellow] 18 2 4 3 2" xfId="9855"/>
    <cellStyle name="Input [yellow] 18 2 4 3 3" xfId="9856"/>
    <cellStyle name="Input [yellow] 18 2 4 3 4" xfId="9857"/>
    <cellStyle name="Input [yellow] 18 2 4 4" xfId="9858"/>
    <cellStyle name="Input [yellow] 18 2 4 4 2" xfId="9859"/>
    <cellStyle name="Input [yellow] 18 2 4 4 3" xfId="9860"/>
    <cellStyle name="Input [yellow] 18 2 4 4 4" xfId="9861"/>
    <cellStyle name="Input [yellow] 18 2 4 5" xfId="9862"/>
    <cellStyle name="Input [yellow] 18 2 4 6" xfId="9863"/>
    <cellStyle name="Input [yellow] 18 2 4 7" xfId="9864"/>
    <cellStyle name="Input [yellow] 18 2 4 8" xfId="9865"/>
    <cellStyle name="Input [yellow] 18 2 5" xfId="9866"/>
    <cellStyle name="Input [yellow] 18 2 5 2" xfId="9867"/>
    <cellStyle name="Input [yellow] 18 2 5 3" xfId="9868"/>
    <cellStyle name="Input [yellow] 18 2 5 4" xfId="9869"/>
    <cellStyle name="Input [yellow] 18 2 6" xfId="9870"/>
    <cellStyle name="Input [yellow] 18 2 6 2" xfId="9871"/>
    <cellStyle name="Input [yellow] 18 2 6 3" xfId="9872"/>
    <cellStyle name="Input [yellow] 18 2 6 4" xfId="9873"/>
    <cellStyle name="Input [yellow] 18 2 7" xfId="9874"/>
    <cellStyle name="Input [yellow] 18 2 8" xfId="9875"/>
    <cellStyle name="Input [yellow] 18 3" xfId="9876"/>
    <cellStyle name="Input [yellow] 18 3 2" xfId="9877"/>
    <cellStyle name="Input [yellow] 18 3 2 2" xfId="9878"/>
    <cellStyle name="Input [yellow] 18 3 2 3" xfId="9879"/>
    <cellStyle name="Input [yellow] 18 3 2 4" xfId="9880"/>
    <cellStyle name="Input [yellow] 18 3 3" xfId="9881"/>
    <cellStyle name="Input [yellow] 18 3 3 2" xfId="9882"/>
    <cellStyle name="Input [yellow] 18 3 3 3" xfId="9883"/>
    <cellStyle name="Input [yellow] 18 3 3 4" xfId="9884"/>
    <cellStyle name="Input [yellow] 18 3 4" xfId="9885"/>
    <cellStyle name="Input [yellow] 18 3 4 2" xfId="9886"/>
    <cellStyle name="Input [yellow] 18 3 4 3" xfId="9887"/>
    <cellStyle name="Input [yellow] 18 3 4 4" xfId="9888"/>
    <cellStyle name="Input [yellow] 18 3 5" xfId="9889"/>
    <cellStyle name="Input [yellow] 18 3 6" xfId="9890"/>
    <cellStyle name="Input [yellow] 18 3 7" xfId="9891"/>
    <cellStyle name="Input [yellow] 18 3 8" xfId="9892"/>
    <cellStyle name="Input [yellow] 18 4" xfId="9893"/>
    <cellStyle name="Input [yellow] 18 4 2" xfId="9894"/>
    <cellStyle name="Input [yellow] 18 4 2 2" xfId="9895"/>
    <cellStyle name="Input [yellow] 18 4 2 3" xfId="9896"/>
    <cellStyle name="Input [yellow] 18 4 2 4" xfId="9897"/>
    <cellStyle name="Input [yellow] 18 4 3" xfId="9898"/>
    <cellStyle name="Input [yellow] 18 4 3 2" xfId="9899"/>
    <cellStyle name="Input [yellow] 18 4 3 3" xfId="9900"/>
    <cellStyle name="Input [yellow] 18 4 3 4" xfId="9901"/>
    <cellStyle name="Input [yellow] 18 4 4" xfId="9902"/>
    <cellStyle name="Input [yellow] 18 4 4 2" xfId="9903"/>
    <cellStyle name="Input [yellow] 18 4 4 3" xfId="9904"/>
    <cellStyle name="Input [yellow] 18 4 4 4" xfId="9905"/>
    <cellStyle name="Input [yellow] 18 4 5" xfId="9906"/>
    <cellStyle name="Input [yellow] 18 4 6" xfId="9907"/>
    <cellStyle name="Input [yellow] 18 4 7" xfId="9908"/>
    <cellStyle name="Input [yellow] 18 4 8" xfId="9909"/>
    <cellStyle name="Input [yellow] 18 5" xfId="9910"/>
    <cellStyle name="Input [yellow] 18 5 2" xfId="9911"/>
    <cellStyle name="Input [yellow] 18 5 2 2" xfId="9912"/>
    <cellStyle name="Input [yellow] 18 5 2 3" xfId="9913"/>
    <cellStyle name="Input [yellow] 18 5 2 4" xfId="9914"/>
    <cellStyle name="Input [yellow] 18 5 3" xfId="9915"/>
    <cellStyle name="Input [yellow] 18 5 3 2" xfId="9916"/>
    <cellStyle name="Input [yellow] 18 5 3 3" xfId="9917"/>
    <cellStyle name="Input [yellow] 18 5 3 4" xfId="9918"/>
    <cellStyle name="Input [yellow] 18 5 4" xfId="9919"/>
    <cellStyle name="Input [yellow] 18 5 4 2" xfId="9920"/>
    <cellStyle name="Input [yellow] 18 5 4 3" xfId="9921"/>
    <cellStyle name="Input [yellow] 18 5 4 4" xfId="9922"/>
    <cellStyle name="Input [yellow] 18 5 5" xfId="9923"/>
    <cellStyle name="Input [yellow] 18 5 6" xfId="9924"/>
    <cellStyle name="Input [yellow] 18 5 7" xfId="9925"/>
    <cellStyle name="Input [yellow] 18 5 8" xfId="9926"/>
    <cellStyle name="Input [yellow] 18 6" xfId="9927"/>
    <cellStyle name="Input [yellow] 18 6 2" xfId="9928"/>
    <cellStyle name="Input [yellow] 18 6 3" xfId="9929"/>
    <cellStyle name="Input [yellow] 18 6 4" xfId="9930"/>
    <cellStyle name="Input [yellow] 18 7" xfId="9931"/>
    <cellStyle name="Input [yellow] 18 7 2" xfId="9932"/>
    <cellStyle name="Input [yellow] 18 7 3" xfId="9933"/>
    <cellStyle name="Input [yellow] 18 7 4" xfId="9934"/>
    <cellStyle name="Input [yellow] 18 8" xfId="9935"/>
    <cellStyle name="Input [yellow] 18 9" xfId="9936"/>
    <cellStyle name="Input [yellow] 19" xfId="9937"/>
    <cellStyle name="Input [yellow] 19 2" xfId="9938"/>
    <cellStyle name="Input [yellow] 19 2 2" xfId="9939"/>
    <cellStyle name="Input [yellow] 19 2 2 2" xfId="9940"/>
    <cellStyle name="Input [yellow] 19 2 2 2 2" xfId="9941"/>
    <cellStyle name="Input [yellow] 19 2 2 2 3" xfId="9942"/>
    <cellStyle name="Input [yellow] 19 2 2 2 4" xfId="9943"/>
    <cellStyle name="Input [yellow] 19 2 2 3" xfId="9944"/>
    <cellStyle name="Input [yellow] 19 2 2 3 2" xfId="9945"/>
    <cellStyle name="Input [yellow] 19 2 2 3 3" xfId="9946"/>
    <cellStyle name="Input [yellow] 19 2 2 3 4" xfId="9947"/>
    <cellStyle name="Input [yellow] 19 2 2 4" xfId="9948"/>
    <cellStyle name="Input [yellow] 19 2 2 4 2" xfId="9949"/>
    <cellStyle name="Input [yellow] 19 2 2 4 3" xfId="9950"/>
    <cellStyle name="Input [yellow] 19 2 2 4 4" xfId="9951"/>
    <cellStyle name="Input [yellow] 19 2 2 5" xfId="9952"/>
    <cellStyle name="Input [yellow] 19 2 2 6" xfId="9953"/>
    <cellStyle name="Input [yellow] 19 2 2 7" xfId="9954"/>
    <cellStyle name="Input [yellow] 19 2 2 8" xfId="9955"/>
    <cellStyle name="Input [yellow] 19 2 3" xfId="9956"/>
    <cellStyle name="Input [yellow] 19 2 3 2" xfId="9957"/>
    <cellStyle name="Input [yellow] 19 2 3 2 2" xfId="9958"/>
    <cellStyle name="Input [yellow] 19 2 3 2 3" xfId="9959"/>
    <cellStyle name="Input [yellow] 19 2 3 2 4" xfId="9960"/>
    <cellStyle name="Input [yellow] 19 2 3 3" xfId="9961"/>
    <cellStyle name="Input [yellow] 19 2 3 3 2" xfId="9962"/>
    <cellStyle name="Input [yellow] 19 2 3 3 3" xfId="9963"/>
    <cellStyle name="Input [yellow] 19 2 3 3 4" xfId="9964"/>
    <cellStyle name="Input [yellow] 19 2 3 4" xfId="9965"/>
    <cellStyle name="Input [yellow] 19 2 3 4 2" xfId="9966"/>
    <cellStyle name="Input [yellow] 19 2 3 4 3" xfId="9967"/>
    <cellStyle name="Input [yellow] 19 2 3 4 4" xfId="9968"/>
    <cellStyle name="Input [yellow] 19 2 3 5" xfId="9969"/>
    <cellStyle name="Input [yellow] 19 2 3 6" xfId="9970"/>
    <cellStyle name="Input [yellow] 19 2 3 7" xfId="9971"/>
    <cellStyle name="Input [yellow] 19 2 3 8" xfId="9972"/>
    <cellStyle name="Input [yellow] 19 2 4" xfId="9973"/>
    <cellStyle name="Input [yellow] 19 2 4 2" xfId="9974"/>
    <cellStyle name="Input [yellow] 19 2 4 2 2" xfId="9975"/>
    <cellStyle name="Input [yellow] 19 2 4 2 3" xfId="9976"/>
    <cellStyle name="Input [yellow] 19 2 4 2 4" xfId="9977"/>
    <cellStyle name="Input [yellow] 19 2 4 3" xfId="9978"/>
    <cellStyle name="Input [yellow] 19 2 4 3 2" xfId="9979"/>
    <cellStyle name="Input [yellow] 19 2 4 3 3" xfId="9980"/>
    <cellStyle name="Input [yellow] 19 2 4 3 4" xfId="9981"/>
    <cellStyle name="Input [yellow] 19 2 4 4" xfId="9982"/>
    <cellStyle name="Input [yellow] 19 2 4 4 2" xfId="9983"/>
    <cellStyle name="Input [yellow] 19 2 4 4 3" xfId="9984"/>
    <cellStyle name="Input [yellow] 19 2 4 4 4" xfId="9985"/>
    <cellStyle name="Input [yellow] 19 2 4 5" xfId="9986"/>
    <cellStyle name="Input [yellow] 19 2 4 6" xfId="9987"/>
    <cellStyle name="Input [yellow] 19 2 4 7" xfId="9988"/>
    <cellStyle name="Input [yellow] 19 2 4 8" xfId="9989"/>
    <cellStyle name="Input [yellow] 19 2 5" xfId="9990"/>
    <cellStyle name="Input [yellow] 19 2 5 2" xfId="9991"/>
    <cellStyle name="Input [yellow] 19 2 5 3" xfId="9992"/>
    <cellStyle name="Input [yellow] 19 2 5 4" xfId="9993"/>
    <cellStyle name="Input [yellow] 19 2 6" xfId="9994"/>
    <cellStyle name="Input [yellow] 19 2 6 2" xfId="9995"/>
    <cellStyle name="Input [yellow] 19 2 6 3" xfId="9996"/>
    <cellStyle name="Input [yellow] 19 2 6 4" xfId="9997"/>
    <cellStyle name="Input [yellow] 19 2 7" xfId="9998"/>
    <cellStyle name="Input [yellow] 19 2 8" xfId="9999"/>
    <cellStyle name="Input [yellow] 19 3" xfId="10000"/>
    <cellStyle name="Input [yellow] 19 3 2" xfId="10001"/>
    <cellStyle name="Input [yellow] 19 3 2 2" xfId="10002"/>
    <cellStyle name="Input [yellow] 19 3 2 3" xfId="10003"/>
    <cellStyle name="Input [yellow] 19 3 2 4" xfId="10004"/>
    <cellStyle name="Input [yellow] 19 3 3" xfId="10005"/>
    <cellStyle name="Input [yellow] 19 3 3 2" xfId="10006"/>
    <cellStyle name="Input [yellow] 19 3 3 3" xfId="10007"/>
    <cellStyle name="Input [yellow] 19 3 3 4" xfId="10008"/>
    <cellStyle name="Input [yellow] 19 3 4" xfId="10009"/>
    <cellStyle name="Input [yellow] 19 3 4 2" xfId="10010"/>
    <cellStyle name="Input [yellow] 19 3 4 3" xfId="10011"/>
    <cellStyle name="Input [yellow] 19 3 4 4" xfId="10012"/>
    <cellStyle name="Input [yellow] 19 3 5" xfId="10013"/>
    <cellStyle name="Input [yellow] 19 3 6" xfId="10014"/>
    <cellStyle name="Input [yellow] 19 3 7" xfId="10015"/>
    <cellStyle name="Input [yellow] 19 3 8" xfId="10016"/>
    <cellStyle name="Input [yellow] 19 4" xfId="10017"/>
    <cellStyle name="Input [yellow] 19 4 2" xfId="10018"/>
    <cellStyle name="Input [yellow] 19 4 2 2" xfId="10019"/>
    <cellStyle name="Input [yellow] 19 4 2 3" xfId="10020"/>
    <cellStyle name="Input [yellow] 19 4 2 4" xfId="10021"/>
    <cellStyle name="Input [yellow] 19 4 3" xfId="10022"/>
    <cellStyle name="Input [yellow] 19 4 3 2" xfId="10023"/>
    <cellStyle name="Input [yellow] 19 4 3 3" xfId="10024"/>
    <cellStyle name="Input [yellow] 19 4 3 4" xfId="10025"/>
    <cellStyle name="Input [yellow] 19 4 4" xfId="10026"/>
    <cellStyle name="Input [yellow] 19 4 4 2" xfId="10027"/>
    <cellStyle name="Input [yellow] 19 4 4 3" xfId="10028"/>
    <cellStyle name="Input [yellow] 19 4 4 4" xfId="10029"/>
    <cellStyle name="Input [yellow] 19 4 5" xfId="10030"/>
    <cellStyle name="Input [yellow] 19 4 6" xfId="10031"/>
    <cellStyle name="Input [yellow] 19 4 7" xfId="10032"/>
    <cellStyle name="Input [yellow] 19 4 8" xfId="10033"/>
    <cellStyle name="Input [yellow] 19 5" xfId="10034"/>
    <cellStyle name="Input [yellow] 19 5 2" xfId="10035"/>
    <cellStyle name="Input [yellow] 19 5 2 2" xfId="10036"/>
    <cellStyle name="Input [yellow] 19 5 2 3" xfId="10037"/>
    <cellStyle name="Input [yellow] 19 5 2 4" xfId="10038"/>
    <cellStyle name="Input [yellow] 19 5 3" xfId="10039"/>
    <cellStyle name="Input [yellow] 19 5 3 2" xfId="10040"/>
    <cellStyle name="Input [yellow] 19 5 3 3" xfId="10041"/>
    <cellStyle name="Input [yellow] 19 5 3 4" xfId="10042"/>
    <cellStyle name="Input [yellow] 19 5 4" xfId="10043"/>
    <cellStyle name="Input [yellow] 19 5 4 2" xfId="10044"/>
    <cellStyle name="Input [yellow] 19 5 4 3" xfId="10045"/>
    <cellStyle name="Input [yellow] 19 5 4 4" xfId="10046"/>
    <cellStyle name="Input [yellow] 19 5 5" xfId="10047"/>
    <cellStyle name="Input [yellow] 19 5 6" xfId="10048"/>
    <cellStyle name="Input [yellow] 19 5 7" xfId="10049"/>
    <cellStyle name="Input [yellow] 19 5 8" xfId="10050"/>
    <cellStyle name="Input [yellow] 19 6" xfId="10051"/>
    <cellStyle name="Input [yellow] 19 6 2" xfId="10052"/>
    <cellStyle name="Input [yellow] 19 6 3" xfId="10053"/>
    <cellStyle name="Input [yellow] 19 6 4" xfId="10054"/>
    <cellStyle name="Input [yellow] 19 7" xfId="10055"/>
    <cellStyle name="Input [yellow] 19 7 2" xfId="10056"/>
    <cellStyle name="Input [yellow] 19 7 3" xfId="10057"/>
    <cellStyle name="Input [yellow] 19 7 4" xfId="10058"/>
    <cellStyle name="Input [yellow] 19 8" xfId="10059"/>
    <cellStyle name="Input [yellow] 19 9" xfId="10060"/>
    <cellStyle name="Input [yellow] 2" xfId="10061"/>
    <cellStyle name="Input [yellow] 2 2" xfId="10062"/>
    <cellStyle name="Input [yellow] 2 2 2" xfId="10063"/>
    <cellStyle name="Input [yellow] 2 2 2 2" xfId="10064"/>
    <cellStyle name="Input [yellow] 2 2 2 2 2" xfId="10065"/>
    <cellStyle name="Input [yellow] 2 2 2 2 3" xfId="10066"/>
    <cellStyle name="Input [yellow] 2 2 2 2 4" xfId="10067"/>
    <cellStyle name="Input [yellow] 2 2 2 3" xfId="10068"/>
    <cellStyle name="Input [yellow] 2 2 2 3 2" xfId="10069"/>
    <cellStyle name="Input [yellow] 2 2 2 3 3" xfId="10070"/>
    <cellStyle name="Input [yellow] 2 2 2 3 4" xfId="10071"/>
    <cellStyle name="Input [yellow] 2 2 2 4" xfId="10072"/>
    <cellStyle name="Input [yellow] 2 2 2 4 2" xfId="10073"/>
    <cellStyle name="Input [yellow] 2 2 2 4 3" xfId="10074"/>
    <cellStyle name="Input [yellow] 2 2 2 4 4" xfId="10075"/>
    <cellStyle name="Input [yellow] 2 2 2 5" xfId="10076"/>
    <cellStyle name="Input [yellow] 2 2 2 6" xfId="10077"/>
    <cellStyle name="Input [yellow] 2 2 2 7" xfId="10078"/>
    <cellStyle name="Input [yellow] 2 2 2 8" xfId="10079"/>
    <cellStyle name="Input [yellow] 2 2 3" xfId="10080"/>
    <cellStyle name="Input [yellow] 2 2 3 2" xfId="10081"/>
    <cellStyle name="Input [yellow] 2 2 3 2 2" xfId="10082"/>
    <cellStyle name="Input [yellow] 2 2 3 2 3" xfId="10083"/>
    <cellStyle name="Input [yellow] 2 2 3 2 4" xfId="10084"/>
    <cellStyle name="Input [yellow] 2 2 3 3" xfId="10085"/>
    <cellStyle name="Input [yellow] 2 2 3 3 2" xfId="10086"/>
    <cellStyle name="Input [yellow] 2 2 3 3 3" xfId="10087"/>
    <cellStyle name="Input [yellow] 2 2 3 3 4" xfId="10088"/>
    <cellStyle name="Input [yellow] 2 2 3 4" xfId="10089"/>
    <cellStyle name="Input [yellow] 2 2 3 4 2" xfId="10090"/>
    <cellStyle name="Input [yellow] 2 2 3 4 3" xfId="10091"/>
    <cellStyle name="Input [yellow] 2 2 3 4 4" xfId="10092"/>
    <cellStyle name="Input [yellow] 2 2 3 5" xfId="10093"/>
    <cellStyle name="Input [yellow] 2 2 3 6" xfId="10094"/>
    <cellStyle name="Input [yellow] 2 2 3 7" xfId="10095"/>
    <cellStyle name="Input [yellow] 2 2 3 8" xfId="10096"/>
    <cellStyle name="Input [yellow] 2 2 4" xfId="10097"/>
    <cellStyle name="Input [yellow] 2 2 4 2" xfId="10098"/>
    <cellStyle name="Input [yellow] 2 2 4 2 2" xfId="10099"/>
    <cellStyle name="Input [yellow] 2 2 4 2 3" xfId="10100"/>
    <cellStyle name="Input [yellow] 2 2 4 2 4" xfId="10101"/>
    <cellStyle name="Input [yellow] 2 2 4 3" xfId="10102"/>
    <cellStyle name="Input [yellow] 2 2 4 3 2" xfId="10103"/>
    <cellStyle name="Input [yellow] 2 2 4 3 3" xfId="10104"/>
    <cellStyle name="Input [yellow] 2 2 4 3 4" xfId="10105"/>
    <cellStyle name="Input [yellow] 2 2 4 4" xfId="10106"/>
    <cellStyle name="Input [yellow] 2 2 4 4 2" xfId="10107"/>
    <cellStyle name="Input [yellow] 2 2 4 4 3" xfId="10108"/>
    <cellStyle name="Input [yellow] 2 2 4 4 4" xfId="10109"/>
    <cellStyle name="Input [yellow] 2 2 4 5" xfId="10110"/>
    <cellStyle name="Input [yellow] 2 2 4 6" xfId="10111"/>
    <cellStyle name="Input [yellow] 2 2 4 7" xfId="10112"/>
    <cellStyle name="Input [yellow] 2 2 4 8" xfId="10113"/>
    <cellStyle name="Input [yellow] 2 2 5" xfId="10114"/>
    <cellStyle name="Input [yellow] 2 2 5 2" xfId="10115"/>
    <cellStyle name="Input [yellow] 2 2 5 3" xfId="10116"/>
    <cellStyle name="Input [yellow] 2 2 5 4" xfId="10117"/>
    <cellStyle name="Input [yellow] 2 2 6" xfId="10118"/>
    <cellStyle name="Input [yellow] 2 2 6 2" xfId="10119"/>
    <cellStyle name="Input [yellow] 2 2 6 3" xfId="10120"/>
    <cellStyle name="Input [yellow] 2 2 6 4" xfId="10121"/>
    <cellStyle name="Input [yellow] 2 2 7" xfId="10122"/>
    <cellStyle name="Input [yellow] 2 2 8" xfId="10123"/>
    <cellStyle name="Input [yellow] 2 3" xfId="10124"/>
    <cellStyle name="Input [yellow] 2 3 2" xfId="10125"/>
    <cellStyle name="Input [yellow] 2 3 2 2" xfId="10126"/>
    <cellStyle name="Input [yellow] 2 3 2 3" xfId="10127"/>
    <cellStyle name="Input [yellow] 2 3 2 4" xfId="10128"/>
    <cellStyle name="Input [yellow] 2 3 3" xfId="10129"/>
    <cellStyle name="Input [yellow] 2 3 3 2" xfId="10130"/>
    <cellStyle name="Input [yellow] 2 3 3 3" xfId="10131"/>
    <cellStyle name="Input [yellow] 2 3 3 4" xfId="10132"/>
    <cellStyle name="Input [yellow] 2 3 4" xfId="10133"/>
    <cellStyle name="Input [yellow] 2 3 4 2" xfId="10134"/>
    <cellStyle name="Input [yellow] 2 3 4 3" xfId="10135"/>
    <cellStyle name="Input [yellow] 2 3 4 4" xfId="10136"/>
    <cellStyle name="Input [yellow] 2 3 5" xfId="10137"/>
    <cellStyle name="Input [yellow] 2 3 6" xfId="10138"/>
    <cellStyle name="Input [yellow] 2 3 7" xfId="10139"/>
    <cellStyle name="Input [yellow] 2 3 8" xfId="10140"/>
    <cellStyle name="Input [yellow] 2 4" xfId="10141"/>
    <cellStyle name="Input [yellow] 2 4 2" xfId="10142"/>
    <cellStyle name="Input [yellow] 2 4 2 2" xfId="10143"/>
    <cellStyle name="Input [yellow] 2 4 2 3" xfId="10144"/>
    <cellStyle name="Input [yellow] 2 4 2 4" xfId="10145"/>
    <cellStyle name="Input [yellow] 2 4 3" xfId="10146"/>
    <cellStyle name="Input [yellow] 2 4 3 2" xfId="10147"/>
    <cellStyle name="Input [yellow] 2 4 3 3" xfId="10148"/>
    <cellStyle name="Input [yellow] 2 4 3 4" xfId="10149"/>
    <cellStyle name="Input [yellow] 2 4 4" xfId="10150"/>
    <cellStyle name="Input [yellow] 2 4 4 2" xfId="10151"/>
    <cellStyle name="Input [yellow] 2 4 4 3" xfId="10152"/>
    <cellStyle name="Input [yellow] 2 4 4 4" xfId="10153"/>
    <cellStyle name="Input [yellow] 2 4 5" xfId="10154"/>
    <cellStyle name="Input [yellow] 2 4 6" xfId="10155"/>
    <cellStyle name="Input [yellow] 2 4 7" xfId="10156"/>
    <cellStyle name="Input [yellow] 2 4 8" xfId="10157"/>
    <cellStyle name="Input [yellow] 2 5" xfId="10158"/>
    <cellStyle name="Input [yellow] 2 5 2" xfId="10159"/>
    <cellStyle name="Input [yellow] 2 5 2 2" xfId="10160"/>
    <cellStyle name="Input [yellow] 2 5 2 3" xfId="10161"/>
    <cellStyle name="Input [yellow] 2 5 2 4" xfId="10162"/>
    <cellStyle name="Input [yellow] 2 5 3" xfId="10163"/>
    <cellStyle name="Input [yellow] 2 5 3 2" xfId="10164"/>
    <cellStyle name="Input [yellow] 2 5 3 3" xfId="10165"/>
    <cellStyle name="Input [yellow] 2 5 3 4" xfId="10166"/>
    <cellStyle name="Input [yellow] 2 5 4" xfId="10167"/>
    <cellStyle name="Input [yellow] 2 5 4 2" xfId="10168"/>
    <cellStyle name="Input [yellow] 2 5 4 3" xfId="10169"/>
    <cellStyle name="Input [yellow] 2 5 4 4" xfId="10170"/>
    <cellStyle name="Input [yellow] 2 5 5" xfId="10171"/>
    <cellStyle name="Input [yellow] 2 5 6" xfId="10172"/>
    <cellStyle name="Input [yellow] 2 5 7" xfId="10173"/>
    <cellStyle name="Input [yellow] 2 5 8" xfId="10174"/>
    <cellStyle name="Input [yellow] 2 6" xfId="10175"/>
    <cellStyle name="Input [yellow] 2 6 2" xfId="10176"/>
    <cellStyle name="Input [yellow] 2 6 3" xfId="10177"/>
    <cellStyle name="Input [yellow] 2 6 4" xfId="10178"/>
    <cellStyle name="Input [yellow] 2 7" xfId="10179"/>
    <cellStyle name="Input [yellow] 2 7 2" xfId="10180"/>
    <cellStyle name="Input [yellow] 2 7 3" xfId="10181"/>
    <cellStyle name="Input [yellow] 2 7 4" xfId="10182"/>
    <cellStyle name="Input [yellow] 2 8" xfId="10183"/>
    <cellStyle name="Input [yellow] 2 9" xfId="10184"/>
    <cellStyle name="Input [yellow] 20" xfId="10185"/>
    <cellStyle name="Input [yellow] 20 2" xfId="10186"/>
    <cellStyle name="Input [yellow] 20 2 2" xfId="10187"/>
    <cellStyle name="Input [yellow] 20 2 2 2" xfId="10188"/>
    <cellStyle name="Input [yellow] 20 2 2 2 2" xfId="10189"/>
    <cellStyle name="Input [yellow] 20 2 2 2 3" xfId="10190"/>
    <cellStyle name="Input [yellow] 20 2 2 2 4" xfId="10191"/>
    <cellStyle name="Input [yellow] 20 2 2 3" xfId="10192"/>
    <cellStyle name="Input [yellow] 20 2 2 3 2" xfId="10193"/>
    <cellStyle name="Input [yellow] 20 2 2 3 3" xfId="10194"/>
    <cellStyle name="Input [yellow] 20 2 2 3 4" xfId="10195"/>
    <cellStyle name="Input [yellow] 20 2 2 4" xfId="10196"/>
    <cellStyle name="Input [yellow] 20 2 2 4 2" xfId="10197"/>
    <cellStyle name="Input [yellow] 20 2 2 4 3" xfId="10198"/>
    <cellStyle name="Input [yellow] 20 2 2 4 4" xfId="10199"/>
    <cellStyle name="Input [yellow] 20 2 2 5" xfId="10200"/>
    <cellStyle name="Input [yellow] 20 2 2 6" xfId="10201"/>
    <cellStyle name="Input [yellow] 20 2 2 7" xfId="10202"/>
    <cellStyle name="Input [yellow] 20 2 2 8" xfId="10203"/>
    <cellStyle name="Input [yellow] 20 2 3" xfId="10204"/>
    <cellStyle name="Input [yellow] 20 2 3 2" xfId="10205"/>
    <cellStyle name="Input [yellow] 20 2 3 2 2" xfId="10206"/>
    <cellStyle name="Input [yellow] 20 2 3 2 3" xfId="10207"/>
    <cellStyle name="Input [yellow] 20 2 3 2 4" xfId="10208"/>
    <cellStyle name="Input [yellow] 20 2 3 3" xfId="10209"/>
    <cellStyle name="Input [yellow] 20 2 3 3 2" xfId="10210"/>
    <cellStyle name="Input [yellow] 20 2 3 3 3" xfId="10211"/>
    <cellStyle name="Input [yellow] 20 2 3 3 4" xfId="10212"/>
    <cellStyle name="Input [yellow] 20 2 3 4" xfId="10213"/>
    <cellStyle name="Input [yellow] 20 2 3 4 2" xfId="10214"/>
    <cellStyle name="Input [yellow] 20 2 3 4 3" xfId="10215"/>
    <cellStyle name="Input [yellow] 20 2 3 4 4" xfId="10216"/>
    <cellStyle name="Input [yellow] 20 2 3 5" xfId="10217"/>
    <cellStyle name="Input [yellow] 20 2 3 6" xfId="10218"/>
    <cellStyle name="Input [yellow] 20 2 3 7" xfId="10219"/>
    <cellStyle name="Input [yellow] 20 2 3 8" xfId="10220"/>
    <cellStyle name="Input [yellow] 20 2 4" xfId="10221"/>
    <cellStyle name="Input [yellow] 20 2 4 2" xfId="10222"/>
    <cellStyle name="Input [yellow] 20 2 4 2 2" xfId="10223"/>
    <cellStyle name="Input [yellow] 20 2 4 2 3" xfId="10224"/>
    <cellStyle name="Input [yellow] 20 2 4 2 4" xfId="10225"/>
    <cellStyle name="Input [yellow] 20 2 4 3" xfId="10226"/>
    <cellStyle name="Input [yellow] 20 2 4 3 2" xfId="10227"/>
    <cellStyle name="Input [yellow] 20 2 4 3 3" xfId="10228"/>
    <cellStyle name="Input [yellow] 20 2 4 3 4" xfId="10229"/>
    <cellStyle name="Input [yellow] 20 2 4 4" xfId="10230"/>
    <cellStyle name="Input [yellow] 20 2 4 4 2" xfId="10231"/>
    <cellStyle name="Input [yellow] 20 2 4 4 3" xfId="10232"/>
    <cellStyle name="Input [yellow] 20 2 4 4 4" xfId="10233"/>
    <cellStyle name="Input [yellow] 20 2 4 5" xfId="10234"/>
    <cellStyle name="Input [yellow] 20 2 4 6" xfId="10235"/>
    <cellStyle name="Input [yellow] 20 2 4 7" xfId="10236"/>
    <cellStyle name="Input [yellow] 20 2 4 8" xfId="10237"/>
    <cellStyle name="Input [yellow] 20 2 5" xfId="10238"/>
    <cellStyle name="Input [yellow] 20 2 5 2" xfId="10239"/>
    <cellStyle name="Input [yellow] 20 2 5 3" xfId="10240"/>
    <cellStyle name="Input [yellow] 20 2 5 4" xfId="10241"/>
    <cellStyle name="Input [yellow] 20 2 6" xfId="10242"/>
    <cellStyle name="Input [yellow] 20 2 6 2" xfId="10243"/>
    <cellStyle name="Input [yellow] 20 2 6 3" xfId="10244"/>
    <cellStyle name="Input [yellow] 20 2 6 4" xfId="10245"/>
    <cellStyle name="Input [yellow] 20 2 7" xfId="10246"/>
    <cellStyle name="Input [yellow] 20 2 8" xfId="10247"/>
    <cellStyle name="Input [yellow] 20 3" xfId="10248"/>
    <cellStyle name="Input [yellow] 20 3 2" xfId="10249"/>
    <cellStyle name="Input [yellow] 20 3 2 2" xfId="10250"/>
    <cellStyle name="Input [yellow] 20 3 2 3" xfId="10251"/>
    <cellStyle name="Input [yellow] 20 3 2 4" xfId="10252"/>
    <cellStyle name="Input [yellow] 20 3 3" xfId="10253"/>
    <cellStyle name="Input [yellow] 20 3 3 2" xfId="10254"/>
    <cellStyle name="Input [yellow] 20 3 3 3" xfId="10255"/>
    <cellStyle name="Input [yellow] 20 3 3 4" xfId="10256"/>
    <cellStyle name="Input [yellow] 20 3 4" xfId="10257"/>
    <cellStyle name="Input [yellow] 20 3 4 2" xfId="10258"/>
    <cellStyle name="Input [yellow] 20 3 4 3" xfId="10259"/>
    <cellStyle name="Input [yellow] 20 3 4 4" xfId="10260"/>
    <cellStyle name="Input [yellow] 20 3 5" xfId="10261"/>
    <cellStyle name="Input [yellow] 20 3 6" xfId="10262"/>
    <cellStyle name="Input [yellow] 20 3 7" xfId="10263"/>
    <cellStyle name="Input [yellow] 20 3 8" xfId="10264"/>
    <cellStyle name="Input [yellow] 20 4" xfId="10265"/>
    <cellStyle name="Input [yellow] 20 4 2" xfId="10266"/>
    <cellStyle name="Input [yellow] 20 4 2 2" xfId="10267"/>
    <cellStyle name="Input [yellow] 20 4 2 3" xfId="10268"/>
    <cellStyle name="Input [yellow] 20 4 2 4" xfId="10269"/>
    <cellStyle name="Input [yellow] 20 4 3" xfId="10270"/>
    <cellStyle name="Input [yellow] 20 4 3 2" xfId="10271"/>
    <cellStyle name="Input [yellow] 20 4 3 3" xfId="10272"/>
    <cellStyle name="Input [yellow] 20 4 3 4" xfId="10273"/>
    <cellStyle name="Input [yellow] 20 4 4" xfId="10274"/>
    <cellStyle name="Input [yellow] 20 4 4 2" xfId="10275"/>
    <cellStyle name="Input [yellow] 20 4 4 3" xfId="10276"/>
    <cellStyle name="Input [yellow] 20 4 4 4" xfId="10277"/>
    <cellStyle name="Input [yellow] 20 4 5" xfId="10278"/>
    <cellStyle name="Input [yellow] 20 4 6" xfId="10279"/>
    <cellStyle name="Input [yellow] 20 4 7" xfId="10280"/>
    <cellStyle name="Input [yellow] 20 4 8" xfId="10281"/>
    <cellStyle name="Input [yellow] 20 5" xfId="10282"/>
    <cellStyle name="Input [yellow] 20 5 2" xfId="10283"/>
    <cellStyle name="Input [yellow] 20 5 2 2" xfId="10284"/>
    <cellStyle name="Input [yellow] 20 5 2 3" xfId="10285"/>
    <cellStyle name="Input [yellow] 20 5 2 4" xfId="10286"/>
    <cellStyle name="Input [yellow] 20 5 3" xfId="10287"/>
    <cellStyle name="Input [yellow] 20 5 3 2" xfId="10288"/>
    <cellStyle name="Input [yellow] 20 5 3 3" xfId="10289"/>
    <cellStyle name="Input [yellow] 20 5 3 4" xfId="10290"/>
    <cellStyle name="Input [yellow] 20 5 4" xfId="10291"/>
    <cellStyle name="Input [yellow] 20 5 4 2" xfId="10292"/>
    <cellStyle name="Input [yellow] 20 5 4 3" xfId="10293"/>
    <cellStyle name="Input [yellow] 20 5 4 4" xfId="10294"/>
    <cellStyle name="Input [yellow] 20 5 5" xfId="10295"/>
    <cellStyle name="Input [yellow] 20 5 6" xfId="10296"/>
    <cellStyle name="Input [yellow] 20 5 7" xfId="10297"/>
    <cellStyle name="Input [yellow] 20 5 8" xfId="10298"/>
    <cellStyle name="Input [yellow] 20 6" xfId="10299"/>
    <cellStyle name="Input [yellow] 20 6 2" xfId="10300"/>
    <cellStyle name="Input [yellow] 20 6 3" xfId="10301"/>
    <cellStyle name="Input [yellow] 20 6 4" xfId="10302"/>
    <cellStyle name="Input [yellow] 20 7" xfId="10303"/>
    <cellStyle name="Input [yellow] 20 7 2" xfId="10304"/>
    <cellStyle name="Input [yellow] 20 7 3" xfId="10305"/>
    <cellStyle name="Input [yellow] 20 7 4" xfId="10306"/>
    <cellStyle name="Input [yellow] 20 8" xfId="10307"/>
    <cellStyle name="Input [yellow] 20 9" xfId="10308"/>
    <cellStyle name="Input [yellow] 21" xfId="10309"/>
    <cellStyle name="Input [yellow] 21 2" xfId="10310"/>
    <cellStyle name="Input [yellow] 21 2 2" xfId="10311"/>
    <cellStyle name="Input [yellow] 21 2 2 2" xfId="10312"/>
    <cellStyle name="Input [yellow] 21 2 2 2 2" xfId="10313"/>
    <cellStyle name="Input [yellow] 21 2 2 2 3" xfId="10314"/>
    <cellStyle name="Input [yellow] 21 2 2 2 4" xfId="10315"/>
    <cellStyle name="Input [yellow] 21 2 2 3" xfId="10316"/>
    <cellStyle name="Input [yellow] 21 2 2 3 2" xfId="10317"/>
    <cellStyle name="Input [yellow] 21 2 2 3 3" xfId="10318"/>
    <cellStyle name="Input [yellow] 21 2 2 3 4" xfId="10319"/>
    <cellStyle name="Input [yellow] 21 2 2 4" xfId="10320"/>
    <cellStyle name="Input [yellow] 21 2 2 4 2" xfId="10321"/>
    <cellStyle name="Input [yellow] 21 2 2 4 3" xfId="10322"/>
    <cellStyle name="Input [yellow] 21 2 2 4 4" xfId="10323"/>
    <cellStyle name="Input [yellow] 21 2 2 5" xfId="10324"/>
    <cellStyle name="Input [yellow] 21 2 2 6" xfId="10325"/>
    <cellStyle name="Input [yellow] 21 2 2 7" xfId="10326"/>
    <cellStyle name="Input [yellow] 21 2 2 8" xfId="10327"/>
    <cellStyle name="Input [yellow] 21 2 3" xfId="10328"/>
    <cellStyle name="Input [yellow] 21 2 3 2" xfId="10329"/>
    <cellStyle name="Input [yellow] 21 2 3 2 2" xfId="10330"/>
    <cellStyle name="Input [yellow] 21 2 3 2 3" xfId="10331"/>
    <cellStyle name="Input [yellow] 21 2 3 2 4" xfId="10332"/>
    <cellStyle name="Input [yellow] 21 2 3 3" xfId="10333"/>
    <cellStyle name="Input [yellow] 21 2 3 3 2" xfId="10334"/>
    <cellStyle name="Input [yellow] 21 2 3 3 3" xfId="10335"/>
    <cellStyle name="Input [yellow] 21 2 3 3 4" xfId="10336"/>
    <cellStyle name="Input [yellow] 21 2 3 4" xfId="10337"/>
    <cellStyle name="Input [yellow] 21 2 3 4 2" xfId="10338"/>
    <cellStyle name="Input [yellow] 21 2 3 4 3" xfId="10339"/>
    <cellStyle name="Input [yellow] 21 2 3 4 4" xfId="10340"/>
    <cellStyle name="Input [yellow] 21 2 3 5" xfId="10341"/>
    <cellStyle name="Input [yellow] 21 2 3 6" xfId="10342"/>
    <cellStyle name="Input [yellow] 21 2 3 7" xfId="10343"/>
    <cellStyle name="Input [yellow] 21 2 3 8" xfId="10344"/>
    <cellStyle name="Input [yellow] 21 2 4" xfId="10345"/>
    <cellStyle name="Input [yellow] 21 2 4 2" xfId="10346"/>
    <cellStyle name="Input [yellow] 21 2 4 2 2" xfId="10347"/>
    <cellStyle name="Input [yellow] 21 2 4 2 3" xfId="10348"/>
    <cellStyle name="Input [yellow] 21 2 4 2 4" xfId="10349"/>
    <cellStyle name="Input [yellow] 21 2 4 3" xfId="10350"/>
    <cellStyle name="Input [yellow] 21 2 4 3 2" xfId="10351"/>
    <cellStyle name="Input [yellow] 21 2 4 3 3" xfId="10352"/>
    <cellStyle name="Input [yellow] 21 2 4 3 4" xfId="10353"/>
    <cellStyle name="Input [yellow] 21 2 4 4" xfId="10354"/>
    <cellStyle name="Input [yellow] 21 2 4 4 2" xfId="10355"/>
    <cellStyle name="Input [yellow] 21 2 4 4 3" xfId="10356"/>
    <cellStyle name="Input [yellow] 21 2 4 4 4" xfId="10357"/>
    <cellStyle name="Input [yellow] 21 2 4 5" xfId="10358"/>
    <cellStyle name="Input [yellow] 21 2 4 6" xfId="10359"/>
    <cellStyle name="Input [yellow] 21 2 4 7" xfId="10360"/>
    <cellStyle name="Input [yellow] 21 2 4 8" xfId="10361"/>
    <cellStyle name="Input [yellow] 21 2 5" xfId="10362"/>
    <cellStyle name="Input [yellow] 21 2 5 2" xfId="10363"/>
    <cellStyle name="Input [yellow] 21 2 5 3" xfId="10364"/>
    <cellStyle name="Input [yellow] 21 2 5 4" xfId="10365"/>
    <cellStyle name="Input [yellow] 21 2 6" xfId="10366"/>
    <cellStyle name="Input [yellow] 21 2 6 2" xfId="10367"/>
    <cellStyle name="Input [yellow] 21 2 6 3" xfId="10368"/>
    <cellStyle name="Input [yellow] 21 2 6 4" xfId="10369"/>
    <cellStyle name="Input [yellow] 21 2 7" xfId="10370"/>
    <cellStyle name="Input [yellow] 21 2 8" xfId="10371"/>
    <cellStyle name="Input [yellow] 21 3" xfId="10372"/>
    <cellStyle name="Input [yellow] 21 3 2" xfId="10373"/>
    <cellStyle name="Input [yellow] 21 3 2 2" xfId="10374"/>
    <cellStyle name="Input [yellow] 21 3 2 3" xfId="10375"/>
    <cellStyle name="Input [yellow] 21 3 2 4" xfId="10376"/>
    <cellStyle name="Input [yellow] 21 3 3" xfId="10377"/>
    <cellStyle name="Input [yellow] 21 3 3 2" xfId="10378"/>
    <cellStyle name="Input [yellow] 21 3 3 3" xfId="10379"/>
    <cellStyle name="Input [yellow] 21 3 3 4" xfId="10380"/>
    <cellStyle name="Input [yellow] 21 3 4" xfId="10381"/>
    <cellStyle name="Input [yellow] 21 3 4 2" xfId="10382"/>
    <cellStyle name="Input [yellow] 21 3 4 3" xfId="10383"/>
    <cellStyle name="Input [yellow] 21 3 4 4" xfId="10384"/>
    <cellStyle name="Input [yellow] 21 3 5" xfId="10385"/>
    <cellStyle name="Input [yellow] 21 3 6" xfId="10386"/>
    <cellStyle name="Input [yellow] 21 3 7" xfId="10387"/>
    <cellStyle name="Input [yellow] 21 3 8" xfId="10388"/>
    <cellStyle name="Input [yellow] 21 4" xfId="10389"/>
    <cellStyle name="Input [yellow] 21 4 2" xfId="10390"/>
    <cellStyle name="Input [yellow] 21 4 2 2" xfId="10391"/>
    <cellStyle name="Input [yellow] 21 4 2 3" xfId="10392"/>
    <cellStyle name="Input [yellow] 21 4 2 4" xfId="10393"/>
    <cellStyle name="Input [yellow] 21 4 3" xfId="10394"/>
    <cellStyle name="Input [yellow] 21 4 3 2" xfId="10395"/>
    <cellStyle name="Input [yellow] 21 4 3 3" xfId="10396"/>
    <cellStyle name="Input [yellow] 21 4 3 4" xfId="10397"/>
    <cellStyle name="Input [yellow] 21 4 4" xfId="10398"/>
    <cellStyle name="Input [yellow] 21 4 4 2" xfId="10399"/>
    <cellStyle name="Input [yellow] 21 4 4 3" xfId="10400"/>
    <cellStyle name="Input [yellow] 21 4 4 4" xfId="10401"/>
    <cellStyle name="Input [yellow] 21 4 5" xfId="10402"/>
    <cellStyle name="Input [yellow] 21 4 6" xfId="10403"/>
    <cellStyle name="Input [yellow] 21 4 7" xfId="10404"/>
    <cellStyle name="Input [yellow] 21 4 8" xfId="10405"/>
    <cellStyle name="Input [yellow] 21 5" xfId="10406"/>
    <cellStyle name="Input [yellow] 21 5 2" xfId="10407"/>
    <cellStyle name="Input [yellow] 21 5 2 2" xfId="10408"/>
    <cellStyle name="Input [yellow] 21 5 2 3" xfId="10409"/>
    <cellStyle name="Input [yellow] 21 5 2 4" xfId="10410"/>
    <cellStyle name="Input [yellow] 21 5 3" xfId="10411"/>
    <cellStyle name="Input [yellow] 21 5 3 2" xfId="10412"/>
    <cellStyle name="Input [yellow] 21 5 3 3" xfId="10413"/>
    <cellStyle name="Input [yellow] 21 5 3 4" xfId="10414"/>
    <cellStyle name="Input [yellow] 21 5 4" xfId="10415"/>
    <cellStyle name="Input [yellow] 21 5 4 2" xfId="10416"/>
    <cellStyle name="Input [yellow] 21 5 4 3" xfId="10417"/>
    <cellStyle name="Input [yellow] 21 5 4 4" xfId="10418"/>
    <cellStyle name="Input [yellow] 21 5 5" xfId="10419"/>
    <cellStyle name="Input [yellow] 21 5 6" xfId="10420"/>
    <cellStyle name="Input [yellow] 21 5 7" xfId="10421"/>
    <cellStyle name="Input [yellow] 21 5 8" xfId="10422"/>
    <cellStyle name="Input [yellow] 21 6" xfId="10423"/>
    <cellStyle name="Input [yellow] 21 6 2" xfId="10424"/>
    <cellStyle name="Input [yellow] 21 6 3" xfId="10425"/>
    <cellStyle name="Input [yellow] 21 6 4" xfId="10426"/>
    <cellStyle name="Input [yellow] 21 7" xfId="10427"/>
    <cellStyle name="Input [yellow] 21 7 2" xfId="10428"/>
    <cellStyle name="Input [yellow] 21 7 3" xfId="10429"/>
    <cellStyle name="Input [yellow] 21 7 4" xfId="10430"/>
    <cellStyle name="Input [yellow] 21 8" xfId="10431"/>
    <cellStyle name="Input [yellow] 21 9" xfId="10432"/>
    <cellStyle name="Input [yellow] 22" xfId="10433"/>
    <cellStyle name="Input [yellow] 22 2" xfId="10434"/>
    <cellStyle name="Input [yellow] 22 2 2" xfId="10435"/>
    <cellStyle name="Input [yellow] 22 2 2 2" xfId="10436"/>
    <cellStyle name="Input [yellow] 22 2 2 2 2" xfId="10437"/>
    <cellStyle name="Input [yellow] 22 2 2 2 3" xfId="10438"/>
    <cellStyle name="Input [yellow] 22 2 2 2 4" xfId="10439"/>
    <cellStyle name="Input [yellow] 22 2 2 3" xfId="10440"/>
    <cellStyle name="Input [yellow] 22 2 2 3 2" xfId="10441"/>
    <cellStyle name="Input [yellow] 22 2 2 3 3" xfId="10442"/>
    <cellStyle name="Input [yellow] 22 2 2 3 4" xfId="10443"/>
    <cellStyle name="Input [yellow] 22 2 2 4" xfId="10444"/>
    <cellStyle name="Input [yellow] 22 2 2 4 2" xfId="10445"/>
    <cellStyle name="Input [yellow] 22 2 2 4 3" xfId="10446"/>
    <cellStyle name="Input [yellow] 22 2 2 4 4" xfId="10447"/>
    <cellStyle name="Input [yellow] 22 2 2 5" xfId="10448"/>
    <cellStyle name="Input [yellow] 22 2 2 6" xfId="10449"/>
    <cellStyle name="Input [yellow] 22 2 2 7" xfId="10450"/>
    <cellStyle name="Input [yellow] 22 2 2 8" xfId="10451"/>
    <cellStyle name="Input [yellow] 22 2 3" xfId="10452"/>
    <cellStyle name="Input [yellow] 22 2 3 2" xfId="10453"/>
    <cellStyle name="Input [yellow] 22 2 3 2 2" xfId="10454"/>
    <cellStyle name="Input [yellow] 22 2 3 2 3" xfId="10455"/>
    <cellStyle name="Input [yellow] 22 2 3 2 4" xfId="10456"/>
    <cellStyle name="Input [yellow] 22 2 3 3" xfId="10457"/>
    <cellStyle name="Input [yellow] 22 2 3 3 2" xfId="10458"/>
    <cellStyle name="Input [yellow] 22 2 3 3 3" xfId="10459"/>
    <cellStyle name="Input [yellow] 22 2 3 3 4" xfId="10460"/>
    <cellStyle name="Input [yellow] 22 2 3 4" xfId="10461"/>
    <cellStyle name="Input [yellow] 22 2 3 4 2" xfId="10462"/>
    <cellStyle name="Input [yellow] 22 2 3 4 3" xfId="10463"/>
    <cellStyle name="Input [yellow] 22 2 3 4 4" xfId="10464"/>
    <cellStyle name="Input [yellow] 22 2 3 5" xfId="10465"/>
    <cellStyle name="Input [yellow] 22 2 3 6" xfId="10466"/>
    <cellStyle name="Input [yellow] 22 2 3 7" xfId="10467"/>
    <cellStyle name="Input [yellow] 22 2 3 8" xfId="10468"/>
    <cellStyle name="Input [yellow] 22 2 4" xfId="10469"/>
    <cellStyle name="Input [yellow] 22 2 4 2" xfId="10470"/>
    <cellStyle name="Input [yellow] 22 2 4 2 2" xfId="10471"/>
    <cellStyle name="Input [yellow] 22 2 4 2 3" xfId="10472"/>
    <cellStyle name="Input [yellow] 22 2 4 2 4" xfId="10473"/>
    <cellStyle name="Input [yellow] 22 2 4 3" xfId="10474"/>
    <cellStyle name="Input [yellow] 22 2 4 3 2" xfId="10475"/>
    <cellStyle name="Input [yellow] 22 2 4 3 3" xfId="10476"/>
    <cellStyle name="Input [yellow] 22 2 4 3 4" xfId="10477"/>
    <cellStyle name="Input [yellow] 22 2 4 4" xfId="10478"/>
    <cellStyle name="Input [yellow] 22 2 4 4 2" xfId="10479"/>
    <cellStyle name="Input [yellow] 22 2 4 4 3" xfId="10480"/>
    <cellStyle name="Input [yellow] 22 2 4 4 4" xfId="10481"/>
    <cellStyle name="Input [yellow] 22 2 4 5" xfId="10482"/>
    <cellStyle name="Input [yellow] 22 2 4 6" xfId="10483"/>
    <cellStyle name="Input [yellow] 22 2 4 7" xfId="10484"/>
    <cellStyle name="Input [yellow] 22 2 4 8" xfId="10485"/>
    <cellStyle name="Input [yellow] 22 2 5" xfId="10486"/>
    <cellStyle name="Input [yellow] 22 2 5 2" xfId="10487"/>
    <cellStyle name="Input [yellow] 22 2 5 3" xfId="10488"/>
    <cellStyle name="Input [yellow] 22 2 5 4" xfId="10489"/>
    <cellStyle name="Input [yellow] 22 2 6" xfId="10490"/>
    <cellStyle name="Input [yellow] 22 2 6 2" xfId="10491"/>
    <cellStyle name="Input [yellow] 22 2 6 3" xfId="10492"/>
    <cellStyle name="Input [yellow] 22 2 6 4" xfId="10493"/>
    <cellStyle name="Input [yellow] 22 2 7" xfId="10494"/>
    <cellStyle name="Input [yellow] 22 2 8" xfId="10495"/>
    <cellStyle name="Input [yellow] 22 3" xfId="10496"/>
    <cellStyle name="Input [yellow] 22 3 2" xfId="10497"/>
    <cellStyle name="Input [yellow] 22 3 2 2" xfId="10498"/>
    <cellStyle name="Input [yellow] 22 3 2 3" xfId="10499"/>
    <cellStyle name="Input [yellow] 22 3 2 4" xfId="10500"/>
    <cellStyle name="Input [yellow] 22 3 3" xfId="10501"/>
    <cellStyle name="Input [yellow] 22 3 3 2" xfId="10502"/>
    <cellStyle name="Input [yellow] 22 3 3 3" xfId="10503"/>
    <cellStyle name="Input [yellow] 22 3 3 4" xfId="10504"/>
    <cellStyle name="Input [yellow] 22 3 4" xfId="10505"/>
    <cellStyle name="Input [yellow] 22 3 4 2" xfId="10506"/>
    <cellStyle name="Input [yellow] 22 3 4 3" xfId="10507"/>
    <cellStyle name="Input [yellow] 22 3 4 4" xfId="10508"/>
    <cellStyle name="Input [yellow] 22 3 5" xfId="10509"/>
    <cellStyle name="Input [yellow] 22 3 6" xfId="10510"/>
    <cellStyle name="Input [yellow] 22 3 7" xfId="10511"/>
    <cellStyle name="Input [yellow] 22 3 8" xfId="10512"/>
    <cellStyle name="Input [yellow] 22 4" xfId="10513"/>
    <cellStyle name="Input [yellow] 22 4 2" xfId="10514"/>
    <cellStyle name="Input [yellow] 22 4 2 2" xfId="10515"/>
    <cellStyle name="Input [yellow] 22 4 2 3" xfId="10516"/>
    <cellStyle name="Input [yellow] 22 4 2 4" xfId="10517"/>
    <cellStyle name="Input [yellow] 22 4 3" xfId="10518"/>
    <cellStyle name="Input [yellow] 22 4 3 2" xfId="10519"/>
    <cellStyle name="Input [yellow] 22 4 3 3" xfId="10520"/>
    <cellStyle name="Input [yellow] 22 4 3 4" xfId="10521"/>
    <cellStyle name="Input [yellow] 22 4 4" xfId="10522"/>
    <cellStyle name="Input [yellow] 22 4 4 2" xfId="10523"/>
    <cellStyle name="Input [yellow] 22 4 4 3" xfId="10524"/>
    <cellStyle name="Input [yellow] 22 4 4 4" xfId="10525"/>
    <cellStyle name="Input [yellow] 22 4 5" xfId="10526"/>
    <cellStyle name="Input [yellow] 22 4 6" xfId="10527"/>
    <cellStyle name="Input [yellow] 22 4 7" xfId="10528"/>
    <cellStyle name="Input [yellow] 22 4 8" xfId="10529"/>
    <cellStyle name="Input [yellow] 22 5" xfId="10530"/>
    <cellStyle name="Input [yellow] 22 5 2" xfId="10531"/>
    <cellStyle name="Input [yellow] 22 5 2 2" xfId="10532"/>
    <cellStyle name="Input [yellow] 22 5 2 3" xfId="10533"/>
    <cellStyle name="Input [yellow] 22 5 2 4" xfId="10534"/>
    <cellStyle name="Input [yellow] 22 5 3" xfId="10535"/>
    <cellStyle name="Input [yellow] 22 5 3 2" xfId="10536"/>
    <cellStyle name="Input [yellow] 22 5 3 3" xfId="10537"/>
    <cellStyle name="Input [yellow] 22 5 3 4" xfId="10538"/>
    <cellStyle name="Input [yellow] 22 5 4" xfId="10539"/>
    <cellStyle name="Input [yellow] 22 5 4 2" xfId="10540"/>
    <cellStyle name="Input [yellow] 22 5 4 3" xfId="10541"/>
    <cellStyle name="Input [yellow] 22 5 4 4" xfId="10542"/>
    <cellStyle name="Input [yellow] 22 5 5" xfId="10543"/>
    <cellStyle name="Input [yellow] 22 5 6" xfId="10544"/>
    <cellStyle name="Input [yellow] 22 5 7" xfId="10545"/>
    <cellStyle name="Input [yellow] 22 5 8" xfId="10546"/>
    <cellStyle name="Input [yellow] 22 6" xfId="10547"/>
    <cellStyle name="Input [yellow] 22 6 2" xfId="10548"/>
    <cellStyle name="Input [yellow] 22 6 3" xfId="10549"/>
    <cellStyle name="Input [yellow] 22 6 4" xfId="10550"/>
    <cellStyle name="Input [yellow] 22 7" xfId="10551"/>
    <cellStyle name="Input [yellow] 22 7 2" xfId="10552"/>
    <cellStyle name="Input [yellow] 22 7 3" xfId="10553"/>
    <cellStyle name="Input [yellow] 22 7 4" xfId="10554"/>
    <cellStyle name="Input [yellow] 22 8" xfId="10555"/>
    <cellStyle name="Input [yellow] 22 9" xfId="10556"/>
    <cellStyle name="Input [yellow] 23" xfId="10557"/>
    <cellStyle name="Input [yellow] 23 2" xfId="10558"/>
    <cellStyle name="Input [yellow] 23 2 2" xfId="10559"/>
    <cellStyle name="Input [yellow] 23 2 2 2" xfId="10560"/>
    <cellStyle name="Input [yellow] 23 2 2 2 2" xfId="10561"/>
    <cellStyle name="Input [yellow] 23 2 2 2 3" xfId="10562"/>
    <cellStyle name="Input [yellow] 23 2 2 2 4" xfId="10563"/>
    <cellStyle name="Input [yellow] 23 2 2 3" xfId="10564"/>
    <cellStyle name="Input [yellow] 23 2 2 3 2" xfId="10565"/>
    <cellStyle name="Input [yellow] 23 2 2 3 3" xfId="10566"/>
    <cellStyle name="Input [yellow] 23 2 2 3 4" xfId="10567"/>
    <cellStyle name="Input [yellow] 23 2 2 4" xfId="10568"/>
    <cellStyle name="Input [yellow] 23 2 2 4 2" xfId="10569"/>
    <cellStyle name="Input [yellow] 23 2 2 4 3" xfId="10570"/>
    <cellStyle name="Input [yellow] 23 2 2 4 4" xfId="10571"/>
    <cellStyle name="Input [yellow] 23 2 2 5" xfId="10572"/>
    <cellStyle name="Input [yellow] 23 2 2 6" xfId="10573"/>
    <cellStyle name="Input [yellow] 23 2 2 7" xfId="10574"/>
    <cellStyle name="Input [yellow] 23 2 2 8" xfId="10575"/>
    <cellStyle name="Input [yellow] 23 2 3" xfId="10576"/>
    <cellStyle name="Input [yellow] 23 2 3 2" xfId="10577"/>
    <cellStyle name="Input [yellow] 23 2 3 2 2" xfId="10578"/>
    <cellStyle name="Input [yellow] 23 2 3 2 3" xfId="10579"/>
    <cellStyle name="Input [yellow] 23 2 3 2 4" xfId="10580"/>
    <cellStyle name="Input [yellow] 23 2 3 3" xfId="10581"/>
    <cellStyle name="Input [yellow] 23 2 3 3 2" xfId="10582"/>
    <cellStyle name="Input [yellow] 23 2 3 3 3" xfId="10583"/>
    <cellStyle name="Input [yellow] 23 2 3 3 4" xfId="10584"/>
    <cellStyle name="Input [yellow] 23 2 3 4" xfId="10585"/>
    <cellStyle name="Input [yellow] 23 2 3 4 2" xfId="10586"/>
    <cellStyle name="Input [yellow] 23 2 3 4 3" xfId="10587"/>
    <cellStyle name="Input [yellow] 23 2 3 4 4" xfId="10588"/>
    <cellStyle name="Input [yellow] 23 2 3 5" xfId="10589"/>
    <cellStyle name="Input [yellow] 23 2 3 6" xfId="10590"/>
    <cellStyle name="Input [yellow] 23 2 3 7" xfId="10591"/>
    <cellStyle name="Input [yellow] 23 2 3 8" xfId="10592"/>
    <cellStyle name="Input [yellow] 23 2 4" xfId="10593"/>
    <cellStyle name="Input [yellow] 23 2 4 2" xfId="10594"/>
    <cellStyle name="Input [yellow] 23 2 4 2 2" xfId="10595"/>
    <cellStyle name="Input [yellow] 23 2 4 2 3" xfId="10596"/>
    <cellStyle name="Input [yellow] 23 2 4 2 4" xfId="10597"/>
    <cellStyle name="Input [yellow] 23 2 4 3" xfId="10598"/>
    <cellStyle name="Input [yellow] 23 2 4 3 2" xfId="10599"/>
    <cellStyle name="Input [yellow] 23 2 4 3 3" xfId="10600"/>
    <cellStyle name="Input [yellow] 23 2 4 3 4" xfId="10601"/>
    <cellStyle name="Input [yellow] 23 2 4 4" xfId="10602"/>
    <cellStyle name="Input [yellow] 23 2 4 4 2" xfId="10603"/>
    <cellStyle name="Input [yellow] 23 2 4 4 3" xfId="10604"/>
    <cellStyle name="Input [yellow] 23 2 4 4 4" xfId="10605"/>
    <cellStyle name="Input [yellow] 23 2 4 5" xfId="10606"/>
    <cellStyle name="Input [yellow] 23 2 4 6" xfId="10607"/>
    <cellStyle name="Input [yellow] 23 2 4 7" xfId="10608"/>
    <cellStyle name="Input [yellow] 23 2 4 8" xfId="10609"/>
    <cellStyle name="Input [yellow] 23 2 5" xfId="10610"/>
    <cellStyle name="Input [yellow] 23 2 5 2" xfId="10611"/>
    <cellStyle name="Input [yellow] 23 2 5 3" xfId="10612"/>
    <cellStyle name="Input [yellow] 23 2 5 4" xfId="10613"/>
    <cellStyle name="Input [yellow] 23 2 6" xfId="10614"/>
    <cellStyle name="Input [yellow] 23 2 6 2" xfId="10615"/>
    <cellStyle name="Input [yellow] 23 2 6 3" xfId="10616"/>
    <cellStyle name="Input [yellow] 23 2 6 4" xfId="10617"/>
    <cellStyle name="Input [yellow] 23 2 7" xfId="10618"/>
    <cellStyle name="Input [yellow] 23 2 8" xfId="10619"/>
    <cellStyle name="Input [yellow] 23 3" xfId="10620"/>
    <cellStyle name="Input [yellow] 23 3 2" xfId="10621"/>
    <cellStyle name="Input [yellow] 23 3 2 2" xfId="10622"/>
    <cellStyle name="Input [yellow] 23 3 2 3" xfId="10623"/>
    <cellStyle name="Input [yellow] 23 3 2 4" xfId="10624"/>
    <cellStyle name="Input [yellow] 23 3 3" xfId="10625"/>
    <cellStyle name="Input [yellow] 23 3 3 2" xfId="10626"/>
    <cellStyle name="Input [yellow] 23 3 3 3" xfId="10627"/>
    <cellStyle name="Input [yellow] 23 3 3 4" xfId="10628"/>
    <cellStyle name="Input [yellow] 23 3 4" xfId="10629"/>
    <cellStyle name="Input [yellow] 23 3 4 2" xfId="10630"/>
    <cellStyle name="Input [yellow] 23 3 4 3" xfId="10631"/>
    <cellStyle name="Input [yellow] 23 3 4 4" xfId="10632"/>
    <cellStyle name="Input [yellow] 23 3 5" xfId="10633"/>
    <cellStyle name="Input [yellow] 23 3 6" xfId="10634"/>
    <cellStyle name="Input [yellow] 23 3 7" xfId="10635"/>
    <cellStyle name="Input [yellow] 23 3 8" xfId="10636"/>
    <cellStyle name="Input [yellow] 23 4" xfId="10637"/>
    <cellStyle name="Input [yellow] 23 4 2" xfId="10638"/>
    <cellStyle name="Input [yellow] 23 4 2 2" xfId="10639"/>
    <cellStyle name="Input [yellow] 23 4 2 3" xfId="10640"/>
    <cellStyle name="Input [yellow] 23 4 2 4" xfId="10641"/>
    <cellStyle name="Input [yellow] 23 4 3" xfId="10642"/>
    <cellStyle name="Input [yellow] 23 4 3 2" xfId="10643"/>
    <cellStyle name="Input [yellow] 23 4 3 3" xfId="10644"/>
    <cellStyle name="Input [yellow] 23 4 3 4" xfId="10645"/>
    <cellStyle name="Input [yellow] 23 4 4" xfId="10646"/>
    <cellStyle name="Input [yellow] 23 4 4 2" xfId="10647"/>
    <cellStyle name="Input [yellow] 23 4 4 3" xfId="10648"/>
    <cellStyle name="Input [yellow] 23 4 4 4" xfId="10649"/>
    <cellStyle name="Input [yellow] 23 4 5" xfId="10650"/>
    <cellStyle name="Input [yellow] 23 4 6" xfId="10651"/>
    <cellStyle name="Input [yellow] 23 4 7" xfId="10652"/>
    <cellStyle name="Input [yellow] 23 4 8" xfId="10653"/>
    <cellStyle name="Input [yellow] 23 5" xfId="10654"/>
    <cellStyle name="Input [yellow] 23 5 2" xfId="10655"/>
    <cellStyle name="Input [yellow] 23 5 2 2" xfId="10656"/>
    <cellStyle name="Input [yellow] 23 5 2 3" xfId="10657"/>
    <cellStyle name="Input [yellow] 23 5 2 4" xfId="10658"/>
    <cellStyle name="Input [yellow] 23 5 3" xfId="10659"/>
    <cellStyle name="Input [yellow] 23 5 3 2" xfId="10660"/>
    <cellStyle name="Input [yellow] 23 5 3 3" xfId="10661"/>
    <cellStyle name="Input [yellow] 23 5 3 4" xfId="10662"/>
    <cellStyle name="Input [yellow] 23 5 4" xfId="10663"/>
    <cellStyle name="Input [yellow] 23 5 4 2" xfId="10664"/>
    <cellStyle name="Input [yellow] 23 5 4 3" xfId="10665"/>
    <cellStyle name="Input [yellow] 23 5 4 4" xfId="10666"/>
    <cellStyle name="Input [yellow] 23 5 5" xfId="10667"/>
    <cellStyle name="Input [yellow] 23 5 6" xfId="10668"/>
    <cellStyle name="Input [yellow] 23 5 7" xfId="10669"/>
    <cellStyle name="Input [yellow] 23 5 8" xfId="10670"/>
    <cellStyle name="Input [yellow] 23 6" xfId="10671"/>
    <cellStyle name="Input [yellow] 23 6 2" xfId="10672"/>
    <cellStyle name="Input [yellow] 23 6 3" xfId="10673"/>
    <cellStyle name="Input [yellow] 23 6 4" xfId="10674"/>
    <cellStyle name="Input [yellow] 23 7" xfId="10675"/>
    <cellStyle name="Input [yellow] 23 7 2" xfId="10676"/>
    <cellStyle name="Input [yellow] 23 7 3" xfId="10677"/>
    <cellStyle name="Input [yellow] 23 7 4" xfId="10678"/>
    <cellStyle name="Input [yellow] 23 8" xfId="10679"/>
    <cellStyle name="Input [yellow] 23 9" xfId="10680"/>
    <cellStyle name="Input [yellow] 24" xfId="10681"/>
    <cellStyle name="Input [yellow] 24 2" xfId="10682"/>
    <cellStyle name="Input [yellow] 24 2 2" xfId="10683"/>
    <cellStyle name="Input [yellow] 24 2 2 2" xfId="10684"/>
    <cellStyle name="Input [yellow] 24 2 2 3" xfId="10685"/>
    <cellStyle name="Input [yellow] 24 2 2 4" xfId="10686"/>
    <cellStyle name="Input [yellow] 24 2 3" xfId="10687"/>
    <cellStyle name="Input [yellow] 24 2 3 2" xfId="10688"/>
    <cellStyle name="Input [yellow] 24 2 3 3" xfId="10689"/>
    <cellStyle name="Input [yellow] 24 2 3 4" xfId="10690"/>
    <cellStyle name="Input [yellow] 24 2 4" xfId="10691"/>
    <cellStyle name="Input [yellow] 24 2 4 2" xfId="10692"/>
    <cellStyle name="Input [yellow] 24 2 4 3" xfId="10693"/>
    <cellStyle name="Input [yellow] 24 2 4 4" xfId="10694"/>
    <cellStyle name="Input [yellow] 24 2 5" xfId="10695"/>
    <cellStyle name="Input [yellow] 24 2 6" xfId="10696"/>
    <cellStyle name="Input [yellow] 24 2 7" xfId="10697"/>
    <cellStyle name="Input [yellow] 24 2 8" xfId="10698"/>
    <cellStyle name="Input [yellow] 24 3" xfId="10699"/>
    <cellStyle name="Input [yellow] 24 3 2" xfId="10700"/>
    <cellStyle name="Input [yellow] 24 3 2 2" xfId="10701"/>
    <cellStyle name="Input [yellow] 24 3 2 3" xfId="10702"/>
    <cellStyle name="Input [yellow] 24 3 2 4" xfId="10703"/>
    <cellStyle name="Input [yellow] 24 3 3" xfId="10704"/>
    <cellStyle name="Input [yellow] 24 3 3 2" xfId="10705"/>
    <cellStyle name="Input [yellow] 24 3 3 3" xfId="10706"/>
    <cellStyle name="Input [yellow] 24 3 3 4" xfId="10707"/>
    <cellStyle name="Input [yellow] 24 3 4" xfId="10708"/>
    <cellStyle name="Input [yellow] 24 3 4 2" xfId="10709"/>
    <cellStyle name="Input [yellow] 24 3 4 3" xfId="10710"/>
    <cellStyle name="Input [yellow] 24 3 4 4" xfId="10711"/>
    <cellStyle name="Input [yellow] 24 3 5" xfId="10712"/>
    <cellStyle name="Input [yellow] 24 3 6" xfId="10713"/>
    <cellStyle name="Input [yellow] 24 3 7" xfId="10714"/>
    <cellStyle name="Input [yellow] 24 3 8" xfId="10715"/>
    <cellStyle name="Input [yellow] 24 4" xfId="10716"/>
    <cellStyle name="Input [yellow] 24 4 2" xfId="10717"/>
    <cellStyle name="Input [yellow] 24 4 2 2" xfId="10718"/>
    <cellStyle name="Input [yellow] 24 4 2 3" xfId="10719"/>
    <cellStyle name="Input [yellow] 24 4 2 4" xfId="10720"/>
    <cellStyle name="Input [yellow] 24 4 3" xfId="10721"/>
    <cellStyle name="Input [yellow] 24 4 3 2" xfId="10722"/>
    <cellStyle name="Input [yellow] 24 4 3 3" xfId="10723"/>
    <cellStyle name="Input [yellow] 24 4 3 4" xfId="10724"/>
    <cellStyle name="Input [yellow] 24 4 4" xfId="10725"/>
    <cellStyle name="Input [yellow] 24 4 4 2" xfId="10726"/>
    <cellStyle name="Input [yellow] 24 4 4 3" xfId="10727"/>
    <cellStyle name="Input [yellow] 24 4 4 4" xfId="10728"/>
    <cellStyle name="Input [yellow] 24 4 5" xfId="10729"/>
    <cellStyle name="Input [yellow] 24 4 6" xfId="10730"/>
    <cellStyle name="Input [yellow] 24 4 7" xfId="10731"/>
    <cellStyle name="Input [yellow] 24 4 8" xfId="10732"/>
    <cellStyle name="Input [yellow] 24 5" xfId="10733"/>
    <cellStyle name="Input [yellow] 24 5 2" xfId="10734"/>
    <cellStyle name="Input [yellow] 24 5 3" xfId="10735"/>
    <cellStyle name="Input [yellow] 24 5 4" xfId="10736"/>
    <cellStyle name="Input [yellow] 24 6" xfId="10737"/>
    <cellStyle name="Input [yellow] 24 6 2" xfId="10738"/>
    <cellStyle name="Input [yellow] 24 6 3" xfId="10739"/>
    <cellStyle name="Input [yellow] 24 6 4" xfId="10740"/>
    <cellStyle name="Input [yellow] 24 7" xfId="10741"/>
    <cellStyle name="Input [yellow] 24 8" xfId="10742"/>
    <cellStyle name="Input [yellow] 25" xfId="10743"/>
    <cellStyle name="Input [yellow] 25 2" xfId="10744"/>
    <cellStyle name="Input [yellow] 25 2 2" xfId="10745"/>
    <cellStyle name="Input [yellow] 25 2 3" xfId="10746"/>
    <cellStyle name="Input [yellow] 25 2 4" xfId="10747"/>
    <cellStyle name="Input [yellow] 25 3" xfId="10748"/>
    <cellStyle name="Input [yellow] 25 3 2" xfId="10749"/>
    <cellStyle name="Input [yellow] 25 3 3" xfId="10750"/>
    <cellStyle name="Input [yellow] 25 3 4" xfId="10751"/>
    <cellStyle name="Input [yellow] 25 4" xfId="10752"/>
    <cellStyle name="Input [yellow] 25 4 2" xfId="10753"/>
    <cellStyle name="Input [yellow] 25 4 3" xfId="10754"/>
    <cellStyle name="Input [yellow] 25 4 4" xfId="10755"/>
    <cellStyle name="Input [yellow] 25 5" xfId="10756"/>
    <cellStyle name="Input [yellow] 25 6" xfId="10757"/>
    <cellStyle name="Input [yellow] 25 7" xfId="10758"/>
    <cellStyle name="Input [yellow] 25 8" xfId="10759"/>
    <cellStyle name="Input [yellow] 26" xfId="10760"/>
    <cellStyle name="Input [yellow] 26 2" xfId="10761"/>
    <cellStyle name="Input [yellow] 26 2 2" xfId="10762"/>
    <cellStyle name="Input [yellow] 26 2 3" xfId="10763"/>
    <cellStyle name="Input [yellow] 26 2 4" xfId="10764"/>
    <cellStyle name="Input [yellow] 26 3" xfId="10765"/>
    <cellStyle name="Input [yellow] 26 3 2" xfId="10766"/>
    <cellStyle name="Input [yellow] 26 3 3" xfId="10767"/>
    <cellStyle name="Input [yellow] 26 3 4" xfId="10768"/>
    <cellStyle name="Input [yellow] 26 4" xfId="10769"/>
    <cellStyle name="Input [yellow] 26 4 2" xfId="10770"/>
    <cellStyle name="Input [yellow] 26 4 3" xfId="10771"/>
    <cellStyle name="Input [yellow] 26 4 4" xfId="10772"/>
    <cellStyle name="Input [yellow] 26 5" xfId="10773"/>
    <cellStyle name="Input [yellow] 26 6" xfId="10774"/>
    <cellStyle name="Input [yellow] 26 7" xfId="10775"/>
    <cellStyle name="Input [yellow] 26 8" xfId="10776"/>
    <cellStyle name="Input [yellow] 27" xfId="10777"/>
    <cellStyle name="Input [yellow] 27 2" xfId="10778"/>
    <cellStyle name="Input [yellow] 27 2 2" xfId="10779"/>
    <cellStyle name="Input [yellow] 27 2 3" xfId="10780"/>
    <cellStyle name="Input [yellow] 27 2 4" xfId="10781"/>
    <cellStyle name="Input [yellow] 27 3" xfId="10782"/>
    <cellStyle name="Input [yellow] 27 3 2" xfId="10783"/>
    <cellStyle name="Input [yellow] 27 3 3" xfId="10784"/>
    <cellStyle name="Input [yellow] 27 3 4" xfId="10785"/>
    <cellStyle name="Input [yellow] 27 4" xfId="10786"/>
    <cellStyle name="Input [yellow] 27 4 2" xfId="10787"/>
    <cellStyle name="Input [yellow] 27 4 3" xfId="10788"/>
    <cellStyle name="Input [yellow] 27 4 4" xfId="10789"/>
    <cellStyle name="Input [yellow] 27 5" xfId="10790"/>
    <cellStyle name="Input [yellow] 27 6" xfId="10791"/>
    <cellStyle name="Input [yellow] 27 7" xfId="10792"/>
    <cellStyle name="Input [yellow] 27 8" xfId="10793"/>
    <cellStyle name="Input [yellow] 28" xfId="10794"/>
    <cellStyle name="Input [yellow] 28 2" xfId="10795"/>
    <cellStyle name="Input [yellow] 28 3" xfId="10796"/>
    <cellStyle name="Input [yellow] 28 4" xfId="10797"/>
    <cellStyle name="Input [yellow] 29" xfId="10798"/>
    <cellStyle name="Input [yellow] 29 2" xfId="10799"/>
    <cellStyle name="Input [yellow] 29 3" xfId="10800"/>
    <cellStyle name="Input [yellow] 29 4" xfId="10801"/>
    <cellStyle name="Input [yellow] 3" xfId="10802"/>
    <cellStyle name="Input [yellow] 3 2" xfId="10803"/>
    <cellStyle name="Input [yellow] 3 2 2" xfId="10804"/>
    <cellStyle name="Input [yellow] 3 2 2 2" xfId="10805"/>
    <cellStyle name="Input [yellow] 3 2 2 2 2" xfId="10806"/>
    <cellStyle name="Input [yellow] 3 2 2 2 3" xfId="10807"/>
    <cellStyle name="Input [yellow] 3 2 2 2 4" xfId="10808"/>
    <cellStyle name="Input [yellow] 3 2 2 3" xfId="10809"/>
    <cellStyle name="Input [yellow] 3 2 2 3 2" xfId="10810"/>
    <cellStyle name="Input [yellow] 3 2 2 3 3" xfId="10811"/>
    <cellStyle name="Input [yellow] 3 2 2 3 4" xfId="10812"/>
    <cellStyle name="Input [yellow] 3 2 2 4" xfId="10813"/>
    <cellStyle name="Input [yellow] 3 2 2 4 2" xfId="10814"/>
    <cellStyle name="Input [yellow] 3 2 2 4 3" xfId="10815"/>
    <cellStyle name="Input [yellow] 3 2 2 4 4" xfId="10816"/>
    <cellStyle name="Input [yellow] 3 2 2 5" xfId="10817"/>
    <cellStyle name="Input [yellow] 3 2 2 6" xfId="10818"/>
    <cellStyle name="Input [yellow] 3 2 2 7" xfId="10819"/>
    <cellStyle name="Input [yellow] 3 2 2 8" xfId="10820"/>
    <cellStyle name="Input [yellow] 3 2 3" xfId="10821"/>
    <cellStyle name="Input [yellow] 3 2 3 2" xfId="10822"/>
    <cellStyle name="Input [yellow] 3 2 3 2 2" xfId="10823"/>
    <cellStyle name="Input [yellow] 3 2 3 2 3" xfId="10824"/>
    <cellStyle name="Input [yellow] 3 2 3 2 4" xfId="10825"/>
    <cellStyle name="Input [yellow] 3 2 3 3" xfId="10826"/>
    <cellStyle name="Input [yellow] 3 2 3 3 2" xfId="10827"/>
    <cellStyle name="Input [yellow] 3 2 3 3 3" xfId="10828"/>
    <cellStyle name="Input [yellow] 3 2 3 3 4" xfId="10829"/>
    <cellStyle name="Input [yellow] 3 2 3 4" xfId="10830"/>
    <cellStyle name="Input [yellow] 3 2 3 4 2" xfId="10831"/>
    <cellStyle name="Input [yellow] 3 2 3 4 3" xfId="10832"/>
    <cellStyle name="Input [yellow] 3 2 3 4 4" xfId="10833"/>
    <cellStyle name="Input [yellow] 3 2 3 5" xfId="10834"/>
    <cellStyle name="Input [yellow] 3 2 3 6" xfId="10835"/>
    <cellStyle name="Input [yellow] 3 2 3 7" xfId="10836"/>
    <cellStyle name="Input [yellow] 3 2 3 8" xfId="10837"/>
    <cellStyle name="Input [yellow] 3 2 4" xfId="10838"/>
    <cellStyle name="Input [yellow] 3 2 4 2" xfId="10839"/>
    <cellStyle name="Input [yellow] 3 2 4 2 2" xfId="10840"/>
    <cellStyle name="Input [yellow] 3 2 4 2 3" xfId="10841"/>
    <cellStyle name="Input [yellow] 3 2 4 2 4" xfId="10842"/>
    <cellStyle name="Input [yellow] 3 2 4 3" xfId="10843"/>
    <cellStyle name="Input [yellow] 3 2 4 3 2" xfId="10844"/>
    <cellStyle name="Input [yellow] 3 2 4 3 3" xfId="10845"/>
    <cellStyle name="Input [yellow] 3 2 4 3 4" xfId="10846"/>
    <cellStyle name="Input [yellow] 3 2 4 4" xfId="10847"/>
    <cellStyle name="Input [yellow] 3 2 4 4 2" xfId="10848"/>
    <cellStyle name="Input [yellow] 3 2 4 4 3" xfId="10849"/>
    <cellStyle name="Input [yellow] 3 2 4 4 4" xfId="10850"/>
    <cellStyle name="Input [yellow] 3 2 4 5" xfId="10851"/>
    <cellStyle name="Input [yellow] 3 2 4 6" xfId="10852"/>
    <cellStyle name="Input [yellow] 3 2 4 7" xfId="10853"/>
    <cellStyle name="Input [yellow] 3 2 4 8" xfId="10854"/>
    <cellStyle name="Input [yellow] 3 2 5" xfId="10855"/>
    <cellStyle name="Input [yellow] 3 2 5 2" xfId="10856"/>
    <cellStyle name="Input [yellow] 3 2 5 3" xfId="10857"/>
    <cellStyle name="Input [yellow] 3 2 5 4" xfId="10858"/>
    <cellStyle name="Input [yellow] 3 2 6" xfId="10859"/>
    <cellStyle name="Input [yellow] 3 2 6 2" xfId="10860"/>
    <cellStyle name="Input [yellow] 3 2 6 3" xfId="10861"/>
    <cellStyle name="Input [yellow] 3 2 6 4" xfId="10862"/>
    <cellStyle name="Input [yellow] 3 2 7" xfId="10863"/>
    <cellStyle name="Input [yellow] 3 2 8" xfId="10864"/>
    <cellStyle name="Input [yellow] 3 3" xfId="10865"/>
    <cellStyle name="Input [yellow] 3 3 2" xfId="10866"/>
    <cellStyle name="Input [yellow] 3 3 2 2" xfId="10867"/>
    <cellStyle name="Input [yellow] 3 3 2 3" xfId="10868"/>
    <cellStyle name="Input [yellow] 3 3 2 4" xfId="10869"/>
    <cellStyle name="Input [yellow] 3 3 3" xfId="10870"/>
    <cellStyle name="Input [yellow] 3 3 3 2" xfId="10871"/>
    <cellStyle name="Input [yellow] 3 3 3 3" xfId="10872"/>
    <cellStyle name="Input [yellow] 3 3 3 4" xfId="10873"/>
    <cellStyle name="Input [yellow] 3 3 4" xfId="10874"/>
    <cellStyle name="Input [yellow] 3 3 4 2" xfId="10875"/>
    <cellStyle name="Input [yellow] 3 3 4 3" xfId="10876"/>
    <cellStyle name="Input [yellow] 3 3 4 4" xfId="10877"/>
    <cellStyle name="Input [yellow] 3 3 5" xfId="10878"/>
    <cellStyle name="Input [yellow] 3 3 6" xfId="10879"/>
    <cellStyle name="Input [yellow] 3 3 7" xfId="10880"/>
    <cellStyle name="Input [yellow] 3 3 8" xfId="10881"/>
    <cellStyle name="Input [yellow] 3 4" xfId="10882"/>
    <cellStyle name="Input [yellow] 3 4 2" xfId="10883"/>
    <cellStyle name="Input [yellow] 3 4 2 2" xfId="10884"/>
    <cellStyle name="Input [yellow] 3 4 2 3" xfId="10885"/>
    <cellStyle name="Input [yellow] 3 4 2 4" xfId="10886"/>
    <cellStyle name="Input [yellow] 3 4 3" xfId="10887"/>
    <cellStyle name="Input [yellow] 3 4 3 2" xfId="10888"/>
    <cellStyle name="Input [yellow] 3 4 3 3" xfId="10889"/>
    <cellStyle name="Input [yellow] 3 4 3 4" xfId="10890"/>
    <cellStyle name="Input [yellow] 3 4 4" xfId="10891"/>
    <cellStyle name="Input [yellow] 3 4 4 2" xfId="10892"/>
    <cellStyle name="Input [yellow] 3 4 4 3" xfId="10893"/>
    <cellStyle name="Input [yellow] 3 4 4 4" xfId="10894"/>
    <cellStyle name="Input [yellow] 3 4 5" xfId="10895"/>
    <cellStyle name="Input [yellow] 3 4 6" xfId="10896"/>
    <cellStyle name="Input [yellow] 3 4 7" xfId="10897"/>
    <cellStyle name="Input [yellow] 3 4 8" xfId="10898"/>
    <cellStyle name="Input [yellow] 3 5" xfId="10899"/>
    <cellStyle name="Input [yellow] 3 5 2" xfId="10900"/>
    <cellStyle name="Input [yellow] 3 5 2 2" xfId="10901"/>
    <cellStyle name="Input [yellow] 3 5 2 3" xfId="10902"/>
    <cellStyle name="Input [yellow] 3 5 2 4" xfId="10903"/>
    <cellStyle name="Input [yellow] 3 5 3" xfId="10904"/>
    <cellStyle name="Input [yellow] 3 5 3 2" xfId="10905"/>
    <cellStyle name="Input [yellow] 3 5 3 3" xfId="10906"/>
    <cellStyle name="Input [yellow] 3 5 3 4" xfId="10907"/>
    <cellStyle name="Input [yellow] 3 5 4" xfId="10908"/>
    <cellStyle name="Input [yellow] 3 5 4 2" xfId="10909"/>
    <cellStyle name="Input [yellow] 3 5 4 3" xfId="10910"/>
    <cellStyle name="Input [yellow] 3 5 4 4" xfId="10911"/>
    <cellStyle name="Input [yellow] 3 5 5" xfId="10912"/>
    <cellStyle name="Input [yellow] 3 5 6" xfId="10913"/>
    <cellStyle name="Input [yellow] 3 5 7" xfId="10914"/>
    <cellStyle name="Input [yellow] 3 5 8" xfId="10915"/>
    <cellStyle name="Input [yellow] 3 6" xfId="10916"/>
    <cellStyle name="Input [yellow] 3 6 2" xfId="10917"/>
    <cellStyle name="Input [yellow] 3 6 3" xfId="10918"/>
    <cellStyle name="Input [yellow] 3 6 4" xfId="10919"/>
    <cellStyle name="Input [yellow] 3 7" xfId="10920"/>
    <cellStyle name="Input [yellow] 3 7 2" xfId="10921"/>
    <cellStyle name="Input [yellow] 3 7 3" xfId="10922"/>
    <cellStyle name="Input [yellow] 3 7 4" xfId="10923"/>
    <cellStyle name="Input [yellow] 3 8" xfId="10924"/>
    <cellStyle name="Input [yellow] 3 9" xfId="10925"/>
    <cellStyle name="Input [yellow] 30" xfId="10926"/>
    <cellStyle name="Input [yellow] 31" xfId="10927"/>
    <cellStyle name="Input [yellow] 4" xfId="10928"/>
    <cellStyle name="Input [yellow] 4 2" xfId="10929"/>
    <cellStyle name="Input [yellow] 4 2 2" xfId="10930"/>
    <cellStyle name="Input [yellow] 4 2 2 2" xfId="10931"/>
    <cellStyle name="Input [yellow] 4 2 2 2 2" xfId="10932"/>
    <cellStyle name="Input [yellow] 4 2 2 2 3" xfId="10933"/>
    <cellStyle name="Input [yellow] 4 2 2 2 4" xfId="10934"/>
    <cellStyle name="Input [yellow] 4 2 2 3" xfId="10935"/>
    <cellStyle name="Input [yellow] 4 2 2 3 2" xfId="10936"/>
    <cellStyle name="Input [yellow] 4 2 2 3 3" xfId="10937"/>
    <cellStyle name="Input [yellow] 4 2 2 3 4" xfId="10938"/>
    <cellStyle name="Input [yellow] 4 2 2 4" xfId="10939"/>
    <cellStyle name="Input [yellow] 4 2 2 4 2" xfId="10940"/>
    <cellStyle name="Input [yellow] 4 2 2 4 3" xfId="10941"/>
    <cellStyle name="Input [yellow] 4 2 2 4 4" xfId="10942"/>
    <cellStyle name="Input [yellow] 4 2 2 5" xfId="10943"/>
    <cellStyle name="Input [yellow] 4 2 2 6" xfId="10944"/>
    <cellStyle name="Input [yellow] 4 2 2 7" xfId="10945"/>
    <cellStyle name="Input [yellow] 4 2 2 8" xfId="10946"/>
    <cellStyle name="Input [yellow] 4 2 3" xfId="10947"/>
    <cellStyle name="Input [yellow] 4 2 3 2" xfId="10948"/>
    <cellStyle name="Input [yellow] 4 2 3 2 2" xfId="10949"/>
    <cellStyle name="Input [yellow] 4 2 3 2 3" xfId="10950"/>
    <cellStyle name="Input [yellow] 4 2 3 2 4" xfId="10951"/>
    <cellStyle name="Input [yellow] 4 2 3 3" xfId="10952"/>
    <cellStyle name="Input [yellow] 4 2 3 3 2" xfId="10953"/>
    <cellStyle name="Input [yellow] 4 2 3 3 3" xfId="10954"/>
    <cellStyle name="Input [yellow] 4 2 3 3 4" xfId="10955"/>
    <cellStyle name="Input [yellow] 4 2 3 4" xfId="10956"/>
    <cellStyle name="Input [yellow] 4 2 3 4 2" xfId="10957"/>
    <cellStyle name="Input [yellow] 4 2 3 4 3" xfId="10958"/>
    <cellStyle name="Input [yellow] 4 2 3 4 4" xfId="10959"/>
    <cellStyle name="Input [yellow] 4 2 3 5" xfId="10960"/>
    <cellStyle name="Input [yellow] 4 2 3 6" xfId="10961"/>
    <cellStyle name="Input [yellow] 4 2 3 7" xfId="10962"/>
    <cellStyle name="Input [yellow] 4 2 3 8" xfId="10963"/>
    <cellStyle name="Input [yellow] 4 2 4" xfId="10964"/>
    <cellStyle name="Input [yellow] 4 2 4 2" xfId="10965"/>
    <cellStyle name="Input [yellow] 4 2 4 2 2" xfId="10966"/>
    <cellStyle name="Input [yellow] 4 2 4 2 3" xfId="10967"/>
    <cellStyle name="Input [yellow] 4 2 4 2 4" xfId="10968"/>
    <cellStyle name="Input [yellow] 4 2 4 3" xfId="10969"/>
    <cellStyle name="Input [yellow] 4 2 4 3 2" xfId="10970"/>
    <cellStyle name="Input [yellow] 4 2 4 3 3" xfId="10971"/>
    <cellStyle name="Input [yellow] 4 2 4 3 4" xfId="10972"/>
    <cellStyle name="Input [yellow] 4 2 4 4" xfId="10973"/>
    <cellStyle name="Input [yellow] 4 2 4 4 2" xfId="10974"/>
    <cellStyle name="Input [yellow] 4 2 4 4 3" xfId="10975"/>
    <cellStyle name="Input [yellow] 4 2 4 4 4" xfId="10976"/>
    <cellStyle name="Input [yellow] 4 2 4 5" xfId="10977"/>
    <cellStyle name="Input [yellow] 4 2 4 6" xfId="10978"/>
    <cellStyle name="Input [yellow] 4 2 4 7" xfId="10979"/>
    <cellStyle name="Input [yellow] 4 2 4 8" xfId="10980"/>
    <cellStyle name="Input [yellow] 4 2 5" xfId="10981"/>
    <cellStyle name="Input [yellow] 4 2 5 2" xfId="10982"/>
    <cellStyle name="Input [yellow] 4 2 5 3" xfId="10983"/>
    <cellStyle name="Input [yellow] 4 2 5 4" xfId="10984"/>
    <cellStyle name="Input [yellow] 4 2 6" xfId="10985"/>
    <cellStyle name="Input [yellow] 4 2 6 2" xfId="10986"/>
    <cellStyle name="Input [yellow] 4 2 6 3" xfId="10987"/>
    <cellStyle name="Input [yellow] 4 2 6 4" xfId="10988"/>
    <cellStyle name="Input [yellow] 4 2 7" xfId="10989"/>
    <cellStyle name="Input [yellow] 4 2 8" xfId="10990"/>
    <cellStyle name="Input [yellow] 4 3" xfId="10991"/>
    <cellStyle name="Input [yellow] 4 3 2" xfId="10992"/>
    <cellStyle name="Input [yellow] 4 3 2 2" xfId="10993"/>
    <cellStyle name="Input [yellow] 4 3 2 3" xfId="10994"/>
    <cellStyle name="Input [yellow] 4 3 2 4" xfId="10995"/>
    <cellStyle name="Input [yellow] 4 3 3" xfId="10996"/>
    <cellStyle name="Input [yellow] 4 3 3 2" xfId="10997"/>
    <cellStyle name="Input [yellow] 4 3 3 3" xfId="10998"/>
    <cellStyle name="Input [yellow] 4 3 3 4" xfId="10999"/>
    <cellStyle name="Input [yellow] 4 3 4" xfId="11000"/>
    <cellStyle name="Input [yellow] 4 3 4 2" xfId="11001"/>
    <cellStyle name="Input [yellow] 4 3 4 3" xfId="11002"/>
    <cellStyle name="Input [yellow] 4 3 4 4" xfId="11003"/>
    <cellStyle name="Input [yellow] 4 3 5" xfId="11004"/>
    <cellStyle name="Input [yellow] 4 3 6" xfId="11005"/>
    <cellStyle name="Input [yellow] 4 3 7" xfId="11006"/>
    <cellStyle name="Input [yellow] 4 3 8" xfId="11007"/>
    <cellStyle name="Input [yellow] 4 4" xfId="11008"/>
    <cellStyle name="Input [yellow] 4 4 2" xfId="11009"/>
    <cellStyle name="Input [yellow] 4 4 2 2" xfId="11010"/>
    <cellStyle name="Input [yellow] 4 4 2 3" xfId="11011"/>
    <cellStyle name="Input [yellow] 4 4 2 4" xfId="11012"/>
    <cellStyle name="Input [yellow] 4 4 3" xfId="11013"/>
    <cellStyle name="Input [yellow] 4 4 3 2" xfId="11014"/>
    <cellStyle name="Input [yellow] 4 4 3 3" xfId="11015"/>
    <cellStyle name="Input [yellow] 4 4 3 4" xfId="11016"/>
    <cellStyle name="Input [yellow] 4 4 4" xfId="11017"/>
    <cellStyle name="Input [yellow] 4 4 4 2" xfId="11018"/>
    <cellStyle name="Input [yellow] 4 4 4 3" xfId="11019"/>
    <cellStyle name="Input [yellow] 4 4 4 4" xfId="11020"/>
    <cellStyle name="Input [yellow] 4 4 5" xfId="11021"/>
    <cellStyle name="Input [yellow] 4 4 6" xfId="11022"/>
    <cellStyle name="Input [yellow] 4 4 7" xfId="11023"/>
    <cellStyle name="Input [yellow] 4 4 8" xfId="11024"/>
    <cellStyle name="Input [yellow] 4 5" xfId="11025"/>
    <cellStyle name="Input [yellow] 4 5 2" xfId="11026"/>
    <cellStyle name="Input [yellow] 4 5 2 2" xfId="11027"/>
    <cellStyle name="Input [yellow] 4 5 2 3" xfId="11028"/>
    <cellStyle name="Input [yellow] 4 5 2 4" xfId="11029"/>
    <cellStyle name="Input [yellow] 4 5 3" xfId="11030"/>
    <cellStyle name="Input [yellow] 4 5 3 2" xfId="11031"/>
    <cellStyle name="Input [yellow] 4 5 3 3" xfId="11032"/>
    <cellStyle name="Input [yellow] 4 5 3 4" xfId="11033"/>
    <cellStyle name="Input [yellow] 4 5 4" xfId="11034"/>
    <cellStyle name="Input [yellow] 4 5 4 2" xfId="11035"/>
    <cellStyle name="Input [yellow] 4 5 4 3" xfId="11036"/>
    <cellStyle name="Input [yellow] 4 5 4 4" xfId="11037"/>
    <cellStyle name="Input [yellow] 4 5 5" xfId="11038"/>
    <cellStyle name="Input [yellow] 4 5 6" xfId="11039"/>
    <cellStyle name="Input [yellow] 4 5 7" xfId="11040"/>
    <cellStyle name="Input [yellow] 4 5 8" xfId="11041"/>
    <cellStyle name="Input [yellow] 4 6" xfId="11042"/>
    <cellStyle name="Input [yellow] 4 6 2" xfId="11043"/>
    <cellStyle name="Input [yellow] 4 6 3" xfId="11044"/>
    <cellStyle name="Input [yellow] 4 6 4" xfId="11045"/>
    <cellStyle name="Input [yellow] 4 7" xfId="11046"/>
    <cellStyle name="Input [yellow] 4 7 2" xfId="11047"/>
    <cellStyle name="Input [yellow] 4 7 3" xfId="11048"/>
    <cellStyle name="Input [yellow] 4 7 4" xfId="11049"/>
    <cellStyle name="Input [yellow] 4 8" xfId="11050"/>
    <cellStyle name="Input [yellow] 4 9" xfId="11051"/>
    <cellStyle name="Input [yellow] 5" xfId="11052"/>
    <cellStyle name="Input [yellow] 5 2" xfId="11053"/>
    <cellStyle name="Input [yellow] 5 2 2" xfId="11054"/>
    <cellStyle name="Input [yellow] 5 2 2 2" xfId="11055"/>
    <cellStyle name="Input [yellow] 5 2 2 2 2" xfId="11056"/>
    <cellStyle name="Input [yellow] 5 2 2 2 3" xfId="11057"/>
    <cellStyle name="Input [yellow] 5 2 2 2 4" xfId="11058"/>
    <cellStyle name="Input [yellow] 5 2 2 3" xfId="11059"/>
    <cellStyle name="Input [yellow] 5 2 2 3 2" xfId="11060"/>
    <cellStyle name="Input [yellow] 5 2 2 3 3" xfId="11061"/>
    <cellStyle name="Input [yellow] 5 2 2 3 4" xfId="11062"/>
    <cellStyle name="Input [yellow] 5 2 2 4" xfId="11063"/>
    <cellStyle name="Input [yellow] 5 2 2 4 2" xfId="11064"/>
    <cellStyle name="Input [yellow] 5 2 2 4 3" xfId="11065"/>
    <cellStyle name="Input [yellow] 5 2 2 4 4" xfId="11066"/>
    <cellStyle name="Input [yellow] 5 2 2 5" xfId="11067"/>
    <cellStyle name="Input [yellow] 5 2 2 6" xfId="11068"/>
    <cellStyle name="Input [yellow] 5 2 2 7" xfId="11069"/>
    <cellStyle name="Input [yellow] 5 2 2 8" xfId="11070"/>
    <cellStyle name="Input [yellow] 5 2 3" xfId="11071"/>
    <cellStyle name="Input [yellow] 5 2 3 2" xfId="11072"/>
    <cellStyle name="Input [yellow] 5 2 3 2 2" xfId="11073"/>
    <cellStyle name="Input [yellow] 5 2 3 2 3" xfId="11074"/>
    <cellStyle name="Input [yellow] 5 2 3 2 4" xfId="11075"/>
    <cellStyle name="Input [yellow] 5 2 3 3" xfId="11076"/>
    <cellStyle name="Input [yellow] 5 2 3 3 2" xfId="11077"/>
    <cellStyle name="Input [yellow] 5 2 3 3 3" xfId="11078"/>
    <cellStyle name="Input [yellow] 5 2 3 3 4" xfId="11079"/>
    <cellStyle name="Input [yellow] 5 2 3 4" xfId="11080"/>
    <cellStyle name="Input [yellow] 5 2 3 4 2" xfId="11081"/>
    <cellStyle name="Input [yellow] 5 2 3 4 3" xfId="11082"/>
    <cellStyle name="Input [yellow] 5 2 3 4 4" xfId="11083"/>
    <cellStyle name="Input [yellow] 5 2 3 5" xfId="11084"/>
    <cellStyle name="Input [yellow] 5 2 3 6" xfId="11085"/>
    <cellStyle name="Input [yellow] 5 2 3 7" xfId="11086"/>
    <cellStyle name="Input [yellow] 5 2 3 8" xfId="11087"/>
    <cellStyle name="Input [yellow] 5 2 4" xfId="11088"/>
    <cellStyle name="Input [yellow] 5 2 4 2" xfId="11089"/>
    <cellStyle name="Input [yellow] 5 2 4 2 2" xfId="11090"/>
    <cellStyle name="Input [yellow] 5 2 4 2 3" xfId="11091"/>
    <cellStyle name="Input [yellow] 5 2 4 2 4" xfId="11092"/>
    <cellStyle name="Input [yellow] 5 2 4 3" xfId="11093"/>
    <cellStyle name="Input [yellow] 5 2 4 3 2" xfId="11094"/>
    <cellStyle name="Input [yellow] 5 2 4 3 3" xfId="11095"/>
    <cellStyle name="Input [yellow] 5 2 4 3 4" xfId="11096"/>
    <cellStyle name="Input [yellow] 5 2 4 4" xfId="11097"/>
    <cellStyle name="Input [yellow] 5 2 4 4 2" xfId="11098"/>
    <cellStyle name="Input [yellow] 5 2 4 4 3" xfId="11099"/>
    <cellStyle name="Input [yellow] 5 2 4 4 4" xfId="11100"/>
    <cellStyle name="Input [yellow] 5 2 4 5" xfId="11101"/>
    <cellStyle name="Input [yellow] 5 2 4 6" xfId="11102"/>
    <cellStyle name="Input [yellow] 5 2 4 7" xfId="11103"/>
    <cellStyle name="Input [yellow] 5 2 4 8" xfId="11104"/>
    <cellStyle name="Input [yellow] 5 2 5" xfId="11105"/>
    <cellStyle name="Input [yellow] 5 2 5 2" xfId="11106"/>
    <cellStyle name="Input [yellow] 5 2 5 3" xfId="11107"/>
    <cellStyle name="Input [yellow] 5 2 5 4" xfId="11108"/>
    <cellStyle name="Input [yellow] 5 2 6" xfId="11109"/>
    <cellStyle name="Input [yellow] 5 2 6 2" xfId="11110"/>
    <cellStyle name="Input [yellow] 5 2 6 3" xfId="11111"/>
    <cellStyle name="Input [yellow] 5 2 6 4" xfId="11112"/>
    <cellStyle name="Input [yellow] 5 2 7" xfId="11113"/>
    <cellStyle name="Input [yellow] 5 2 8" xfId="11114"/>
    <cellStyle name="Input [yellow] 5 3" xfId="11115"/>
    <cellStyle name="Input [yellow] 5 3 2" xfId="11116"/>
    <cellStyle name="Input [yellow] 5 3 2 2" xfId="11117"/>
    <cellStyle name="Input [yellow] 5 3 2 3" xfId="11118"/>
    <cellStyle name="Input [yellow] 5 3 2 4" xfId="11119"/>
    <cellStyle name="Input [yellow] 5 3 3" xfId="11120"/>
    <cellStyle name="Input [yellow] 5 3 3 2" xfId="11121"/>
    <cellStyle name="Input [yellow] 5 3 3 3" xfId="11122"/>
    <cellStyle name="Input [yellow] 5 3 3 4" xfId="11123"/>
    <cellStyle name="Input [yellow] 5 3 4" xfId="11124"/>
    <cellStyle name="Input [yellow] 5 3 4 2" xfId="11125"/>
    <cellStyle name="Input [yellow] 5 3 4 3" xfId="11126"/>
    <cellStyle name="Input [yellow] 5 3 4 4" xfId="11127"/>
    <cellStyle name="Input [yellow] 5 3 5" xfId="11128"/>
    <cellStyle name="Input [yellow] 5 3 6" xfId="11129"/>
    <cellStyle name="Input [yellow] 5 3 7" xfId="11130"/>
    <cellStyle name="Input [yellow] 5 3 8" xfId="11131"/>
    <cellStyle name="Input [yellow] 5 4" xfId="11132"/>
    <cellStyle name="Input [yellow] 5 4 2" xfId="11133"/>
    <cellStyle name="Input [yellow] 5 4 2 2" xfId="11134"/>
    <cellStyle name="Input [yellow] 5 4 2 3" xfId="11135"/>
    <cellStyle name="Input [yellow] 5 4 2 4" xfId="11136"/>
    <cellStyle name="Input [yellow] 5 4 3" xfId="11137"/>
    <cellStyle name="Input [yellow] 5 4 3 2" xfId="11138"/>
    <cellStyle name="Input [yellow] 5 4 3 3" xfId="11139"/>
    <cellStyle name="Input [yellow] 5 4 3 4" xfId="11140"/>
    <cellStyle name="Input [yellow] 5 4 4" xfId="11141"/>
    <cellStyle name="Input [yellow] 5 4 4 2" xfId="11142"/>
    <cellStyle name="Input [yellow] 5 4 4 3" xfId="11143"/>
    <cellStyle name="Input [yellow] 5 4 4 4" xfId="11144"/>
    <cellStyle name="Input [yellow] 5 4 5" xfId="11145"/>
    <cellStyle name="Input [yellow] 5 4 6" xfId="11146"/>
    <cellStyle name="Input [yellow] 5 4 7" xfId="11147"/>
    <cellStyle name="Input [yellow] 5 4 8" xfId="11148"/>
    <cellStyle name="Input [yellow] 5 5" xfId="11149"/>
    <cellStyle name="Input [yellow] 5 5 2" xfId="11150"/>
    <cellStyle name="Input [yellow] 5 5 2 2" xfId="11151"/>
    <cellStyle name="Input [yellow] 5 5 2 3" xfId="11152"/>
    <cellStyle name="Input [yellow] 5 5 2 4" xfId="11153"/>
    <cellStyle name="Input [yellow] 5 5 3" xfId="11154"/>
    <cellStyle name="Input [yellow] 5 5 3 2" xfId="11155"/>
    <cellStyle name="Input [yellow] 5 5 3 3" xfId="11156"/>
    <cellStyle name="Input [yellow] 5 5 3 4" xfId="11157"/>
    <cellStyle name="Input [yellow] 5 5 4" xfId="11158"/>
    <cellStyle name="Input [yellow] 5 5 4 2" xfId="11159"/>
    <cellStyle name="Input [yellow] 5 5 4 3" xfId="11160"/>
    <cellStyle name="Input [yellow] 5 5 4 4" xfId="11161"/>
    <cellStyle name="Input [yellow] 5 5 5" xfId="11162"/>
    <cellStyle name="Input [yellow] 5 5 6" xfId="11163"/>
    <cellStyle name="Input [yellow] 5 5 7" xfId="11164"/>
    <cellStyle name="Input [yellow] 5 5 8" xfId="11165"/>
    <cellStyle name="Input [yellow] 5 6" xfId="11166"/>
    <cellStyle name="Input [yellow] 5 6 2" xfId="11167"/>
    <cellStyle name="Input [yellow] 5 6 3" xfId="11168"/>
    <cellStyle name="Input [yellow] 5 6 4" xfId="11169"/>
    <cellStyle name="Input [yellow] 5 7" xfId="11170"/>
    <cellStyle name="Input [yellow] 5 7 2" xfId="11171"/>
    <cellStyle name="Input [yellow] 5 7 3" xfId="11172"/>
    <cellStyle name="Input [yellow] 5 7 4" xfId="11173"/>
    <cellStyle name="Input [yellow] 5 8" xfId="11174"/>
    <cellStyle name="Input [yellow] 5 9" xfId="11175"/>
    <cellStyle name="Input [yellow] 6" xfId="11176"/>
    <cellStyle name="Input [yellow] 6 2" xfId="11177"/>
    <cellStyle name="Input [yellow] 6 2 2" xfId="11178"/>
    <cellStyle name="Input [yellow] 6 2 2 2" xfId="11179"/>
    <cellStyle name="Input [yellow] 6 2 2 2 2" xfId="11180"/>
    <cellStyle name="Input [yellow] 6 2 2 2 3" xfId="11181"/>
    <cellStyle name="Input [yellow] 6 2 2 2 4" xfId="11182"/>
    <cellStyle name="Input [yellow] 6 2 2 3" xfId="11183"/>
    <cellStyle name="Input [yellow] 6 2 2 3 2" xfId="11184"/>
    <cellStyle name="Input [yellow] 6 2 2 3 3" xfId="11185"/>
    <cellStyle name="Input [yellow] 6 2 2 3 4" xfId="11186"/>
    <cellStyle name="Input [yellow] 6 2 2 4" xfId="11187"/>
    <cellStyle name="Input [yellow] 6 2 2 4 2" xfId="11188"/>
    <cellStyle name="Input [yellow] 6 2 2 4 3" xfId="11189"/>
    <cellStyle name="Input [yellow] 6 2 2 4 4" xfId="11190"/>
    <cellStyle name="Input [yellow] 6 2 2 5" xfId="11191"/>
    <cellStyle name="Input [yellow] 6 2 2 6" xfId="11192"/>
    <cellStyle name="Input [yellow] 6 2 2 7" xfId="11193"/>
    <cellStyle name="Input [yellow] 6 2 2 8" xfId="11194"/>
    <cellStyle name="Input [yellow] 6 2 3" xfId="11195"/>
    <cellStyle name="Input [yellow] 6 2 3 2" xfId="11196"/>
    <cellStyle name="Input [yellow] 6 2 3 2 2" xfId="11197"/>
    <cellStyle name="Input [yellow] 6 2 3 2 3" xfId="11198"/>
    <cellStyle name="Input [yellow] 6 2 3 2 4" xfId="11199"/>
    <cellStyle name="Input [yellow] 6 2 3 3" xfId="11200"/>
    <cellStyle name="Input [yellow] 6 2 3 3 2" xfId="11201"/>
    <cellStyle name="Input [yellow] 6 2 3 3 3" xfId="11202"/>
    <cellStyle name="Input [yellow] 6 2 3 3 4" xfId="11203"/>
    <cellStyle name="Input [yellow] 6 2 3 4" xfId="11204"/>
    <cellStyle name="Input [yellow] 6 2 3 4 2" xfId="11205"/>
    <cellStyle name="Input [yellow] 6 2 3 4 3" xfId="11206"/>
    <cellStyle name="Input [yellow] 6 2 3 4 4" xfId="11207"/>
    <cellStyle name="Input [yellow] 6 2 3 5" xfId="11208"/>
    <cellStyle name="Input [yellow] 6 2 3 6" xfId="11209"/>
    <cellStyle name="Input [yellow] 6 2 3 7" xfId="11210"/>
    <cellStyle name="Input [yellow] 6 2 3 8" xfId="11211"/>
    <cellStyle name="Input [yellow] 6 2 4" xfId="11212"/>
    <cellStyle name="Input [yellow] 6 2 4 2" xfId="11213"/>
    <cellStyle name="Input [yellow] 6 2 4 2 2" xfId="11214"/>
    <cellStyle name="Input [yellow] 6 2 4 2 3" xfId="11215"/>
    <cellStyle name="Input [yellow] 6 2 4 2 4" xfId="11216"/>
    <cellStyle name="Input [yellow] 6 2 4 3" xfId="11217"/>
    <cellStyle name="Input [yellow] 6 2 4 3 2" xfId="11218"/>
    <cellStyle name="Input [yellow] 6 2 4 3 3" xfId="11219"/>
    <cellStyle name="Input [yellow] 6 2 4 3 4" xfId="11220"/>
    <cellStyle name="Input [yellow] 6 2 4 4" xfId="11221"/>
    <cellStyle name="Input [yellow] 6 2 4 4 2" xfId="11222"/>
    <cellStyle name="Input [yellow] 6 2 4 4 3" xfId="11223"/>
    <cellStyle name="Input [yellow] 6 2 4 4 4" xfId="11224"/>
    <cellStyle name="Input [yellow] 6 2 4 5" xfId="11225"/>
    <cellStyle name="Input [yellow] 6 2 4 6" xfId="11226"/>
    <cellStyle name="Input [yellow] 6 2 4 7" xfId="11227"/>
    <cellStyle name="Input [yellow] 6 2 4 8" xfId="11228"/>
    <cellStyle name="Input [yellow] 6 2 5" xfId="11229"/>
    <cellStyle name="Input [yellow] 6 2 5 2" xfId="11230"/>
    <cellStyle name="Input [yellow] 6 2 5 3" xfId="11231"/>
    <cellStyle name="Input [yellow] 6 2 5 4" xfId="11232"/>
    <cellStyle name="Input [yellow] 6 2 6" xfId="11233"/>
    <cellStyle name="Input [yellow] 6 2 6 2" xfId="11234"/>
    <cellStyle name="Input [yellow] 6 2 6 3" xfId="11235"/>
    <cellStyle name="Input [yellow] 6 2 6 4" xfId="11236"/>
    <cellStyle name="Input [yellow] 6 2 7" xfId="11237"/>
    <cellStyle name="Input [yellow] 6 2 8" xfId="11238"/>
    <cellStyle name="Input [yellow] 6 3" xfId="11239"/>
    <cellStyle name="Input [yellow] 6 3 2" xfId="11240"/>
    <cellStyle name="Input [yellow] 6 3 2 2" xfId="11241"/>
    <cellStyle name="Input [yellow] 6 3 2 3" xfId="11242"/>
    <cellStyle name="Input [yellow] 6 3 2 4" xfId="11243"/>
    <cellStyle name="Input [yellow] 6 3 3" xfId="11244"/>
    <cellStyle name="Input [yellow] 6 3 3 2" xfId="11245"/>
    <cellStyle name="Input [yellow] 6 3 3 3" xfId="11246"/>
    <cellStyle name="Input [yellow] 6 3 3 4" xfId="11247"/>
    <cellStyle name="Input [yellow] 6 3 4" xfId="11248"/>
    <cellStyle name="Input [yellow] 6 3 4 2" xfId="11249"/>
    <cellStyle name="Input [yellow] 6 3 4 3" xfId="11250"/>
    <cellStyle name="Input [yellow] 6 3 4 4" xfId="11251"/>
    <cellStyle name="Input [yellow] 6 3 5" xfId="11252"/>
    <cellStyle name="Input [yellow] 6 3 6" xfId="11253"/>
    <cellStyle name="Input [yellow] 6 3 7" xfId="11254"/>
    <cellStyle name="Input [yellow] 6 3 8" xfId="11255"/>
    <cellStyle name="Input [yellow] 6 4" xfId="11256"/>
    <cellStyle name="Input [yellow] 6 4 2" xfId="11257"/>
    <cellStyle name="Input [yellow] 6 4 2 2" xfId="11258"/>
    <cellStyle name="Input [yellow] 6 4 2 3" xfId="11259"/>
    <cellStyle name="Input [yellow] 6 4 2 4" xfId="11260"/>
    <cellStyle name="Input [yellow] 6 4 3" xfId="11261"/>
    <cellStyle name="Input [yellow] 6 4 3 2" xfId="11262"/>
    <cellStyle name="Input [yellow] 6 4 3 3" xfId="11263"/>
    <cellStyle name="Input [yellow] 6 4 3 4" xfId="11264"/>
    <cellStyle name="Input [yellow] 6 4 4" xfId="11265"/>
    <cellStyle name="Input [yellow] 6 4 4 2" xfId="11266"/>
    <cellStyle name="Input [yellow] 6 4 4 3" xfId="11267"/>
    <cellStyle name="Input [yellow] 6 4 4 4" xfId="11268"/>
    <cellStyle name="Input [yellow] 6 4 5" xfId="11269"/>
    <cellStyle name="Input [yellow] 6 4 6" xfId="11270"/>
    <cellStyle name="Input [yellow] 6 4 7" xfId="11271"/>
    <cellStyle name="Input [yellow] 6 4 8" xfId="11272"/>
    <cellStyle name="Input [yellow] 6 5" xfId="11273"/>
    <cellStyle name="Input [yellow] 6 5 2" xfId="11274"/>
    <cellStyle name="Input [yellow] 6 5 2 2" xfId="11275"/>
    <cellStyle name="Input [yellow] 6 5 2 3" xfId="11276"/>
    <cellStyle name="Input [yellow] 6 5 2 4" xfId="11277"/>
    <cellStyle name="Input [yellow] 6 5 3" xfId="11278"/>
    <cellStyle name="Input [yellow] 6 5 3 2" xfId="11279"/>
    <cellStyle name="Input [yellow] 6 5 3 3" xfId="11280"/>
    <cellStyle name="Input [yellow] 6 5 3 4" xfId="11281"/>
    <cellStyle name="Input [yellow] 6 5 4" xfId="11282"/>
    <cellStyle name="Input [yellow] 6 5 4 2" xfId="11283"/>
    <cellStyle name="Input [yellow] 6 5 4 3" xfId="11284"/>
    <cellStyle name="Input [yellow] 6 5 4 4" xfId="11285"/>
    <cellStyle name="Input [yellow] 6 5 5" xfId="11286"/>
    <cellStyle name="Input [yellow] 6 5 6" xfId="11287"/>
    <cellStyle name="Input [yellow] 6 5 7" xfId="11288"/>
    <cellStyle name="Input [yellow] 6 5 8" xfId="11289"/>
    <cellStyle name="Input [yellow] 6 6" xfId="11290"/>
    <cellStyle name="Input [yellow] 6 6 2" xfId="11291"/>
    <cellStyle name="Input [yellow] 6 6 3" xfId="11292"/>
    <cellStyle name="Input [yellow] 6 6 4" xfId="11293"/>
    <cellStyle name="Input [yellow] 6 7" xfId="11294"/>
    <cellStyle name="Input [yellow] 6 7 2" xfId="11295"/>
    <cellStyle name="Input [yellow] 6 7 3" xfId="11296"/>
    <cellStyle name="Input [yellow] 6 7 4" xfId="11297"/>
    <cellStyle name="Input [yellow] 6 8" xfId="11298"/>
    <cellStyle name="Input [yellow] 6 9" xfId="11299"/>
    <cellStyle name="Input [yellow] 7" xfId="11300"/>
    <cellStyle name="Input [yellow] 7 2" xfId="11301"/>
    <cellStyle name="Input [yellow] 7 2 2" xfId="11302"/>
    <cellStyle name="Input [yellow] 7 2 2 2" xfId="11303"/>
    <cellStyle name="Input [yellow] 7 2 2 2 2" xfId="11304"/>
    <cellStyle name="Input [yellow] 7 2 2 2 3" xfId="11305"/>
    <cellStyle name="Input [yellow] 7 2 2 2 4" xfId="11306"/>
    <cellStyle name="Input [yellow] 7 2 2 3" xfId="11307"/>
    <cellStyle name="Input [yellow] 7 2 2 3 2" xfId="11308"/>
    <cellStyle name="Input [yellow] 7 2 2 3 3" xfId="11309"/>
    <cellStyle name="Input [yellow] 7 2 2 3 4" xfId="11310"/>
    <cellStyle name="Input [yellow] 7 2 2 4" xfId="11311"/>
    <cellStyle name="Input [yellow] 7 2 2 4 2" xfId="11312"/>
    <cellStyle name="Input [yellow] 7 2 2 4 3" xfId="11313"/>
    <cellStyle name="Input [yellow] 7 2 2 4 4" xfId="11314"/>
    <cellStyle name="Input [yellow] 7 2 2 5" xfId="11315"/>
    <cellStyle name="Input [yellow] 7 2 2 6" xfId="11316"/>
    <cellStyle name="Input [yellow] 7 2 2 7" xfId="11317"/>
    <cellStyle name="Input [yellow] 7 2 2 8" xfId="11318"/>
    <cellStyle name="Input [yellow] 7 2 3" xfId="11319"/>
    <cellStyle name="Input [yellow] 7 2 3 2" xfId="11320"/>
    <cellStyle name="Input [yellow] 7 2 3 2 2" xfId="11321"/>
    <cellStyle name="Input [yellow] 7 2 3 2 3" xfId="11322"/>
    <cellStyle name="Input [yellow] 7 2 3 2 4" xfId="11323"/>
    <cellStyle name="Input [yellow] 7 2 3 3" xfId="11324"/>
    <cellStyle name="Input [yellow] 7 2 3 3 2" xfId="11325"/>
    <cellStyle name="Input [yellow] 7 2 3 3 3" xfId="11326"/>
    <cellStyle name="Input [yellow] 7 2 3 3 4" xfId="11327"/>
    <cellStyle name="Input [yellow] 7 2 3 4" xfId="11328"/>
    <cellStyle name="Input [yellow] 7 2 3 4 2" xfId="11329"/>
    <cellStyle name="Input [yellow] 7 2 3 4 3" xfId="11330"/>
    <cellStyle name="Input [yellow] 7 2 3 4 4" xfId="11331"/>
    <cellStyle name="Input [yellow] 7 2 3 5" xfId="11332"/>
    <cellStyle name="Input [yellow] 7 2 3 6" xfId="11333"/>
    <cellStyle name="Input [yellow] 7 2 3 7" xfId="11334"/>
    <cellStyle name="Input [yellow] 7 2 3 8" xfId="11335"/>
    <cellStyle name="Input [yellow] 7 2 4" xfId="11336"/>
    <cellStyle name="Input [yellow] 7 2 4 2" xfId="11337"/>
    <cellStyle name="Input [yellow] 7 2 4 2 2" xfId="11338"/>
    <cellStyle name="Input [yellow] 7 2 4 2 3" xfId="11339"/>
    <cellStyle name="Input [yellow] 7 2 4 2 4" xfId="11340"/>
    <cellStyle name="Input [yellow] 7 2 4 3" xfId="11341"/>
    <cellStyle name="Input [yellow] 7 2 4 3 2" xfId="11342"/>
    <cellStyle name="Input [yellow] 7 2 4 3 3" xfId="11343"/>
    <cellStyle name="Input [yellow] 7 2 4 3 4" xfId="11344"/>
    <cellStyle name="Input [yellow] 7 2 4 4" xfId="11345"/>
    <cellStyle name="Input [yellow] 7 2 4 4 2" xfId="11346"/>
    <cellStyle name="Input [yellow] 7 2 4 4 3" xfId="11347"/>
    <cellStyle name="Input [yellow] 7 2 4 4 4" xfId="11348"/>
    <cellStyle name="Input [yellow] 7 2 4 5" xfId="11349"/>
    <cellStyle name="Input [yellow] 7 2 4 6" xfId="11350"/>
    <cellStyle name="Input [yellow] 7 2 4 7" xfId="11351"/>
    <cellStyle name="Input [yellow] 7 2 4 8" xfId="11352"/>
    <cellStyle name="Input [yellow] 7 2 5" xfId="11353"/>
    <cellStyle name="Input [yellow] 7 2 5 2" xfId="11354"/>
    <cellStyle name="Input [yellow] 7 2 5 3" xfId="11355"/>
    <cellStyle name="Input [yellow] 7 2 5 4" xfId="11356"/>
    <cellStyle name="Input [yellow] 7 2 6" xfId="11357"/>
    <cellStyle name="Input [yellow] 7 2 6 2" xfId="11358"/>
    <cellStyle name="Input [yellow] 7 2 6 3" xfId="11359"/>
    <cellStyle name="Input [yellow] 7 2 6 4" xfId="11360"/>
    <cellStyle name="Input [yellow] 7 2 7" xfId="11361"/>
    <cellStyle name="Input [yellow] 7 2 8" xfId="11362"/>
    <cellStyle name="Input [yellow] 7 3" xfId="11363"/>
    <cellStyle name="Input [yellow] 7 3 2" xfId="11364"/>
    <cellStyle name="Input [yellow] 7 3 2 2" xfId="11365"/>
    <cellStyle name="Input [yellow] 7 3 2 3" xfId="11366"/>
    <cellStyle name="Input [yellow] 7 3 2 4" xfId="11367"/>
    <cellStyle name="Input [yellow] 7 3 3" xfId="11368"/>
    <cellStyle name="Input [yellow] 7 3 3 2" xfId="11369"/>
    <cellStyle name="Input [yellow] 7 3 3 3" xfId="11370"/>
    <cellStyle name="Input [yellow] 7 3 3 4" xfId="11371"/>
    <cellStyle name="Input [yellow] 7 3 4" xfId="11372"/>
    <cellStyle name="Input [yellow] 7 3 4 2" xfId="11373"/>
    <cellStyle name="Input [yellow] 7 3 4 3" xfId="11374"/>
    <cellStyle name="Input [yellow] 7 3 4 4" xfId="11375"/>
    <cellStyle name="Input [yellow] 7 3 5" xfId="11376"/>
    <cellStyle name="Input [yellow] 7 3 6" xfId="11377"/>
    <cellStyle name="Input [yellow] 7 3 7" xfId="11378"/>
    <cellStyle name="Input [yellow] 7 3 8" xfId="11379"/>
    <cellStyle name="Input [yellow] 7 4" xfId="11380"/>
    <cellStyle name="Input [yellow] 7 4 2" xfId="11381"/>
    <cellStyle name="Input [yellow] 7 4 2 2" xfId="11382"/>
    <cellStyle name="Input [yellow] 7 4 2 3" xfId="11383"/>
    <cellStyle name="Input [yellow] 7 4 2 4" xfId="11384"/>
    <cellStyle name="Input [yellow] 7 4 3" xfId="11385"/>
    <cellStyle name="Input [yellow] 7 4 3 2" xfId="11386"/>
    <cellStyle name="Input [yellow] 7 4 3 3" xfId="11387"/>
    <cellStyle name="Input [yellow] 7 4 3 4" xfId="11388"/>
    <cellStyle name="Input [yellow] 7 4 4" xfId="11389"/>
    <cellStyle name="Input [yellow] 7 4 4 2" xfId="11390"/>
    <cellStyle name="Input [yellow] 7 4 4 3" xfId="11391"/>
    <cellStyle name="Input [yellow] 7 4 4 4" xfId="11392"/>
    <cellStyle name="Input [yellow] 7 4 5" xfId="11393"/>
    <cellStyle name="Input [yellow] 7 4 6" xfId="11394"/>
    <cellStyle name="Input [yellow] 7 4 7" xfId="11395"/>
    <cellStyle name="Input [yellow] 7 4 8" xfId="11396"/>
    <cellStyle name="Input [yellow] 7 5" xfId="11397"/>
    <cellStyle name="Input [yellow] 7 5 2" xfId="11398"/>
    <cellStyle name="Input [yellow] 7 5 2 2" xfId="11399"/>
    <cellStyle name="Input [yellow] 7 5 2 3" xfId="11400"/>
    <cellStyle name="Input [yellow] 7 5 2 4" xfId="11401"/>
    <cellStyle name="Input [yellow] 7 5 3" xfId="11402"/>
    <cellStyle name="Input [yellow] 7 5 3 2" xfId="11403"/>
    <cellStyle name="Input [yellow] 7 5 3 3" xfId="11404"/>
    <cellStyle name="Input [yellow] 7 5 3 4" xfId="11405"/>
    <cellStyle name="Input [yellow] 7 5 4" xfId="11406"/>
    <cellStyle name="Input [yellow] 7 5 4 2" xfId="11407"/>
    <cellStyle name="Input [yellow] 7 5 4 3" xfId="11408"/>
    <cellStyle name="Input [yellow] 7 5 4 4" xfId="11409"/>
    <cellStyle name="Input [yellow] 7 5 5" xfId="11410"/>
    <cellStyle name="Input [yellow] 7 5 6" xfId="11411"/>
    <cellStyle name="Input [yellow] 7 5 7" xfId="11412"/>
    <cellStyle name="Input [yellow] 7 5 8" xfId="11413"/>
    <cellStyle name="Input [yellow] 7 6" xfId="11414"/>
    <cellStyle name="Input [yellow] 7 6 2" xfId="11415"/>
    <cellStyle name="Input [yellow] 7 6 3" xfId="11416"/>
    <cellStyle name="Input [yellow] 7 6 4" xfId="11417"/>
    <cellStyle name="Input [yellow] 7 7" xfId="11418"/>
    <cellStyle name="Input [yellow] 7 7 2" xfId="11419"/>
    <cellStyle name="Input [yellow] 7 7 3" xfId="11420"/>
    <cellStyle name="Input [yellow] 7 7 4" xfId="11421"/>
    <cellStyle name="Input [yellow] 7 8" xfId="11422"/>
    <cellStyle name="Input [yellow] 7 9" xfId="11423"/>
    <cellStyle name="Input [yellow] 8" xfId="11424"/>
    <cellStyle name="Input [yellow] 8 2" xfId="11425"/>
    <cellStyle name="Input [yellow] 8 2 2" xfId="11426"/>
    <cellStyle name="Input [yellow] 8 2 2 2" xfId="11427"/>
    <cellStyle name="Input [yellow] 8 2 2 2 2" xfId="11428"/>
    <cellStyle name="Input [yellow] 8 2 2 2 3" xfId="11429"/>
    <cellStyle name="Input [yellow] 8 2 2 2 4" xfId="11430"/>
    <cellStyle name="Input [yellow] 8 2 2 3" xfId="11431"/>
    <cellStyle name="Input [yellow] 8 2 2 3 2" xfId="11432"/>
    <cellStyle name="Input [yellow] 8 2 2 3 3" xfId="11433"/>
    <cellStyle name="Input [yellow] 8 2 2 3 4" xfId="11434"/>
    <cellStyle name="Input [yellow] 8 2 2 4" xfId="11435"/>
    <cellStyle name="Input [yellow] 8 2 2 4 2" xfId="11436"/>
    <cellStyle name="Input [yellow] 8 2 2 4 3" xfId="11437"/>
    <cellStyle name="Input [yellow] 8 2 2 4 4" xfId="11438"/>
    <cellStyle name="Input [yellow] 8 2 2 5" xfId="11439"/>
    <cellStyle name="Input [yellow] 8 2 2 6" xfId="11440"/>
    <cellStyle name="Input [yellow] 8 2 2 7" xfId="11441"/>
    <cellStyle name="Input [yellow] 8 2 2 8" xfId="11442"/>
    <cellStyle name="Input [yellow] 8 2 3" xfId="11443"/>
    <cellStyle name="Input [yellow] 8 2 3 2" xfId="11444"/>
    <cellStyle name="Input [yellow] 8 2 3 2 2" xfId="11445"/>
    <cellStyle name="Input [yellow] 8 2 3 2 3" xfId="11446"/>
    <cellStyle name="Input [yellow] 8 2 3 2 4" xfId="11447"/>
    <cellStyle name="Input [yellow] 8 2 3 3" xfId="11448"/>
    <cellStyle name="Input [yellow] 8 2 3 3 2" xfId="11449"/>
    <cellStyle name="Input [yellow] 8 2 3 3 3" xfId="11450"/>
    <cellStyle name="Input [yellow] 8 2 3 3 4" xfId="11451"/>
    <cellStyle name="Input [yellow] 8 2 3 4" xfId="11452"/>
    <cellStyle name="Input [yellow] 8 2 3 4 2" xfId="11453"/>
    <cellStyle name="Input [yellow] 8 2 3 4 3" xfId="11454"/>
    <cellStyle name="Input [yellow] 8 2 3 4 4" xfId="11455"/>
    <cellStyle name="Input [yellow] 8 2 3 5" xfId="11456"/>
    <cellStyle name="Input [yellow] 8 2 3 6" xfId="11457"/>
    <cellStyle name="Input [yellow] 8 2 3 7" xfId="11458"/>
    <cellStyle name="Input [yellow] 8 2 3 8" xfId="11459"/>
    <cellStyle name="Input [yellow] 8 2 4" xfId="11460"/>
    <cellStyle name="Input [yellow] 8 2 4 2" xfId="11461"/>
    <cellStyle name="Input [yellow] 8 2 4 2 2" xfId="11462"/>
    <cellStyle name="Input [yellow] 8 2 4 2 3" xfId="11463"/>
    <cellStyle name="Input [yellow] 8 2 4 2 4" xfId="11464"/>
    <cellStyle name="Input [yellow] 8 2 4 3" xfId="11465"/>
    <cellStyle name="Input [yellow] 8 2 4 3 2" xfId="11466"/>
    <cellStyle name="Input [yellow] 8 2 4 3 3" xfId="11467"/>
    <cellStyle name="Input [yellow] 8 2 4 3 4" xfId="11468"/>
    <cellStyle name="Input [yellow] 8 2 4 4" xfId="11469"/>
    <cellStyle name="Input [yellow] 8 2 4 4 2" xfId="11470"/>
    <cellStyle name="Input [yellow] 8 2 4 4 3" xfId="11471"/>
    <cellStyle name="Input [yellow] 8 2 4 4 4" xfId="11472"/>
    <cellStyle name="Input [yellow] 8 2 4 5" xfId="11473"/>
    <cellStyle name="Input [yellow] 8 2 4 6" xfId="11474"/>
    <cellStyle name="Input [yellow] 8 2 4 7" xfId="11475"/>
    <cellStyle name="Input [yellow] 8 2 4 8" xfId="11476"/>
    <cellStyle name="Input [yellow] 8 2 5" xfId="11477"/>
    <cellStyle name="Input [yellow] 8 2 5 2" xfId="11478"/>
    <cellStyle name="Input [yellow] 8 2 5 3" xfId="11479"/>
    <cellStyle name="Input [yellow] 8 2 5 4" xfId="11480"/>
    <cellStyle name="Input [yellow] 8 2 6" xfId="11481"/>
    <cellStyle name="Input [yellow] 8 2 6 2" xfId="11482"/>
    <cellStyle name="Input [yellow] 8 2 6 3" xfId="11483"/>
    <cellStyle name="Input [yellow] 8 2 6 4" xfId="11484"/>
    <cellStyle name="Input [yellow] 8 2 7" xfId="11485"/>
    <cellStyle name="Input [yellow] 8 2 8" xfId="11486"/>
    <cellStyle name="Input [yellow] 8 3" xfId="11487"/>
    <cellStyle name="Input [yellow] 8 3 2" xfId="11488"/>
    <cellStyle name="Input [yellow] 8 3 2 2" xfId="11489"/>
    <cellStyle name="Input [yellow] 8 3 2 3" xfId="11490"/>
    <cellStyle name="Input [yellow] 8 3 2 4" xfId="11491"/>
    <cellStyle name="Input [yellow] 8 3 3" xfId="11492"/>
    <cellStyle name="Input [yellow] 8 3 3 2" xfId="11493"/>
    <cellStyle name="Input [yellow] 8 3 3 3" xfId="11494"/>
    <cellStyle name="Input [yellow] 8 3 3 4" xfId="11495"/>
    <cellStyle name="Input [yellow] 8 3 4" xfId="11496"/>
    <cellStyle name="Input [yellow] 8 3 4 2" xfId="11497"/>
    <cellStyle name="Input [yellow] 8 3 4 3" xfId="11498"/>
    <cellStyle name="Input [yellow] 8 3 4 4" xfId="11499"/>
    <cellStyle name="Input [yellow] 8 3 5" xfId="11500"/>
    <cellStyle name="Input [yellow] 8 3 6" xfId="11501"/>
    <cellStyle name="Input [yellow] 8 3 7" xfId="11502"/>
    <cellStyle name="Input [yellow] 8 3 8" xfId="11503"/>
    <cellStyle name="Input [yellow] 8 4" xfId="11504"/>
    <cellStyle name="Input [yellow] 8 4 2" xfId="11505"/>
    <cellStyle name="Input [yellow] 8 4 2 2" xfId="11506"/>
    <cellStyle name="Input [yellow] 8 4 2 3" xfId="11507"/>
    <cellStyle name="Input [yellow] 8 4 2 4" xfId="11508"/>
    <cellStyle name="Input [yellow] 8 4 3" xfId="11509"/>
    <cellStyle name="Input [yellow] 8 4 3 2" xfId="11510"/>
    <cellStyle name="Input [yellow] 8 4 3 3" xfId="11511"/>
    <cellStyle name="Input [yellow] 8 4 3 4" xfId="11512"/>
    <cellStyle name="Input [yellow] 8 4 4" xfId="11513"/>
    <cellStyle name="Input [yellow] 8 4 4 2" xfId="11514"/>
    <cellStyle name="Input [yellow] 8 4 4 3" xfId="11515"/>
    <cellStyle name="Input [yellow] 8 4 4 4" xfId="11516"/>
    <cellStyle name="Input [yellow] 8 4 5" xfId="11517"/>
    <cellStyle name="Input [yellow] 8 4 6" xfId="11518"/>
    <cellStyle name="Input [yellow] 8 4 7" xfId="11519"/>
    <cellStyle name="Input [yellow] 8 4 8" xfId="11520"/>
    <cellStyle name="Input [yellow] 8 5" xfId="11521"/>
    <cellStyle name="Input [yellow] 8 5 2" xfId="11522"/>
    <cellStyle name="Input [yellow] 8 5 2 2" xfId="11523"/>
    <cellStyle name="Input [yellow] 8 5 2 3" xfId="11524"/>
    <cellStyle name="Input [yellow] 8 5 2 4" xfId="11525"/>
    <cellStyle name="Input [yellow] 8 5 3" xfId="11526"/>
    <cellStyle name="Input [yellow] 8 5 3 2" xfId="11527"/>
    <cellStyle name="Input [yellow] 8 5 3 3" xfId="11528"/>
    <cellStyle name="Input [yellow] 8 5 3 4" xfId="11529"/>
    <cellStyle name="Input [yellow] 8 5 4" xfId="11530"/>
    <cellStyle name="Input [yellow] 8 5 4 2" xfId="11531"/>
    <cellStyle name="Input [yellow] 8 5 4 3" xfId="11532"/>
    <cellStyle name="Input [yellow] 8 5 4 4" xfId="11533"/>
    <cellStyle name="Input [yellow] 8 5 5" xfId="11534"/>
    <cellStyle name="Input [yellow] 8 5 6" xfId="11535"/>
    <cellStyle name="Input [yellow] 8 5 7" xfId="11536"/>
    <cellStyle name="Input [yellow] 8 5 8" xfId="11537"/>
    <cellStyle name="Input [yellow] 8 6" xfId="11538"/>
    <cellStyle name="Input [yellow] 8 6 2" xfId="11539"/>
    <cellStyle name="Input [yellow] 8 6 3" xfId="11540"/>
    <cellStyle name="Input [yellow] 8 6 4" xfId="11541"/>
    <cellStyle name="Input [yellow] 8 7" xfId="11542"/>
    <cellStyle name="Input [yellow] 8 7 2" xfId="11543"/>
    <cellStyle name="Input [yellow] 8 7 3" xfId="11544"/>
    <cellStyle name="Input [yellow] 8 7 4" xfId="11545"/>
    <cellStyle name="Input [yellow] 8 8" xfId="11546"/>
    <cellStyle name="Input [yellow] 8 9" xfId="11547"/>
    <cellStyle name="Input [yellow] 9" xfId="11548"/>
    <cellStyle name="Input [yellow] 9 2" xfId="11549"/>
    <cellStyle name="Input [yellow] 9 2 2" xfId="11550"/>
    <cellStyle name="Input [yellow] 9 2 2 2" xfId="11551"/>
    <cellStyle name="Input [yellow] 9 2 2 2 2" xfId="11552"/>
    <cellStyle name="Input [yellow] 9 2 2 2 3" xfId="11553"/>
    <cellStyle name="Input [yellow] 9 2 2 2 4" xfId="11554"/>
    <cellStyle name="Input [yellow] 9 2 2 3" xfId="11555"/>
    <cellStyle name="Input [yellow] 9 2 2 3 2" xfId="11556"/>
    <cellStyle name="Input [yellow] 9 2 2 3 3" xfId="11557"/>
    <cellStyle name="Input [yellow] 9 2 2 3 4" xfId="11558"/>
    <cellStyle name="Input [yellow] 9 2 2 4" xfId="11559"/>
    <cellStyle name="Input [yellow] 9 2 2 4 2" xfId="11560"/>
    <cellStyle name="Input [yellow] 9 2 2 4 3" xfId="11561"/>
    <cellStyle name="Input [yellow] 9 2 2 4 4" xfId="11562"/>
    <cellStyle name="Input [yellow] 9 2 2 5" xfId="11563"/>
    <cellStyle name="Input [yellow] 9 2 2 6" xfId="11564"/>
    <cellStyle name="Input [yellow] 9 2 2 7" xfId="11565"/>
    <cellStyle name="Input [yellow] 9 2 2 8" xfId="11566"/>
    <cellStyle name="Input [yellow] 9 2 3" xfId="11567"/>
    <cellStyle name="Input [yellow] 9 2 3 2" xfId="11568"/>
    <cellStyle name="Input [yellow] 9 2 3 2 2" xfId="11569"/>
    <cellStyle name="Input [yellow] 9 2 3 2 3" xfId="11570"/>
    <cellStyle name="Input [yellow] 9 2 3 2 4" xfId="11571"/>
    <cellStyle name="Input [yellow] 9 2 3 3" xfId="11572"/>
    <cellStyle name="Input [yellow] 9 2 3 3 2" xfId="11573"/>
    <cellStyle name="Input [yellow] 9 2 3 3 3" xfId="11574"/>
    <cellStyle name="Input [yellow] 9 2 3 3 4" xfId="11575"/>
    <cellStyle name="Input [yellow] 9 2 3 4" xfId="11576"/>
    <cellStyle name="Input [yellow] 9 2 3 4 2" xfId="11577"/>
    <cellStyle name="Input [yellow] 9 2 3 4 3" xfId="11578"/>
    <cellStyle name="Input [yellow] 9 2 3 4 4" xfId="11579"/>
    <cellStyle name="Input [yellow] 9 2 3 5" xfId="11580"/>
    <cellStyle name="Input [yellow] 9 2 3 6" xfId="11581"/>
    <cellStyle name="Input [yellow] 9 2 3 7" xfId="11582"/>
    <cellStyle name="Input [yellow] 9 2 3 8" xfId="11583"/>
    <cellStyle name="Input [yellow] 9 2 4" xfId="11584"/>
    <cellStyle name="Input [yellow] 9 2 4 2" xfId="11585"/>
    <cellStyle name="Input [yellow] 9 2 4 2 2" xfId="11586"/>
    <cellStyle name="Input [yellow] 9 2 4 2 3" xfId="11587"/>
    <cellStyle name="Input [yellow] 9 2 4 2 4" xfId="11588"/>
    <cellStyle name="Input [yellow] 9 2 4 3" xfId="11589"/>
    <cellStyle name="Input [yellow] 9 2 4 3 2" xfId="11590"/>
    <cellStyle name="Input [yellow] 9 2 4 3 3" xfId="11591"/>
    <cellStyle name="Input [yellow] 9 2 4 3 4" xfId="11592"/>
    <cellStyle name="Input [yellow] 9 2 4 4" xfId="11593"/>
    <cellStyle name="Input [yellow] 9 2 4 4 2" xfId="11594"/>
    <cellStyle name="Input [yellow] 9 2 4 4 3" xfId="11595"/>
    <cellStyle name="Input [yellow] 9 2 4 4 4" xfId="11596"/>
    <cellStyle name="Input [yellow] 9 2 4 5" xfId="11597"/>
    <cellStyle name="Input [yellow] 9 2 4 6" xfId="11598"/>
    <cellStyle name="Input [yellow] 9 2 4 7" xfId="11599"/>
    <cellStyle name="Input [yellow] 9 2 4 8" xfId="11600"/>
    <cellStyle name="Input [yellow] 9 2 5" xfId="11601"/>
    <cellStyle name="Input [yellow] 9 2 5 2" xfId="11602"/>
    <cellStyle name="Input [yellow] 9 2 5 3" xfId="11603"/>
    <cellStyle name="Input [yellow] 9 2 5 4" xfId="11604"/>
    <cellStyle name="Input [yellow] 9 2 6" xfId="11605"/>
    <cellStyle name="Input [yellow] 9 2 6 2" xfId="11606"/>
    <cellStyle name="Input [yellow] 9 2 6 3" xfId="11607"/>
    <cellStyle name="Input [yellow] 9 2 6 4" xfId="11608"/>
    <cellStyle name="Input [yellow] 9 2 7" xfId="11609"/>
    <cellStyle name="Input [yellow] 9 2 8" xfId="11610"/>
    <cellStyle name="Input [yellow] 9 3" xfId="11611"/>
    <cellStyle name="Input [yellow] 9 3 2" xfId="11612"/>
    <cellStyle name="Input [yellow] 9 3 2 2" xfId="11613"/>
    <cellStyle name="Input [yellow] 9 3 2 3" xfId="11614"/>
    <cellStyle name="Input [yellow] 9 3 2 4" xfId="11615"/>
    <cellStyle name="Input [yellow] 9 3 3" xfId="11616"/>
    <cellStyle name="Input [yellow] 9 3 3 2" xfId="11617"/>
    <cellStyle name="Input [yellow] 9 3 3 3" xfId="11618"/>
    <cellStyle name="Input [yellow] 9 3 3 4" xfId="11619"/>
    <cellStyle name="Input [yellow] 9 3 4" xfId="11620"/>
    <cellStyle name="Input [yellow] 9 3 4 2" xfId="11621"/>
    <cellStyle name="Input [yellow] 9 3 4 3" xfId="11622"/>
    <cellStyle name="Input [yellow] 9 3 4 4" xfId="11623"/>
    <cellStyle name="Input [yellow] 9 3 5" xfId="11624"/>
    <cellStyle name="Input [yellow] 9 3 6" xfId="11625"/>
    <cellStyle name="Input [yellow] 9 3 7" xfId="11626"/>
    <cellStyle name="Input [yellow] 9 3 8" xfId="11627"/>
    <cellStyle name="Input [yellow] 9 4" xfId="11628"/>
    <cellStyle name="Input [yellow] 9 4 2" xfId="11629"/>
    <cellStyle name="Input [yellow] 9 4 2 2" xfId="11630"/>
    <cellStyle name="Input [yellow] 9 4 2 3" xfId="11631"/>
    <cellStyle name="Input [yellow] 9 4 2 4" xfId="11632"/>
    <cellStyle name="Input [yellow] 9 4 3" xfId="11633"/>
    <cellStyle name="Input [yellow] 9 4 3 2" xfId="11634"/>
    <cellStyle name="Input [yellow] 9 4 3 3" xfId="11635"/>
    <cellStyle name="Input [yellow] 9 4 3 4" xfId="11636"/>
    <cellStyle name="Input [yellow] 9 4 4" xfId="11637"/>
    <cellStyle name="Input [yellow] 9 4 4 2" xfId="11638"/>
    <cellStyle name="Input [yellow] 9 4 4 3" xfId="11639"/>
    <cellStyle name="Input [yellow] 9 4 4 4" xfId="11640"/>
    <cellStyle name="Input [yellow] 9 4 5" xfId="11641"/>
    <cellStyle name="Input [yellow] 9 4 6" xfId="11642"/>
    <cellStyle name="Input [yellow] 9 4 7" xfId="11643"/>
    <cellStyle name="Input [yellow] 9 4 8" xfId="11644"/>
    <cellStyle name="Input [yellow] 9 5" xfId="11645"/>
    <cellStyle name="Input [yellow] 9 5 2" xfId="11646"/>
    <cellStyle name="Input [yellow] 9 5 2 2" xfId="11647"/>
    <cellStyle name="Input [yellow] 9 5 2 3" xfId="11648"/>
    <cellStyle name="Input [yellow] 9 5 2 4" xfId="11649"/>
    <cellStyle name="Input [yellow] 9 5 3" xfId="11650"/>
    <cellStyle name="Input [yellow] 9 5 3 2" xfId="11651"/>
    <cellStyle name="Input [yellow] 9 5 3 3" xfId="11652"/>
    <cellStyle name="Input [yellow] 9 5 3 4" xfId="11653"/>
    <cellStyle name="Input [yellow] 9 5 4" xfId="11654"/>
    <cellStyle name="Input [yellow] 9 5 4 2" xfId="11655"/>
    <cellStyle name="Input [yellow] 9 5 4 3" xfId="11656"/>
    <cellStyle name="Input [yellow] 9 5 4 4" xfId="11657"/>
    <cellStyle name="Input [yellow] 9 5 5" xfId="11658"/>
    <cellStyle name="Input [yellow] 9 5 6" xfId="11659"/>
    <cellStyle name="Input [yellow] 9 5 7" xfId="11660"/>
    <cellStyle name="Input [yellow] 9 5 8" xfId="11661"/>
    <cellStyle name="Input [yellow] 9 6" xfId="11662"/>
    <cellStyle name="Input [yellow] 9 6 2" xfId="11663"/>
    <cellStyle name="Input [yellow] 9 6 3" xfId="11664"/>
    <cellStyle name="Input [yellow] 9 6 4" xfId="11665"/>
    <cellStyle name="Input [yellow] 9 7" xfId="11666"/>
    <cellStyle name="Input [yellow] 9 7 2" xfId="11667"/>
    <cellStyle name="Input [yellow] 9 7 3" xfId="11668"/>
    <cellStyle name="Input [yellow] 9 7 4" xfId="11669"/>
    <cellStyle name="Input [yellow] 9 8" xfId="11670"/>
    <cellStyle name="Input [yellow] 9 9" xfId="11671"/>
    <cellStyle name="Input 10" xfId="11672"/>
    <cellStyle name="Input 10 2" xfId="11673"/>
    <cellStyle name="Input 10 2 2" xfId="11674"/>
    <cellStyle name="Input 10 2 3" xfId="11675"/>
    <cellStyle name="Input 10 2 4" xfId="11676"/>
    <cellStyle name="Input 10 3" xfId="11677"/>
    <cellStyle name="Input 10 3 2" xfId="11678"/>
    <cellStyle name="Input 10 3 3" xfId="11679"/>
    <cellStyle name="Input 10 3 4" xfId="11680"/>
    <cellStyle name="Input 10 4" xfId="11681"/>
    <cellStyle name="Input 10 4 2" xfId="11682"/>
    <cellStyle name="Input 10 4 3" xfId="11683"/>
    <cellStyle name="Input 10 4 4" xfId="11684"/>
    <cellStyle name="Input 10 5" xfId="11685"/>
    <cellStyle name="Input 10 6" xfId="11686"/>
    <cellStyle name="Input 10 7" xfId="11687"/>
    <cellStyle name="Input 10 8" xfId="11688"/>
    <cellStyle name="Input 11" xfId="11689"/>
    <cellStyle name="Input 11 2" xfId="11690"/>
    <cellStyle name="Input 11 2 2" xfId="11691"/>
    <cellStyle name="Input 11 2 3" xfId="11692"/>
    <cellStyle name="Input 11 2 4" xfId="11693"/>
    <cellStyle name="Input 11 3" xfId="11694"/>
    <cellStyle name="Input 11 3 2" xfId="11695"/>
    <cellStyle name="Input 11 3 3" xfId="11696"/>
    <cellStyle name="Input 11 3 4" xfId="11697"/>
    <cellStyle name="Input 11 4" xfId="11698"/>
    <cellStyle name="Input 11 4 2" xfId="11699"/>
    <cellStyle name="Input 11 4 3" xfId="11700"/>
    <cellStyle name="Input 11 4 4" xfId="11701"/>
    <cellStyle name="Input 11 5" xfId="11702"/>
    <cellStyle name="Input 11 6" xfId="11703"/>
    <cellStyle name="Input 11 7" xfId="11704"/>
    <cellStyle name="Input 11 8" xfId="11705"/>
    <cellStyle name="Input 12" xfId="11706"/>
    <cellStyle name="Input 12 2" xfId="11707"/>
    <cellStyle name="Input 12 2 2" xfId="11708"/>
    <cellStyle name="Input 12 2 3" xfId="11709"/>
    <cellStyle name="Input 12 2 4" xfId="11710"/>
    <cellStyle name="Input 12 3" xfId="11711"/>
    <cellStyle name="Input 12 3 2" xfId="11712"/>
    <cellStyle name="Input 12 3 3" xfId="11713"/>
    <cellStyle name="Input 12 3 4" xfId="11714"/>
    <cellStyle name="Input 12 4" xfId="11715"/>
    <cellStyle name="Input 12 4 2" xfId="11716"/>
    <cellStyle name="Input 12 4 3" xfId="11717"/>
    <cellStyle name="Input 12 4 4" xfId="11718"/>
    <cellStyle name="Input 12 5" xfId="11719"/>
    <cellStyle name="Input 12 6" xfId="11720"/>
    <cellStyle name="Input 12 7" xfId="11721"/>
    <cellStyle name="Input 12 8" xfId="11722"/>
    <cellStyle name="Input 13" xfId="11723"/>
    <cellStyle name="Input 13 2" xfId="11724"/>
    <cellStyle name="Input 13 2 2" xfId="11725"/>
    <cellStyle name="Input 13 2 3" xfId="11726"/>
    <cellStyle name="Input 13 2 4" xfId="11727"/>
    <cellStyle name="Input 13 3" xfId="11728"/>
    <cellStyle name="Input 13 3 2" xfId="11729"/>
    <cellStyle name="Input 13 3 3" xfId="11730"/>
    <cellStyle name="Input 13 3 4" xfId="11731"/>
    <cellStyle name="Input 13 4" xfId="11732"/>
    <cellStyle name="Input 13 4 2" xfId="11733"/>
    <cellStyle name="Input 13 4 3" xfId="11734"/>
    <cellStyle name="Input 13 4 4" xfId="11735"/>
    <cellStyle name="Input 13 5" xfId="11736"/>
    <cellStyle name="Input 13 6" xfId="11737"/>
    <cellStyle name="Input 13 7" xfId="11738"/>
    <cellStyle name="Input 13 8" xfId="11739"/>
    <cellStyle name="Input 14" xfId="11740"/>
    <cellStyle name="Input 14 2" xfId="11741"/>
    <cellStyle name="Input 14 3" xfId="11742"/>
    <cellStyle name="Input 14 4" xfId="11743"/>
    <cellStyle name="Input 15" xfId="11744"/>
    <cellStyle name="Input 15 2" xfId="11745"/>
    <cellStyle name="Input 15 3" xfId="11746"/>
    <cellStyle name="Input 15 4" xfId="11747"/>
    <cellStyle name="Input 16" xfId="11748"/>
    <cellStyle name="Input 16 2" xfId="11749"/>
    <cellStyle name="Input 16 3" xfId="11750"/>
    <cellStyle name="Input 16 4" xfId="11751"/>
    <cellStyle name="Input 17" xfId="11752"/>
    <cellStyle name="Input 18" xfId="11753"/>
    <cellStyle name="Input 19" xfId="11754"/>
    <cellStyle name="Input 2" xfId="11755"/>
    <cellStyle name="Input 2 10" xfId="11756"/>
    <cellStyle name="Input 2 11" xfId="11757"/>
    <cellStyle name="Input 2 2" xfId="11758"/>
    <cellStyle name="Input 2 2 2" xfId="11759"/>
    <cellStyle name="Input 2 2 2 2" xfId="11760"/>
    <cellStyle name="Input 2 2 2 2 2" xfId="11761"/>
    <cellStyle name="Input 2 2 2 2 3" xfId="11762"/>
    <cellStyle name="Input 2 2 2 2 4" xfId="11763"/>
    <cellStyle name="Input 2 2 2 3" xfId="11764"/>
    <cellStyle name="Input 2 2 2 3 2" xfId="11765"/>
    <cellStyle name="Input 2 2 2 3 3" xfId="11766"/>
    <cellStyle name="Input 2 2 2 3 4" xfId="11767"/>
    <cellStyle name="Input 2 2 2 4" xfId="11768"/>
    <cellStyle name="Input 2 2 2 4 2" xfId="11769"/>
    <cellStyle name="Input 2 2 2 4 3" xfId="11770"/>
    <cellStyle name="Input 2 2 2 4 4" xfId="11771"/>
    <cellStyle name="Input 2 2 2 5" xfId="11772"/>
    <cellStyle name="Input 2 2 2 6" xfId="11773"/>
    <cellStyle name="Input 2 2 2 7" xfId="11774"/>
    <cellStyle name="Input 2 2 2 8" xfId="11775"/>
    <cellStyle name="Input 2 2 3" xfId="11776"/>
    <cellStyle name="Input 2 2 3 2" xfId="11777"/>
    <cellStyle name="Input 2 2 3 2 2" xfId="11778"/>
    <cellStyle name="Input 2 2 3 2 3" xfId="11779"/>
    <cellStyle name="Input 2 2 3 2 4" xfId="11780"/>
    <cellStyle name="Input 2 2 3 3" xfId="11781"/>
    <cellStyle name="Input 2 2 3 3 2" xfId="11782"/>
    <cellStyle name="Input 2 2 3 3 3" xfId="11783"/>
    <cellStyle name="Input 2 2 3 3 4" xfId="11784"/>
    <cellStyle name="Input 2 2 3 4" xfId="11785"/>
    <cellStyle name="Input 2 2 3 4 2" xfId="11786"/>
    <cellStyle name="Input 2 2 3 4 3" xfId="11787"/>
    <cellStyle name="Input 2 2 3 4 4" xfId="11788"/>
    <cellStyle name="Input 2 2 3 5" xfId="11789"/>
    <cellStyle name="Input 2 2 3 6" xfId="11790"/>
    <cellStyle name="Input 2 2 3 7" xfId="11791"/>
    <cellStyle name="Input 2 2 3 8" xfId="11792"/>
    <cellStyle name="Input 2 2 4" xfId="11793"/>
    <cellStyle name="Input 2 2 4 2" xfId="11794"/>
    <cellStyle name="Input 2 2 4 2 2" xfId="11795"/>
    <cellStyle name="Input 2 2 4 2 3" xfId="11796"/>
    <cellStyle name="Input 2 2 4 2 4" xfId="11797"/>
    <cellStyle name="Input 2 2 4 3" xfId="11798"/>
    <cellStyle name="Input 2 2 4 3 2" xfId="11799"/>
    <cellStyle name="Input 2 2 4 3 3" xfId="11800"/>
    <cellStyle name="Input 2 2 4 3 4" xfId="11801"/>
    <cellStyle name="Input 2 2 4 4" xfId="11802"/>
    <cellStyle name="Input 2 2 4 4 2" xfId="11803"/>
    <cellStyle name="Input 2 2 4 4 3" xfId="11804"/>
    <cellStyle name="Input 2 2 4 4 4" xfId="11805"/>
    <cellStyle name="Input 2 2 4 5" xfId="11806"/>
    <cellStyle name="Input 2 2 4 6" xfId="11807"/>
    <cellStyle name="Input 2 2 4 7" xfId="11808"/>
    <cellStyle name="Input 2 2 4 8" xfId="11809"/>
    <cellStyle name="Input 2 2 5" xfId="11810"/>
    <cellStyle name="Input 2 2 5 2" xfId="11811"/>
    <cellStyle name="Input 2 2 5 2 2" xfId="11812"/>
    <cellStyle name="Input 2 2 5 2 3" xfId="11813"/>
    <cellStyle name="Input 2 2 5 2 4" xfId="11814"/>
    <cellStyle name="Input 2 2 5 3" xfId="11815"/>
    <cellStyle name="Input 2 2 5 3 2" xfId="11816"/>
    <cellStyle name="Input 2 2 5 3 3" xfId="11817"/>
    <cellStyle name="Input 2 2 5 3 4" xfId="11818"/>
    <cellStyle name="Input 2 2 5 4" xfId="11819"/>
    <cellStyle name="Input 2 2 5 4 2" xfId="11820"/>
    <cellStyle name="Input 2 2 5 4 3" xfId="11821"/>
    <cellStyle name="Input 2 2 5 4 4" xfId="11822"/>
    <cellStyle name="Input 2 2 5 5" xfId="11823"/>
    <cellStyle name="Input 2 2 5 6" xfId="11824"/>
    <cellStyle name="Input 2 2 5 7" xfId="11825"/>
    <cellStyle name="Input 2 2 5 8" xfId="11826"/>
    <cellStyle name="Input 2 2 6" xfId="11827"/>
    <cellStyle name="Input 2 2 6 2" xfId="11828"/>
    <cellStyle name="Input 2 2 6 3" xfId="11829"/>
    <cellStyle name="Input 2 2 6 4" xfId="11830"/>
    <cellStyle name="Input 2 2 7" xfId="11831"/>
    <cellStyle name="Input 2 2 7 2" xfId="11832"/>
    <cellStyle name="Input 2 2 7 3" xfId="11833"/>
    <cellStyle name="Input 2 2 7 4" xfId="11834"/>
    <cellStyle name="Input 2 2 8" xfId="11835"/>
    <cellStyle name="Input 2 2 9" xfId="11836"/>
    <cellStyle name="Input 2 3" xfId="11837"/>
    <cellStyle name="Input 2 3 2" xfId="11838"/>
    <cellStyle name="Input 2 3 2 2" xfId="11839"/>
    <cellStyle name="Input 2 3 2 3" xfId="11840"/>
    <cellStyle name="Input 2 3 2 4" xfId="11841"/>
    <cellStyle name="Input 2 3 3" xfId="11842"/>
    <cellStyle name="Input 2 3 3 2" xfId="11843"/>
    <cellStyle name="Input 2 3 3 3" xfId="11844"/>
    <cellStyle name="Input 2 3 3 4" xfId="11845"/>
    <cellStyle name="Input 2 3 4" xfId="11846"/>
    <cellStyle name="Input 2 3 4 2" xfId="11847"/>
    <cellStyle name="Input 2 3 4 3" xfId="11848"/>
    <cellStyle name="Input 2 3 4 4" xfId="11849"/>
    <cellStyle name="Input 2 3 5" xfId="11850"/>
    <cellStyle name="Input 2 3 6" xfId="11851"/>
    <cellStyle name="Input 2 3 7" xfId="11852"/>
    <cellStyle name="Input 2 3 8" xfId="11853"/>
    <cellStyle name="Input 2 4" xfId="11854"/>
    <cellStyle name="Input 2 4 2" xfId="11855"/>
    <cellStyle name="Input 2 4 2 2" xfId="11856"/>
    <cellStyle name="Input 2 4 2 3" xfId="11857"/>
    <cellStyle name="Input 2 4 2 4" xfId="11858"/>
    <cellStyle name="Input 2 4 3" xfId="11859"/>
    <cellStyle name="Input 2 4 3 2" xfId="11860"/>
    <cellStyle name="Input 2 4 3 3" xfId="11861"/>
    <cellStyle name="Input 2 4 3 4" xfId="11862"/>
    <cellStyle name="Input 2 4 4" xfId="11863"/>
    <cellStyle name="Input 2 4 4 2" xfId="11864"/>
    <cellStyle name="Input 2 4 4 3" xfId="11865"/>
    <cellStyle name="Input 2 4 4 4" xfId="11866"/>
    <cellStyle name="Input 2 4 5" xfId="11867"/>
    <cellStyle name="Input 2 4 6" xfId="11868"/>
    <cellStyle name="Input 2 4 7" xfId="11869"/>
    <cellStyle name="Input 2 4 8" xfId="11870"/>
    <cellStyle name="Input 2 5" xfId="11871"/>
    <cellStyle name="Input 2 5 2" xfId="11872"/>
    <cellStyle name="Input 2 5 2 2" xfId="11873"/>
    <cellStyle name="Input 2 5 2 3" xfId="11874"/>
    <cellStyle name="Input 2 5 2 4" xfId="11875"/>
    <cellStyle name="Input 2 5 3" xfId="11876"/>
    <cellStyle name="Input 2 5 3 2" xfId="11877"/>
    <cellStyle name="Input 2 5 3 3" xfId="11878"/>
    <cellStyle name="Input 2 5 3 4" xfId="11879"/>
    <cellStyle name="Input 2 5 4" xfId="11880"/>
    <cellStyle name="Input 2 5 4 2" xfId="11881"/>
    <cellStyle name="Input 2 5 4 3" xfId="11882"/>
    <cellStyle name="Input 2 5 4 4" xfId="11883"/>
    <cellStyle name="Input 2 5 5" xfId="11884"/>
    <cellStyle name="Input 2 5 6" xfId="11885"/>
    <cellStyle name="Input 2 5 7" xfId="11886"/>
    <cellStyle name="Input 2 5 8" xfId="11887"/>
    <cellStyle name="Input 2 6" xfId="11888"/>
    <cellStyle name="Input 2 6 2" xfId="11889"/>
    <cellStyle name="Input 2 6 2 2" xfId="11890"/>
    <cellStyle name="Input 2 6 2 3" xfId="11891"/>
    <cellStyle name="Input 2 6 2 4" xfId="11892"/>
    <cellStyle name="Input 2 6 3" xfId="11893"/>
    <cellStyle name="Input 2 6 3 2" xfId="11894"/>
    <cellStyle name="Input 2 6 3 3" xfId="11895"/>
    <cellStyle name="Input 2 6 3 4" xfId="11896"/>
    <cellStyle name="Input 2 6 4" xfId="11897"/>
    <cellStyle name="Input 2 6 4 2" xfId="11898"/>
    <cellStyle name="Input 2 6 4 3" xfId="11899"/>
    <cellStyle name="Input 2 6 4 4" xfId="11900"/>
    <cellStyle name="Input 2 6 5" xfId="11901"/>
    <cellStyle name="Input 2 6 6" xfId="11902"/>
    <cellStyle name="Input 2 6 7" xfId="11903"/>
    <cellStyle name="Input 2 6 8" xfId="11904"/>
    <cellStyle name="Input 2 7" xfId="11905"/>
    <cellStyle name="Input 2 7 2" xfId="11906"/>
    <cellStyle name="Input 2 7 2 2" xfId="11907"/>
    <cellStyle name="Input 2 7 2 3" xfId="11908"/>
    <cellStyle name="Input 2 7 2 4" xfId="11909"/>
    <cellStyle name="Input 2 7 3" xfId="11910"/>
    <cellStyle name="Input 2 7 3 2" xfId="11911"/>
    <cellStyle name="Input 2 7 3 3" xfId="11912"/>
    <cellStyle name="Input 2 7 3 4" xfId="11913"/>
    <cellStyle name="Input 2 7 4" xfId="11914"/>
    <cellStyle name="Input 2 7 4 2" xfId="11915"/>
    <cellStyle name="Input 2 7 4 3" xfId="11916"/>
    <cellStyle name="Input 2 7 4 4" xfId="11917"/>
    <cellStyle name="Input 2 7 5" xfId="11918"/>
    <cellStyle name="Input 2 7 6" xfId="11919"/>
    <cellStyle name="Input 2 7 7" xfId="11920"/>
    <cellStyle name="Input 2 7 8" xfId="11921"/>
    <cellStyle name="Input 2 8" xfId="11922"/>
    <cellStyle name="Input 2 8 2" xfId="11923"/>
    <cellStyle name="Input 2 8 3" xfId="11924"/>
    <cellStyle name="Input 2 8 4" xfId="11925"/>
    <cellStyle name="Input 2 9" xfId="11926"/>
    <cellStyle name="Input 2 9 2" xfId="11927"/>
    <cellStyle name="Input 2 9 3" xfId="11928"/>
    <cellStyle name="Input 2 9 4" xfId="11929"/>
    <cellStyle name="Input 20" xfId="11930"/>
    <cellStyle name="Input 3" xfId="11931"/>
    <cellStyle name="Input 3 10" xfId="11932"/>
    <cellStyle name="Input 3 11" xfId="11933"/>
    <cellStyle name="Input 3 2" xfId="11934"/>
    <cellStyle name="Input 3 2 2" xfId="11935"/>
    <cellStyle name="Input 3 2 2 2" xfId="11936"/>
    <cellStyle name="Input 3 2 2 2 2" xfId="11937"/>
    <cellStyle name="Input 3 2 2 2 3" xfId="11938"/>
    <cellStyle name="Input 3 2 2 2 4" xfId="11939"/>
    <cellStyle name="Input 3 2 2 3" xfId="11940"/>
    <cellStyle name="Input 3 2 2 3 2" xfId="11941"/>
    <cellStyle name="Input 3 2 2 3 3" xfId="11942"/>
    <cellStyle name="Input 3 2 2 3 4" xfId="11943"/>
    <cellStyle name="Input 3 2 2 4" xfId="11944"/>
    <cellStyle name="Input 3 2 2 4 2" xfId="11945"/>
    <cellStyle name="Input 3 2 2 4 3" xfId="11946"/>
    <cellStyle name="Input 3 2 2 4 4" xfId="11947"/>
    <cellStyle name="Input 3 2 2 5" xfId="11948"/>
    <cellStyle name="Input 3 2 2 6" xfId="11949"/>
    <cellStyle name="Input 3 2 2 7" xfId="11950"/>
    <cellStyle name="Input 3 2 2 8" xfId="11951"/>
    <cellStyle name="Input 3 2 3" xfId="11952"/>
    <cellStyle name="Input 3 2 3 2" xfId="11953"/>
    <cellStyle name="Input 3 2 3 2 2" xfId="11954"/>
    <cellStyle name="Input 3 2 3 2 3" xfId="11955"/>
    <cellStyle name="Input 3 2 3 2 4" xfId="11956"/>
    <cellStyle name="Input 3 2 3 3" xfId="11957"/>
    <cellStyle name="Input 3 2 3 3 2" xfId="11958"/>
    <cellStyle name="Input 3 2 3 3 3" xfId="11959"/>
    <cellStyle name="Input 3 2 3 3 4" xfId="11960"/>
    <cellStyle name="Input 3 2 3 4" xfId="11961"/>
    <cellStyle name="Input 3 2 3 4 2" xfId="11962"/>
    <cellStyle name="Input 3 2 3 4 3" xfId="11963"/>
    <cellStyle name="Input 3 2 3 4 4" xfId="11964"/>
    <cellStyle name="Input 3 2 3 5" xfId="11965"/>
    <cellStyle name="Input 3 2 3 6" xfId="11966"/>
    <cellStyle name="Input 3 2 3 7" xfId="11967"/>
    <cellStyle name="Input 3 2 3 8" xfId="11968"/>
    <cellStyle name="Input 3 2 4" xfId="11969"/>
    <cellStyle name="Input 3 2 4 2" xfId="11970"/>
    <cellStyle name="Input 3 2 4 2 2" xfId="11971"/>
    <cellStyle name="Input 3 2 4 2 3" xfId="11972"/>
    <cellStyle name="Input 3 2 4 2 4" xfId="11973"/>
    <cellStyle name="Input 3 2 4 3" xfId="11974"/>
    <cellStyle name="Input 3 2 4 3 2" xfId="11975"/>
    <cellStyle name="Input 3 2 4 3 3" xfId="11976"/>
    <cellStyle name="Input 3 2 4 3 4" xfId="11977"/>
    <cellStyle name="Input 3 2 4 4" xfId="11978"/>
    <cellStyle name="Input 3 2 4 4 2" xfId="11979"/>
    <cellStyle name="Input 3 2 4 4 3" xfId="11980"/>
    <cellStyle name="Input 3 2 4 4 4" xfId="11981"/>
    <cellStyle name="Input 3 2 4 5" xfId="11982"/>
    <cellStyle name="Input 3 2 4 6" xfId="11983"/>
    <cellStyle name="Input 3 2 4 7" xfId="11984"/>
    <cellStyle name="Input 3 2 4 8" xfId="11985"/>
    <cellStyle name="Input 3 2 5" xfId="11986"/>
    <cellStyle name="Input 3 2 5 2" xfId="11987"/>
    <cellStyle name="Input 3 2 5 2 2" xfId="11988"/>
    <cellStyle name="Input 3 2 5 2 3" xfId="11989"/>
    <cellStyle name="Input 3 2 5 2 4" xfId="11990"/>
    <cellStyle name="Input 3 2 5 3" xfId="11991"/>
    <cellStyle name="Input 3 2 5 3 2" xfId="11992"/>
    <cellStyle name="Input 3 2 5 3 3" xfId="11993"/>
    <cellStyle name="Input 3 2 5 3 4" xfId="11994"/>
    <cellStyle name="Input 3 2 5 4" xfId="11995"/>
    <cellStyle name="Input 3 2 5 4 2" xfId="11996"/>
    <cellStyle name="Input 3 2 5 4 3" xfId="11997"/>
    <cellStyle name="Input 3 2 5 4 4" xfId="11998"/>
    <cellStyle name="Input 3 2 5 5" xfId="11999"/>
    <cellStyle name="Input 3 2 5 6" xfId="12000"/>
    <cellStyle name="Input 3 2 5 7" xfId="12001"/>
    <cellStyle name="Input 3 2 5 8" xfId="12002"/>
    <cellStyle name="Input 3 2 6" xfId="12003"/>
    <cellStyle name="Input 3 2 6 2" xfId="12004"/>
    <cellStyle name="Input 3 2 6 3" xfId="12005"/>
    <cellStyle name="Input 3 2 6 4" xfId="12006"/>
    <cellStyle name="Input 3 2 7" xfId="12007"/>
    <cellStyle name="Input 3 2 7 2" xfId="12008"/>
    <cellStyle name="Input 3 2 7 3" xfId="12009"/>
    <cellStyle name="Input 3 2 7 4" xfId="12010"/>
    <cellStyle name="Input 3 2 8" xfId="12011"/>
    <cellStyle name="Input 3 2 9" xfId="12012"/>
    <cellStyle name="Input 3 3" xfId="12013"/>
    <cellStyle name="Input 3 3 2" xfId="12014"/>
    <cellStyle name="Input 3 3 2 2" xfId="12015"/>
    <cellStyle name="Input 3 3 2 3" xfId="12016"/>
    <cellStyle name="Input 3 3 2 4" xfId="12017"/>
    <cellStyle name="Input 3 3 3" xfId="12018"/>
    <cellStyle name="Input 3 3 3 2" xfId="12019"/>
    <cellStyle name="Input 3 3 3 3" xfId="12020"/>
    <cellStyle name="Input 3 3 3 4" xfId="12021"/>
    <cellStyle name="Input 3 3 4" xfId="12022"/>
    <cellStyle name="Input 3 3 4 2" xfId="12023"/>
    <cellStyle name="Input 3 3 4 3" xfId="12024"/>
    <cellStyle name="Input 3 3 4 4" xfId="12025"/>
    <cellStyle name="Input 3 3 5" xfId="12026"/>
    <cellStyle name="Input 3 3 6" xfId="12027"/>
    <cellStyle name="Input 3 3 7" xfId="12028"/>
    <cellStyle name="Input 3 3 8" xfId="12029"/>
    <cellStyle name="Input 3 4" xfId="12030"/>
    <cellStyle name="Input 3 4 2" xfId="12031"/>
    <cellStyle name="Input 3 4 2 2" xfId="12032"/>
    <cellStyle name="Input 3 4 2 3" xfId="12033"/>
    <cellStyle name="Input 3 4 2 4" xfId="12034"/>
    <cellStyle name="Input 3 4 3" xfId="12035"/>
    <cellStyle name="Input 3 4 3 2" xfId="12036"/>
    <cellStyle name="Input 3 4 3 3" xfId="12037"/>
    <cellStyle name="Input 3 4 3 4" xfId="12038"/>
    <cellStyle name="Input 3 4 4" xfId="12039"/>
    <cellStyle name="Input 3 4 4 2" xfId="12040"/>
    <cellStyle name="Input 3 4 4 3" xfId="12041"/>
    <cellStyle name="Input 3 4 4 4" xfId="12042"/>
    <cellStyle name="Input 3 4 5" xfId="12043"/>
    <cellStyle name="Input 3 4 6" xfId="12044"/>
    <cellStyle name="Input 3 4 7" xfId="12045"/>
    <cellStyle name="Input 3 4 8" xfId="12046"/>
    <cellStyle name="Input 3 5" xfId="12047"/>
    <cellStyle name="Input 3 5 2" xfId="12048"/>
    <cellStyle name="Input 3 5 2 2" xfId="12049"/>
    <cellStyle name="Input 3 5 2 3" xfId="12050"/>
    <cellStyle name="Input 3 5 2 4" xfId="12051"/>
    <cellStyle name="Input 3 5 3" xfId="12052"/>
    <cellStyle name="Input 3 5 3 2" xfId="12053"/>
    <cellStyle name="Input 3 5 3 3" xfId="12054"/>
    <cellStyle name="Input 3 5 3 4" xfId="12055"/>
    <cellStyle name="Input 3 5 4" xfId="12056"/>
    <cellStyle name="Input 3 5 4 2" xfId="12057"/>
    <cellStyle name="Input 3 5 4 3" xfId="12058"/>
    <cellStyle name="Input 3 5 4 4" xfId="12059"/>
    <cellStyle name="Input 3 5 5" xfId="12060"/>
    <cellStyle name="Input 3 5 6" xfId="12061"/>
    <cellStyle name="Input 3 5 7" xfId="12062"/>
    <cellStyle name="Input 3 5 8" xfId="12063"/>
    <cellStyle name="Input 3 6" xfId="12064"/>
    <cellStyle name="Input 3 6 2" xfId="12065"/>
    <cellStyle name="Input 3 6 2 2" xfId="12066"/>
    <cellStyle name="Input 3 6 2 3" xfId="12067"/>
    <cellStyle name="Input 3 6 2 4" xfId="12068"/>
    <cellStyle name="Input 3 6 3" xfId="12069"/>
    <cellStyle name="Input 3 6 3 2" xfId="12070"/>
    <cellStyle name="Input 3 6 3 3" xfId="12071"/>
    <cellStyle name="Input 3 6 3 4" xfId="12072"/>
    <cellStyle name="Input 3 6 4" xfId="12073"/>
    <cellStyle name="Input 3 6 4 2" xfId="12074"/>
    <cellStyle name="Input 3 6 4 3" xfId="12075"/>
    <cellStyle name="Input 3 6 4 4" xfId="12076"/>
    <cellStyle name="Input 3 6 5" xfId="12077"/>
    <cellStyle name="Input 3 6 6" xfId="12078"/>
    <cellStyle name="Input 3 6 7" xfId="12079"/>
    <cellStyle name="Input 3 6 8" xfId="12080"/>
    <cellStyle name="Input 3 7" xfId="12081"/>
    <cellStyle name="Input 3 7 2" xfId="12082"/>
    <cellStyle name="Input 3 7 2 2" xfId="12083"/>
    <cellStyle name="Input 3 7 2 3" xfId="12084"/>
    <cellStyle name="Input 3 7 2 4" xfId="12085"/>
    <cellStyle name="Input 3 7 3" xfId="12086"/>
    <cellStyle name="Input 3 7 3 2" xfId="12087"/>
    <cellStyle name="Input 3 7 3 3" xfId="12088"/>
    <cellStyle name="Input 3 7 3 4" xfId="12089"/>
    <cellStyle name="Input 3 7 4" xfId="12090"/>
    <cellStyle name="Input 3 7 4 2" xfId="12091"/>
    <cellStyle name="Input 3 7 4 3" xfId="12092"/>
    <cellStyle name="Input 3 7 4 4" xfId="12093"/>
    <cellStyle name="Input 3 7 5" xfId="12094"/>
    <cellStyle name="Input 3 7 6" xfId="12095"/>
    <cellStyle name="Input 3 7 7" xfId="12096"/>
    <cellStyle name="Input 3 7 8" xfId="12097"/>
    <cellStyle name="Input 3 8" xfId="12098"/>
    <cellStyle name="Input 3 8 2" xfId="12099"/>
    <cellStyle name="Input 3 8 3" xfId="12100"/>
    <cellStyle name="Input 3 8 4" xfId="12101"/>
    <cellStyle name="Input 3 9" xfId="12102"/>
    <cellStyle name="Input 3 9 2" xfId="12103"/>
    <cellStyle name="Input 3 9 3" xfId="12104"/>
    <cellStyle name="Input 3 9 4" xfId="12105"/>
    <cellStyle name="Input 4" xfId="12106"/>
    <cellStyle name="Input 4 10" xfId="12107"/>
    <cellStyle name="Input 4 11" xfId="12108"/>
    <cellStyle name="Input 4 2" xfId="12109"/>
    <cellStyle name="Input 4 2 2" xfId="12110"/>
    <cellStyle name="Input 4 2 2 2" xfId="12111"/>
    <cellStyle name="Input 4 2 2 2 2" xfId="12112"/>
    <cellStyle name="Input 4 2 2 2 3" xfId="12113"/>
    <cellStyle name="Input 4 2 2 2 4" xfId="12114"/>
    <cellStyle name="Input 4 2 2 3" xfId="12115"/>
    <cellStyle name="Input 4 2 2 3 2" xfId="12116"/>
    <cellStyle name="Input 4 2 2 3 3" xfId="12117"/>
    <cellStyle name="Input 4 2 2 3 4" xfId="12118"/>
    <cellStyle name="Input 4 2 2 4" xfId="12119"/>
    <cellStyle name="Input 4 2 2 4 2" xfId="12120"/>
    <cellStyle name="Input 4 2 2 4 3" xfId="12121"/>
    <cellStyle name="Input 4 2 2 4 4" xfId="12122"/>
    <cellStyle name="Input 4 2 2 5" xfId="12123"/>
    <cellStyle name="Input 4 2 2 6" xfId="12124"/>
    <cellStyle name="Input 4 2 2 7" xfId="12125"/>
    <cellStyle name="Input 4 2 2 8" xfId="12126"/>
    <cellStyle name="Input 4 2 3" xfId="12127"/>
    <cellStyle name="Input 4 2 3 2" xfId="12128"/>
    <cellStyle name="Input 4 2 3 2 2" xfId="12129"/>
    <cellStyle name="Input 4 2 3 2 3" xfId="12130"/>
    <cellStyle name="Input 4 2 3 2 4" xfId="12131"/>
    <cellStyle name="Input 4 2 3 3" xfId="12132"/>
    <cellStyle name="Input 4 2 3 3 2" xfId="12133"/>
    <cellStyle name="Input 4 2 3 3 3" xfId="12134"/>
    <cellStyle name="Input 4 2 3 3 4" xfId="12135"/>
    <cellStyle name="Input 4 2 3 4" xfId="12136"/>
    <cellStyle name="Input 4 2 3 4 2" xfId="12137"/>
    <cellStyle name="Input 4 2 3 4 3" xfId="12138"/>
    <cellStyle name="Input 4 2 3 4 4" xfId="12139"/>
    <cellStyle name="Input 4 2 3 5" xfId="12140"/>
    <cellStyle name="Input 4 2 3 6" xfId="12141"/>
    <cellStyle name="Input 4 2 3 7" xfId="12142"/>
    <cellStyle name="Input 4 2 3 8" xfId="12143"/>
    <cellStyle name="Input 4 2 4" xfId="12144"/>
    <cellStyle name="Input 4 2 4 2" xfId="12145"/>
    <cellStyle name="Input 4 2 4 2 2" xfId="12146"/>
    <cellStyle name="Input 4 2 4 2 3" xfId="12147"/>
    <cellStyle name="Input 4 2 4 2 4" xfId="12148"/>
    <cellStyle name="Input 4 2 4 3" xfId="12149"/>
    <cellStyle name="Input 4 2 4 3 2" xfId="12150"/>
    <cellStyle name="Input 4 2 4 3 3" xfId="12151"/>
    <cellStyle name="Input 4 2 4 3 4" xfId="12152"/>
    <cellStyle name="Input 4 2 4 4" xfId="12153"/>
    <cellStyle name="Input 4 2 4 4 2" xfId="12154"/>
    <cellStyle name="Input 4 2 4 4 3" xfId="12155"/>
    <cellStyle name="Input 4 2 4 4 4" xfId="12156"/>
    <cellStyle name="Input 4 2 4 5" xfId="12157"/>
    <cellStyle name="Input 4 2 4 6" xfId="12158"/>
    <cellStyle name="Input 4 2 4 7" xfId="12159"/>
    <cellStyle name="Input 4 2 4 8" xfId="12160"/>
    <cellStyle name="Input 4 2 5" xfId="12161"/>
    <cellStyle name="Input 4 2 5 2" xfId="12162"/>
    <cellStyle name="Input 4 2 5 2 2" xfId="12163"/>
    <cellStyle name="Input 4 2 5 2 3" xfId="12164"/>
    <cellStyle name="Input 4 2 5 2 4" xfId="12165"/>
    <cellStyle name="Input 4 2 5 3" xfId="12166"/>
    <cellStyle name="Input 4 2 5 3 2" xfId="12167"/>
    <cellStyle name="Input 4 2 5 3 3" xfId="12168"/>
    <cellStyle name="Input 4 2 5 3 4" xfId="12169"/>
    <cellStyle name="Input 4 2 5 4" xfId="12170"/>
    <cellStyle name="Input 4 2 5 4 2" xfId="12171"/>
    <cellStyle name="Input 4 2 5 4 3" xfId="12172"/>
    <cellStyle name="Input 4 2 5 4 4" xfId="12173"/>
    <cellStyle name="Input 4 2 5 5" xfId="12174"/>
    <cellStyle name="Input 4 2 5 6" xfId="12175"/>
    <cellStyle name="Input 4 2 5 7" xfId="12176"/>
    <cellStyle name="Input 4 2 5 8" xfId="12177"/>
    <cellStyle name="Input 4 2 6" xfId="12178"/>
    <cellStyle name="Input 4 2 6 2" xfId="12179"/>
    <cellStyle name="Input 4 2 6 3" xfId="12180"/>
    <cellStyle name="Input 4 2 6 4" xfId="12181"/>
    <cellStyle name="Input 4 2 7" xfId="12182"/>
    <cellStyle name="Input 4 2 7 2" xfId="12183"/>
    <cellStyle name="Input 4 2 7 3" xfId="12184"/>
    <cellStyle name="Input 4 2 7 4" xfId="12185"/>
    <cellStyle name="Input 4 2 8" xfId="12186"/>
    <cellStyle name="Input 4 2 9" xfId="12187"/>
    <cellStyle name="Input 4 3" xfId="12188"/>
    <cellStyle name="Input 4 3 2" xfId="12189"/>
    <cellStyle name="Input 4 3 2 2" xfId="12190"/>
    <cellStyle name="Input 4 3 2 3" xfId="12191"/>
    <cellStyle name="Input 4 3 2 4" xfId="12192"/>
    <cellStyle name="Input 4 3 3" xfId="12193"/>
    <cellStyle name="Input 4 3 3 2" xfId="12194"/>
    <cellStyle name="Input 4 3 3 3" xfId="12195"/>
    <cellStyle name="Input 4 3 3 4" xfId="12196"/>
    <cellStyle name="Input 4 3 4" xfId="12197"/>
    <cellStyle name="Input 4 3 4 2" xfId="12198"/>
    <cellStyle name="Input 4 3 4 3" xfId="12199"/>
    <cellStyle name="Input 4 3 4 4" xfId="12200"/>
    <cellStyle name="Input 4 3 5" xfId="12201"/>
    <cellStyle name="Input 4 3 6" xfId="12202"/>
    <cellStyle name="Input 4 3 7" xfId="12203"/>
    <cellStyle name="Input 4 3 8" xfId="12204"/>
    <cellStyle name="Input 4 4" xfId="12205"/>
    <cellStyle name="Input 4 4 2" xfId="12206"/>
    <cellStyle name="Input 4 4 2 2" xfId="12207"/>
    <cellStyle name="Input 4 4 2 3" xfId="12208"/>
    <cellStyle name="Input 4 4 2 4" xfId="12209"/>
    <cellStyle name="Input 4 4 3" xfId="12210"/>
    <cellStyle name="Input 4 4 3 2" xfId="12211"/>
    <cellStyle name="Input 4 4 3 3" xfId="12212"/>
    <cellStyle name="Input 4 4 3 4" xfId="12213"/>
    <cellStyle name="Input 4 4 4" xfId="12214"/>
    <cellStyle name="Input 4 4 4 2" xfId="12215"/>
    <cellStyle name="Input 4 4 4 3" xfId="12216"/>
    <cellStyle name="Input 4 4 4 4" xfId="12217"/>
    <cellStyle name="Input 4 4 5" xfId="12218"/>
    <cellStyle name="Input 4 4 6" xfId="12219"/>
    <cellStyle name="Input 4 4 7" xfId="12220"/>
    <cellStyle name="Input 4 4 8" xfId="12221"/>
    <cellStyle name="Input 4 5" xfId="12222"/>
    <cellStyle name="Input 4 5 2" xfId="12223"/>
    <cellStyle name="Input 4 5 2 2" xfId="12224"/>
    <cellStyle name="Input 4 5 2 3" xfId="12225"/>
    <cellStyle name="Input 4 5 2 4" xfId="12226"/>
    <cellStyle name="Input 4 5 3" xfId="12227"/>
    <cellStyle name="Input 4 5 3 2" xfId="12228"/>
    <cellStyle name="Input 4 5 3 3" xfId="12229"/>
    <cellStyle name="Input 4 5 3 4" xfId="12230"/>
    <cellStyle name="Input 4 5 4" xfId="12231"/>
    <cellStyle name="Input 4 5 4 2" xfId="12232"/>
    <cellStyle name="Input 4 5 4 3" xfId="12233"/>
    <cellStyle name="Input 4 5 4 4" xfId="12234"/>
    <cellStyle name="Input 4 5 5" xfId="12235"/>
    <cellStyle name="Input 4 5 6" xfId="12236"/>
    <cellStyle name="Input 4 5 7" xfId="12237"/>
    <cellStyle name="Input 4 5 8" xfId="12238"/>
    <cellStyle name="Input 4 6" xfId="12239"/>
    <cellStyle name="Input 4 6 2" xfId="12240"/>
    <cellStyle name="Input 4 6 2 2" xfId="12241"/>
    <cellStyle name="Input 4 6 2 3" xfId="12242"/>
    <cellStyle name="Input 4 6 2 4" xfId="12243"/>
    <cellStyle name="Input 4 6 3" xfId="12244"/>
    <cellStyle name="Input 4 6 3 2" xfId="12245"/>
    <cellStyle name="Input 4 6 3 3" xfId="12246"/>
    <cellStyle name="Input 4 6 3 4" xfId="12247"/>
    <cellStyle name="Input 4 6 4" xfId="12248"/>
    <cellStyle name="Input 4 6 4 2" xfId="12249"/>
    <cellStyle name="Input 4 6 4 3" xfId="12250"/>
    <cellStyle name="Input 4 6 4 4" xfId="12251"/>
    <cellStyle name="Input 4 6 5" xfId="12252"/>
    <cellStyle name="Input 4 6 6" xfId="12253"/>
    <cellStyle name="Input 4 6 7" xfId="12254"/>
    <cellStyle name="Input 4 6 8" xfId="12255"/>
    <cellStyle name="Input 4 7" xfId="12256"/>
    <cellStyle name="Input 4 7 2" xfId="12257"/>
    <cellStyle name="Input 4 7 2 2" xfId="12258"/>
    <cellStyle name="Input 4 7 2 3" xfId="12259"/>
    <cellStyle name="Input 4 7 2 4" xfId="12260"/>
    <cellStyle name="Input 4 7 3" xfId="12261"/>
    <cellStyle name="Input 4 7 3 2" xfId="12262"/>
    <cellStyle name="Input 4 7 3 3" xfId="12263"/>
    <cellStyle name="Input 4 7 3 4" xfId="12264"/>
    <cellStyle name="Input 4 7 4" xfId="12265"/>
    <cellStyle name="Input 4 7 4 2" xfId="12266"/>
    <cellStyle name="Input 4 7 4 3" xfId="12267"/>
    <cellStyle name="Input 4 7 4 4" xfId="12268"/>
    <cellStyle name="Input 4 7 5" xfId="12269"/>
    <cellStyle name="Input 4 7 6" xfId="12270"/>
    <cellStyle name="Input 4 7 7" xfId="12271"/>
    <cellStyle name="Input 4 7 8" xfId="12272"/>
    <cellStyle name="Input 4 8" xfId="12273"/>
    <cellStyle name="Input 4 8 2" xfId="12274"/>
    <cellStyle name="Input 4 8 3" xfId="12275"/>
    <cellStyle name="Input 4 8 4" xfId="12276"/>
    <cellStyle name="Input 4 9" xfId="12277"/>
    <cellStyle name="Input 4 9 2" xfId="12278"/>
    <cellStyle name="Input 4 9 3" xfId="12279"/>
    <cellStyle name="Input 4 9 4" xfId="12280"/>
    <cellStyle name="Input 5" xfId="12281"/>
    <cellStyle name="Input 5 10" xfId="12282"/>
    <cellStyle name="Input 5 11" xfId="12283"/>
    <cellStyle name="Input 5 2" xfId="12284"/>
    <cellStyle name="Input 5 2 2" xfId="12285"/>
    <cellStyle name="Input 5 2 2 2" xfId="12286"/>
    <cellStyle name="Input 5 2 2 2 2" xfId="12287"/>
    <cellStyle name="Input 5 2 2 2 3" xfId="12288"/>
    <cellStyle name="Input 5 2 2 2 4" xfId="12289"/>
    <cellStyle name="Input 5 2 2 3" xfId="12290"/>
    <cellStyle name="Input 5 2 2 3 2" xfId="12291"/>
    <cellStyle name="Input 5 2 2 3 3" xfId="12292"/>
    <cellStyle name="Input 5 2 2 3 4" xfId="12293"/>
    <cellStyle name="Input 5 2 2 4" xfId="12294"/>
    <cellStyle name="Input 5 2 2 4 2" xfId="12295"/>
    <cellStyle name="Input 5 2 2 4 3" xfId="12296"/>
    <cellStyle name="Input 5 2 2 4 4" xfId="12297"/>
    <cellStyle name="Input 5 2 2 5" xfId="12298"/>
    <cellStyle name="Input 5 2 2 6" xfId="12299"/>
    <cellStyle name="Input 5 2 2 7" xfId="12300"/>
    <cellStyle name="Input 5 2 2 8" xfId="12301"/>
    <cellStyle name="Input 5 2 3" xfId="12302"/>
    <cellStyle name="Input 5 2 3 2" xfId="12303"/>
    <cellStyle name="Input 5 2 3 2 2" xfId="12304"/>
    <cellStyle name="Input 5 2 3 2 3" xfId="12305"/>
    <cellStyle name="Input 5 2 3 2 4" xfId="12306"/>
    <cellStyle name="Input 5 2 3 3" xfId="12307"/>
    <cellStyle name="Input 5 2 3 3 2" xfId="12308"/>
    <cellStyle name="Input 5 2 3 3 3" xfId="12309"/>
    <cellStyle name="Input 5 2 3 3 4" xfId="12310"/>
    <cellStyle name="Input 5 2 3 4" xfId="12311"/>
    <cellStyle name="Input 5 2 3 4 2" xfId="12312"/>
    <cellStyle name="Input 5 2 3 4 3" xfId="12313"/>
    <cellStyle name="Input 5 2 3 4 4" xfId="12314"/>
    <cellStyle name="Input 5 2 3 5" xfId="12315"/>
    <cellStyle name="Input 5 2 3 6" xfId="12316"/>
    <cellStyle name="Input 5 2 3 7" xfId="12317"/>
    <cellStyle name="Input 5 2 3 8" xfId="12318"/>
    <cellStyle name="Input 5 2 4" xfId="12319"/>
    <cellStyle name="Input 5 2 4 2" xfId="12320"/>
    <cellStyle name="Input 5 2 4 2 2" xfId="12321"/>
    <cellStyle name="Input 5 2 4 2 3" xfId="12322"/>
    <cellStyle name="Input 5 2 4 2 4" xfId="12323"/>
    <cellStyle name="Input 5 2 4 3" xfId="12324"/>
    <cellStyle name="Input 5 2 4 3 2" xfId="12325"/>
    <cellStyle name="Input 5 2 4 3 3" xfId="12326"/>
    <cellStyle name="Input 5 2 4 3 4" xfId="12327"/>
    <cellStyle name="Input 5 2 4 4" xfId="12328"/>
    <cellStyle name="Input 5 2 4 4 2" xfId="12329"/>
    <cellStyle name="Input 5 2 4 4 3" xfId="12330"/>
    <cellStyle name="Input 5 2 4 4 4" xfId="12331"/>
    <cellStyle name="Input 5 2 4 5" xfId="12332"/>
    <cellStyle name="Input 5 2 4 6" xfId="12333"/>
    <cellStyle name="Input 5 2 4 7" xfId="12334"/>
    <cellStyle name="Input 5 2 4 8" xfId="12335"/>
    <cellStyle name="Input 5 2 5" xfId="12336"/>
    <cellStyle name="Input 5 2 5 2" xfId="12337"/>
    <cellStyle name="Input 5 2 5 2 2" xfId="12338"/>
    <cellStyle name="Input 5 2 5 2 3" xfId="12339"/>
    <cellStyle name="Input 5 2 5 2 4" xfId="12340"/>
    <cellStyle name="Input 5 2 5 3" xfId="12341"/>
    <cellStyle name="Input 5 2 5 3 2" xfId="12342"/>
    <cellStyle name="Input 5 2 5 3 3" xfId="12343"/>
    <cellStyle name="Input 5 2 5 3 4" xfId="12344"/>
    <cellStyle name="Input 5 2 5 4" xfId="12345"/>
    <cellStyle name="Input 5 2 5 4 2" xfId="12346"/>
    <cellStyle name="Input 5 2 5 4 3" xfId="12347"/>
    <cellStyle name="Input 5 2 5 4 4" xfId="12348"/>
    <cellStyle name="Input 5 2 5 5" xfId="12349"/>
    <cellStyle name="Input 5 2 5 6" xfId="12350"/>
    <cellStyle name="Input 5 2 5 7" xfId="12351"/>
    <cellStyle name="Input 5 2 5 8" xfId="12352"/>
    <cellStyle name="Input 5 2 6" xfId="12353"/>
    <cellStyle name="Input 5 2 6 2" xfId="12354"/>
    <cellStyle name="Input 5 2 6 3" xfId="12355"/>
    <cellStyle name="Input 5 2 6 4" xfId="12356"/>
    <cellStyle name="Input 5 2 7" xfId="12357"/>
    <cellStyle name="Input 5 2 7 2" xfId="12358"/>
    <cellStyle name="Input 5 2 7 3" xfId="12359"/>
    <cellStyle name="Input 5 2 7 4" xfId="12360"/>
    <cellStyle name="Input 5 2 8" xfId="12361"/>
    <cellStyle name="Input 5 2 9" xfId="12362"/>
    <cellStyle name="Input 5 3" xfId="12363"/>
    <cellStyle name="Input 5 3 2" xfId="12364"/>
    <cellStyle name="Input 5 3 2 2" xfId="12365"/>
    <cellStyle name="Input 5 3 2 3" xfId="12366"/>
    <cellStyle name="Input 5 3 2 4" xfId="12367"/>
    <cellStyle name="Input 5 3 3" xfId="12368"/>
    <cellStyle name="Input 5 3 3 2" xfId="12369"/>
    <cellStyle name="Input 5 3 3 3" xfId="12370"/>
    <cellStyle name="Input 5 3 3 4" xfId="12371"/>
    <cellStyle name="Input 5 3 4" xfId="12372"/>
    <cellStyle name="Input 5 3 4 2" xfId="12373"/>
    <cellStyle name="Input 5 3 4 3" xfId="12374"/>
    <cellStyle name="Input 5 3 4 4" xfId="12375"/>
    <cellStyle name="Input 5 3 5" xfId="12376"/>
    <cellStyle name="Input 5 3 6" xfId="12377"/>
    <cellStyle name="Input 5 3 7" xfId="12378"/>
    <cellStyle name="Input 5 3 8" xfId="12379"/>
    <cellStyle name="Input 5 4" xfId="12380"/>
    <cellStyle name="Input 5 4 2" xfId="12381"/>
    <cellStyle name="Input 5 4 2 2" xfId="12382"/>
    <cellStyle name="Input 5 4 2 3" xfId="12383"/>
    <cellStyle name="Input 5 4 2 4" xfId="12384"/>
    <cellStyle name="Input 5 4 3" xfId="12385"/>
    <cellStyle name="Input 5 4 3 2" xfId="12386"/>
    <cellStyle name="Input 5 4 3 3" xfId="12387"/>
    <cellStyle name="Input 5 4 3 4" xfId="12388"/>
    <cellStyle name="Input 5 4 4" xfId="12389"/>
    <cellStyle name="Input 5 4 4 2" xfId="12390"/>
    <cellStyle name="Input 5 4 4 3" xfId="12391"/>
    <cellStyle name="Input 5 4 4 4" xfId="12392"/>
    <cellStyle name="Input 5 4 5" xfId="12393"/>
    <cellStyle name="Input 5 4 6" xfId="12394"/>
    <cellStyle name="Input 5 4 7" xfId="12395"/>
    <cellStyle name="Input 5 4 8" xfId="12396"/>
    <cellStyle name="Input 5 5" xfId="12397"/>
    <cellStyle name="Input 5 5 2" xfId="12398"/>
    <cellStyle name="Input 5 5 2 2" xfId="12399"/>
    <cellStyle name="Input 5 5 2 3" xfId="12400"/>
    <cellStyle name="Input 5 5 2 4" xfId="12401"/>
    <cellStyle name="Input 5 5 3" xfId="12402"/>
    <cellStyle name="Input 5 5 3 2" xfId="12403"/>
    <cellStyle name="Input 5 5 3 3" xfId="12404"/>
    <cellStyle name="Input 5 5 3 4" xfId="12405"/>
    <cellStyle name="Input 5 5 4" xfId="12406"/>
    <cellStyle name="Input 5 5 4 2" xfId="12407"/>
    <cellStyle name="Input 5 5 4 3" xfId="12408"/>
    <cellStyle name="Input 5 5 4 4" xfId="12409"/>
    <cellStyle name="Input 5 5 5" xfId="12410"/>
    <cellStyle name="Input 5 5 6" xfId="12411"/>
    <cellStyle name="Input 5 5 7" xfId="12412"/>
    <cellStyle name="Input 5 5 8" xfId="12413"/>
    <cellStyle name="Input 5 6" xfId="12414"/>
    <cellStyle name="Input 5 6 2" xfId="12415"/>
    <cellStyle name="Input 5 6 2 2" xfId="12416"/>
    <cellStyle name="Input 5 6 2 3" xfId="12417"/>
    <cellStyle name="Input 5 6 2 4" xfId="12418"/>
    <cellStyle name="Input 5 6 3" xfId="12419"/>
    <cellStyle name="Input 5 6 3 2" xfId="12420"/>
    <cellStyle name="Input 5 6 3 3" xfId="12421"/>
    <cellStyle name="Input 5 6 3 4" xfId="12422"/>
    <cellStyle name="Input 5 6 4" xfId="12423"/>
    <cellStyle name="Input 5 6 4 2" xfId="12424"/>
    <cellStyle name="Input 5 6 4 3" xfId="12425"/>
    <cellStyle name="Input 5 6 4 4" xfId="12426"/>
    <cellStyle name="Input 5 6 5" xfId="12427"/>
    <cellStyle name="Input 5 6 6" xfId="12428"/>
    <cellStyle name="Input 5 6 7" xfId="12429"/>
    <cellStyle name="Input 5 6 8" xfId="12430"/>
    <cellStyle name="Input 5 7" xfId="12431"/>
    <cellStyle name="Input 5 7 2" xfId="12432"/>
    <cellStyle name="Input 5 7 2 2" xfId="12433"/>
    <cellStyle name="Input 5 7 2 3" xfId="12434"/>
    <cellStyle name="Input 5 7 2 4" xfId="12435"/>
    <cellStyle name="Input 5 7 3" xfId="12436"/>
    <cellStyle name="Input 5 7 3 2" xfId="12437"/>
    <cellStyle name="Input 5 7 3 3" xfId="12438"/>
    <cellStyle name="Input 5 7 3 4" xfId="12439"/>
    <cellStyle name="Input 5 7 4" xfId="12440"/>
    <cellStyle name="Input 5 7 4 2" xfId="12441"/>
    <cellStyle name="Input 5 7 4 3" xfId="12442"/>
    <cellStyle name="Input 5 7 4 4" xfId="12443"/>
    <cellStyle name="Input 5 7 5" xfId="12444"/>
    <cellStyle name="Input 5 7 6" xfId="12445"/>
    <cellStyle name="Input 5 7 7" xfId="12446"/>
    <cellStyle name="Input 5 7 8" xfId="12447"/>
    <cellStyle name="Input 5 8" xfId="12448"/>
    <cellStyle name="Input 5 8 2" xfId="12449"/>
    <cellStyle name="Input 5 8 3" xfId="12450"/>
    <cellStyle name="Input 5 8 4" xfId="12451"/>
    <cellStyle name="Input 5 9" xfId="12452"/>
    <cellStyle name="Input 5 9 2" xfId="12453"/>
    <cellStyle name="Input 5 9 3" xfId="12454"/>
    <cellStyle name="Input 5 9 4" xfId="12455"/>
    <cellStyle name="Input 6" xfId="12456"/>
    <cellStyle name="Input 6 2" xfId="12457"/>
    <cellStyle name="Input 6 2 2" xfId="12458"/>
    <cellStyle name="Input 6 2 2 2" xfId="12459"/>
    <cellStyle name="Input 6 2 2 3" xfId="12460"/>
    <cellStyle name="Input 6 2 2 4" xfId="12461"/>
    <cellStyle name="Input 6 2 3" xfId="12462"/>
    <cellStyle name="Input 6 2 3 2" xfId="12463"/>
    <cellStyle name="Input 6 2 3 3" xfId="12464"/>
    <cellStyle name="Input 6 2 3 4" xfId="12465"/>
    <cellStyle name="Input 6 2 4" xfId="12466"/>
    <cellStyle name="Input 6 2 4 2" xfId="12467"/>
    <cellStyle name="Input 6 2 4 3" xfId="12468"/>
    <cellStyle name="Input 6 2 4 4" xfId="12469"/>
    <cellStyle name="Input 6 2 5" xfId="12470"/>
    <cellStyle name="Input 6 2 6" xfId="12471"/>
    <cellStyle name="Input 6 2 7" xfId="12472"/>
    <cellStyle name="Input 6 2 8" xfId="12473"/>
    <cellStyle name="Input 6 3" xfId="12474"/>
    <cellStyle name="Input 6 3 2" xfId="12475"/>
    <cellStyle name="Input 6 3 2 2" xfId="12476"/>
    <cellStyle name="Input 6 3 2 3" xfId="12477"/>
    <cellStyle name="Input 6 3 2 4" xfId="12478"/>
    <cellStyle name="Input 6 3 3" xfId="12479"/>
    <cellStyle name="Input 6 3 3 2" xfId="12480"/>
    <cellStyle name="Input 6 3 3 3" xfId="12481"/>
    <cellStyle name="Input 6 3 3 4" xfId="12482"/>
    <cellStyle name="Input 6 3 4" xfId="12483"/>
    <cellStyle name="Input 6 3 4 2" xfId="12484"/>
    <cellStyle name="Input 6 3 4 3" xfId="12485"/>
    <cellStyle name="Input 6 3 4 4" xfId="12486"/>
    <cellStyle name="Input 6 3 5" xfId="12487"/>
    <cellStyle name="Input 6 3 6" xfId="12488"/>
    <cellStyle name="Input 6 3 7" xfId="12489"/>
    <cellStyle name="Input 6 3 8" xfId="12490"/>
    <cellStyle name="Input 6 4" xfId="12491"/>
    <cellStyle name="Input 6 4 2" xfId="12492"/>
    <cellStyle name="Input 6 4 2 2" xfId="12493"/>
    <cellStyle name="Input 6 4 2 3" xfId="12494"/>
    <cellStyle name="Input 6 4 2 4" xfId="12495"/>
    <cellStyle name="Input 6 4 3" xfId="12496"/>
    <cellStyle name="Input 6 4 3 2" xfId="12497"/>
    <cellStyle name="Input 6 4 3 3" xfId="12498"/>
    <cellStyle name="Input 6 4 3 4" xfId="12499"/>
    <cellStyle name="Input 6 4 4" xfId="12500"/>
    <cellStyle name="Input 6 4 4 2" xfId="12501"/>
    <cellStyle name="Input 6 4 4 3" xfId="12502"/>
    <cellStyle name="Input 6 4 4 4" xfId="12503"/>
    <cellStyle name="Input 6 4 5" xfId="12504"/>
    <cellStyle name="Input 6 4 6" xfId="12505"/>
    <cellStyle name="Input 6 4 7" xfId="12506"/>
    <cellStyle name="Input 6 4 8" xfId="12507"/>
    <cellStyle name="Input 6 5" xfId="12508"/>
    <cellStyle name="Input 6 5 2" xfId="12509"/>
    <cellStyle name="Input 6 5 2 2" xfId="12510"/>
    <cellStyle name="Input 6 5 2 3" xfId="12511"/>
    <cellStyle name="Input 6 5 2 4" xfId="12512"/>
    <cellStyle name="Input 6 5 3" xfId="12513"/>
    <cellStyle name="Input 6 5 3 2" xfId="12514"/>
    <cellStyle name="Input 6 5 3 3" xfId="12515"/>
    <cellStyle name="Input 6 5 3 4" xfId="12516"/>
    <cellStyle name="Input 6 5 4" xfId="12517"/>
    <cellStyle name="Input 6 5 4 2" xfId="12518"/>
    <cellStyle name="Input 6 5 4 3" xfId="12519"/>
    <cellStyle name="Input 6 5 4 4" xfId="12520"/>
    <cellStyle name="Input 6 5 5" xfId="12521"/>
    <cellStyle name="Input 6 5 6" xfId="12522"/>
    <cellStyle name="Input 6 5 7" xfId="12523"/>
    <cellStyle name="Input 6 5 8" xfId="12524"/>
    <cellStyle name="Input 6 6" xfId="12525"/>
    <cellStyle name="Input 6 6 2" xfId="12526"/>
    <cellStyle name="Input 6 6 3" xfId="12527"/>
    <cellStyle name="Input 6 6 4" xfId="12528"/>
    <cellStyle name="Input 6 7" xfId="12529"/>
    <cellStyle name="Input 6 7 2" xfId="12530"/>
    <cellStyle name="Input 6 7 3" xfId="12531"/>
    <cellStyle name="Input 6 7 4" xfId="12532"/>
    <cellStyle name="Input 6 8" xfId="12533"/>
    <cellStyle name="Input 6 9" xfId="12534"/>
    <cellStyle name="Input 7" xfId="12535"/>
    <cellStyle name="Input 7 2" xfId="12536"/>
    <cellStyle name="Input 7 2 2" xfId="12537"/>
    <cellStyle name="Input 7 2 2 2" xfId="12538"/>
    <cellStyle name="Input 7 2 2 3" xfId="12539"/>
    <cellStyle name="Input 7 2 2 4" xfId="12540"/>
    <cellStyle name="Input 7 2 3" xfId="12541"/>
    <cellStyle name="Input 7 2 3 2" xfId="12542"/>
    <cellStyle name="Input 7 2 3 3" xfId="12543"/>
    <cellStyle name="Input 7 2 3 4" xfId="12544"/>
    <cellStyle name="Input 7 2 4" xfId="12545"/>
    <cellStyle name="Input 7 2 4 2" xfId="12546"/>
    <cellStyle name="Input 7 2 4 3" xfId="12547"/>
    <cellStyle name="Input 7 2 4 4" xfId="12548"/>
    <cellStyle name="Input 7 2 5" xfId="12549"/>
    <cellStyle name="Input 7 2 6" xfId="12550"/>
    <cellStyle name="Input 7 2 7" xfId="12551"/>
    <cellStyle name="Input 7 2 8" xfId="12552"/>
    <cellStyle name="Input 7 3" xfId="12553"/>
    <cellStyle name="Input 7 3 2" xfId="12554"/>
    <cellStyle name="Input 7 3 2 2" xfId="12555"/>
    <cellStyle name="Input 7 3 2 3" xfId="12556"/>
    <cellStyle name="Input 7 3 2 4" xfId="12557"/>
    <cellStyle name="Input 7 3 3" xfId="12558"/>
    <cellStyle name="Input 7 3 3 2" xfId="12559"/>
    <cellStyle name="Input 7 3 3 3" xfId="12560"/>
    <cellStyle name="Input 7 3 3 4" xfId="12561"/>
    <cellStyle name="Input 7 3 4" xfId="12562"/>
    <cellStyle name="Input 7 3 4 2" xfId="12563"/>
    <cellStyle name="Input 7 3 4 3" xfId="12564"/>
    <cellStyle name="Input 7 3 4 4" xfId="12565"/>
    <cellStyle name="Input 7 3 5" xfId="12566"/>
    <cellStyle name="Input 7 3 6" xfId="12567"/>
    <cellStyle name="Input 7 3 7" xfId="12568"/>
    <cellStyle name="Input 7 3 8" xfId="12569"/>
    <cellStyle name="Input 7 4" xfId="12570"/>
    <cellStyle name="Input 7 4 2" xfId="12571"/>
    <cellStyle name="Input 7 4 2 2" xfId="12572"/>
    <cellStyle name="Input 7 4 2 3" xfId="12573"/>
    <cellStyle name="Input 7 4 2 4" xfId="12574"/>
    <cellStyle name="Input 7 4 3" xfId="12575"/>
    <cellStyle name="Input 7 4 3 2" xfId="12576"/>
    <cellStyle name="Input 7 4 3 3" xfId="12577"/>
    <cellStyle name="Input 7 4 3 4" xfId="12578"/>
    <cellStyle name="Input 7 4 4" xfId="12579"/>
    <cellStyle name="Input 7 4 4 2" xfId="12580"/>
    <cellStyle name="Input 7 4 4 3" xfId="12581"/>
    <cellStyle name="Input 7 4 4 4" xfId="12582"/>
    <cellStyle name="Input 7 4 5" xfId="12583"/>
    <cellStyle name="Input 7 4 6" xfId="12584"/>
    <cellStyle name="Input 7 4 7" xfId="12585"/>
    <cellStyle name="Input 7 4 8" xfId="12586"/>
    <cellStyle name="Input 7 5" xfId="12587"/>
    <cellStyle name="Input 7 5 2" xfId="12588"/>
    <cellStyle name="Input 7 5 2 2" xfId="12589"/>
    <cellStyle name="Input 7 5 2 3" xfId="12590"/>
    <cellStyle name="Input 7 5 2 4" xfId="12591"/>
    <cellStyle name="Input 7 5 3" xfId="12592"/>
    <cellStyle name="Input 7 5 3 2" xfId="12593"/>
    <cellStyle name="Input 7 5 3 3" xfId="12594"/>
    <cellStyle name="Input 7 5 3 4" xfId="12595"/>
    <cellStyle name="Input 7 5 4" xfId="12596"/>
    <cellStyle name="Input 7 5 4 2" xfId="12597"/>
    <cellStyle name="Input 7 5 4 3" xfId="12598"/>
    <cellStyle name="Input 7 5 4 4" xfId="12599"/>
    <cellStyle name="Input 7 5 5" xfId="12600"/>
    <cellStyle name="Input 7 5 6" xfId="12601"/>
    <cellStyle name="Input 7 5 7" xfId="12602"/>
    <cellStyle name="Input 7 5 8" xfId="12603"/>
    <cellStyle name="Input 7 6" xfId="12604"/>
    <cellStyle name="Input 7 6 2" xfId="12605"/>
    <cellStyle name="Input 7 6 3" xfId="12606"/>
    <cellStyle name="Input 7 6 4" xfId="12607"/>
    <cellStyle name="Input 7 7" xfId="12608"/>
    <cellStyle name="Input 7 7 2" xfId="12609"/>
    <cellStyle name="Input 7 7 3" xfId="12610"/>
    <cellStyle name="Input 7 7 4" xfId="12611"/>
    <cellStyle name="Input 7 8" xfId="12612"/>
    <cellStyle name="Input 7 9" xfId="12613"/>
    <cellStyle name="Input 8" xfId="12614"/>
    <cellStyle name="Input 8 2" xfId="12615"/>
    <cellStyle name="Input 8 2 2" xfId="12616"/>
    <cellStyle name="Input 8 2 3" xfId="12617"/>
    <cellStyle name="Input 8 2 4" xfId="12618"/>
    <cellStyle name="Input 8 3" xfId="12619"/>
    <cellStyle name="Input 8 3 2" xfId="12620"/>
    <cellStyle name="Input 8 3 3" xfId="12621"/>
    <cellStyle name="Input 8 3 4" xfId="12622"/>
    <cellStyle name="Input 8 4" xfId="12623"/>
    <cellStyle name="Input 8 4 2" xfId="12624"/>
    <cellStyle name="Input 8 4 3" xfId="12625"/>
    <cellStyle name="Input 8 4 4" xfId="12626"/>
    <cellStyle name="Input 8 5" xfId="12627"/>
    <cellStyle name="Input 8 6" xfId="12628"/>
    <cellStyle name="Input 8 7" xfId="12629"/>
    <cellStyle name="Input 8 8" xfId="12630"/>
    <cellStyle name="Input 9" xfId="12631"/>
    <cellStyle name="Input 9 2" xfId="12632"/>
    <cellStyle name="Input 9 2 2" xfId="12633"/>
    <cellStyle name="Input 9 2 3" xfId="12634"/>
    <cellStyle name="Input 9 2 4" xfId="12635"/>
    <cellStyle name="Input 9 3" xfId="12636"/>
    <cellStyle name="Input 9 3 2" xfId="12637"/>
    <cellStyle name="Input 9 3 3" xfId="12638"/>
    <cellStyle name="Input 9 3 4" xfId="12639"/>
    <cellStyle name="Input 9 4" xfId="12640"/>
    <cellStyle name="Input 9 4 2" xfId="12641"/>
    <cellStyle name="Input 9 4 3" xfId="12642"/>
    <cellStyle name="Input 9 4 4" xfId="12643"/>
    <cellStyle name="Input 9 5" xfId="12644"/>
    <cellStyle name="Input 9 6" xfId="12645"/>
    <cellStyle name="Input 9 7" xfId="12646"/>
    <cellStyle name="Input 9 8" xfId="12647"/>
    <cellStyle name="Input Cells" xfId="12648"/>
    <cellStyle name="Input Cells 2" xfId="12649"/>
    <cellStyle name="Input_KLM Norway 2010 Economy Comfort" xfId="53416"/>
    <cellStyle name="Insatisfaisant" xfId="53417"/>
    <cellStyle name="Insatisfaisant 2" xfId="53418"/>
    <cellStyle name="inspdvDetailMagPourcentBlanc" xfId="53419"/>
    <cellStyle name="inspdvDetailMagPourcentBlanc 2" xfId="53420"/>
    <cellStyle name="inspdvDetailMagPourcentBlanc 3" xfId="53421"/>
    <cellStyle name="inspdvDetailPourcentBlanc" xfId="53422"/>
    <cellStyle name="inspdvDetailPourcentBlanc 2" xfId="53423"/>
    <cellStyle name="inspdvDetailPourcentBlanc 3" xfId="53424"/>
    <cellStyle name="inspdvTotalMagPourcentBlanc" xfId="53425"/>
    <cellStyle name="inspdvTotalMagPourcentBlanc 2" xfId="53426"/>
    <cellStyle name="inspdvTotalMagPourcentBlanc 3" xfId="53427"/>
    <cellStyle name="inspdvTotalVillesPourcentBlanc" xfId="53428"/>
    <cellStyle name="inspdvTotalVillesPourcentBlanc 2" xfId="53429"/>
    <cellStyle name="Italique" xfId="53430"/>
    <cellStyle name="Italique 2" xfId="53431"/>
    <cellStyle name="ItaliqueDroit" xfId="53432"/>
    <cellStyle name="ItaliqueDroit 2" xfId="53433"/>
    <cellStyle name="Komórka połączona" xfId="53434"/>
    <cellStyle name="Komórka zaznaczona" xfId="53435"/>
    <cellStyle name="Kontroller celle" xfId="53436"/>
    <cellStyle name="Lien hypertexte 2" xfId="53437"/>
    <cellStyle name="Link Currency (0)" xfId="12650"/>
    <cellStyle name="Link Currency (0) 2" xfId="12651"/>
    <cellStyle name="Link Currency (0) 3" xfId="12652"/>
    <cellStyle name="Link Currency (2)" xfId="12653"/>
    <cellStyle name="Link Currency (2) 2" xfId="12654"/>
    <cellStyle name="Link Currency (2) 3" xfId="12655"/>
    <cellStyle name="Link Units (0)" xfId="12656"/>
    <cellStyle name="Link Units (0) 2" xfId="12657"/>
    <cellStyle name="Link Units (0) 3" xfId="12658"/>
    <cellStyle name="Link Units (1)" xfId="12659"/>
    <cellStyle name="Link Units (1) 2" xfId="12660"/>
    <cellStyle name="Link Units (1) 3" xfId="12661"/>
    <cellStyle name="Link Units (2)" xfId="12662"/>
    <cellStyle name="Link Units (2) 2" xfId="12663"/>
    <cellStyle name="Link Units (2) 3" xfId="12664"/>
    <cellStyle name="Linked Cell" xfId="12665"/>
    <cellStyle name="Linked Cell 2" xfId="12666"/>
    <cellStyle name="Linked Cell 3" xfId="12667"/>
    <cellStyle name="Linked Cell_Plan Campaña Día de la Madre 2010 - v2" xfId="12668"/>
    <cellStyle name="Linked Cells" xfId="12669"/>
    <cellStyle name="Linked Cells 2" xfId="12670"/>
    <cellStyle name="Lite Shading" xfId="12671"/>
    <cellStyle name="Lite Shading 10" xfId="12672"/>
    <cellStyle name="Lite Shading 11" xfId="12673"/>
    <cellStyle name="Lite Shading 2" xfId="12674"/>
    <cellStyle name="Lite Shading 2 2" xfId="12675"/>
    <cellStyle name="Lite Shading 2 2 2" xfId="12676"/>
    <cellStyle name="Lite Shading 2 2 2 2" xfId="12677"/>
    <cellStyle name="Lite Shading 2 2 2 3" xfId="12678"/>
    <cellStyle name="Lite Shading 2 2 2 4" xfId="12679"/>
    <cellStyle name="Lite Shading 2 2 3" xfId="12680"/>
    <cellStyle name="Lite Shading 2 2 3 2" xfId="12681"/>
    <cellStyle name="Lite Shading 2 2 3 3" xfId="12682"/>
    <cellStyle name="Lite Shading 2 2 3 4" xfId="12683"/>
    <cellStyle name="Lite Shading 2 2 4" xfId="12684"/>
    <cellStyle name="Lite Shading 2 2 4 2" xfId="12685"/>
    <cellStyle name="Lite Shading 2 2 4 3" xfId="12686"/>
    <cellStyle name="Lite Shading 2 2 4 4" xfId="12687"/>
    <cellStyle name="Lite Shading 2 2 5" xfId="12688"/>
    <cellStyle name="Lite Shading 2 2 6" xfId="12689"/>
    <cellStyle name="Lite Shading 2 2 7" xfId="12690"/>
    <cellStyle name="Lite Shading 2 2 8" xfId="12691"/>
    <cellStyle name="Lite Shading 2 3" xfId="12692"/>
    <cellStyle name="Lite Shading 2 3 2" xfId="12693"/>
    <cellStyle name="Lite Shading 2 3 2 2" xfId="12694"/>
    <cellStyle name="Lite Shading 2 3 2 3" xfId="12695"/>
    <cellStyle name="Lite Shading 2 3 2 4" xfId="12696"/>
    <cellStyle name="Lite Shading 2 3 3" xfId="12697"/>
    <cellStyle name="Lite Shading 2 3 3 2" xfId="12698"/>
    <cellStyle name="Lite Shading 2 3 3 3" xfId="12699"/>
    <cellStyle name="Lite Shading 2 3 3 4" xfId="12700"/>
    <cellStyle name="Lite Shading 2 3 4" xfId="12701"/>
    <cellStyle name="Lite Shading 2 3 4 2" xfId="12702"/>
    <cellStyle name="Lite Shading 2 3 4 3" xfId="12703"/>
    <cellStyle name="Lite Shading 2 3 4 4" xfId="12704"/>
    <cellStyle name="Lite Shading 2 3 5" xfId="12705"/>
    <cellStyle name="Lite Shading 2 3 6" xfId="12706"/>
    <cellStyle name="Lite Shading 2 3 7" xfId="12707"/>
    <cellStyle name="Lite Shading 2 3 8" xfId="12708"/>
    <cellStyle name="Lite Shading 2 4" xfId="12709"/>
    <cellStyle name="Lite Shading 2 4 2" xfId="12710"/>
    <cellStyle name="Lite Shading 2 4 2 2" xfId="12711"/>
    <cellStyle name="Lite Shading 2 4 2 3" xfId="12712"/>
    <cellStyle name="Lite Shading 2 4 2 4" xfId="12713"/>
    <cellStyle name="Lite Shading 2 4 3" xfId="12714"/>
    <cellStyle name="Lite Shading 2 4 3 2" xfId="12715"/>
    <cellStyle name="Lite Shading 2 4 3 3" xfId="12716"/>
    <cellStyle name="Lite Shading 2 4 3 4" xfId="12717"/>
    <cellStyle name="Lite Shading 2 4 4" xfId="12718"/>
    <cellStyle name="Lite Shading 2 4 4 2" xfId="12719"/>
    <cellStyle name="Lite Shading 2 4 4 3" xfId="12720"/>
    <cellStyle name="Lite Shading 2 4 4 4" xfId="12721"/>
    <cellStyle name="Lite Shading 2 4 5" xfId="12722"/>
    <cellStyle name="Lite Shading 2 4 6" xfId="12723"/>
    <cellStyle name="Lite Shading 2 4 7" xfId="12724"/>
    <cellStyle name="Lite Shading 2 4 8" xfId="12725"/>
    <cellStyle name="Lite Shading 2 5" xfId="12726"/>
    <cellStyle name="Lite Shading 2 5 2" xfId="12727"/>
    <cellStyle name="Lite Shading 2 5 2 2" xfId="12728"/>
    <cellStyle name="Lite Shading 2 5 2 3" xfId="12729"/>
    <cellStyle name="Lite Shading 2 5 2 4" xfId="12730"/>
    <cellStyle name="Lite Shading 2 5 3" xfId="12731"/>
    <cellStyle name="Lite Shading 2 5 3 2" xfId="12732"/>
    <cellStyle name="Lite Shading 2 5 3 3" xfId="12733"/>
    <cellStyle name="Lite Shading 2 5 3 4" xfId="12734"/>
    <cellStyle name="Lite Shading 2 5 4" xfId="12735"/>
    <cellStyle name="Lite Shading 2 5 4 2" xfId="12736"/>
    <cellStyle name="Lite Shading 2 5 4 3" xfId="12737"/>
    <cellStyle name="Lite Shading 2 5 4 4" xfId="12738"/>
    <cellStyle name="Lite Shading 2 5 5" xfId="12739"/>
    <cellStyle name="Lite Shading 2 5 6" xfId="12740"/>
    <cellStyle name="Lite Shading 2 5 7" xfId="12741"/>
    <cellStyle name="Lite Shading 2 5 8" xfId="12742"/>
    <cellStyle name="Lite Shading 2 6" xfId="12743"/>
    <cellStyle name="Lite Shading 2 6 2" xfId="12744"/>
    <cellStyle name="Lite Shading 2 6 3" xfId="12745"/>
    <cellStyle name="Lite Shading 2 6 4" xfId="12746"/>
    <cellStyle name="Lite Shading 2 7" xfId="12747"/>
    <cellStyle name="Lite Shading 2 7 2" xfId="12748"/>
    <cellStyle name="Lite Shading 2 7 3" xfId="12749"/>
    <cellStyle name="Lite Shading 2 7 4" xfId="12750"/>
    <cellStyle name="Lite Shading 2 8" xfId="12751"/>
    <cellStyle name="Lite Shading 2 9" xfId="12752"/>
    <cellStyle name="Lite Shading 3" xfId="12753"/>
    <cellStyle name="Lite Shading 3 2" xfId="12754"/>
    <cellStyle name="Lite Shading 3 2 2" xfId="12755"/>
    <cellStyle name="Lite Shading 3 2 3" xfId="12756"/>
    <cellStyle name="Lite Shading 3 2 4" xfId="12757"/>
    <cellStyle name="Lite Shading 3 3" xfId="12758"/>
    <cellStyle name="Lite Shading 3 3 2" xfId="12759"/>
    <cellStyle name="Lite Shading 3 3 3" xfId="12760"/>
    <cellStyle name="Lite Shading 3 3 4" xfId="12761"/>
    <cellStyle name="Lite Shading 3 4" xfId="12762"/>
    <cellStyle name="Lite Shading 3 5" xfId="12763"/>
    <cellStyle name="Lite Shading 3 6" xfId="12764"/>
    <cellStyle name="Lite Shading 3 7" xfId="12765"/>
    <cellStyle name="Lite Shading 4" xfId="12766"/>
    <cellStyle name="Lite Shading 4 2" xfId="12767"/>
    <cellStyle name="Lite Shading 4 2 2" xfId="12768"/>
    <cellStyle name="Lite Shading 4 2 3" xfId="12769"/>
    <cellStyle name="Lite Shading 4 2 4" xfId="12770"/>
    <cellStyle name="Lite Shading 4 3" xfId="12771"/>
    <cellStyle name="Lite Shading 4 3 2" xfId="12772"/>
    <cellStyle name="Lite Shading 4 3 3" xfId="12773"/>
    <cellStyle name="Lite Shading 4 3 4" xfId="12774"/>
    <cellStyle name="Lite Shading 4 4" xfId="12775"/>
    <cellStyle name="Lite Shading 4 4 2" xfId="12776"/>
    <cellStyle name="Lite Shading 4 4 3" xfId="12777"/>
    <cellStyle name="Lite Shading 4 4 4" xfId="12778"/>
    <cellStyle name="Lite Shading 4 5" xfId="12779"/>
    <cellStyle name="Lite Shading 4 6" xfId="12780"/>
    <cellStyle name="Lite Shading 4 7" xfId="12781"/>
    <cellStyle name="Lite Shading 4 8" xfId="12782"/>
    <cellStyle name="Lite Shading 5" xfId="12783"/>
    <cellStyle name="Lite Shading 5 2" xfId="12784"/>
    <cellStyle name="Lite Shading 5 2 2" xfId="12785"/>
    <cellStyle name="Lite Shading 5 2 3" xfId="12786"/>
    <cellStyle name="Lite Shading 5 2 4" xfId="12787"/>
    <cellStyle name="Lite Shading 5 3" xfId="12788"/>
    <cellStyle name="Lite Shading 5 3 2" xfId="12789"/>
    <cellStyle name="Lite Shading 5 3 3" xfId="12790"/>
    <cellStyle name="Lite Shading 5 3 4" xfId="12791"/>
    <cellStyle name="Lite Shading 5 4" xfId="12792"/>
    <cellStyle name="Lite Shading 5 4 2" xfId="12793"/>
    <cellStyle name="Lite Shading 5 4 3" xfId="12794"/>
    <cellStyle name="Lite Shading 5 4 4" xfId="12795"/>
    <cellStyle name="Lite Shading 5 5" xfId="12796"/>
    <cellStyle name="Lite Shading 5 6" xfId="12797"/>
    <cellStyle name="Lite Shading 5 7" xfId="12798"/>
    <cellStyle name="Lite Shading 5 8" xfId="12799"/>
    <cellStyle name="Lite Shading 6" xfId="12800"/>
    <cellStyle name="Lite Shading 6 2" xfId="12801"/>
    <cellStyle name="Lite Shading 6 2 2" xfId="12802"/>
    <cellStyle name="Lite Shading 6 2 3" xfId="12803"/>
    <cellStyle name="Lite Shading 6 2 4" xfId="12804"/>
    <cellStyle name="Lite Shading 6 3" xfId="12805"/>
    <cellStyle name="Lite Shading 6 3 2" xfId="12806"/>
    <cellStyle name="Lite Shading 6 3 3" xfId="12807"/>
    <cellStyle name="Lite Shading 6 3 4" xfId="12808"/>
    <cellStyle name="Lite Shading 6 4" xfId="12809"/>
    <cellStyle name="Lite Shading 6 4 2" xfId="12810"/>
    <cellStyle name="Lite Shading 6 4 3" xfId="12811"/>
    <cellStyle name="Lite Shading 6 4 4" xfId="12812"/>
    <cellStyle name="Lite Shading 6 5" xfId="12813"/>
    <cellStyle name="Lite Shading 6 6" xfId="12814"/>
    <cellStyle name="Lite Shading 6 7" xfId="12815"/>
    <cellStyle name="Lite Shading 6 8" xfId="12816"/>
    <cellStyle name="Lite Shading 7" xfId="12817"/>
    <cellStyle name="Lite Shading 7 2" xfId="12818"/>
    <cellStyle name="Lite Shading 7 2 2" xfId="12819"/>
    <cellStyle name="Lite Shading 7 2 3" xfId="12820"/>
    <cellStyle name="Lite Shading 7 2 4" xfId="12821"/>
    <cellStyle name="Lite Shading 7 3" xfId="12822"/>
    <cellStyle name="Lite Shading 7 3 2" xfId="12823"/>
    <cellStyle name="Lite Shading 7 3 3" xfId="12824"/>
    <cellStyle name="Lite Shading 7 3 4" xfId="12825"/>
    <cellStyle name="Lite Shading 7 4" xfId="12826"/>
    <cellStyle name="Lite Shading 7 4 2" xfId="12827"/>
    <cellStyle name="Lite Shading 7 4 3" xfId="12828"/>
    <cellStyle name="Lite Shading 7 4 4" xfId="12829"/>
    <cellStyle name="Lite Shading 7 5" xfId="12830"/>
    <cellStyle name="Lite Shading 7 6" xfId="12831"/>
    <cellStyle name="Lite Shading 7 7" xfId="12832"/>
    <cellStyle name="Lite Shading 7 8" xfId="12833"/>
    <cellStyle name="Lite Shading 8" xfId="12834"/>
    <cellStyle name="Lite Shading 8 2" xfId="12835"/>
    <cellStyle name="Lite Shading 8 3" xfId="12836"/>
    <cellStyle name="Lite Shading 8 4" xfId="12837"/>
    <cellStyle name="Lite Shading 9" xfId="12838"/>
    <cellStyle name="Lite Shading 9 2" xfId="12839"/>
    <cellStyle name="Lite Shading 9 3" xfId="12840"/>
    <cellStyle name="Lite Shading 9 4" xfId="12841"/>
    <cellStyle name="Maco Limones" xfId="12842"/>
    <cellStyle name="Markeringsfarve1" xfId="53438"/>
    <cellStyle name="Markeringsfarve2" xfId="53439"/>
    <cellStyle name="Markeringsfarve3" xfId="53440"/>
    <cellStyle name="Markeringsfarve4" xfId="53441"/>
    <cellStyle name="Markeringsfarve5" xfId="53442"/>
    <cellStyle name="Markeringsfarve6" xfId="53443"/>
    <cellStyle name="Migliaia (0)_CAL-GARA" xfId="53444"/>
    <cellStyle name="Migliaia 2" xfId="53445"/>
    <cellStyle name="Migliaia_CAL-GARA" xfId="53446"/>
    <cellStyle name="Millares [0] 2" xfId="12843"/>
    <cellStyle name="Millares [0] 2 2" xfId="12844"/>
    <cellStyle name="Millares [0] 2 2 2" xfId="12845"/>
    <cellStyle name="Millares [0] 2 2 2 2" xfId="12846"/>
    <cellStyle name="Millares [0] 2 2 2 3" xfId="12847"/>
    <cellStyle name="Millares [0] 2 2 3" xfId="12848"/>
    <cellStyle name="Millares [0] 2 2 4" xfId="12849"/>
    <cellStyle name="Millares [0] 2 2 5" xfId="12850"/>
    <cellStyle name="Millares [0] 2 3" xfId="12851"/>
    <cellStyle name="Millares [0] 2 3 2" xfId="12852"/>
    <cellStyle name="Millares [0] 2 3 3" xfId="12853"/>
    <cellStyle name="Millares [0] 2 4" xfId="12854"/>
    <cellStyle name="Millares [0] 2 5" xfId="12855"/>
    <cellStyle name="Millares [0] 2_Pauta Lan Teleton" xfId="12856"/>
    <cellStyle name="Millares [0] 3" xfId="12857"/>
    <cellStyle name="Millares [0] 3 2" xfId="12858"/>
    <cellStyle name="Millares [0] 3 2 2" xfId="12859"/>
    <cellStyle name="Millares [0] 3 2 2 2" xfId="12860"/>
    <cellStyle name="Millares [0] 3 2 2 2 2" xfId="12861"/>
    <cellStyle name="Millares [0] 3 2 2 2 2 2" xfId="12862"/>
    <cellStyle name="Millares [0] 3 2 2 2 2 2 2" xfId="12863"/>
    <cellStyle name="Millares [0] 3 2 2 2 2 2 2 2" xfId="12864"/>
    <cellStyle name="Millares [0] 3 2 2 2 2 2 3" xfId="12865"/>
    <cellStyle name="Millares [0] 3 2 2 2 2 3" xfId="12866"/>
    <cellStyle name="Millares [0] 3 2 2 2 2 3 2" xfId="12867"/>
    <cellStyle name="Millares [0] 3 2 2 2 2 4" xfId="12868"/>
    <cellStyle name="Millares [0] 3 2 2 2 3" xfId="12869"/>
    <cellStyle name="Millares [0] 3 2 2 2 3 2" xfId="12870"/>
    <cellStyle name="Millares [0] 3 2 2 2 3 2 2" xfId="12871"/>
    <cellStyle name="Millares [0] 3 2 2 2 3 3" xfId="12872"/>
    <cellStyle name="Millares [0] 3 2 2 2 4" xfId="12873"/>
    <cellStyle name="Millares [0] 3 2 2 2 4 2" xfId="12874"/>
    <cellStyle name="Millares [0] 3 2 2 2 5" xfId="12875"/>
    <cellStyle name="Millares [0] 3 2 2 3" xfId="12876"/>
    <cellStyle name="Millares [0] 3 2 2 3 2" xfId="12877"/>
    <cellStyle name="Millares [0] 3 2 2 3 2 2" xfId="12878"/>
    <cellStyle name="Millares [0] 3 2 2 3 2 2 2" xfId="12879"/>
    <cellStyle name="Millares [0] 3 2 2 3 2 3" xfId="12880"/>
    <cellStyle name="Millares [0] 3 2 2 3 3" xfId="12881"/>
    <cellStyle name="Millares [0] 3 2 2 3 3 2" xfId="12882"/>
    <cellStyle name="Millares [0] 3 2 2 3 4" xfId="12883"/>
    <cellStyle name="Millares [0] 3 2 2 4" xfId="12884"/>
    <cellStyle name="Millares [0] 3 2 2 4 2" xfId="12885"/>
    <cellStyle name="Millares [0] 3 2 2 4 2 2" xfId="12886"/>
    <cellStyle name="Millares [0] 3 2 2 4 3" xfId="12887"/>
    <cellStyle name="Millares [0] 3 2 2 5" xfId="12888"/>
    <cellStyle name="Millares [0] 3 2 2 5 2" xfId="12889"/>
    <cellStyle name="Millares [0] 3 2 2 6" xfId="12890"/>
    <cellStyle name="Millares [0] 3 2 3" xfId="12891"/>
    <cellStyle name="Millares [0] 3 2 3 2" xfId="12892"/>
    <cellStyle name="Millares [0] 3 2 3 2 2" xfId="12893"/>
    <cellStyle name="Millares [0] 3 2 3 2 2 2" xfId="12894"/>
    <cellStyle name="Millares [0] 3 2 3 2 2 2 2" xfId="12895"/>
    <cellStyle name="Millares [0] 3 2 3 2 2 2 2 2" xfId="12896"/>
    <cellStyle name="Millares [0] 3 2 3 2 2 2 3" xfId="12897"/>
    <cellStyle name="Millares [0] 3 2 3 2 2 3" xfId="12898"/>
    <cellStyle name="Millares [0] 3 2 3 2 2 3 2" xfId="12899"/>
    <cellStyle name="Millares [0] 3 2 3 2 2 4" xfId="12900"/>
    <cellStyle name="Millares [0] 3 2 3 2 3" xfId="12901"/>
    <cellStyle name="Millares [0] 3 2 3 2 3 2" xfId="12902"/>
    <cellStyle name="Millares [0] 3 2 3 2 3 2 2" xfId="12903"/>
    <cellStyle name="Millares [0] 3 2 3 2 3 3" xfId="12904"/>
    <cellStyle name="Millares [0] 3 2 3 2 4" xfId="12905"/>
    <cellStyle name="Millares [0] 3 2 3 2 4 2" xfId="12906"/>
    <cellStyle name="Millares [0] 3 2 3 2 5" xfId="12907"/>
    <cellStyle name="Millares [0] 3 2 3 3" xfId="12908"/>
    <cellStyle name="Millares [0] 3 2 3 3 2" xfId="12909"/>
    <cellStyle name="Millares [0] 3 2 3 3 2 2" xfId="12910"/>
    <cellStyle name="Millares [0] 3 2 3 3 2 2 2" xfId="12911"/>
    <cellStyle name="Millares [0] 3 2 3 3 2 3" xfId="12912"/>
    <cellStyle name="Millares [0] 3 2 3 3 3" xfId="12913"/>
    <cellStyle name="Millares [0] 3 2 3 3 3 2" xfId="12914"/>
    <cellStyle name="Millares [0] 3 2 3 3 4" xfId="12915"/>
    <cellStyle name="Millares [0] 3 2 3 4" xfId="12916"/>
    <cellStyle name="Millares [0] 3 2 3 4 2" xfId="12917"/>
    <cellStyle name="Millares [0] 3 2 3 4 2 2" xfId="12918"/>
    <cellStyle name="Millares [0] 3 2 3 4 3" xfId="12919"/>
    <cellStyle name="Millares [0] 3 2 3 5" xfId="12920"/>
    <cellStyle name="Millares [0] 3 2 3 5 2" xfId="12921"/>
    <cellStyle name="Millares [0] 3 2 3 6" xfId="12922"/>
    <cellStyle name="Millares [0] 3 2 4" xfId="12923"/>
    <cellStyle name="Millares [0] 3 2 4 2" xfId="12924"/>
    <cellStyle name="Millares [0] 3 2 4 2 2" xfId="12925"/>
    <cellStyle name="Millares [0] 3 2 4 2 2 2" xfId="12926"/>
    <cellStyle name="Millares [0] 3 2 4 2 2 2 2" xfId="12927"/>
    <cellStyle name="Millares [0] 3 2 4 2 2 3" xfId="12928"/>
    <cellStyle name="Millares [0] 3 2 4 2 3" xfId="12929"/>
    <cellStyle name="Millares [0] 3 2 4 2 3 2" xfId="12930"/>
    <cellStyle name="Millares [0] 3 2 4 2 4" xfId="12931"/>
    <cellStyle name="Millares [0] 3 2 4 3" xfId="12932"/>
    <cellStyle name="Millares [0] 3 2 4 3 2" xfId="12933"/>
    <cellStyle name="Millares [0] 3 2 4 3 2 2" xfId="12934"/>
    <cellStyle name="Millares [0] 3 2 4 3 3" xfId="12935"/>
    <cellStyle name="Millares [0] 3 2 4 4" xfId="12936"/>
    <cellStyle name="Millares [0] 3 2 4 4 2" xfId="12937"/>
    <cellStyle name="Millares [0] 3 2 4 5" xfId="12938"/>
    <cellStyle name="Millares [0] 3 2 5" xfId="12939"/>
    <cellStyle name="Millares [0] 3 2 5 2" xfId="12940"/>
    <cellStyle name="Millares [0] 3 2 5 2 2" xfId="12941"/>
    <cellStyle name="Millares [0] 3 2 5 2 2 2" xfId="12942"/>
    <cellStyle name="Millares [0] 3 2 5 2 3" xfId="12943"/>
    <cellStyle name="Millares [0] 3 2 5 3" xfId="12944"/>
    <cellStyle name="Millares [0] 3 2 5 3 2" xfId="12945"/>
    <cellStyle name="Millares [0] 3 2 5 4" xfId="12946"/>
    <cellStyle name="Millares [0] 3 2 6" xfId="12947"/>
    <cellStyle name="Millares [0] 3 2 6 2" xfId="12948"/>
    <cellStyle name="Millares [0] 3 2 6 2 2" xfId="12949"/>
    <cellStyle name="Millares [0] 3 2 6 3" xfId="12950"/>
    <cellStyle name="Millares [0] 3 2 7" xfId="12951"/>
    <cellStyle name="Millares [0] 3 2 7 2" xfId="12952"/>
    <cellStyle name="Millares [0] 3 2 8" xfId="12953"/>
    <cellStyle name="Millares [0] 4" xfId="12954"/>
    <cellStyle name="Millares [0] 4 2" xfId="12955"/>
    <cellStyle name="Millares [0] 4 2 2" xfId="12956"/>
    <cellStyle name="Millares [0] 4 3" xfId="12957"/>
    <cellStyle name="Millares [0] 5" xfId="12958"/>
    <cellStyle name="Millares [0] 6" xfId="12959"/>
    <cellStyle name="Millares 10" xfId="12960"/>
    <cellStyle name="Millares 10 2" xfId="12961"/>
    <cellStyle name="Millares 10 2 2" xfId="12962"/>
    <cellStyle name="Millares 10 3" xfId="12963"/>
    <cellStyle name="Millares 10 3 2" xfId="12964"/>
    <cellStyle name="Millares 10 3 3" xfId="12965"/>
    <cellStyle name="Millares 10 3 4" xfId="12966"/>
    <cellStyle name="Millares 10 4" xfId="12967"/>
    <cellStyle name="Millares 11" xfId="12968"/>
    <cellStyle name="Millares 11 2" xfId="12969"/>
    <cellStyle name="Millares 12" xfId="12970"/>
    <cellStyle name="Millares 13" xfId="12971"/>
    <cellStyle name="Millares 13 2" xfId="12972"/>
    <cellStyle name="Millares 13 3" xfId="12973"/>
    <cellStyle name="Millares 14" xfId="12974"/>
    <cellStyle name="Millares 14 2" xfId="12975"/>
    <cellStyle name="Millares 14 3" xfId="12976"/>
    <cellStyle name="Millares 15" xfId="12977"/>
    <cellStyle name="Millares 15 2" xfId="12978"/>
    <cellStyle name="Millares 15 3" xfId="12979"/>
    <cellStyle name="Millares 16" xfId="12980"/>
    <cellStyle name="Millares 17" xfId="12981"/>
    <cellStyle name="Millares 17 2" xfId="12982"/>
    <cellStyle name="Millares 18" xfId="12983"/>
    <cellStyle name="Millares 19" xfId="12984"/>
    <cellStyle name="Millares 2" xfId="9"/>
    <cellStyle name="Millares 2 2" xfId="62"/>
    <cellStyle name="Millares 2 2 10" xfId="12985"/>
    <cellStyle name="Millares 2 2 10 2" xfId="12986"/>
    <cellStyle name="Millares 2 2 10 3" xfId="12987"/>
    <cellStyle name="Millares 2 2 2" xfId="12988"/>
    <cellStyle name="Millares 2 2 2 2" xfId="12989"/>
    <cellStyle name="Millares 2 2 2 3" xfId="12990"/>
    <cellStyle name="Millares 2 2 3" xfId="12991"/>
    <cellStyle name="Millares 2 2 3 2" xfId="12992"/>
    <cellStyle name="Millares 2 2 3 3" xfId="53447"/>
    <cellStyle name="Millares 2 2 3 4" xfId="53448"/>
    <cellStyle name="Millares 2 2 3 5" xfId="53449"/>
    <cellStyle name="Millares 2 2 4" xfId="12993"/>
    <cellStyle name="Millares 2 2 4 2" xfId="53450"/>
    <cellStyle name="Millares 2 2 5" xfId="12994"/>
    <cellStyle name="Millares 2 3" xfId="12995"/>
    <cellStyle name="Millares 2 3 2" xfId="12996"/>
    <cellStyle name="Millares 2 4" xfId="12997"/>
    <cellStyle name="Millares 2 4 2" xfId="12998"/>
    <cellStyle name="Millares 2 5" xfId="12999"/>
    <cellStyle name="Millares 2 5 2" xfId="53451"/>
    <cellStyle name="Millares 2 5 2 2" xfId="53452"/>
    <cellStyle name="Millares 2 5 3" xfId="53453"/>
    <cellStyle name="Millares 2 6" xfId="53454"/>
    <cellStyle name="Millares 2 6 2" xfId="53455"/>
    <cellStyle name="Millares 2 7" xfId="53456"/>
    <cellStyle name="Millares 2_carta GANTT DIARIO EL PAIS v2" xfId="13000"/>
    <cellStyle name="Millares 20" xfId="13001"/>
    <cellStyle name="Millares 20 2" xfId="13002"/>
    <cellStyle name="Millares 20 3" xfId="52982"/>
    <cellStyle name="Millares 21" xfId="13003"/>
    <cellStyle name="Millares 21 2" xfId="13004"/>
    <cellStyle name="Millares 22" xfId="13005"/>
    <cellStyle name="Millares 22 2" xfId="13006"/>
    <cellStyle name="Millares 23" xfId="13007"/>
    <cellStyle name="Millares 23 2" xfId="13008"/>
    <cellStyle name="Millares 23 3" xfId="13009"/>
    <cellStyle name="Millares 24" xfId="13010"/>
    <cellStyle name="Millares 25" xfId="13011"/>
    <cellStyle name="Millares 26" xfId="13012"/>
    <cellStyle name="Millares 27" xfId="13013"/>
    <cellStyle name="Millares 27 2" xfId="13014"/>
    <cellStyle name="Millares 28" xfId="13015"/>
    <cellStyle name="Millares 29" xfId="13016"/>
    <cellStyle name="Millares 3" xfId="45"/>
    <cellStyle name="Millares 3 2" xfId="53"/>
    <cellStyle name="Millares 3 2 2" xfId="81"/>
    <cellStyle name="Millares 3 2 2 2" xfId="13017"/>
    <cellStyle name="Millares 3 2 2 3" xfId="135"/>
    <cellStyle name="Millares 3 2 3" xfId="100"/>
    <cellStyle name="Millares 3 2 3 2" xfId="154"/>
    <cellStyle name="Millares 3 2 4" xfId="13018"/>
    <cellStyle name="Millares 3 2 5" xfId="119"/>
    <cellStyle name="Millares 3 3" xfId="56"/>
    <cellStyle name="Millares 3 3 2" xfId="82"/>
    <cellStyle name="Millares 3 3 2 2" xfId="136"/>
    <cellStyle name="Millares 3 3 3" xfId="103"/>
    <cellStyle name="Millares 3 3 3 2" xfId="157"/>
    <cellStyle name="Millares 3 3 4" xfId="122"/>
    <cellStyle name="Millares 3 4" xfId="80"/>
    <cellStyle name="Millares 3 4 2" xfId="134"/>
    <cellStyle name="Millares 3 5" xfId="96"/>
    <cellStyle name="Millares 3 5 2" xfId="150"/>
    <cellStyle name="Millares 3 6" xfId="13019"/>
    <cellStyle name="Millares 3 7" xfId="13020"/>
    <cellStyle name="Millares 3 8" xfId="13021"/>
    <cellStyle name="Millares 3 9" xfId="115"/>
    <cellStyle name="Millares 30" xfId="13022"/>
    <cellStyle name="Millares 31" xfId="13023"/>
    <cellStyle name="Millares 32" xfId="13024"/>
    <cellStyle name="Millares 33" xfId="13025"/>
    <cellStyle name="Millares 34" xfId="13026"/>
    <cellStyle name="Millares 35" xfId="13027"/>
    <cellStyle name="Millares 36" xfId="13028"/>
    <cellStyle name="Millares 37" xfId="13029"/>
    <cellStyle name="Millares 38" xfId="13030"/>
    <cellStyle name="Millares 39" xfId="13031"/>
    <cellStyle name="Millares 4" xfId="59"/>
    <cellStyle name="Millares 4 2" xfId="106"/>
    <cellStyle name="Millares 4 2 2" xfId="13032"/>
    <cellStyle name="Millares 4 2 3" xfId="13033"/>
    <cellStyle name="Millares 4 2 4" xfId="160"/>
    <cellStyle name="Millares 4 3" xfId="13034"/>
    <cellStyle name="Millares 4 4" xfId="13035"/>
    <cellStyle name="Millares 4 5" xfId="13036"/>
    <cellStyle name="Millares 4 6" xfId="125"/>
    <cellStyle name="Millares 40" xfId="13037"/>
    <cellStyle name="Millares 41" xfId="13038"/>
    <cellStyle name="Millares 42" xfId="13039"/>
    <cellStyle name="Millares 43" xfId="13040"/>
    <cellStyle name="Millares 44" xfId="13041"/>
    <cellStyle name="Millares 45" xfId="13042"/>
    <cellStyle name="Millares 46" xfId="13043"/>
    <cellStyle name="Millares 47" xfId="13044"/>
    <cellStyle name="Millares 48" xfId="13045"/>
    <cellStyle name="Millares 49" xfId="13046"/>
    <cellStyle name="Millares 5" xfId="72"/>
    <cellStyle name="Millares 5 2" xfId="110"/>
    <cellStyle name="Millares 5 2 2" xfId="13047"/>
    <cellStyle name="Millares 5 2 3" xfId="164"/>
    <cellStyle name="Millares 5 3" xfId="13048"/>
    <cellStyle name="Millares 5 4" xfId="13049"/>
    <cellStyle name="Millares 5 5" xfId="13050"/>
    <cellStyle name="Millares 5 6" xfId="129"/>
    <cellStyle name="Millares 50" xfId="13051"/>
    <cellStyle name="Millares 51" xfId="13052"/>
    <cellStyle name="Millares 52" xfId="13053"/>
    <cellStyle name="Millares 53" xfId="13054"/>
    <cellStyle name="Millares 54" xfId="13055"/>
    <cellStyle name="Millares 55" xfId="13056"/>
    <cellStyle name="Millares 56" xfId="13057"/>
    <cellStyle name="Millares 57" xfId="13058"/>
    <cellStyle name="Millares 58" xfId="13059"/>
    <cellStyle name="Millares 59" xfId="13060"/>
    <cellStyle name="Millares 6" xfId="168"/>
    <cellStyle name="Millares 6 2" xfId="13061"/>
    <cellStyle name="Millares 6 2 2" xfId="13062"/>
    <cellStyle name="Millares 6 2 3" xfId="13063"/>
    <cellStyle name="Millares 6 3" xfId="13064"/>
    <cellStyle name="Millares 6 3 2" xfId="13065"/>
    <cellStyle name="Millares 6 3 3" xfId="13066"/>
    <cellStyle name="Millares 6 4" xfId="13067"/>
    <cellStyle name="Millares 6 5" xfId="13068"/>
    <cellStyle name="Millares 6 6" xfId="13069"/>
    <cellStyle name="Millares 60" xfId="13070"/>
    <cellStyle name="Millares 61" xfId="13071"/>
    <cellStyle name="Millares 62" xfId="13072"/>
    <cellStyle name="Millares 63" xfId="13073"/>
    <cellStyle name="Millares 64" xfId="13074"/>
    <cellStyle name="Millares 65" xfId="13075"/>
    <cellStyle name="Millares 66" xfId="13076"/>
    <cellStyle name="Millares 67" xfId="13077"/>
    <cellStyle name="Millares 68" xfId="13078"/>
    <cellStyle name="Millares 69" xfId="13079"/>
    <cellStyle name="Millares 7" xfId="13080"/>
    <cellStyle name="Millares 7 2" xfId="13081"/>
    <cellStyle name="Millares 70" xfId="52980"/>
    <cellStyle name="Millares 8" xfId="13082"/>
    <cellStyle name="Millares 8 2" xfId="13083"/>
    <cellStyle name="Millares 9" xfId="13084"/>
    <cellStyle name="Millares 9 2" xfId="13085"/>
    <cellStyle name="Millares 9 3" xfId="13086"/>
    <cellStyle name="Milliers [0]_!!!GO" xfId="13087"/>
    <cellStyle name="Milliers 2" xfId="53457"/>
    <cellStyle name="Milliers 3" xfId="53458"/>
    <cellStyle name="Milliers 3 2" xfId="53459"/>
    <cellStyle name="Milliers_!!!GO" xfId="13088"/>
    <cellStyle name="mio" xfId="13089"/>
    <cellStyle name="Moeda [0]_APPROVED TEMPLATE no intel" xfId="13090"/>
    <cellStyle name="Moeda_APPROVED TEMPLATE no intel" xfId="13091"/>
    <cellStyle name="Mofeda [0]_CARMEN3" xfId="10"/>
    <cellStyle name="Mon?taire [0]_PERSONAL" xfId="13092"/>
    <cellStyle name="Mon?taire_PERSONAL" xfId="13093"/>
    <cellStyle name="Moneda [0] 2" xfId="13094"/>
    <cellStyle name="Moneda 0" xfId="53460"/>
    <cellStyle name="Moneda 10" xfId="74"/>
    <cellStyle name="Moneda 10 2" xfId="112"/>
    <cellStyle name="Moneda 10 2 2" xfId="166"/>
    <cellStyle name="Moneda 10 3" xfId="13095"/>
    <cellStyle name="Moneda 10 4" xfId="131"/>
    <cellStyle name="Moneda 11" xfId="92"/>
    <cellStyle name="Moneda 11 2" xfId="146"/>
    <cellStyle name="Moneda 12" xfId="169"/>
    <cellStyle name="Moneda 12 2" xfId="13096"/>
    <cellStyle name="Moneda 13" xfId="13097"/>
    <cellStyle name="Moneda 13 2" xfId="13098"/>
    <cellStyle name="Moneda 14" xfId="13099"/>
    <cellStyle name="Moneda 15" xfId="13100"/>
    <cellStyle name="Moneda 16" xfId="13101"/>
    <cellStyle name="Moneda 17" xfId="13102"/>
    <cellStyle name="Moneda 18" xfId="13103"/>
    <cellStyle name="Moneda 19" xfId="13104"/>
    <cellStyle name="Moneda 2" xfId="12"/>
    <cellStyle name="Moneda 2 10" xfId="13105"/>
    <cellStyle name="Moneda 2 11" xfId="13106"/>
    <cellStyle name="Moneda 2 12" xfId="13107"/>
    <cellStyle name="Moneda 2 13" xfId="13108"/>
    <cellStyle name="Moneda 2 14" xfId="13109"/>
    <cellStyle name="Moneda 2 15" xfId="13110"/>
    <cellStyle name="Moneda 2 16" xfId="13111"/>
    <cellStyle name="Moneda 2 17" xfId="13112"/>
    <cellStyle name="Moneda 2 17 2" xfId="13113"/>
    <cellStyle name="Moneda 2 18" xfId="13114"/>
    <cellStyle name="Moneda 2 19" xfId="13115"/>
    <cellStyle name="Moneda 2 2" xfId="13"/>
    <cellStyle name="Moneda 2 2 2" xfId="13116"/>
    <cellStyle name="Moneda 2 2 2 2" xfId="13117"/>
    <cellStyle name="Moneda 2 2 2 3" xfId="13118"/>
    <cellStyle name="Moneda 2 2 3" xfId="13119"/>
    <cellStyle name="Moneda 2 2 4" xfId="13120"/>
    <cellStyle name="Moneda 2 2 5" xfId="13121"/>
    <cellStyle name="Moneda 2 3" xfId="48"/>
    <cellStyle name="Moneda 2 3 2" xfId="13122"/>
    <cellStyle name="Moneda 2 3 2 2" xfId="13123"/>
    <cellStyle name="Moneda 2 3 2 3" xfId="13124"/>
    <cellStyle name="Moneda 2 3 3" xfId="13125"/>
    <cellStyle name="Moneda 2 3 3 2" xfId="13126"/>
    <cellStyle name="Moneda 2 3 4" xfId="13127"/>
    <cellStyle name="Moneda 2 3 5" xfId="13128"/>
    <cellStyle name="Moneda 2 4" xfId="13129"/>
    <cellStyle name="Moneda 2 4 2" xfId="13130"/>
    <cellStyle name="Moneda 2 4 3" xfId="13131"/>
    <cellStyle name="Moneda 2 5" xfId="13132"/>
    <cellStyle name="Moneda 2 6" xfId="13133"/>
    <cellStyle name="Moneda 2 7" xfId="13134"/>
    <cellStyle name="Moneda 2 8" xfId="13135"/>
    <cellStyle name="Moneda 2 9" xfId="13136"/>
    <cellStyle name="Moneda 20" xfId="13137"/>
    <cellStyle name="Moneda 21" xfId="13138"/>
    <cellStyle name="Moneda 22" xfId="13139"/>
    <cellStyle name="Moneda 23" xfId="13140"/>
    <cellStyle name="Moneda 24" xfId="13141"/>
    <cellStyle name="Moneda 25" xfId="13142"/>
    <cellStyle name="Moneda 26" xfId="13143"/>
    <cellStyle name="Moneda 27" xfId="52983"/>
    <cellStyle name="Moneda 3" xfId="14"/>
    <cellStyle name="Moneda 3 2" xfId="49"/>
    <cellStyle name="Moneda 3 2 2" xfId="13144"/>
    <cellStyle name="Moneda 3 2 3" xfId="13145"/>
    <cellStyle name="Moneda 3 2 4" xfId="13146"/>
    <cellStyle name="Moneda 3 3" xfId="64"/>
    <cellStyle name="Moneda 3 3 2" xfId="13147"/>
    <cellStyle name="Moneda 3 3 3" xfId="13148"/>
    <cellStyle name="Moneda 3 3 4" xfId="13149"/>
    <cellStyle name="Moneda 3 4" xfId="13150"/>
    <cellStyle name="Moneda 3 5" xfId="13151"/>
    <cellStyle name="Moneda 3 6" xfId="13152"/>
    <cellStyle name="Moneda 30" xfId="13153"/>
    <cellStyle name="Moneda 30 2" xfId="13154"/>
    <cellStyle name="Moneda 30 3" xfId="13155"/>
    <cellStyle name="Moneda 31" xfId="13156"/>
    <cellStyle name="Moneda 31 2" xfId="13157"/>
    <cellStyle name="Moneda 31 3" xfId="13158"/>
    <cellStyle name="Moneda 32" xfId="13159"/>
    <cellStyle name="Moneda 32 2" xfId="13160"/>
    <cellStyle name="Moneda 4" xfId="15"/>
    <cellStyle name="Moneda 4 2" xfId="13161"/>
    <cellStyle name="Moneda 4 2 2" xfId="13162"/>
    <cellStyle name="Moneda 4 2 2 2" xfId="13163"/>
    <cellStyle name="Moneda 4 2 3" xfId="13164"/>
    <cellStyle name="Moneda 4 2 4" xfId="13165"/>
    <cellStyle name="Moneda 4 3" xfId="13166"/>
    <cellStyle name="Moneda 4 4" xfId="13167"/>
    <cellStyle name="Moneda 4 5" xfId="13168"/>
    <cellStyle name="Moneda 5" xfId="46"/>
    <cellStyle name="Moneda 5 2" xfId="54"/>
    <cellStyle name="Moneda 5 2 2" xfId="84"/>
    <cellStyle name="Moneda 5 2 2 2" xfId="138"/>
    <cellStyle name="Moneda 5 2 3" xfId="101"/>
    <cellStyle name="Moneda 5 2 3 2" xfId="155"/>
    <cellStyle name="Moneda 5 2 4" xfId="120"/>
    <cellStyle name="Moneda 5 3" xfId="57"/>
    <cellStyle name="Moneda 5 3 2" xfId="85"/>
    <cellStyle name="Moneda 5 3 2 2" xfId="139"/>
    <cellStyle name="Moneda 5 3 3" xfId="104"/>
    <cellStyle name="Moneda 5 3 3 2" xfId="158"/>
    <cellStyle name="Moneda 5 3 4" xfId="123"/>
    <cellStyle name="Moneda 5 4" xfId="83"/>
    <cellStyle name="Moneda 5 4 2" xfId="137"/>
    <cellStyle name="Moneda 5 5" xfId="97"/>
    <cellStyle name="Moneda 5 5 2" xfId="151"/>
    <cellStyle name="Moneda 5 6" xfId="116"/>
    <cellStyle name="Moneda 56" xfId="13169"/>
    <cellStyle name="Moneda 56 2" xfId="13170"/>
    <cellStyle name="Moneda 6" xfId="65"/>
    <cellStyle name="Moneda 6 2" xfId="13171"/>
    <cellStyle name="Moneda 6 2 2" xfId="13172"/>
    <cellStyle name="Moneda 6 2 3" xfId="13173"/>
    <cellStyle name="Moneda 6 2 4" xfId="13174"/>
    <cellStyle name="Moneda 6 3" xfId="13175"/>
    <cellStyle name="Moneda 6 3 2" xfId="13176"/>
    <cellStyle name="Moneda 6 4" xfId="13177"/>
    <cellStyle name="Moneda 6 5" xfId="13178"/>
    <cellStyle name="Moneda 7" xfId="60"/>
    <cellStyle name="Moneda 7 2" xfId="107"/>
    <cellStyle name="Moneda 7 2 2" xfId="13179"/>
    <cellStyle name="Moneda 7 2 3" xfId="161"/>
    <cellStyle name="Moneda 7 3" xfId="13180"/>
    <cellStyle name="Moneda 7 4" xfId="13181"/>
    <cellStyle name="Moneda 7 5" xfId="126"/>
    <cellStyle name="Moneda 8" xfId="66"/>
    <cellStyle name="Moneda 8 2" xfId="13182"/>
    <cellStyle name="Moneda 8 2 2" xfId="13183"/>
    <cellStyle name="Moneda 8 2 3" xfId="13184"/>
    <cellStyle name="Moneda 8 2 4" xfId="13185"/>
    <cellStyle name="Moneda 8 3" xfId="13186"/>
    <cellStyle name="Moneda 8 3 2" xfId="13187"/>
    <cellStyle name="Moneda 8 3 3" xfId="13188"/>
    <cellStyle name="Moneda 8 4" xfId="13189"/>
    <cellStyle name="Moneda 8 5" xfId="13190"/>
    <cellStyle name="Moneda 8 6" xfId="13191"/>
    <cellStyle name="Moneda 9" xfId="67"/>
    <cellStyle name="Moneda 9 2" xfId="13192"/>
    <cellStyle name="Moneda 9 2 2" xfId="13193"/>
    <cellStyle name="Moneda 9 3" xfId="13194"/>
    <cellStyle name="Moneda 9 4" xfId="13195"/>
    <cellStyle name="Monétaire [0]_!!!GO" xfId="13196"/>
    <cellStyle name="Monétaire 2" xfId="53461"/>
    <cellStyle name="Monétaire_!!!GO" xfId="13197"/>
    <cellStyle name="Nagłówek 1" xfId="53462"/>
    <cellStyle name="Nagłówek 2" xfId="53463"/>
    <cellStyle name="Nagłówek 3" xfId="53464"/>
    <cellStyle name="Nagłówek 3 2" xfId="53465"/>
    <cellStyle name="Nagłówek 3 2 2" xfId="53466"/>
    <cellStyle name="Nagłówek 3 2 2 2" xfId="53467"/>
    <cellStyle name="Nagłówek 3 2 2 3" xfId="53468"/>
    <cellStyle name="Nagłówek 3 2 2 4" xfId="53469"/>
    <cellStyle name="Nagłówek 3 2 3" xfId="53470"/>
    <cellStyle name="Nagłówek 3 2 4" xfId="53471"/>
    <cellStyle name="Nagłówek 3 2 5" xfId="53472"/>
    <cellStyle name="Nagłówek 3 2 6" xfId="53473"/>
    <cellStyle name="Nagłówek 3 2 7" xfId="53474"/>
    <cellStyle name="Nagłówek 3 3" xfId="53475"/>
    <cellStyle name="Nagłówek 3 3 2" xfId="53476"/>
    <cellStyle name="Nagłówek 3 3 2 2" xfId="53477"/>
    <cellStyle name="Nagłówek 3 3 2 3" xfId="53478"/>
    <cellStyle name="Nagłówek 3 3 2 4" xfId="53479"/>
    <cellStyle name="Nagłówek 3 3 3" xfId="53480"/>
    <cellStyle name="Nagłówek 3 3 4" xfId="53481"/>
    <cellStyle name="Nagłówek 3 3 5" xfId="53482"/>
    <cellStyle name="Nagłówek 3 3 6" xfId="53483"/>
    <cellStyle name="Nagłówek 3 3 7" xfId="53484"/>
    <cellStyle name="Nagłówek 3 4" xfId="53485"/>
    <cellStyle name="Nagłówek 3 4 2" xfId="53486"/>
    <cellStyle name="Nagłówek 3 4 3" xfId="53487"/>
    <cellStyle name="Nagłówek 3 4 4" xfId="53488"/>
    <cellStyle name="Nagłówek 3 4 5" xfId="53489"/>
    <cellStyle name="Nagłówek 3 5" xfId="53490"/>
    <cellStyle name="Nagłówek 3 5 2" xfId="53491"/>
    <cellStyle name="Nagłówek 3 5 3" xfId="53492"/>
    <cellStyle name="Nagłówek 3 5 4" xfId="53493"/>
    <cellStyle name="Nagłówek 3 6" xfId="53494"/>
    <cellStyle name="Nagłówek 3 6 2" xfId="53495"/>
    <cellStyle name="Nagłówek 3 6 3" xfId="53496"/>
    <cellStyle name="Nagłówek 3 6 4" xfId="53497"/>
    <cellStyle name="Nagłówek 3 7" xfId="53498"/>
    <cellStyle name="Nagłówek 3 7 2" xfId="53499"/>
    <cellStyle name="Nagłówek 3 7 3" xfId="53500"/>
    <cellStyle name="Nagłówek 3 7 4" xfId="53501"/>
    <cellStyle name="Nagłówek 3 8" xfId="53502"/>
    <cellStyle name="Nagłówek 3 9" xfId="53503"/>
    <cellStyle name="Nagłówek 4" xfId="53504"/>
    <cellStyle name="Navadno_Appendix 2 - Financial case final1" xfId="53505"/>
    <cellStyle name="Nbspots" xfId="53506"/>
    <cellStyle name="Nbspots 2" xfId="53507"/>
    <cellStyle name="NbspotsConditionBordGris" xfId="53508"/>
    <cellStyle name="NbspotsConditionBordGris 2" xfId="53509"/>
    <cellStyle name="Negativ" xfId="53510"/>
    <cellStyle name="Negativ 2" xfId="53511"/>
    <cellStyle name="Neutra" xfId="13198"/>
    <cellStyle name="Neutral 2" xfId="13199"/>
    <cellStyle name="Neutral 3" xfId="13200"/>
    <cellStyle name="Neutral 4" xfId="13201"/>
    <cellStyle name="Neutral 5" xfId="13202"/>
    <cellStyle name="Neutralne" xfId="53512"/>
    <cellStyle name="Neutre" xfId="53513"/>
    <cellStyle name="Neutre 2" xfId="53514"/>
    <cellStyle name="Neutre 3" xfId="53515"/>
    <cellStyle name="New Times Roman" xfId="13203"/>
    <cellStyle name="no dec" xfId="13204"/>
    <cellStyle name="No-definido" xfId="16"/>
    <cellStyle name="Nombre" xfId="13205"/>
    <cellStyle name="NONE" xfId="13206"/>
    <cellStyle name="Normal" xfId="0" builtinId="0"/>
    <cellStyle name="Normal - Style1" xfId="13207"/>
    <cellStyle name="Normal 10" xfId="44"/>
    <cellStyle name="Normal 10 2" xfId="52"/>
    <cellStyle name="Normal 10 2 2" xfId="87"/>
    <cellStyle name="Normal 10 2 2 2" xfId="13208"/>
    <cellStyle name="Normal 10 2 2 2 2" xfId="13209"/>
    <cellStyle name="Normal 10 2 2 3" xfId="13210"/>
    <cellStyle name="Normal 10 2 2 4" xfId="141"/>
    <cellStyle name="Normal 10 2 3" xfId="99"/>
    <cellStyle name="Normal 10 2 3 2" xfId="13211"/>
    <cellStyle name="Normal 10 2 3 3" xfId="153"/>
    <cellStyle name="Normal 10 2 4" xfId="13212"/>
    <cellStyle name="Normal 10 2 4 2" xfId="13213"/>
    <cellStyle name="Normal 10 2 5" xfId="13214"/>
    <cellStyle name="Normal 10 2 6" xfId="118"/>
    <cellStyle name="Normal 10 3" xfId="55"/>
    <cellStyle name="Normal 10 3 2" xfId="88"/>
    <cellStyle name="Normal 10 3 2 2" xfId="142"/>
    <cellStyle name="Normal 10 3 3" xfId="102"/>
    <cellStyle name="Normal 10 3 3 2" xfId="156"/>
    <cellStyle name="Normal 10 3 4" xfId="121"/>
    <cellStyle name="Normal 10 4" xfId="68"/>
    <cellStyle name="Normal 10 5" xfId="86"/>
    <cellStyle name="Normal 10 5 2" xfId="140"/>
    <cellStyle name="Normal 10 6" xfId="95"/>
    <cellStyle name="Normal 10 6 2" xfId="149"/>
    <cellStyle name="Normal 10 7" xfId="114"/>
    <cellStyle name="Normal 100" xfId="13215"/>
    <cellStyle name="Normal 101" xfId="13216"/>
    <cellStyle name="Normal 102" xfId="13217"/>
    <cellStyle name="Normal 103" xfId="13218"/>
    <cellStyle name="Normal 104" xfId="13219"/>
    <cellStyle name="Normal 105" xfId="13220"/>
    <cellStyle name="Normal 106" xfId="13221"/>
    <cellStyle name="Normal 107" xfId="13222"/>
    <cellStyle name="Normal 108" xfId="13223"/>
    <cellStyle name="Normal 109" xfId="13224"/>
    <cellStyle name="Normal 11" xfId="58"/>
    <cellStyle name="Normal 11 2" xfId="105"/>
    <cellStyle name="Normal 11 2 2" xfId="13225"/>
    <cellStyle name="Normal 11 2 3" xfId="13226"/>
    <cellStyle name="Normal 11 2 4" xfId="13227"/>
    <cellStyle name="Normal 11 2 5" xfId="159"/>
    <cellStyle name="Normal 11 3" xfId="13228"/>
    <cellStyle name="Normal 11 3 2" xfId="13229"/>
    <cellStyle name="Normal 11 3 2 2" xfId="13230"/>
    <cellStyle name="Normal 11 3 2 2 2" xfId="13231"/>
    <cellStyle name="Normal 11 3 2 2 2 2" xfId="13232"/>
    <cellStyle name="Normal 11 3 2 2 3" xfId="13233"/>
    <cellStyle name="Normal 11 3 2 3" xfId="13234"/>
    <cellStyle name="Normal 11 3 2 3 2" xfId="13235"/>
    <cellStyle name="Normal 11 3 2 4" xfId="13236"/>
    <cellStyle name="Normal 11 3 3" xfId="13237"/>
    <cellStyle name="Normal 11 3 3 2" xfId="13238"/>
    <cellStyle name="Normal 11 3 3 2 2" xfId="13239"/>
    <cellStyle name="Normal 11 3 3 3" xfId="13240"/>
    <cellStyle name="Normal 11 3 4" xfId="13241"/>
    <cellStyle name="Normal 11 3 4 2" xfId="13242"/>
    <cellStyle name="Normal 11 3 5" xfId="13243"/>
    <cellStyle name="Normal 11 4" xfId="13244"/>
    <cellStyle name="Normal 11 5" xfId="124"/>
    <cellStyle name="Normal 110" xfId="13245"/>
    <cellStyle name="Normal 111" xfId="13246"/>
    <cellStyle name="Normal 112" xfId="13247"/>
    <cellStyle name="Normal 113" xfId="47"/>
    <cellStyle name="Normal 114" xfId="13248"/>
    <cellStyle name="Normal 115" xfId="13249"/>
    <cellStyle name="Normal 116" xfId="13250"/>
    <cellStyle name="Normal 117" xfId="13251"/>
    <cellStyle name="Normal 118" xfId="13252"/>
    <cellStyle name="Normal 119" xfId="13253"/>
    <cellStyle name="Normal 12" xfId="71"/>
    <cellStyle name="Normal 12 2" xfId="109"/>
    <cellStyle name="Normal 12 2 2" xfId="13254"/>
    <cellStyle name="Normal 12 2 3" xfId="13255"/>
    <cellStyle name="Normal 12 2 4" xfId="163"/>
    <cellStyle name="Normal 12 3" xfId="13256"/>
    <cellStyle name="Normal 12 3 2" xfId="13257"/>
    <cellStyle name="Normal 12 3 2 2" xfId="13258"/>
    <cellStyle name="Normal 12 3 2 2 2" xfId="13259"/>
    <cellStyle name="Normal 12 3 2 2 2 2" xfId="13260"/>
    <cellStyle name="Normal 12 3 2 2 3" xfId="13261"/>
    <cellStyle name="Normal 12 3 2 3" xfId="13262"/>
    <cellStyle name="Normal 12 3 2 3 2" xfId="13263"/>
    <cellStyle name="Normal 12 3 2 4" xfId="13264"/>
    <cellStyle name="Normal 12 3 3" xfId="13265"/>
    <cellStyle name="Normal 12 3 3 2" xfId="13266"/>
    <cellStyle name="Normal 12 3 3 2 2" xfId="13267"/>
    <cellStyle name="Normal 12 3 3 3" xfId="13268"/>
    <cellStyle name="Normal 12 3 4" xfId="13269"/>
    <cellStyle name="Normal 12 3 4 2" xfId="13270"/>
    <cellStyle name="Normal 12 3 5" xfId="13271"/>
    <cellStyle name="Normal 12 4" xfId="13272"/>
    <cellStyle name="Normal 12 5" xfId="13273"/>
    <cellStyle name="Normal 12 6" xfId="13274"/>
    <cellStyle name="Normal 12 7" xfId="128"/>
    <cellStyle name="Normal 120" xfId="13275"/>
    <cellStyle name="Normal 121" xfId="13276"/>
    <cellStyle name="Normal 122" xfId="13277"/>
    <cellStyle name="Normal 123" xfId="13278"/>
    <cellStyle name="Normal 124" xfId="13279"/>
    <cellStyle name="Normal 125" xfId="13280"/>
    <cellStyle name="Normal 126" xfId="13281"/>
    <cellStyle name="Normal 127" xfId="13282"/>
    <cellStyle name="Normal 128" xfId="13283"/>
    <cellStyle name="Normal 129" xfId="13284"/>
    <cellStyle name="Normal 13" xfId="77"/>
    <cellStyle name="Normal 13 2" xfId="171"/>
    <cellStyle name="Normal 13 2 2" xfId="13285"/>
    <cellStyle name="Normal 13 2 3" xfId="13286"/>
    <cellStyle name="Normal 13 2 4" xfId="13287"/>
    <cellStyle name="Normal 13 3" xfId="13288"/>
    <cellStyle name="Normal 13 3 2" xfId="13289"/>
    <cellStyle name="Normal 13 3 2 2" xfId="13290"/>
    <cellStyle name="Normal 13 4" xfId="13291"/>
    <cellStyle name="Normal 13 5" xfId="13292"/>
    <cellStyle name="Normal 13 6" xfId="132"/>
    <cellStyle name="Normal 13 7" xfId="13293"/>
    <cellStyle name="Normal 130" xfId="13294"/>
    <cellStyle name="Normal 131" xfId="13295"/>
    <cellStyle name="Normal 132" xfId="13296"/>
    <cellStyle name="Normal 133" xfId="13297"/>
    <cellStyle name="Normal 134" xfId="13298"/>
    <cellStyle name="Normal 135" xfId="13299"/>
    <cellStyle name="Normal 136" xfId="13300"/>
    <cellStyle name="Normal 137" xfId="13301"/>
    <cellStyle name="Normal 138" xfId="13302"/>
    <cellStyle name="Normal 139" xfId="13303"/>
    <cellStyle name="Normal 14" xfId="91"/>
    <cellStyle name="Normal 14 2" xfId="13304"/>
    <cellStyle name="Normal 14 2 2" xfId="13305"/>
    <cellStyle name="Normal 14 2 3" xfId="13306"/>
    <cellStyle name="Normal 14 3" xfId="13307"/>
    <cellStyle name="Normal 14 3 2" xfId="13308"/>
    <cellStyle name="Normal 14 3 2 2" xfId="13309"/>
    <cellStyle name="Normal 14 3 2 2 2" xfId="13310"/>
    <cellStyle name="Normal 14 3 2 2 2 2" xfId="13311"/>
    <cellStyle name="Normal 14 3 2 2 3" xfId="13312"/>
    <cellStyle name="Normal 14 3 2 3" xfId="13313"/>
    <cellStyle name="Normal 14 3 2 3 2" xfId="13314"/>
    <cellStyle name="Normal 14 3 2 4" xfId="13315"/>
    <cellStyle name="Normal 14 3 3" xfId="13316"/>
    <cellStyle name="Normal 14 3 3 2" xfId="13317"/>
    <cellStyle name="Normal 14 3 3 2 2" xfId="13318"/>
    <cellStyle name="Normal 14 3 3 3" xfId="13319"/>
    <cellStyle name="Normal 14 3 4" xfId="13320"/>
    <cellStyle name="Normal 14 3 4 2" xfId="13321"/>
    <cellStyle name="Normal 14 3 5" xfId="13322"/>
    <cellStyle name="Normal 14 3 6" xfId="13323"/>
    <cellStyle name="Normal 14 4" xfId="13324"/>
    <cellStyle name="Normal 14 5" xfId="145"/>
    <cellStyle name="Normal 140" xfId="13325"/>
    <cellStyle name="Normal 141" xfId="13326"/>
    <cellStyle name="Normal 142" xfId="13327"/>
    <cellStyle name="Normal 143" xfId="13328"/>
    <cellStyle name="Normal 144" xfId="13329"/>
    <cellStyle name="Normal 145" xfId="13330"/>
    <cellStyle name="Normal 146" xfId="13331"/>
    <cellStyle name="Normal 147" xfId="13332"/>
    <cellStyle name="Normal 148" xfId="13333"/>
    <cellStyle name="Normal 149" xfId="13334"/>
    <cellStyle name="Normal 15" xfId="167"/>
    <cellStyle name="Normal 15 2" xfId="13335"/>
    <cellStyle name="Normal 15 2 2" xfId="13336"/>
    <cellStyle name="Normal 15 2 2 2" xfId="13337"/>
    <cellStyle name="Normal 15 2 3" xfId="13338"/>
    <cellStyle name="Normal 15 3" xfId="13339"/>
    <cellStyle name="Normal 15 4" xfId="13340"/>
    <cellStyle name="Normal 150" xfId="52979"/>
    <cellStyle name="Normal 16" xfId="13341"/>
    <cellStyle name="Normal 16 2" xfId="13342"/>
    <cellStyle name="Normal 16 2 2" xfId="13343"/>
    <cellStyle name="Normal 16 2 3" xfId="13344"/>
    <cellStyle name="Normal 16 3" xfId="13345"/>
    <cellStyle name="Normal 16 4" xfId="13346"/>
    <cellStyle name="Normal 16 5" xfId="13347"/>
    <cellStyle name="Normal 17" xfId="13348"/>
    <cellStyle name="Normal 17 2" xfId="13349"/>
    <cellStyle name="Normal 17 2 2" xfId="13350"/>
    <cellStyle name="Normal 17 2 3" xfId="13351"/>
    <cellStyle name="Normal 17 3" xfId="13352"/>
    <cellStyle name="Normal 17 4" xfId="13353"/>
    <cellStyle name="Normal 18" xfId="13354"/>
    <cellStyle name="Normal 18 2" xfId="13355"/>
    <cellStyle name="Normal 18 2 2" xfId="13356"/>
    <cellStyle name="Normal 18 2 3" xfId="13357"/>
    <cellStyle name="Normal 18 3" xfId="13358"/>
    <cellStyle name="Normal 18 4" xfId="13359"/>
    <cellStyle name="Normal 18 5" xfId="13360"/>
    <cellStyle name="Normal 19" xfId="17"/>
    <cellStyle name="Normal 19 2" xfId="13361"/>
    <cellStyle name="Normal 19 2 2" xfId="13362"/>
    <cellStyle name="Normal 19 2 3" xfId="13363"/>
    <cellStyle name="Normal 19 3" xfId="13364"/>
    <cellStyle name="Normal 19 4" xfId="13365"/>
    <cellStyle name="Normal 19 5" xfId="13366"/>
    <cellStyle name="Normal 2" xfId="18"/>
    <cellStyle name="Normal 2 10" xfId="13367"/>
    <cellStyle name="Normal 2 10 2" xfId="13368"/>
    <cellStyle name="Normal 2 10 3" xfId="13369"/>
    <cellStyle name="Normal 2 11" xfId="13370"/>
    <cellStyle name="Normal 2 11 2" xfId="13371"/>
    <cellStyle name="Normal 2 11 3" xfId="13372"/>
    <cellStyle name="Normal 2 12" xfId="13373"/>
    <cellStyle name="Normal 2 12 2" xfId="13374"/>
    <cellStyle name="Normal 2 12 3" xfId="13375"/>
    <cellStyle name="Normal 2 13" xfId="13376"/>
    <cellStyle name="Normal 2 13 2" xfId="13377"/>
    <cellStyle name="Normal 2 13 3" xfId="13378"/>
    <cellStyle name="Normal 2 14" xfId="13379"/>
    <cellStyle name="Normal 2 14 2" xfId="13380"/>
    <cellStyle name="Normal 2 14 3" xfId="13381"/>
    <cellStyle name="Normal 2 15" xfId="13382"/>
    <cellStyle name="Normal 2 15 2" xfId="13383"/>
    <cellStyle name="Normal 2 15 3" xfId="13384"/>
    <cellStyle name="Normal 2 16" xfId="13385"/>
    <cellStyle name="Normal 2 16 2" xfId="13386"/>
    <cellStyle name="Normal 2 16 3" xfId="13387"/>
    <cellStyle name="Normal 2 17" xfId="13388"/>
    <cellStyle name="Normal 2 17 2" xfId="13389"/>
    <cellStyle name="Normal 2 17 3" xfId="13390"/>
    <cellStyle name="Normal 2 18" xfId="13391"/>
    <cellStyle name="Normal 2 18 2" xfId="13392"/>
    <cellStyle name="Normal 2 18 3" xfId="13393"/>
    <cellStyle name="Normal 2 19" xfId="13394"/>
    <cellStyle name="Normal 2 19 2" xfId="13395"/>
    <cellStyle name="Normal 2 19 3" xfId="13396"/>
    <cellStyle name="Normal 2 2" xfId="19"/>
    <cellStyle name="Normal 2 2 2" xfId="20"/>
    <cellStyle name="Normal 2 2 2 2" xfId="13397"/>
    <cellStyle name="Normal 2 2 2 3" xfId="13398"/>
    <cellStyle name="Normal 2 2 3" xfId="21"/>
    <cellStyle name="Normal 2 2 3 2" xfId="13399"/>
    <cellStyle name="Normal 2 2 3 3" xfId="13400"/>
    <cellStyle name="Normal 2 2 3 4" xfId="13401"/>
    <cellStyle name="Normal 2 2 4" xfId="13402"/>
    <cellStyle name="Normal 2 2 5" xfId="13403"/>
    <cellStyle name="Normal 2 2 6" xfId="13404"/>
    <cellStyle name="Normal 2 20" xfId="13405"/>
    <cellStyle name="Normal 2 20 2" xfId="13406"/>
    <cellStyle name="Normal 2 20 3" xfId="13407"/>
    <cellStyle name="Normal 2 21" xfId="13408"/>
    <cellStyle name="Normal 2 21 2" xfId="13409"/>
    <cellStyle name="Normal 2 21 3" xfId="13410"/>
    <cellStyle name="Normal 2 22" xfId="13411"/>
    <cellStyle name="Normal 2 22 2" xfId="13412"/>
    <cellStyle name="Normal 2 22 3" xfId="13413"/>
    <cellStyle name="Normal 2 23" xfId="13414"/>
    <cellStyle name="Normal 2 23 2" xfId="13415"/>
    <cellStyle name="Normal 2 23 3" xfId="13416"/>
    <cellStyle name="Normal 2 24" xfId="13417"/>
    <cellStyle name="Normal 2 24 2" xfId="13418"/>
    <cellStyle name="Normal 2 24 3" xfId="13419"/>
    <cellStyle name="Normal 2 25" xfId="13420"/>
    <cellStyle name="Normal 2 25 2" xfId="13421"/>
    <cellStyle name="Normal 2 25 3" xfId="13422"/>
    <cellStyle name="Normal 2 26" xfId="13423"/>
    <cellStyle name="Normal 2 26 2" xfId="13424"/>
    <cellStyle name="Normal 2 26 3" xfId="13425"/>
    <cellStyle name="Normal 2 27" xfId="13426"/>
    <cellStyle name="Normal 2 27 2" xfId="13427"/>
    <cellStyle name="Normal 2 27 3" xfId="13428"/>
    <cellStyle name="Normal 2 28" xfId="13429"/>
    <cellStyle name="Normal 2 28 2" xfId="13430"/>
    <cellStyle name="Normal 2 28 3" xfId="13431"/>
    <cellStyle name="Normal 2 29" xfId="13432"/>
    <cellStyle name="Normal 2 29 2" xfId="13433"/>
    <cellStyle name="Normal 2 29 3" xfId="13434"/>
    <cellStyle name="Normal 2 3" xfId="22"/>
    <cellStyle name="Normal 2 3 2" xfId="13435"/>
    <cellStyle name="Normal 2 3 2 2" xfId="13436"/>
    <cellStyle name="Normal 2 3 2 3" xfId="13437"/>
    <cellStyle name="Normal 2 3 3" xfId="13438"/>
    <cellStyle name="Normal 2 3 4" xfId="13439"/>
    <cellStyle name="Normal 2 30" xfId="13440"/>
    <cellStyle name="Normal 2 30 2" xfId="13441"/>
    <cellStyle name="Normal 2 30 3" xfId="13442"/>
    <cellStyle name="Normal 2 31" xfId="13443"/>
    <cellStyle name="Normal 2 31 2" xfId="13444"/>
    <cellStyle name="Normal 2 31 3" xfId="13445"/>
    <cellStyle name="Normal 2 32" xfId="13446"/>
    <cellStyle name="Normal 2 32 2" xfId="13447"/>
    <cellStyle name="Normal 2 33" xfId="13448"/>
    <cellStyle name="Normal 2 34" xfId="13449"/>
    <cellStyle name="Normal 2 34 2" xfId="13450"/>
    <cellStyle name="Normal 2 35" xfId="13451"/>
    <cellStyle name="Normal 2 36" xfId="13452"/>
    <cellStyle name="Normal 2 37" xfId="13453"/>
    <cellStyle name="Normal 2 38" xfId="13454"/>
    <cellStyle name="Normal 2 39" xfId="13455"/>
    <cellStyle name="Normal 2 4" xfId="23"/>
    <cellStyle name="Normal 2 4 2" xfId="13456"/>
    <cellStyle name="Normal 2 4 3" xfId="13457"/>
    <cellStyle name="Normal 2 40" xfId="13458"/>
    <cellStyle name="Normal 2 41" xfId="13459"/>
    <cellStyle name="Normal 2 42" xfId="13460"/>
    <cellStyle name="Normal 2 43" xfId="13461"/>
    <cellStyle name="Normal 2 44" xfId="13462"/>
    <cellStyle name="Normal 2 45" xfId="13463"/>
    <cellStyle name="Normal 2 46" xfId="13464"/>
    <cellStyle name="Normal 2 47" xfId="13465"/>
    <cellStyle name="Normal 2 48" xfId="13466"/>
    <cellStyle name="Normal 2 49" xfId="13467"/>
    <cellStyle name="Normal 2 5" xfId="69"/>
    <cellStyle name="Normal 2 5 2" xfId="13468"/>
    <cellStyle name="Normal 2 5 3" xfId="13469"/>
    <cellStyle name="Normal 2 50" xfId="13470"/>
    <cellStyle name="Normal 2 51" xfId="13471"/>
    <cellStyle name="Normal 2 52" xfId="13472"/>
    <cellStyle name="Normal 2 53" xfId="13473"/>
    <cellStyle name="Normal 2 54" xfId="13474"/>
    <cellStyle name="Normal 2 55" xfId="13475"/>
    <cellStyle name="Normal 2 56" xfId="13476"/>
    <cellStyle name="Normal 2 57" xfId="13477"/>
    <cellStyle name="Normal 2 58" xfId="13478"/>
    <cellStyle name="Normal 2 59" xfId="13479"/>
    <cellStyle name="Normal 2 6" xfId="13480"/>
    <cellStyle name="Normal 2 6 2" xfId="13481"/>
    <cellStyle name="Normal 2 6 3" xfId="13482"/>
    <cellStyle name="Normal 2 7" xfId="13483"/>
    <cellStyle name="Normal 2 7 2" xfId="13484"/>
    <cellStyle name="Normal 2 7 3" xfId="13485"/>
    <cellStyle name="Normal 2 8" xfId="13486"/>
    <cellStyle name="Normal 2 8 2" xfId="13487"/>
    <cellStyle name="Normal 2 8 3" xfId="13488"/>
    <cellStyle name="Normal 2 9" xfId="13489"/>
    <cellStyle name="Normal 2 9 2" xfId="13490"/>
    <cellStyle name="Normal 2 9 3" xfId="13491"/>
    <cellStyle name="Normal 2_2009-08 Plan Avance Presto v14 cpb" xfId="13492"/>
    <cellStyle name="Normal 20" xfId="13493"/>
    <cellStyle name="Normal 20 2" xfId="13494"/>
    <cellStyle name="Normal 20 2 2" xfId="13495"/>
    <cellStyle name="Normal 20 2 3" xfId="13496"/>
    <cellStyle name="Normal 20 3" xfId="13497"/>
    <cellStyle name="Normal 20 4" xfId="13498"/>
    <cellStyle name="Normal 21" xfId="13499"/>
    <cellStyle name="Normal 21 2" xfId="13500"/>
    <cellStyle name="Normal 21 2 2" xfId="13501"/>
    <cellStyle name="Normal 21 2 3" xfId="13502"/>
    <cellStyle name="Normal 21 3" xfId="13503"/>
    <cellStyle name="Normal 21 4" xfId="13504"/>
    <cellStyle name="Normal 21 4 2" xfId="13505"/>
    <cellStyle name="Normal 21 4 2 2" xfId="13506"/>
    <cellStyle name="Normal 21 4 2 2 2" xfId="13507"/>
    <cellStyle name="Normal 21 4 2 2 2 2" xfId="13508"/>
    <cellStyle name="Normal 21 4 2 2 3" xfId="13509"/>
    <cellStyle name="Normal 21 4 2 3" xfId="13510"/>
    <cellStyle name="Normal 21 4 2 3 2" xfId="13511"/>
    <cellStyle name="Normal 21 4 2 4" xfId="13512"/>
    <cellStyle name="Normal 21 4 3" xfId="13513"/>
    <cellStyle name="Normal 21 4 3 2" xfId="13514"/>
    <cellStyle name="Normal 21 4 3 2 2" xfId="13515"/>
    <cellStyle name="Normal 21 4 3 3" xfId="13516"/>
    <cellStyle name="Normal 21 4 4" xfId="13517"/>
    <cellStyle name="Normal 21 4 4 2" xfId="13518"/>
    <cellStyle name="Normal 21 4 5" xfId="13519"/>
    <cellStyle name="Normal 22" xfId="13520"/>
    <cellStyle name="Normal 22 2" xfId="13521"/>
    <cellStyle name="Normal 22 2 2" xfId="13522"/>
    <cellStyle name="Normal 22 2 3" xfId="13523"/>
    <cellStyle name="Normal 22 3" xfId="13524"/>
    <cellStyle name="Normal 22 4" xfId="13525"/>
    <cellStyle name="Normal 22 5" xfId="13526"/>
    <cellStyle name="Normal 23" xfId="13527"/>
    <cellStyle name="Normal 23 2" xfId="13528"/>
    <cellStyle name="Normal 23 2 2" xfId="13529"/>
    <cellStyle name="Normal 23 2 3" xfId="13530"/>
    <cellStyle name="Normal 23 3" xfId="13531"/>
    <cellStyle name="Normal 23 4" xfId="13532"/>
    <cellStyle name="Normal 23 5" xfId="13533"/>
    <cellStyle name="Normal 24" xfId="13534"/>
    <cellStyle name="Normal 24 2" xfId="13535"/>
    <cellStyle name="Normal 24 2 2" xfId="13536"/>
    <cellStyle name="Normal 24 2 3" xfId="13537"/>
    <cellStyle name="Normal 24 3" xfId="13538"/>
    <cellStyle name="Normal 24 3 2" xfId="13539"/>
    <cellStyle name="Normal 24 4" xfId="13540"/>
    <cellStyle name="Normal 25" xfId="13541"/>
    <cellStyle name="Normal 25 2" xfId="13542"/>
    <cellStyle name="Normal 25 2 2" xfId="13543"/>
    <cellStyle name="Normal 25 2 3" xfId="13544"/>
    <cellStyle name="Normal 25 3" xfId="13545"/>
    <cellStyle name="Normal 26" xfId="13546"/>
    <cellStyle name="Normal 26 2" xfId="13547"/>
    <cellStyle name="Normal 26 2 2" xfId="13548"/>
    <cellStyle name="Normal 26 2 3" xfId="13549"/>
    <cellStyle name="Normal 26 3" xfId="13550"/>
    <cellStyle name="Normal 26 3 2" xfId="13551"/>
    <cellStyle name="Normal 26 3 3" xfId="13552"/>
    <cellStyle name="Normal 26 4" xfId="13553"/>
    <cellStyle name="Normal 26 4 2" xfId="13554"/>
    <cellStyle name="Normal 26 4 3" xfId="13555"/>
    <cellStyle name="Normal 26 5" xfId="13556"/>
    <cellStyle name="Normal 26 5 2" xfId="13557"/>
    <cellStyle name="Normal 26 5 3" xfId="13558"/>
    <cellStyle name="Normal 26 6" xfId="13559"/>
    <cellStyle name="Normal 27" xfId="13560"/>
    <cellStyle name="Normal 27 2" xfId="13561"/>
    <cellStyle name="Normal 27 2 2" xfId="13562"/>
    <cellStyle name="Normal 27 2 2 2" xfId="13563"/>
    <cellStyle name="Normal 27 2 2 2 2" xfId="13564"/>
    <cellStyle name="Normal 27 2 2 2 2 2" xfId="13565"/>
    <cellStyle name="Normal 27 2 2 2 2 2 2" xfId="13566"/>
    <cellStyle name="Normal 27 2 2 2 2 3" xfId="13567"/>
    <cellStyle name="Normal 27 2 2 2 3" xfId="13568"/>
    <cellStyle name="Normal 27 2 2 2 3 2" xfId="13569"/>
    <cellStyle name="Normal 27 2 2 2 4" xfId="13570"/>
    <cellStyle name="Normal 27 2 2 3" xfId="13571"/>
    <cellStyle name="Normal 27 2 2 3 2" xfId="13572"/>
    <cellStyle name="Normal 27 2 2 3 2 2" xfId="13573"/>
    <cellStyle name="Normal 27 2 2 3 3" xfId="13574"/>
    <cellStyle name="Normal 27 2 2 4" xfId="13575"/>
    <cellStyle name="Normal 27 2 2 4 2" xfId="13576"/>
    <cellStyle name="Normal 27 2 2 5" xfId="13577"/>
    <cellStyle name="Normal 27 2 3" xfId="13578"/>
    <cellStyle name="Normal 27 2 3 2" xfId="13579"/>
    <cellStyle name="Normal 27 2 3 2 2" xfId="13580"/>
    <cellStyle name="Normal 27 2 3 2 2 2" xfId="13581"/>
    <cellStyle name="Normal 27 2 3 2 3" xfId="13582"/>
    <cellStyle name="Normal 27 2 3 3" xfId="13583"/>
    <cellStyle name="Normal 27 2 3 3 2" xfId="13584"/>
    <cellStyle name="Normal 27 2 3 4" xfId="13585"/>
    <cellStyle name="Normal 27 2 4" xfId="13586"/>
    <cellStyle name="Normal 27 2 4 2" xfId="13587"/>
    <cellStyle name="Normal 27 2 4 2 2" xfId="13588"/>
    <cellStyle name="Normal 27 2 4 3" xfId="13589"/>
    <cellStyle name="Normal 27 2 5" xfId="13590"/>
    <cellStyle name="Normal 27 2 5 2" xfId="13591"/>
    <cellStyle name="Normal 27 2 6" xfId="13592"/>
    <cellStyle name="Normal 27 3" xfId="13593"/>
    <cellStyle name="Normal 27 3 2" xfId="13594"/>
    <cellStyle name="Normal 27 3 2 2" xfId="13595"/>
    <cellStyle name="Normal 27 3 2 2 2" xfId="13596"/>
    <cellStyle name="Normal 27 3 2 2 2 2" xfId="13597"/>
    <cellStyle name="Normal 27 3 2 2 3" xfId="13598"/>
    <cellStyle name="Normal 27 3 2 3" xfId="13599"/>
    <cellStyle name="Normal 27 3 2 3 2" xfId="13600"/>
    <cellStyle name="Normal 27 3 2 4" xfId="13601"/>
    <cellStyle name="Normal 27 3 3" xfId="13602"/>
    <cellStyle name="Normal 27 3 3 2" xfId="13603"/>
    <cellStyle name="Normal 27 3 3 2 2" xfId="13604"/>
    <cellStyle name="Normal 27 3 3 3" xfId="13605"/>
    <cellStyle name="Normal 27 3 4" xfId="13606"/>
    <cellStyle name="Normal 27 3 4 2" xfId="13607"/>
    <cellStyle name="Normal 27 3 5" xfId="13608"/>
    <cellStyle name="Normal 27 4" xfId="13609"/>
    <cellStyle name="Normal 27 4 2" xfId="13610"/>
    <cellStyle name="Normal 27 4 2 2" xfId="13611"/>
    <cellStyle name="Normal 27 4 2 2 2" xfId="13612"/>
    <cellStyle name="Normal 27 4 2 3" xfId="13613"/>
    <cellStyle name="Normal 27 4 3" xfId="13614"/>
    <cellStyle name="Normal 27 4 3 2" xfId="13615"/>
    <cellStyle name="Normal 27 4 4" xfId="13616"/>
    <cellStyle name="Normal 27 5" xfId="13617"/>
    <cellStyle name="Normal 27 5 2" xfId="13618"/>
    <cellStyle name="Normal 27 5 2 2" xfId="13619"/>
    <cellStyle name="Normal 27 5 3" xfId="13620"/>
    <cellStyle name="Normal 27 6" xfId="13621"/>
    <cellStyle name="Normal 27 6 2" xfId="13622"/>
    <cellStyle name="Normal 27 6 3" xfId="13623"/>
    <cellStyle name="Normal 27 7" xfId="13624"/>
    <cellStyle name="Normal 27 7 2" xfId="13625"/>
    <cellStyle name="Normal 27 7 3" xfId="13626"/>
    <cellStyle name="Normal 27 8" xfId="13627"/>
    <cellStyle name="Normal 27 9" xfId="13628"/>
    <cellStyle name="Normal 28" xfId="13629"/>
    <cellStyle name="Normal 28 10" xfId="13630"/>
    <cellStyle name="Normal 28 10 2" xfId="13631"/>
    <cellStyle name="Normal 28 10 3" xfId="13632"/>
    <cellStyle name="Normal 28 11" xfId="13633"/>
    <cellStyle name="Normal 28 11 2" xfId="13634"/>
    <cellStyle name="Normal 28 11 3" xfId="13635"/>
    <cellStyle name="Normal 28 12" xfId="13636"/>
    <cellStyle name="Normal 28 13" xfId="13637"/>
    <cellStyle name="Normal 28 14" xfId="13638"/>
    <cellStyle name="Normal 28 2" xfId="13639"/>
    <cellStyle name="Normal 28 2 2" xfId="13640"/>
    <cellStyle name="Normal 28 2 2 2" xfId="13641"/>
    <cellStyle name="Normal 28 2 2 2 2" xfId="13642"/>
    <cellStyle name="Normal 28 2 2 2 2 2" xfId="13643"/>
    <cellStyle name="Normal 28 2 2 2 2 2 2" xfId="13644"/>
    <cellStyle name="Normal 28 2 2 2 2 3" xfId="13645"/>
    <cellStyle name="Normal 28 2 2 2 3" xfId="13646"/>
    <cellStyle name="Normal 28 2 2 2 3 2" xfId="13647"/>
    <cellStyle name="Normal 28 2 2 2 4" xfId="13648"/>
    <cellStyle name="Normal 28 2 2 3" xfId="13649"/>
    <cellStyle name="Normal 28 2 2 3 2" xfId="13650"/>
    <cellStyle name="Normal 28 2 2 3 2 2" xfId="13651"/>
    <cellStyle name="Normal 28 2 2 3 3" xfId="13652"/>
    <cellStyle name="Normal 28 2 2 4" xfId="13653"/>
    <cellStyle name="Normal 28 2 2 4 2" xfId="13654"/>
    <cellStyle name="Normal 28 2 2 5" xfId="13655"/>
    <cellStyle name="Normal 28 2 3" xfId="13656"/>
    <cellStyle name="Normal 28 2 3 2" xfId="13657"/>
    <cellStyle name="Normal 28 2 3 2 2" xfId="13658"/>
    <cellStyle name="Normal 28 2 3 2 2 2" xfId="13659"/>
    <cellStyle name="Normal 28 2 3 2 3" xfId="13660"/>
    <cellStyle name="Normal 28 2 3 3" xfId="13661"/>
    <cellStyle name="Normal 28 2 3 3 2" xfId="13662"/>
    <cellStyle name="Normal 28 2 3 4" xfId="13663"/>
    <cellStyle name="Normal 28 2 4" xfId="13664"/>
    <cellStyle name="Normal 28 2 4 2" xfId="13665"/>
    <cellStyle name="Normal 28 2 4 2 2" xfId="13666"/>
    <cellStyle name="Normal 28 2 4 3" xfId="13667"/>
    <cellStyle name="Normal 28 2 5" xfId="13668"/>
    <cellStyle name="Normal 28 2 5 2" xfId="13669"/>
    <cellStyle name="Normal 28 2 5 3" xfId="13670"/>
    <cellStyle name="Normal 28 2 6" xfId="13671"/>
    <cellStyle name="Normal 28 2 6 2" xfId="13672"/>
    <cellStyle name="Normal 28 2 6 3" xfId="13673"/>
    <cellStyle name="Normal 28 2 7" xfId="13674"/>
    <cellStyle name="Normal 28 2 7 2" xfId="13675"/>
    <cellStyle name="Normal 28 2 7 3" xfId="13676"/>
    <cellStyle name="Normal 28 2 8" xfId="13677"/>
    <cellStyle name="Normal 28 2 9" xfId="13678"/>
    <cellStyle name="Normal 28 3" xfId="13679"/>
    <cellStyle name="Normal 28 3 2" xfId="13680"/>
    <cellStyle name="Normal 28 3 2 2" xfId="13681"/>
    <cellStyle name="Normal 28 3 2 2 2" xfId="13682"/>
    <cellStyle name="Normal 28 3 2 2 2 2" xfId="13683"/>
    <cellStyle name="Normal 28 3 2 2 2 2 2" xfId="13684"/>
    <cellStyle name="Normal 28 3 2 2 2 3" xfId="13685"/>
    <cellStyle name="Normal 28 3 2 2 3" xfId="13686"/>
    <cellStyle name="Normal 28 3 2 2 3 2" xfId="13687"/>
    <cellStyle name="Normal 28 3 2 2 4" xfId="13688"/>
    <cellStyle name="Normal 28 3 2 3" xfId="13689"/>
    <cellStyle name="Normal 28 3 2 3 2" xfId="13690"/>
    <cellStyle name="Normal 28 3 2 3 2 2" xfId="13691"/>
    <cellStyle name="Normal 28 3 2 3 3" xfId="13692"/>
    <cellStyle name="Normal 28 3 2 4" xfId="13693"/>
    <cellStyle name="Normal 28 3 2 4 2" xfId="13694"/>
    <cellStyle name="Normal 28 3 2 5" xfId="13695"/>
    <cellStyle name="Normal 28 3 3" xfId="13696"/>
    <cellStyle name="Normal 28 3 3 2" xfId="13697"/>
    <cellStyle name="Normal 28 3 3 2 2" xfId="13698"/>
    <cellStyle name="Normal 28 3 3 2 2 2" xfId="13699"/>
    <cellStyle name="Normal 28 3 3 2 3" xfId="13700"/>
    <cellStyle name="Normal 28 3 3 3" xfId="13701"/>
    <cellStyle name="Normal 28 3 3 3 2" xfId="13702"/>
    <cellStyle name="Normal 28 3 3 4" xfId="13703"/>
    <cellStyle name="Normal 28 3 4" xfId="13704"/>
    <cellStyle name="Normal 28 3 4 2" xfId="13705"/>
    <cellStyle name="Normal 28 3 4 2 2" xfId="13706"/>
    <cellStyle name="Normal 28 3 4 3" xfId="13707"/>
    <cellStyle name="Normal 28 3 5" xfId="13708"/>
    <cellStyle name="Normal 28 3 5 2" xfId="13709"/>
    <cellStyle name="Normal 28 3 5 3" xfId="13710"/>
    <cellStyle name="Normal 28 3 6" xfId="13711"/>
    <cellStyle name="Normal 28 3 6 2" xfId="13712"/>
    <cellStyle name="Normal 28 3 6 3" xfId="13713"/>
    <cellStyle name="Normal 28 3 7" xfId="13714"/>
    <cellStyle name="Normal 28 3 7 2" xfId="13715"/>
    <cellStyle name="Normal 28 3 7 3" xfId="13716"/>
    <cellStyle name="Normal 28 3 8" xfId="13717"/>
    <cellStyle name="Normal 28 3 9" xfId="13718"/>
    <cellStyle name="Normal 28 4" xfId="13719"/>
    <cellStyle name="Normal 28 4 2" xfId="13720"/>
    <cellStyle name="Normal 28 4 2 2" xfId="13721"/>
    <cellStyle name="Normal 28 4 2 2 2" xfId="13722"/>
    <cellStyle name="Normal 28 4 2 2 2 2" xfId="13723"/>
    <cellStyle name="Normal 28 4 2 2 2 2 2" xfId="13724"/>
    <cellStyle name="Normal 28 4 2 2 2 3" xfId="13725"/>
    <cellStyle name="Normal 28 4 2 2 3" xfId="13726"/>
    <cellStyle name="Normal 28 4 2 2 3 2" xfId="13727"/>
    <cellStyle name="Normal 28 4 2 2 4" xfId="13728"/>
    <cellStyle name="Normal 28 4 2 3" xfId="13729"/>
    <cellStyle name="Normal 28 4 2 3 2" xfId="13730"/>
    <cellStyle name="Normal 28 4 2 3 2 2" xfId="13731"/>
    <cellStyle name="Normal 28 4 2 3 3" xfId="13732"/>
    <cellStyle name="Normal 28 4 2 4" xfId="13733"/>
    <cellStyle name="Normal 28 4 2 4 2" xfId="13734"/>
    <cellStyle name="Normal 28 4 2 5" xfId="13735"/>
    <cellStyle name="Normal 28 4 3" xfId="13736"/>
    <cellStyle name="Normal 28 4 3 2" xfId="13737"/>
    <cellStyle name="Normal 28 4 3 2 2" xfId="13738"/>
    <cellStyle name="Normal 28 4 3 2 2 2" xfId="13739"/>
    <cellStyle name="Normal 28 4 3 2 3" xfId="13740"/>
    <cellStyle name="Normal 28 4 3 3" xfId="13741"/>
    <cellStyle name="Normal 28 4 3 3 2" xfId="13742"/>
    <cellStyle name="Normal 28 4 3 4" xfId="13743"/>
    <cellStyle name="Normal 28 4 4" xfId="13744"/>
    <cellStyle name="Normal 28 4 4 2" xfId="13745"/>
    <cellStyle name="Normal 28 4 4 2 2" xfId="13746"/>
    <cellStyle name="Normal 28 4 4 3" xfId="13747"/>
    <cellStyle name="Normal 28 4 5" xfId="13748"/>
    <cellStyle name="Normal 28 4 5 2" xfId="13749"/>
    <cellStyle name="Normal 28 4 5 3" xfId="13750"/>
    <cellStyle name="Normal 28 4 6" xfId="13751"/>
    <cellStyle name="Normal 28 4 6 2" xfId="13752"/>
    <cellStyle name="Normal 28 4 6 3" xfId="13753"/>
    <cellStyle name="Normal 28 4 7" xfId="13754"/>
    <cellStyle name="Normal 28 4 7 2" xfId="13755"/>
    <cellStyle name="Normal 28 4 7 3" xfId="13756"/>
    <cellStyle name="Normal 28 4 8" xfId="13757"/>
    <cellStyle name="Normal 28 4 9" xfId="13758"/>
    <cellStyle name="Normal 28 5" xfId="13759"/>
    <cellStyle name="Normal 28 5 2" xfId="13760"/>
    <cellStyle name="Normal 28 5 2 2" xfId="13761"/>
    <cellStyle name="Normal 28 5 2 2 2" xfId="13762"/>
    <cellStyle name="Normal 28 5 2 2 2 2" xfId="13763"/>
    <cellStyle name="Normal 28 5 2 2 2 2 2" xfId="13764"/>
    <cellStyle name="Normal 28 5 2 2 2 3" xfId="13765"/>
    <cellStyle name="Normal 28 5 2 2 3" xfId="13766"/>
    <cellStyle name="Normal 28 5 2 2 3 2" xfId="13767"/>
    <cellStyle name="Normal 28 5 2 2 4" xfId="13768"/>
    <cellStyle name="Normal 28 5 2 3" xfId="13769"/>
    <cellStyle name="Normal 28 5 2 3 2" xfId="13770"/>
    <cellStyle name="Normal 28 5 2 3 2 2" xfId="13771"/>
    <cellStyle name="Normal 28 5 2 3 3" xfId="13772"/>
    <cellStyle name="Normal 28 5 2 4" xfId="13773"/>
    <cellStyle name="Normal 28 5 2 4 2" xfId="13774"/>
    <cellStyle name="Normal 28 5 2 5" xfId="13775"/>
    <cellStyle name="Normal 28 5 3" xfId="13776"/>
    <cellStyle name="Normal 28 5 3 2" xfId="13777"/>
    <cellStyle name="Normal 28 5 3 2 2" xfId="13778"/>
    <cellStyle name="Normal 28 5 3 2 2 2" xfId="13779"/>
    <cellStyle name="Normal 28 5 3 2 3" xfId="13780"/>
    <cellStyle name="Normal 28 5 3 3" xfId="13781"/>
    <cellStyle name="Normal 28 5 3 3 2" xfId="13782"/>
    <cellStyle name="Normal 28 5 3 4" xfId="13783"/>
    <cellStyle name="Normal 28 5 4" xfId="13784"/>
    <cellStyle name="Normal 28 5 4 2" xfId="13785"/>
    <cellStyle name="Normal 28 5 4 2 2" xfId="13786"/>
    <cellStyle name="Normal 28 5 4 3" xfId="13787"/>
    <cellStyle name="Normal 28 5 5" xfId="13788"/>
    <cellStyle name="Normal 28 5 5 2" xfId="13789"/>
    <cellStyle name="Normal 28 5 5 3" xfId="13790"/>
    <cellStyle name="Normal 28 5 6" xfId="13791"/>
    <cellStyle name="Normal 28 5 6 2" xfId="13792"/>
    <cellStyle name="Normal 28 5 6 3" xfId="13793"/>
    <cellStyle name="Normal 28 5 7" xfId="13794"/>
    <cellStyle name="Normal 28 5 7 2" xfId="13795"/>
    <cellStyle name="Normal 28 5 7 3" xfId="13796"/>
    <cellStyle name="Normal 28 5 8" xfId="13797"/>
    <cellStyle name="Normal 28 5 9" xfId="13798"/>
    <cellStyle name="Normal 28 6" xfId="13799"/>
    <cellStyle name="Normal 28 6 2" xfId="13800"/>
    <cellStyle name="Normal 28 6 2 2" xfId="13801"/>
    <cellStyle name="Normal 28 6 2 2 2" xfId="13802"/>
    <cellStyle name="Normal 28 6 2 2 2 2" xfId="13803"/>
    <cellStyle name="Normal 28 6 2 2 2 2 2" xfId="13804"/>
    <cellStyle name="Normal 28 6 2 2 2 3" xfId="13805"/>
    <cellStyle name="Normal 28 6 2 2 3" xfId="13806"/>
    <cellStyle name="Normal 28 6 2 2 3 2" xfId="13807"/>
    <cellStyle name="Normal 28 6 2 2 4" xfId="13808"/>
    <cellStyle name="Normal 28 6 2 3" xfId="13809"/>
    <cellStyle name="Normal 28 6 2 3 2" xfId="13810"/>
    <cellStyle name="Normal 28 6 2 3 2 2" xfId="13811"/>
    <cellStyle name="Normal 28 6 2 3 3" xfId="13812"/>
    <cellStyle name="Normal 28 6 2 4" xfId="13813"/>
    <cellStyle name="Normal 28 6 2 4 2" xfId="13814"/>
    <cellStyle name="Normal 28 6 2 5" xfId="13815"/>
    <cellStyle name="Normal 28 6 3" xfId="13816"/>
    <cellStyle name="Normal 28 6 3 2" xfId="13817"/>
    <cellStyle name="Normal 28 6 3 2 2" xfId="13818"/>
    <cellStyle name="Normal 28 6 3 2 2 2" xfId="13819"/>
    <cellStyle name="Normal 28 6 3 2 3" xfId="13820"/>
    <cellStyle name="Normal 28 6 3 3" xfId="13821"/>
    <cellStyle name="Normal 28 6 3 3 2" xfId="13822"/>
    <cellStyle name="Normal 28 6 3 4" xfId="13823"/>
    <cellStyle name="Normal 28 6 4" xfId="13824"/>
    <cellStyle name="Normal 28 6 4 2" xfId="13825"/>
    <cellStyle name="Normal 28 6 4 2 2" xfId="13826"/>
    <cellStyle name="Normal 28 6 4 3" xfId="13827"/>
    <cellStyle name="Normal 28 6 5" xfId="13828"/>
    <cellStyle name="Normal 28 6 5 2" xfId="13829"/>
    <cellStyle name="Normal 28 6 6" xfId="13830"/>
    <cellStyle name="Normal 28 7" xfId="13831"/>
    <cellStyle name="Normal 28 7 2" xfId="13832"/>
    <cellStyle name="Normal 28 7 2 2" xfId="13833"/>
    <cellStyle name="Normal 28 7 2 2 2" xfId="13834"/>
    <cellStyle name="Normal 28 7 2 2 2 2" xfId="13835"/>
    <cellStyle name="Normal 28 7 2 2 3" xfId="13836"/>
    <cellStyle name="Normal 28 7 2 3" xfId="13837"/>
    <cellStyle name="Normal 28 7 2 3 2" xfId="13838"/>
    <cellStyle name="Normal 28 7 2 4" xfId="13839"/>
    <cellStyle name="Normal 28 7 3" xfId="13840"/>
    <cellStyle name="Normal 28 7 3 2" xfId="13841"/>
    <cellStyle name="Normal 28 7 3 2 2" xfId="13842"/>
    <cellStyle name="Normal 28 7 3 3" xfId="13843"/>
    <cellStyle name="Normal 28 7 4" xfId="13844"/>
    <cellStyle name="Normal 28 7 4 2" xfId="13845"/>
    <cellStyle name="Normal 28 7 5" xfId="13846"/>
    <cellStyle name="Normal 28 8" xfId="13847"/>
    <cellStyle name="Normal 28 8 2" xfId="13848"/>
    <cellStyle name="Normal 28 8 2 2" xfId="13849"/>
    <cellStyle name="Normal 28 8 2 2 2" xfId="13850"/>
    <cellStyle name="Normal 28 8 2 3" xfId="13851"/>
    <cellStyle name="Normal 28 8 3" xfId="13852"/>
    <cellStyle name="Normal 28 8 3 2" xfId="13853"/>
    <cellStyle name="Normal 28 8 4" xfId="13854"/>
    <cellStyle name="Normal 28 9" xfId="13855"/>
    <cellStyle name="Normal 28 9 2" xfId="13856"/>
    <cellStyle name="Normal 28 9 2 2" xfId="13857"/>
    <cellStyle name="Normal 28 9 3" xfId="13858"/>
    <cellStyle name="Normal 28_Evaluación Campañas Paris.cl 2010 al 09 de Diciembre" xfId="13859"/>
    <cellStyle name="Normal 29" xfId="13860"/>
    <cellStyle name="Normal 29 10" xfId="13861"/>
    <cellStyle name="Normal 29 10 2" xfId="13862"/>
    <cellStyle name="Normal 29 10 3" xfId="13863"/>
    <cellStyle name="Normal 29 11" xfId="13864"/>
    <cellStyle name="Normal 29 11 2" xfId="13865"/>
    <cellStyle name="Normal 29 11 3" xfId="13866"/>
    <cellStyle name="Normal 29 12" xfId="13867"/>
    <cellStyle name="Normal 29 13" xfId="13868"/>
    <cellStyle name="Normal 29 2" xfId="13869"/>
    <cellStyle name="Normal 29 2 2" xfId="13870"/>
    <cellStyle name="Normal 29 2 2 2" xfId="13871"/>
    <cellStyle name="Normal 29 2 2 2 2" xfId="13872"/>
    <cellStyle name="Normal 29 2 2 2 2 2" xfId="13873"/>
    <cellStyle name="Normal 29 2 2 2 2 2 2" xfId="13874"/>
    <cellStyle name="Normal 29 2 2 2 2 3" xfId="13875"/>
    <cellStyle name="Normal 29 2 2 2 3" xfId="13876"/>
    <cellStyle name="Normal 29 2 2 2 3 2" xfId="13877"/>
    <cellStyle name="Normal 29 2 2 2 4" xfId="13878"/>
    <cellStyle name="Normal 29 2 2 3" xfId="13879"/>
    <cellStyle name="Normal 29 2 2 3 2" xfId="13880"/>
    <cellStyle name="Normal 29 2 2 3 2 2" xfId="13881"/>
    <cellStyle name="Normal 29 2 2 3 3" xfId="13882"/>
    <cellStyle name="Normal 29 2 2 4" xfId="13883"/>
    <cellStyle name="Normal 29 2 2 4 2" xfId="13884"/>
    <cellStyle name="Normal 29 2 2 5" xfId="13885"/>
    <cellStyle name="Normal 29 2 3" xfId="13886"/>
    <cellStyle name="Normal 29 2 3 2" xfId="13887"/>
    <cellStyle name="Normal 29 2 3 2 2" xfId="13888"/>
    <cellStyle name="Normal 29 2 3 2 2 2" xfId="13889"/>
    <cellStyle name="Normal 29 2 3 2 3" xfId="13890"/>
    <cellStyle name="Normal 29 2 3 3" xfId="13891"/>
    <cellStyle name="Normal 29 2 3 3 2" xfId="13892"/>
    <cellStyle name="Normal 29 2 3 4" xfId="13893"/>
    <cellStyle name="Normal 29 2 4" xfId="13894"/>
    <cellStyle name="Normal 29 2 4 2" xfId="13895"/>
    <cellStyle name="Normal 29 2 4 2 2" xfId="13896"/>
    <cellStyle name="Normal 29 2 4 3" xfId="13897"/>
    <cellStyle name="Normal 29 2 5" xfId="13898"/>
    <cellStyle name="Normal 29 2 5 2" xfId="13899"/>
    <cellStyle name="Normal 29 2 5 3" xfId="13900"/>
    <cellStyle name="Normal 29 2 6" xfId="13901"/>
    <cellStyle name="Normal 29 2 6 2" xfId="13902"/>
    <cellStyle name="Normal 29 2 6 3" xfId="13903"/>
    <cellStyle name="Normal 29 2 7" xfId="13904"/>
    <cellStyle name="Normal 29 2 7 2" xfId="13905"/>
    <cellStyle name="Normal 29 2 7 3" xfId="13906"/>
    <cellStyle name="Normal 29 2 8" xfId="13907"/>
    <cellStyle name="Normal 29 2 9" xfId="13908"/>
    <cellStyle name="Normal 29 3" xfId="13909"/>
    <cellStyle name="Normal 29 3 2" xfId="13910"/>
    <cellStyle name="Normal 29 3 2 2" xfId="13911"/>
    <cellStyle name="Normal 29 3 2 2 2" xfId="13912"/>
    <cellStyle name="Normal 29 3 2 2 2 2" xfId="13913"/>
    <cellStyle name="Normal 29 3 2 2 2 2 2" xfId="13914"/>
    <cellStyle name="Normal 29 3 2 2 2 3" xfId="13915"/>
    <cellStyle name="Normal 29 3 2 2 3" xfId="13916"/>
    <cellStyle name="Normal 29 3 2 2 3 2" xfId="13917"/>
    <cellStyle name="Normal 29 3 2 2 4" xfId="13918"/>
    <cellStyle name="Normal 29 3 2 3" xfId="13919"/>
    <cellStyle name="Normal 29 3 2 3 2" xfId="13920"/>
    <cellStyle name="Normal 29 3 2 3 2 2" xfId="13921"/>
    <cellStyle name="Normal 29 3 2 3 3" xfId="13922"/>
    <cellStyle name="Normal 29 3 2 4" xfId="13923"/>
    <cellStyle name="Normal 29 3 2 4 2" xfId="13924"/>
    <cellStyle name="Normal 29 3 2 5" xfId="13925"/>
    <cellStyle name="Normal 29 3 3" xfId="13926"/>
    <cellStyle name="Normal 29 3 3 2" xfId="13927"/>
    <cellStyle name="Normal 29 3 3 2 2" xfId="13928"/>
    <cellStyle name="Normal 29 3 3 2 2 2" xfId="13929"/>
    <cellStyle name="Normal 29 3 3 2 3" xfId="13930"/>
    <cellStyle name="Normal 29 3 3 3" xfId="13931"/>
    <cellStyle name="Normal 29 3 3 3 2" xfId="13932"/>
    <cellStyle name="Normal 29 3 3 4" xfId="13933"/>
    <cellStyle name="Normal 29 3 4" xfId="13934"/>
    <cellStyle name="Normal 29 3 4 2" xfId="13935"/>
    <cellStyle name="Normal 29 3 4 2 2" xfId="13936"/>
    <cellStyle name="Normal 29 3 4 3" xfId="13937"/>
    <cellStyle name="Normal 29 3 5" xfId="13938"/>
    <cellStyle name="Normal 29 3 5 2" xfId="13939"/>
    <cellStyle name="Normal 29 3 5 3" xfId="13940"/>
    <cellStyle name="Normal 29 3 6" xfId="13941"/>
    <cellStyle name="Normal 29 3 6 2" xfId="13942"/>
    <cellStyle name="Normal 29 3 6 3" xfId="13943"/>
    <cellStyle name="Normal 29 3 7" xfId="13944"/>
    <cellStyle name="Normal 29 3 7 2" xfId="13945"/>
    <cellStyle name="Normal 29 3 7 3" xfId="13946"/>
    <cellStyle name="Normal 29 3 8" xfId="13947"/>
    <cellStyle name="Normal 29 3 9" xfId="13948"/>
    <cellStyle name="Normal 29 4" xfId="13949"/>
    <cellStyle name="Normal 29 4 2" xfId="13950"/>
    <cellStyle name="Normal 29 4 2 2" xfId="13951"/>
    <cellStyle name="Normal 29 4 2 2 2" xfId="13952"/>
    <cellStyle name="Normal 29 4 2 2 2 2" xfId="13953"/>
    <cellStyle name="Normal 29 4 2 2 2 2 2" xfId="13954"/>
    <cellStyle name="Normal 29 4 2 2 2 3" xfId="13955"/>
    <cellStyle name="Normal 29 4 2 2 3" xfId="13956"/>
    <cellStyle name="Normal 29 4 2 2 3 2" xfId="13957"/>
    <cellStyle name="Normal 29 4 2 2 4" xfId="13958"/>
    <cellStyle name="Normal 29 4 2 3" xfId="13959"/>
    <cellStyle name="Normal 29 4 2 3 2" xfId="13960"/>
    <cellStyle name="Normal 29 4 2 3 2 2" xfId="13961"/>
    <cellStyle name="Normal 29 4 2 3 3" xfId="13962"/>
    <cellStyle name="Normal 29 4 2 4" xfId="13963"/>
    <cellStyle name="Normal 29 4 2 4 2" xfId="13964"/>
    <cellStyle name="Normal 29 4 2 5" xfId="13965"/>
    <cellStyle name="Normal 29 4 3" xfId="13966"/>
    <cellStyle name="Normal 29 4 3 2" xfId="13967"/>
    <cellStyle name="Normal 29 4 3 2 2" xfId="13968"/>
    <cellStyle name="Normal 29 4 3 2 2 2" xfId="13969"/>
    <cellStyle name="Normal 29 4 3 2 3" xfId="13970"/>
    <cellStyle name="Normal 29 4 3 3" xfId="13971"/>
    <cellStyle name="Normal 29 4 3 3 2" xfId="13972"/>
    <cellStyle name="Normal 29 4 3 4" xfId="13973"/>
    <cellStyle name="Normal 29 4 4" xfId="13974"/>
    <cellStyle name="Normal 29 4 4 2" xfId="13975"/>
    <cellStyle name="Normal 29 4 4 2 2" xfId="13976"/>
    <cellStyle name="Normal 29 4 4 3" xfId="13977"/>
    <cellStyle name="Normal 29 4 5" xfId="13978"/>
    <cellStyle name="Normal 29 4 5 2" xfId="13979"/>
    <cellStyle name="Normal 29 4 5 3" xfId="13980"/>
    <cellStyle name="Normal 29 4 6" xfId="13981"/>
    <cellStyle name="Normal 29 4 6 2" xfId="13982"/>
    <cellStyle name="Normal 29 4 6 3" xfId="13983"/>
    <cellStyle name="Normal 29 4 7" xfId="13984"/>
    <cellStyle name="Normal 29 4 7 2" xfId="13985"/>
    <cellStyle name="Normal 29 4 7 3" xfId="13986"/>
    <cellStyle name="Normal 29 4 8" xfId="13987"/>
    <cellStyle name="Normal 29 4 9" xfId="13988"/>
    <cellStyle name="Normal 29 5" xfId="13989"/>
    <cellStyle name="Normal 29 5 2" xfId="13990"/>
    <cellStyle name="Normal 29 5 2 2" xfId="13991"/>
    <cellStyle name="Normal 29 5 2 2 2" xfId="13992"/>
    <cellStyle name="Normal 29 5 2 2 2 2" xfId="13993"/>
    <cellStyle name="Normal 29 5 2 2 2 2 2" xfId="13994"/>
    <cellStyle name="Normal 29 5 2 2 2 3" xfId="13995"/>
    <cellStyle name="Normal 29 5 2 2 3" xfId="13996"/>
    <cellStyle name="Normal 29 5 2 2 3 2" xfId="13997"/>
    <cellStyle name="Normal 29 5 2 2 4" xfId="13998"/>
    <cellStyle name="Normal 29 5 2 3" xfId="13999"/>
    <cellStyle name="Normal 29 5 2 3 2" xfId="14000"/>
    <cellStyle name="Normal 29 5 2 3 2 2" xfId="14001"/>
    <cellStyle name="Normal 29 5 2 3 3" xfId="14002"/>
    <cellStyle name="Normal 29 5 2 4" xfId="14003"/>
    <cellStyle name="Normal 29 5 2 4 2" xfId="14004"/>
    <cellStyle name="Normal 29 5 2 5" xfId="14005"/>
    <cellStyle name="Normal 29 5 3" xfId="14006"/>
    <cellStyle name="Normal 29 5 3 2" xfId="14007"/>
    <cellStyle name="Normal 29 5 3 2 2" xfId="14008"/>
    <cellStyle name="Normal 29 5 3 2 2 2" xfId="14009"/>
    <cellStyle name="Normal 29 5 3 2 3" xfId="14010"/>
    <cellStyle name="Normal 29 5 3 3" xfId="14011"/>
    <cellStyle name="Normal 29 5 3 3 2" xfId="14012"/>
    <cellStyle name="Normal 29 5 3 4" xfId="14013"/>
    <cellStyle name="Normal 29 5 4" xfId="14014"/>
    <cellStyle name="Normal 29 5 4 2" xfId="14015"/>
    <cellStyle name="Normal 29 5 4 2 2" xfId="14016"/>
    <cellStyle name="Normal 29 5 4 3" xfId="14017"/>
    <cellStyle name="Normal 29 5 5" xfId="14018"/>
    <cellStyle name="Normal 29 5 5 2" xfId="14019"/>
    <cellStyle name="Normal 29 5 5 3" xfId="14020"/>
    <cellStyle name="Normal 29 5 6" xfId="14021"/>
    <cellStyle name="Normal 29 5 6 2" xfId="14022"/>
    <cellStyle name="Normal 29 5 6 3" xfId="14023"/>
    <cellStyle name="Normal 29 5 7" xfId="14024"/>
    <cellStyle name="Normal 29 5 7 2" xfId="14025"/>
    <cellStyle name="Normal 29 5 7 3" xfId="14026"/>
    <cellStyle name="Normal 29 5 8" xfId="14027"/>
    <cellStyle name="Normal 29 5 9" xfId="14028"/>
    <cellStyle name="Normal 29 6" xfId="14029"/>
    <cellStyle name="Normal 29 6 2" xfId="14030"/>
    <cellStyle name="Normal 29 6 2 2" xfId="14031"/>
    <cellStyle name="Normal 29 6 2 2 2" xfId="14032"/>
    <cellStyle name="Normal 29 6 2 2 2 2" xfId="14033"/>
    <cellStyle name="Normal 29 6 2 2 2 2 2" xfId="14034"/>
    <cellStyle name="Normal 29 6 2 2 2 3" xfId="14035"/>
    <cellStyle name="Normal 29 6 2 2 3" xfId="14036"/>
    <cellStyle name="Normal 29 6 2 2 3 2" xfId="14037"/>
    <cellStyle name="Normal 29 6 2 2 4" xfId="14038"/>
    <cellStyle name="Normal 29 6 2 3" xfId="14039"/>
    <cellStyle name="Normal 29 6 2 3 2" xfId="14040"/>
    <cellStyle name="Normal 29 6 2 3 2 2" xfId="14041"/>
    <cellStyle name="Normal 29 6 2 3 3" xfId="14042"/>
    <cellStyle name="Normal 29 6 2 4" xfId="14043"/>
    <cellStyle name="Normal 29 6 2 4 2" xfId="14044"/>
    <cellStyle name="Normal 29 6 2 5" xfId="14045"/>
    <cellStyle name="Normal 29 6 3" xfId="14046"/>
    <cellStyle name="Normal 29 6 3 2" xfId="14047"/>
    <cellStyle name="Normal 29 6 3 2 2" xfId="14048"/>
    <cellStyle name="Normal 29 6 3 2 2 2" xfId="14049"/>
    <cellStyle name="Normal 29 6 3 2 3" xfId="14050"/>
    <cellStyle name="Normal 29 6 3 3" xfId="14051"/>
    <cellStyle name="Normal 29 6 3 3 2" xfId="14052"/>
    <cellStyle name="Normal 29 6 3 4" xfId="14053"/>
    <cellStyle name="Normal 29 6 4" xfId="14054"/>
    <cellStyle name="Normal 29 6 4 2" xfId="14055"/>
    <cellStyle name="Normal 29 6 4 2 2" xfId="14056"/>
    <cellStyle name="Normal 29 6 4 3" xfId="14057"/>
    <cellStyle name="Normal 29 6 5" xfId="14058"/>
    <cellStyle name="Normal 29 6 5 2" xfId="14059"/>
    <cellStyle name="Normal 29 6 6" xfId="14060"/>
    <cellStyle name="Normal 29 7" xfId="14061"/>
    <cellStyle name="Normal 29 7 2" xfId="14062"/>
    <cellStyle name="Normal 29 7 2 2" xfId="14063"/>
    <cellStyle name="Normal 29 7 2 2 2" xfId="14064"/>
    <cellStyle name="Normal 29 7 2 2 2 2" xfId="14065"/>
    <cellStyle name="Normal 29 7 2 2 3" xfId="14066"/>
    <cellStyle name="Normal 29 7 2 3" xfId="14067"/>
    <cellStyle name="Normal 29 7 2 3 2" xfId="14068"/>
    <cellStyle name="Normal 29 7 2 4" xfId="14069"/>
    <cellStyle name="Normal 29 7 3" xfId="14070"/>
    <cellStyle name="Normal 29 7 3 2" xfId="14071"/>
    <cellStyle name="Normal 29 7 3 2 2" xfId="14072"/>
    <cellStyle name="Normal 29 7 3 3" xfId="14073"/>
    <cellStyle name="Normal 29 7 4" xfId="14074"/>
    <cellStyle name="Normal 29 7 4 2" xfId="14075"/>
    <cellStyle name="Normal 29 7 5" xfId="14076"/>
    <cellStyle name="Normal 29 8" xfId="14077"/>
    <cellStyle name="Normal 29 8 2" xfId="14078"/>
    <cellStyle name="Normal 29 8 2 2" xfId="14079"/>
    <cellStyle name="Normal 29 8 2 2 2" xfId="14080"/>
    <cellStyle name="Normal 29 8 2 3" xfId="14081"/>
    <cellStyle name="Normal 29 8 3" xfId="14082"/>
    <cellStyle name="Normal 29 8 3 2" xfId="14083"/>
    <cellStyle name="Normal 29 8 4" xfId="14084"/>
    <cellStyle name="Normal 29 9" xfId="14085"/>
    <cellStyle name="Normal 29 9 2" xfId="14086"/>
    <cellStyle name="Normal 29 9 2 2" xfId="14087"/>
    <cellStyle name="Normal 29 9 3" xfId="14088"/>
    <cellStyle name="Normal 29_Evaluación Campañas Paris.cl 2010 al 09 de Diciembre" xfId="14089"/>
    <cellStyle name="Normal 3" xfId="24"/>
    <cellStyle name="Normal 3 10" xfId="14090"/>
    <cellStyle name="Normal 3 10 2" xfId="14091"/>
    <cellStyle name="Normal 3 10 3" xfId="14092"/>
    <cellStyle name="Normal 3 10 4" xfId="14093"/>
    <cellStyle name="Normal 3 11" xfId="14094"/>
    <cellStyle name="Normal 3 11 2" xfId="14095"/>
    <cellStyle name="Normal 3 11 3" xfId="14096"/>
    <cellStyle name="Normal 3 11 4" xfId="14097"/>
    <cellStyle name="Normal 3 12" xfId="14098"/>
    <cellStyle name="Normal 3 13" xfId="14099"/>
    <cellStyle name="Normal 3 14" xfId="14100"/>
    <cellStyle name="Normal 3 15" xfId="14101"/>
    <cellStyle name="Normal 3 16" xfId="14102"/>
    <cellStyle name="Normal 3 2" xfId="25"/>
    <cellStyle name="Normal 3 2 2" xfId="14103"/>
    <cellStyle name="Normal 3 2 2 10" xfId="14104"/>
    <cellStyle name="Normal 3 2 2 10 2" xfId="14105"/>
    <cellStyle name="Normal 3 2 2 10 3" xfId="14106"/>
    <cellStyle name="Normal 3 2 2 11" xfId="14107"/>
    <cellStyle name="Normal 3 2 2 11 2" xfId="14108"/>
    <cellStyle name="Normal 3 2 2 11 3" xfId="14109"/>
    <cellStyle name="Normal 3 2 2 12" xfId="14110"/>
    <cellStyle name="Normal 3 2 2 2" xfId="14111"/>
    <cellStyle name="Normal 3 2 2 2 2" xfId="26"/>
    <cellStyle name="Normal 3 2 2 2 2 2" xfId="14112"/>
    <cellStyle name="Normal 3 2 2 2 3" xfId="14113"/>
    <cellStyle name="Normal 3 2 2 3" xfId="14114"/>
    <cellStyle name="Normal 3 2 2 3 2" xfId="14115"/>
    <cellStyle name="Normal 3 2 2 3 3" xfId="14116"/>
    <cellStyle name="Normal 3 2 2 4" xfId="14117"/>
    <cellStyle name="Normal 3 2 2 4 2" xfId="14118"/>
    <cellStyle name="Normal 3 2 2 4 3" xfId="14119"/>
    <cellStyle name="Normal 3 2 2 5" xfId="14120"/>
    <cellStyle name="Normal 3 2 2 5 2" xfId="14121"/>
    <cellStyle name="Normal 3 2 2 5 3" xfId="14122"/>
    <cellStyle name="Normal 3 2 2 6" xfId="14123"/>
    <cellStyle name="Normal 3 2 2 6 2" xfId="14124"/>
    <cellStyle name="Normal 3 2 2 6 2 2" xfId="14125"/>
    <cellStyle name="Normal 3 2 2 6 2 2 2" xfId="14126"/>
    <cellStyle name="Normal 3 2 2 6 2 2 2 2" xfId="14127"/>
    <cellStyle name="Normal 3 2 2 6 2 2 3" xfId="14128"/>
    <cellStyle name="Normal 3 2 2 6 2 3" xfId="14129"/>
    <cellStyle name="Normal 3 2 2 6 2 3 2" xfId="14130"/>
    <cellStyle name="Normal 3 2 2 6 2 4" xfId="14131"/>
    <cellStyle name="Normal 3 2 2 6 3" xfId="14132"/>
    <cellStyle name="Normal 3 2 2 6 3 2" xfId="14133"/>
    <cellStyle name="Normal 3 2 2 6 3 2 2" xfId="14134"/>
    <cellStyle name="Normal 3 2 2 6 3 3" xfId="14135"/>
    <cellStyle name="Normal 3 2 2 6 4" xfId="14136"/>
    <cellStyle name="Normal 3 2 2 6 4 2" xfId="14137"/>
    <cellStyle name="Normal 3 2 2 6 5" xfId="14138"/>
    <cellStyle name="Normal 3 2 2 7" xfId="14139"/>
    <cellStyle name="Normal 3 2 2 7 2" xfId="14140"/>
    <cellStyle name="Normal 3 2 2 7 2 2" xfId="14141"/>
    <cellStyle name="Normal 3 2 2 7 2 2 2" xfId="14142"/>
    <cellStyle name="Normal 3 2 2 7 2 3" xfId="14143"/>
    <cellStyle name="Normal 3 2 2 7 3" xfId="14144"/>
    <cellStyle name="Normal 3 2 2 7 3 2" xfId="14145"/>
    <cellStyle name="Normal 3 2 2 7 4" xfId="14146"/>
    <cellStyle name="Normal 3 2 2 8" xfId="14147"/>
    <cellStyle name="Normal 3 2 2 8 2" xfId="14148"/>
    <cellStyle name="Normal 3 2 2 8 2 2" xfId="14149"/>
    <cellStyle name="Normal 3 2 2 8 3" xfId="14150"/>
    <cellStyle name="Normal 3 2 2 9" xfId="14151"/>
    <cellStyle name="Normal 3 2 2 9 2" xfId="14152"/>
    <cellStyle name="Normal 3 2 2 9 3" xfId="14153"/>
    <cellStyle name="Normal 3 2 2_Evaluación Campañas Paris.cl 2010 al 09 de Diciembre" xfId="14154"/>
    <cellStyle name="Normal 3 2 3" xfId="14155"/>
    <cellStyle name="Normal 3 2 3 2" xfId="14156"/>
    <cellStyle name="Normal 3 2 3 2 2" xfId="14157"/>
    <cellStyle name="Normal 3 2 3 2 2 2" xfId="14158"/>
    <cellStyle name="Normal 3 2 3 2 2 2 2" xfId="14159"/>
    <cellStyle name="Normal 3 2 3 2 2 2 2 2" xfId="14160"/>
    <cellStyle name="Normal 3 2 3 2 2 2 3" xfId="14161"/>
    <cellStyle name="Normal 3 2 3 2 2 3" xfId="14162"/>
    <cellStyle name="Normal 3 2 3 2 2 3 2" xfId="14163"/>
    <cellStyle name="Normal 3 2 3 2 2 4" xfId="14164"/>
    <cellStyle name="Normal 3 2 3 2 3" xfId="14165"/>
    <cellStyle name="Normal 3 2 3 2 3 2" xfId="14166"/>
    <cellStyle name="Normal 3 2 3 2 3 2 2" xfId="14167"/>
    <cellStyle name="Normal 3 2 3 2 3 3" xfId="14168"/>
    <cellStyle name="Normal 3 2 3 2 4" xfId="14169"/>
    <cellStyle name="Normal 3 2 3 2 4 2" xfId="14170"/>
    <cellStyle name="Normal 3 2 3 2 5" xfId="14171"/>
    <cellStyle name="Normal 3 2 3 3" xfId="14172"/>
    <cellStyle name="Normal 3 2 3 3 2" xfId="14173"/>
    <cellStyle name="Normal 3 2 3 3 2 2" xfId="14174"/>
    <cellStyle name="Normal 3 2 3 3 2 2 2" xfId="14175"/>
    <cellStyle name="Normal 3 2 3 3 2 3" xfId="14176"/>
    <cellStyle name="Normal 3 2 3 3 3" xfId="14177"/>
    <cellStyle name="Normal 3 2 3 3 3 2" xfId="14178"/>
    <cellStyle name="Normal 3 2 3 3 4" xfId="14179"/>
    <cellStyle name="Normal 3 2 3 4" xfId="14180"/>
    <cellStyle name="Normal 3 2 3 4 2" xfId="14181"/>
    <cellStyle name="Normal 3 2 3 4 2 2" xfId="14182"/>
    <cellStyle name="Normal 3 2 3 4 3" xfId="14183"/>
    <cellStyle name="Normal 3 2 3 5" xfId="14184"/>
    <cellStyle name="Normal 3 2 3 5 2" xfId="14185"/>
    <cellStyle name="Normal 3 2 3 5 3" xfId="14186"/>
    <cellStyle name="Normal 3 2 3 6" xfId="14187"/>
    <cellStyle name="Normal 3 2 3 6 2" xfId="14188"/>
    <cellStyle name="Normal 3 2 3 6 3" xfId="14189"/>
    <cellStyle name="Normal 3 2 3 7" xfId="14190"/>
    <cellStyle name="Normal 3 2 3 7 2" xfId="14191"/>
    <cellStyle name="Normal 3 2 3 7 3" xfId="14192"/>
    <cellStyle name="Normal 3 2 3 8" xfId="14193"/>
    <cellStyle name="Normal 3 2 3 9" xfId="14194"/>
    <cellStyle name="Normal 3 2 4" xfId="14195"/>
    <cellStyle name="Normal 3 2 4 2" xfId="14196"/>
    <cellStyle name="Normal 3 2 4 2 2" xfId="14197"/>
    <cellStyle name="Normal 3 2 4 2 2 2" xfId="14198"/>
    <cellStyle name="Normal 3 2 4 2 2 2 2" xfId="14199"/>
    <cellStyle name="Normal 3 2 4 2 2 2 2 2" xfId="14200"/>
    <cellStyle name="Normal 3 2 4 2 2 2 3" xfId="14201"/>
    <cellStyle name="Normal 3 2 4 2 2 3" xfId="14202"/>
    <cellStyle name="Normal 3 2 4 2 2 3 2" xfId="14203"/>
    <cellStyle name="Normal 3 2 4 2 2 4" xfId="14204"/>
    <cellStyle name="Normal 3 2 4 2 3" xfId="14205"/>
    <cellStyle name="Normal 3 2 4 2 3 2" xfId="14206"/>
    <cellStyle name="Normal 3 2 4 2 3 2 2" xfId="14207"/>
    <cellStyle name="Normal 3 2 4 2 3 3" xfId="14208"/>
    <cellStyle name="Normal 3 2 4 2 4" xfId="14209"/>
    <cellStyle name="Normal 3 2 4 2 4 2" xfId="14210"/>
    <cellStyle name="Normal 3 2 4 2 5" xfId="14211"/>
    <cellStyle name="Normal 3 2 4 3" xfId="14212"/>
    <cellStyle name="Normal 3 2 4 3 2" xfId="14213"/>
    <cellStyle name="Normal 3 2 4 3 2 2" xfId="14214"/>
    <cellStyle name="Normal 3 2 4 3 2 2 2" xfId="14215"/>
    <cellStyle name="Normal 3 2 4 3 2 3" xfId="14216"/>
    <cellStyle name="Normal 3 2 4 3 3" xfId="14217"/>
    <cellStyle name="Normal 3 2 4 3 3 2" xfId="14218"/>
    <cellStyle name="Normal 3 2 4 3 4" xfId="14219"/>
    <cellStyle name="Normal 3 2 4 4" xfId="14220"/>
    <cellStyle name="Normal 3 2 4 4 2" xfId="14221"/>
    <cellStyle name="Normal 3 2 4 4 2 2" xfId="14222"/>
    <cellStyle name="Normal 3 2 4 4 3" xfId="14223"/>
    <cellStyle name="Normal 3 2 4 5" xfId="14224"/>
    <cellStyle name="Normal 3 2 4 5 2" xfId="14225"/>
    <cellStyle name="Normal 3 2 4 5 3" xfId="14226"/>
    <cellStyle name="Normal 3 2 4 6" xfId="14227"/>
    <cellStyle name="Normal 3 2 4 6 2" xfId="14228"/>
    <cellStyle name="Normal 3 2 4 6 3" xfId="14229"/>
    <cellStyle name="Normal 3 2 4 7" xfId="14230"/>
    <cellStyle name="Normal 3 2 4 7 2" xfId="14231"/>
    <cellStyle name="Normal 3 2 4 7 3" xfId="14232"/>
    <cellStyle name="Normal 3 2 4 8" xfId="14233"/>
    <cellStyle name="Normal 3 2 4 9" xfId="14234"/>
    <cellStyle name="Normal 3 2 5" xfId="14235"/>
    <cellStyle name="Normal 3 2 5 2" xfId="14236"/>
    <cellStyle name="Normal 3 2 5 2 2" xfId="14237"/>
    <cellStyle name="Normal 3 2 5 2 2 2" xfId="14238"/>
    <cellStyle name="Normal 3 2 5 2 2 2 2" xfId="14239"/>
    <cellStyle name="Normal 3 2 5 2 2 2 2 2" xfId="14240"/>
    <cellStyle name="Normal 3 2 5 2 2 2 3" xfId="14241"/>
    <cellStyle name="Normal 3 2 5 2 2 3" xfId="14242"/>
    <cellStyle name="Normal 3 2 5 2 2 3 2" xfId="14243"/>
    <cellStyle name="Normal 3 2 5 2 2 4" xfId="14244"/>
    <cellStyle name="Normal 3 2 5 2 3" xfId="14245"/>
    <cellStyle name="Normal 3 2 5 2 3 2" xfId="14246"/>
    <cellStyle name="Normal 3 2 5 2 3 2 2" xfId="14247"/>
    <cellStyle name="Normal 3 2 5 2 3 3" xfId="14248"/>
    <cellStyle name="Normal 3 2 5 2 4" xfId="14249"/>
    <cellStyle name="Normal 3 2 5 2 4 2" xfId="14250"/>
    <cellStyle name="Normal 3 2 5 2 5" xfId="14251"/>
    <cellStyle name="Normal 3 2 5 3" xfId="14252"/>
    <cellStyle name="Normal 3 2 5 3 2" xfId="14253"/>
    <cellStyle name="Normal 3 2 5 3 2 2" xfId="14254"/>
    <cellStyle name="Normal 3 2 5 3 2 2 2" xfId="14255"/>
    <cellStyle name="Normal 3 2 5 3 2 3" xfId="14256"/>
    <cellStyle name="Normal 3 2 5 3 3" xfId="14257"/>
    <cellStyle name="Normal 3 2 5 3 3 2" xfId="14258"/>
    <cellStyle name="Normal 3 2 5 3 4" xfId="14259"/>
    <cellStyle name="Normal 3 2 5 4" xfId="14260"/>
    <cellStyle name="Normal 3 2 5 4 2" xfId="14261"/>
    <cellStyle name="Normal 3 2 5 4 2 2" xfId="14262"/>
    <cellStyle name="Normal 3 2 5 4 3" xfId="14263"/>
    <cellStyle name="Normal 3 2 5 5" xfId="14264"/>
    <cellStyle name="Normal 3 2 5 5 2" xfId="14265"/>
    <cellStyle name="Normal 3 2 5 5 3" xfId="14266"/>
    <cellStyle name="Normal 3 2 5 6" xfId="14267"/>
    <cellStyle name="Normal 3 2 5 6 2" xfId="14268"/>
    <cellStyle name="Normal 3 2 5 6 3" xfId="14269"/>
    <cellStyle name="Normal 3 2 5 7" xfId="14270"/>
    <cellStyle name="Normal 3 2 5 7 2" xfId="14271"/>
    <cellStyle name="Normal 3 2 5 7 3" xfId="14272"/>
    <cellStyle name="Normal 3 2 5 8" xfId="14273"/>
    <cellStyle name="Normal 3 2 5 9" xfId="14274"/>
    <cellStyle name="Normal 3 2 6" xfId="14275"/>
    <cellStyle name="Normal 3 2 7" xfId="14276"/>
    <cellStyle name="Normal 3 3" xfId="27"/>
    <cellStyle name="Normal 3 3 2" xfId="14277"/>
    <cellStyle name="Normal 3 3 2 2" xfId="14278"/>
    <cellStyle name="Normal 3 3 3" xfId="14279"/>
    <cellStyle name="Normal 3 4" xfId="28"/>
    <cellStyle name="Normal 3 4 2" xfId="14280"/>
    <cellStyle name="Normal 3 4 2 2" xfId="14281"/>
    <cellStyle name="Normal 3 4 3" xfId="14282"/>
    <cellStyle name="Normal 3 5" xfId="14283"/>
    <cellStyle name="Normal 3 5 2" xfId="14284"/>
    <cellStyle name="Normal 3 5 2 2" xfId="53516"/>
    <cellStyle name="Normal 3 5 3" xfId="14285"/>
    <cellStyle name="Normal 3 6" xfId="14286"/>
    <cellStyle name="Normal 3 6 2" xfId="14287"/>
    <cellStyle name="Normal 3 6 3" xfId="14288"/>
    <cellStyle name="Normal 3 7" xfId="14289"/>
    <cellStyle name="Normal 3 7 2" xfId="14290"/>
    <cellStyle name="Normal 3 7 3" xfId="14291"/>
    <cellStyle name="Normal 3 8" xfId="14292"/>
    <cellStyle name="Normal 3 8 2" xfId="14293"/>
    <cellStyle name="Normal 3 8 3" xfId="14294"/>
    <cellStyle name="Normal 3 9" xfId="14295"/>
    <cellStyle name="Normal 3_Evaluación Campañas Paris.cl 2010 al 09 de Diciembre" xfId="14296"/>
    <cellStyle name="Normal 30" xfId="14297"/>
    <cellStyle name="Normal 30 2" xfId="14298"/>
    <cellStyle name="Normal 30 2 2" xfId="14299"/>
    <cellStyle name="Normal 30 2 3" xfId="14300"/>
    <cellStyle name="Normal 30 3" xfId="14301"/>
    <cellStyle name="Normal 30 3 2" xfId="14302"/>
    <cellStyle name="Normal 30 3 3" xfId="14303"/>
    <cellStyle name="Normal 30 4" xfId="14304"/>
    <cellStyle name="Normal 30 4 2" xfId="14305"/>
    <cellStyle name="Normal 30 4 3" xfId="14306"/>
    <cellStyle name="Normal 30 5" xfId="14307"/>
    <cellStyle name="Normal 30 5 2" xfId="14308"/>
    <cellStyle name="Normal 30 5 3" xfId="14309"/>
    <cellStyle name="Normal 30 6" xfId="14310"/>
    <cellStyle name="Normal 31" xfId="14311"/>
    <cellStyle name="Normal 31 2" xfId="14312"/>
    <cellStyle name="Normal 31 2 2" xfId="14313"/>
    <cellStyle name="Normal 31 2 3" xfId="14314"/>
    <cellStyle name="Normal 31 3" xfId="14315"/>
    <cellStyle name="Normal 31 3 2" xfId="14316"/>
    <cellStyle name="Normal 31 3 3" xfId="14317"/>
    <cellStyle name="Normal 31 4" xfId="14318"/>
    <cellStyle name="Normal 31 4 2" xfId="14319"/>
    <cellStyle name="Normal 31 4 3" xfId="14320"/>
    <cellStyle name="Normal 31 5" xfId="14321"/>
    <cellStyle name="Normal 31 5 2" xfId="14322"/>
    <cellStyle name="Normal 31 5 3" xfId="14323"/>
    <cellStyle name="Normal 31 6" xfId="14324"/>
    <cellStyle name="Normal 32" xfId="14325"/>
    <cellStyle name="Normal 32 2" xfId="14326"/>
    <cellStyle name="Normal 32 2 2" xfId="14327"/>
    <cellStyle name="Normal 32 2 3" xfId="14328"/>
    <cellStyle name="Normal 32 3" xfId="14329"/>
    <cellStyle name="Normal 32 3 2" xfId="14330"/>
    <cellStyle name="Normal 32 3 3" xfId="14331"/>
    <cellStyle name="Normal 32 4" xfId="14332"/>
    <cellStyle name="Normal 32 4 2" xfId="14333"/>
    <cellStyle name="Normal 32 4 3" xfId="14334"/>
    <cellStyle name="Normal 32 5" xfId="14335"/>
    <cellStyle name="Normal 32 5 2" xfId="14336"/>
    <cellStyle name="Normal 32 5 3" xfId="14337"/>
    <cellStyle name="Normal 32 6" xfId="14338"/>
    <cellStyle name="Normal 33" xfId="14339"/>
    <cellStyle name="Normal 33 2" xfId="14340"/>
    <cellStyle name="Normal 34" xfId="14341"/>
    <cellStyle name="Normal 34 2" xfId="14342"/>
    <cellStyle name="Normal 34 2 2" xfId="14343"/>
    <cellStyle name="Normal 34 2 3" xfId="14344"/>
    <cellStyle name="Normal 34 3" xfId="14345"/>
    <cellStyle name="Normal 34 3 2" xfId="14346"/>
    <cellStyle name="Normal 34 3 3" xfId="14347"/>
    <cellStyle name="Normal 34 4" xfId="14348"/>
    <cellStyle name="Normal 34 4 2" xfId="14349"/>
    <cellStyle name="Normal 34 4 3" xfId="14350"/>
    <cellStyle name="Normal 34 5" xfId="14351"/>
    <cellStyle name="Normal 34 5 2" xfId="14352"/>
    <cellStyle name="Normal 34 5 3" xfId="14353"/>
    <cellStyle name="Normal 34 6" xfId="14354"/>
    <cellStyle name="Normal 35" xfId="14355"/>
    <cellStyle name="Normal 35 2" xfId="14356"/>
    <cellStyle name="Normal 35 2 2" xfId="14357"/>
    <cellStyle name="Normal 35 2 3" xfId="14358"/>
    <cellStyle name="Normal 35 3" xfId="14359"/>
    <cellStyle name="Normal 35 3 2" xfId="14360"/>
    <cellStyle name="Normal 35 3 3" xfId="14361"/>
    <cellStyle name="Normal 35 4" xfId="14362"/>
    <cellStyle name="Normal 35 4 2" xfId="14363"/>
    <cellStyle name="Normal 35 4 3" xfId="14364"/>
    <cellStyle name="Normal 35 5" xfId="14365"/>
    <cellStyle name="Normal 35 5 2" xfId="14366"/>
    <cellStyle name="Normal 35 5 3" xfId="14367"/>
    <cellStyle name="Normal 35 6" xfId="14368"/>
    <cellStyle name="Normal 36" xfId="14369"/>
    <cellStyle name="Normal 36 2" xfId="14370"/>
    <cellStyle name="Normal 36 2 2" xfId="14371"/>
    <cellStyle name="Normal 36 2 3" xfId="14372"/>
    <cellStyle name="Normal 36 3" xfId="14373"/>
    <cellStyle name="Normal 36 3 2" xfId="14374"/>
    <cellStyle name="Normal 36 3 3" xfId="14375"/>
    <cellStyle name="Normal 36 4" xfId="14376"/>
    <cellStyle name="Normal 36 4 2" xfId="14377"/>
    <cellStyle name="Normal 36 4 3" xfId="14378"/>
    <cellStyle name="Normal 36 5" xfId="14379"/>
    <cellStyle name="Normal 36 5 2" xfId="14380"/>
    <cellStyle name="Normal 36 5 3" xfId="14381"/>
    <cellStyle name="Normal 36 6" xfId="14382"/>
    <cellStyle name="Normal 37" xfId="14383"/>
    <cellStyle name="Normal 37 2" xfId="14384"/>
    <cellStyle name="Normal 37 2 2" xfId="14385"/>
    <cellStyle name="Normal 37 2 3" xfId="14386"/>
    <cellStyle name="Normal 37 3" xfId="14387"/>
    <cellStyle name="Normal 37 3 2" xfId="14388"/>
    <cellStyle name="Normal 37 3 3" xfId="14389"/>
    <cellStyle name="Normal 37 4" xfId="14390"/>
    <cellStyle name="Normal 37 4 2" xfId="14391"/>
    <cellStyle name="Normal 37 4 3" xfId="14392"/>
    <cellStyle name="Normal 37 5" xfId="14393"/>
    <cellStyle name="Normal 37 5 2" xfId="14394"/>
    <cellStyle name="Normal 37 5 3" xfId="14395"/>
    <cellStyle name="Normal 37 6" xfId="14396"/>
    <cellStyle name="Normal 38" xfId="14397"/>
    <cellStyle name="Normal 38 2" xfId="14398"/>
    <cellStyle name="Normal 38 2 2" xfId="14399"/>
    <cellStyle name="Normal 38 2 2 2" xfId="14400"/>
    <cellStyle name="Normal 38 2 2 2 2" xfId="14401"/>
    <cellStyle name="Normal 38 2 2 2 2 2" xfId="14402"/>
    <cellStyle name="Normal 38 2 2 2 2 2 2" xfId="14403"/>
    <cellStyle name="Normal 38 2 2 2 2 3" xfId="14404"/>
    <cellStyle name="Normal 38 2 2 2 3" xfId="14405"/>
    <cellStyle name="Normal 38 2 2 2 3 2" xfId="14406"/>
    <cellStyle name="Normal 38 2 2 2 4" xfId="14407"/>
    <cellStyle name="Normal 38 2 2 3" xfId="14408"/>
    <cellStyle name="Normal 38 2 2 3 2" xfId="14409"/>
    <cellStyle name="Normal 38 2 2 3 2 2" xfId="14410"/>
    <cellStyle name="Normal 38 2 2 3 3" xfId="14411"/>
    <cellStyle name="Normal 38 2 2 4" xfId="14412"/>
    <cellStyle name="Normal 38 2 2 4 2" xfId="14413"/>
    <cellStyle name="Normal 38 2 2 5" xfId="14414"/>
    <cellStyle name="Normal 38 2 3" xfId="14415"/>
    <cellStyle name="Normal 38 2 3 2" xfId="14416"/>
    <cellStyle name="Normal 38 2 3 2 2" xfId="14417"/>
    <cellStyle name="Normal 38 2 3 2 2 2" xfId="14418"/>
    <cellStyle name="Normal 38 2 3 2 3" xfId="14419"/>
    <cellStyle name="Normal 38 2 3 3" xfId="14420"/>
    <cellStyle name="Normal 38 2 3 3 2" xfId="14421"/>
    <cellStyle name="Normal 38 2 3 4" xfId="14422"/>
    <cellStyle name="Normal 38 2 4" xfId="14423"/>
    <cellStyle name="Normal 38 2 4 2" xfId="14424"/>
    <cellStyle name="Normal 38 2 4 2 2" xfId="14425"/>
    <cellStyle name="Normal 38 2 4 3" xfId="14426"/>
    <cellStyle name="Normal 38 2 5" xfId="14427"/>
    <cellStyle name="Normal 38 2 5 2" xfId="14428"/>
    <cellStyle name="Normal 38 2 6" xfId="14429"/>
    <cellStyle name="Normal 38 3" xfId="14430"/>
    <cellStyle name="Normal 38 3 2" xfId="14431"/>
    <cellStyle name="Normal 38 3 2 2" xfId="14432"/>
    <cellStyle name="Normal 38 3 2 2 2" xfId="14433"/>
    <cellStyle name="Normal 38 3 2 2 2 2" xfId="14434"/>
    <cellStyle name="Normal 38 3 2 2 3" xfId="14435"/>
    <cellStyle name="Normal 38 3 2 3" xfId="14436"/>
    <cellStyle name="Normal 38 3 2 3 2" xfId="14437"/>
    <cellStyle name="Normal 38 3 2 4" xfId="14438"/>
    <cellStyle name="Normal 38 3 3" xfId="14439"/>
    <cellStyle name="Normal 38 3 3 2" xfId="14440"/>
    <cellStyle name="Normal 38 3 3 2 2" xfId="14441"/>
    <cellStyle name="Normal 38 3 3 3" xfId="14442"/>
    <cellStyle name="Normal 38 3 4" xfId="14443"/>
    <cellStyle name="Normal 38 3 4 2" xfId="14444"/>
    <cellStyle name="Normal 38 3 5" xfId="14445"/>
    <cellStyle name="Normal 38 4" xfId="14446"/>
    <cellStyle name="Normal 38 4 2" xfId="14447"/>
    <cellStyle name="Normal 38 4 2 2" xfId="14448"/>
    <cellStyle name="Normal 38 4 2 2 2" xfId="14449"/>
    <cellStyle name="Normal 38 4 2 3" xfId="14450"/>
    <cellStyle name="Normal 38 4 3" xfId="14451"/>
    <cellStyle name="Normal 38 4 3 2" xfId="14452"/>
    <cellStyle name="Normal 38 4 4" xfId="14453"/>
    <cellStyle name="Normal 38 5" xfId="14454"/>
    <cellStyle name="Normal 38 5 2" xfId="14455"/>
    <cellStyle name="Normal 38 5 2 2" xfId="14456"/>
    <cellStyle name="Normal 38 5 3" xfId="14457"/>
    <cellStyle name="Normal 38 6" xfId="14458"/>
    <cellStyle name="Normal 38 6 2" xfId="14459"/>
    <cellStyle name="Normal 38 6 3" xfId="14460"/>
    <cellStyle name="Normal 38 7" xfId="14461"/>
    <cellStyle name="Normal 38 7 2" xfId="14462"/>
    <cellStyle name="Normal 38 7 3" xfId="14463"/>
    <cellStyle name="Normal 38 8" xfId="14464"/>
    <cellStyle name="Normal 38 9" xfId="14465"/>
    <cellStyle name="Normal 39" xfId="14466"/>
    <cellStyle name="Normal 39 2" xfId="14467"/>
    <cellStyle name="Normal 39 2 2" xfId="14468"/>
    <cellStyle name="Normal 39 2 2 2" xfId="14469"/>
    <cellStyle name="Normal 39 2 2 2 2" xfId="14470"/>
    <cellStyle name="Normal 39 2 2 2 2 2" xfId="14471"/>
    <cellStyle name="Normal 39 2 2 2 2 2 2" xfId="14472"/>
    <cellStyle name="Normal 39 2 2 2 2 3" xfId="14473"/>
    <cellStyle name="Normal 39 2 2 2 3" xfId="14474"/>
    <cellStyle name="Normal 39 2 2 2 3 2" xfId="14475"/>
    <cellStyle name="Normal 39 2 2 2 4" xfId="14476"/>
    <cellStyle name="Normal 39 2 2 3" xfId="14477"/>
    <cellStyle name="Normal 39 2 2 3 2" xfId="14478"/>
    <cellStyle name="Normal 39 2 2 3 2 2" xfId="14479"/>
    <cellStyle name="Normal 39 2 2 3 3" xfId="14480"/>
    <cellStyle name="Normal 39 2 2 4" xfId="14481"/>
    <cellStyle name="Normal 39 2 2 4 2" xfId="14482"/>
    <cellStyle name="Normal 39 2 2 5" xfId="14483"/>
    <cellStyle name="Normal 39 2 3" xfId="14484"/>
    <cellStyle name="Normal 39 2 3 2" xfId="14485"/>
    <cellStyle name="Normal 39 2 3 2 2" xfId="14486"/>
    <cellStyle name="Normal 39 2 3 2 2 2" xfId="14487"/>
    <cellStyle name="Normal 39 2 3 2 3" xfId="14488"/>
    <cellStyle name="Normal 39 2 3 3" xfId="14489"/>
    <cellStyle name="Normal 39 2 3 3 2" xfId="14490"/>
    <cellStyle name="Normal 39 2 3 4" xfId="14491"/>
    <cellStyle name="Normal 39 2 4" xfId="14492"/>
    <cellStyle name="Normal 39 2 4 2" xfId="14493"/>
    <cellStyle name="Normal 39 2 4 2 2" xfId="14494"/>
    <cellStyle name="Normal 39 2 4 3" xfId="14495"/>
    <cellStyle name="Normal 39 2 5" xfId="14496"/>
    <cellStyle name="Normal 39 2 5 2" xfId="14497"/>
    <cellStyle name="Normal 39 2 6" xfId="14498"/>
    <cellStyle name="Normal 39 3" xfId="14499"/>
    <cellStyle name="Normal 39 3 2" xfId="14500"/>
    <cellStyle name="Normal 39 3 2 2" xfId="14501"/>
    <cellStyle name="Normal 39 3 2 2 2" xfId="14502"/>
    <cellStyle name="Normal 39 3 2 2 2 2" xfId="14503"/>
    <cellStyle name="Normal 39 3 2 2 3" xfId="14504"/>
    <cellStyle name="Normal 39 3 2 3" xfId="14505"/>
    <cellStyle name="Normal 39 3 2 3 2" xfId="14506"/>
    <cellStyle name="Normal 39 3 2 4" xfId="14507"/>
    <cellStyle name="Normal 39 3 3" xfId="14508"/>
    <cellStyle name="Normal 39 3 3 2" xfId="14509"/>
    <cellStyle name="Normal 39 3 3 2 2" xfId="14510"/>
    <cellStyle name="Normal 39 3 3 3" xfId="14511"/>
    <cellStyle name="Normal 39 3 4" xfId="14512"/>
    <cellStyle name="Normal 39 3 4 2" xfId="14513"/>
    <cellStyle name="Normal 39 3 5" xfId="14514"/>
    <cellStyle name="Normal 39 4" xfId="14515"/>
    <cellStyle name="Normal 39 4 2" xfId="14516"/>
    <cellStyle name="Normal 39 4 2 2" xfId="14517"/>
    <cellStyle name="Normal 39 4 2 2 2" xfId="14518"/>
    <cellStyle name="Normal 39 4 2 3" xfId="14519"/>
    <cellStyle name="Normal 39 4 3" xfId="14520"/>
    <cellStyle name="Normal 39 4 3 2" xfId="14521"/>
    <cellStyle name="Normal 39 4 4" xfId="14522"/>
    <cellStyle name="Normal 39 5" xfId="14523"/>
    <cellStyle name="Normal 39 5 2" xfId="14524"/>
    <cellStyle name="Normal 39 5 2 2" xfId="14525"/>
    <cellStyle name="Normal 39 5 3" xfId="14526"/>
    <cellStyle name="Normal 39 6" xfId="14527"/>
    <cellStyle name="Normal 39 6 2" xfId="14528"/>
    <cellStyle name="Normal 39 6 3" xfId="14529"/>
    <cellStyle name="Normal 39 7" xfId="14530"/>
    <cellStyle name="Normal 39 7 2" xfId="14531"/>
    <cellStyle name="Normal 39 7 3" xfId="14532"/>
    <cellStyle name="Normal 39 8" xfId="14533"/>
    <cellStyle name="Normal 39 9" xfId="14534"/>
    <cellStyle name="Normal 4" xfId="29"/>
    <cellStyle name="Normal 4 2" xfId="30"/>
    <cellStyle name="Normal 4 2 2" xfId="14535"/>
    <cellStyle name="Normal 4 2 2 2" xfId="14536"/>
    <cellStyle name="Normal 4 2 3" xfId="14537"/>
    <cellStyle name="Normal 4 3" xfId="14538"/>
    <cellStyle name="Normal 4 3 2" xfId="14539"/>
    <cellStyle name="Normal 4 3 3" xfId="14540"/>
    <cellStyle name="Normal 4 4" xfId="14541"/>
    <cellStyle name="Normal 4 4 2" xfId="14542"/>
    <cellStyle name="Normal 4 4 3" xfId="14543"/>
    <cellStyle name="Normal 4 5" xfId="14544"/>
    <cellStyle name="Normal 4 6" xfId="14545"/>
    <cellStyle name="Normal 4 7" xfId="14546"/>
    <cellStyle name="Normal 4 8" xfId="14547"/>
    <cellStyle name="Normal 40" xfId="14548"/>
    <cellStyle name="Normal 40 2" xfId="14549"/>
    <cellStyle name="Normal 40 2 2" xfId="14550"/>
    <cellStyle name="Normal 40 2 2 2" xfId="14551"/>
    <cellStyle name="Normal 40 2 2 2 2" xfId="14552"/>
    <cellStyle name="Normal 40 2 2 2 2 2" xfId="14553"/>
    <cellStyle name="Normal 40 2 2 2 2 2 2" xfId="14554"/>
    <cellStyle name="Normal 40 2 2 2 2 3" xfId="14555"/>
    <cellStyle name="Normal 40 2 2 2 3" xfId="14556"/>
    <cellStyle name="Normal 40 2 2 2 3 2" xfId="14557"/>
    <cellStyle name="Normal 40 2 2 2 4" xfId="14558"/>
    <cellStyle name="Normal 40 2 2 3" xfId="14559"/>
    <cellStyle name="Normal 40 2 2 3 2" xfId="14560"/>
    <cellStyle name="Normal 40 2 2 3 2 2" xfId="14561"/>
    <cellStyle name="Normal 40 2 2 3 3" xfId="14562"/>
    <cellStyle name="Normal 40 2 2 4" xfId="14563"/>
    <cellStyle name="Normal 40 2 2 4 2" xfId="14564"/>
    <cellStyle name="Normal 40 2 2 5" xfId="14565"/>
    <cellStyle name="Normal 40 2 3" xfId="14566"/>
    <cellStyle name="Normal 40 2 3 2" xfId="14567"/>
    <cellStyle name="Normal 40 2 3 2 2" xfId="14568"/>
    <cellStyle name="Normal 40 2 3 2 2 2" xfId="14569"/>
    <cellStyle name="Normal 40 2 3 2 3" xfId="14570"/>
    <cellStyle name="Normal 40 2 3 3" xfId="14571"/>
    <cellStyle name="Normal 40 2 3 3 2" xfId="14572"/>
    <cellStyle name="Normal 40 2 3 4" xfId="14573"/>
    <cellStyle name="Normal 40 2 4" xfId="14574"/>
    <cellStyle name="Normal 40 2 4 2" xfId="14575"/>
    <cellStyle name="Normal 40 2 4 2 2" xfId="14576"/>
    <cellStyle name="Normal 40 2 4 3" xfId="14577"/>
    <cellStyle name="Normal 40 2 5" xfId="14578"/>
    <cellStyle name="Normal 40 2 5 2" xfId="14579"/>
    <cellStyle name="Normal 40 2 6" xfId="14580"/>
    <cellStyle name="Normal 40 3" xfId="14581"/>
    <cellStyle name="Normal 40 3 2" xfId="14582"/>
    <cellStyle name="Normal 40 3 2 2" xfId="14583"/>
    <cellStyle name="Normal 40 3 2 2 2" xfId="14584"/>
    <cellStyle name="Normal 40 3 2 2 2 2" xfId="14585"/>
    <cellStyle name="Normal 40 3 2 2 3" xfId="14586"/>
    <cellStyle name="Normal 40 3 2 3" xfId="14587"/>
    <cellStyle name="Normal 40 3 2 3 2" xfId="14588"/>
    <cellStyle name="Normal 40 3 2 4" xfId="14589"/>
    <cellStyle name="Normal 40 3 3" xfId="14590"/>
    <cellStyle name="Normal 40 3 3 2" xfId="14591"/>
    <cellStyle name="Normal 40 3 3 2 2" xfId="14592"/>
    <cellStyle name="Normal 40 3 3 3" xfId="14593"/>
    <cellStyle name="Normal 40 3 4" xfId="14594"/>
    <cellStyle name="Normal 40 3 4 2" xfId="14595"/>
    <cellStyle name="Normal 40 3 5" xfId="14596"/>
    <cellStyle name="Normal 40 4" xfId="14597"/>
    <cellStyle name="Normal 40 4 2" xfId="14598"/>
    <cellStyle name="Normal 40 4 2 2" xfId="14599"/>
    <cellStyle name="Normal 40 4 2 2 2" xfId="14600"/>
    <cellStyle name="Normal 40 4 2 3" xfId="14601"/>
    <cellStyle name="Normal 40 4 3" xfId="14602"/>
    <cellStyle name="Normal 40 4 3 2" xfId="14603"/>
    <cellStyle name="Normal 40 4 4" xfId="14604"/>
    <cellStyle name="Normal 40 5" xfId="14605"/>
    <cellStyle name="Normal 40 5 2" xfId="14606"/>
    <cellStyle name="Normal 40 5 2 2" xfId="14607"/>
    <cellStyle name="Normal 40 5 3" xfId="14608"/>
    <cellStyle name="Normal 40 6" xfId="14609"/>
    <cellStyle name="Normal 40 6 2" xfId="14610"/>
    <cellStyle name="Normal 40 6 3" xfId="14611"/>
    <cellStyle name="Normal 40 7" xfId="14612"/>
    <cellStyle name="Normal 40 7 2" xfId="14613"/>
    <cellStyle name="Normal 40 7 3" xfId="14614"/>
    <cellStyle name="Normal 40 8" xfId="14615"/>
    <cellStyle name="Normal 40 9" xfId="14616"/>
    <cellStyle name="Normal 41" xfId="14617"/>
    <cellStyle name="Normal 41 2" xfId="14618"/>
    <cellStyle name="Normal 41 2 2" xfId="14619"/>
    <cellStyle name="Normal 41 2 2 2" xfId="14620"/>
    <cellStyle name="Normal 41 2 2 2 2" xfId="14621"/>
    <cellStyle name="Normal 41 2 2 2 2 2" xfId="14622"/>
    <cellStyle name="Normal 41 2 2 2 3" xfId="14623"/>
    <cellStyle name="Normal 41 2 2 3" xfId="14624"/>
    <cellStyle name="Normal 41 2 2 3 2" xfId="14625"/>
    <cellStyle name="Normal 41 2 2 4" xfId="14626"/>
    <cellStyle name="Normal 41 2 3" xfId="14627"/>
    <cellStyle name="Normal 41 2 3 2" xfId="14628"/>
    <cellStyle name="Normal 41 2 3 2 2" xfId="14629"/>
    <cellStyle name="Normal 41 2 3 3" xfId="14630"/>
    <cellStyle name="Normal 41 2 4" xfId="14631"/>
    <cellStyle name="Normal 41 2 4 2" xfId="14632"/>
    <cellStyle name="Normal 41 2 5" xfId="14633"/>
    <cellStyle name="Normal 41 3" xfId="14634"/>
    <cellStyle name="Normal 41 3 2" xfId="14635"/>
    <cellStyle name="Normal 41 3 2 2" xfId="14636"/>
    <cellStyle name="Normal 41 3 2 2 2" xfId="14637"/>
    <cellStyle name="Normal 41 3 2 3" xfId="14638"/>
    <cellStyle name="Normal 41 3 3" xfId="14639"/>
    <cellStyle name="Normal 41 3 3 2" xfId="14640"/>
    <cellStyle name="Normal 41 3 4" xfId="14641"/>
    <cellStyle name="Normal 41 4" xfId="14642"/>
    <cellStyle name="Normal 41 4 2" xfId="14643"/>
    <cellStyle name="Normal 41 4 2 2" xfId="14644"/>
    <cellStyle name="Normal 41 4 3" xfId="14645"/>
    <cellStyle name="Normal 41 5" xfId="14646"/>
    <cellStyle name="Normal 41 5 2" xfId="14647"/>
    <cellStyle name="Normal 41 5 3" xfId="14648"/>
    <cellStyle name="Normal 41 6" xfId="14649"/>
    <cellStyle name="Normal 41 6 2" xfId="14650"/>
    <cellStyle name="Normal 41 6 3" xfId="14651"/>
    <cellStyle name="Normal 41 7" xfId="14652"/>
    <cellStyle name="Normal 41 7 2" xfId="14653"/>
    <cellStyle name="Normal 41 7 3" xfId="14654"/>
    <cellStyle name="Normal 42" xfId="14655"/>
    <cellStyle name="Normal 42 2" xfId="14656"/>
    <cellStyle name="Normal 42 3" xfId="14657"/>
    <cellStyle name="Normal 43" xfId="14658"/>
    <cellStyle name="Normal 43 2" xfId="14659"/>
    <cellStyle name="Normal 43 3" xfId="14660"/>
    <cellStyle name="Normal 43_Evaluación Campañas Easy.cl 30.09.10" xfId="14661"/>
    <cellStyle name="Normal 44" xfId="14662"/>
    <cellStyle name="Normal 44 2" xfId="14663"/>
    <cellStyle name="Normal 44 2 2" xfId="14664"/>
    <cellStyle name="Normal 44 3" xfId="14665"/>
    <cellStyle name="Normal 441 2" xfId="14666"/>
    <cellStyle name="Normal 45" xfId="14667"/>
    <cellStyle name="Normal 45 2" xfId="14668"/>
    <cellStyle name="Normal 45 2 2" xfId="14669"/>
    <cellStyle name="Normal 45 3" xfId="14670"/>
    <cellStyle name="Normal 45 4" xfId="14671"/>
    <cellStyle name="Normal 46" xfId="75"/>
    <cellStyle name="Normal 46 2" xfId="14672"/>
    <cellStyle name="Normal 46 2 2" xfId="14673"/>
    <cellStyle name="Normal 46 2 3" xfId="14674"/>
    <cellStyle name="Normal 46 2 4" xfId="14675"/>
    <cellStyle name="Normal 46 3" xfId="14676"/>
    <cellStyle name="Normal 47" xfId="14677"/>
    <cellStyle name="Normal 47 2" xfId="14678"/>
    <cellStyle name="Normal 48" xfId="14679"/>
    <cellStyle name="Normal 48 2" xfId="14680"/>
    <cellStyle name="Normal 48 3" xfId="14681"/>
    <cellStyle name="Normal 48 4" xfId="14682"/>
    <cellStyle name="Normal 49" xfId="14683"/>
    <cellStyle name="Normal 49 2" xfId="14684"/>
    <cellStyle name="Normal 5" xfId="31"/>
    <cellStyle name="Normal 5 2" xfId="50"/>
    <cellStyle name="Normal 5 2 2" xfId="90"/>
    <cellStyle name="Normal 5 2 2 2" xfId="53517"/>
    <cellStyle name="Normal 5 2 2 3" xfId="144"/>
    <cellStyle name="Normal 5 2 3" xfId="98"/>
    <cellStyle name="Normal 5 2 3 2" xfId="152"/>
    <cellStyle name="Normal 5 2 4" xfId="117"/>
    <cellStyle name="Normal 5 3" xfId="70"/>
    <cellStyle name="Normal 5 4" xfId="89"/>
    <cellStyle name="Normal 5 4 2" xfId="143"/>
    <cellStyle name="Normal 5 5" xfId="94"/>
    <cellStyle name="Normal 5 5 2" xfId="148"/>
    <cellStyle name="Normal 5 6" xfId="14685"/>
    <cellStyle name="Normal 5 6 2" xfId="14686"/>
    <cellStyle name="Normal 5 7" xfId="14687"/>
    <cellStyle name="Normal 5 8" xfId="113"/>
    <cellStyle name="Normal 50" xfId="14688"/>
    <cellStyle name="Normal 51" xfId="14689"/>
    <cellStyle name="Normal 51 2" xfId="14690"/>
    <cellStyle name="Normal 52" xfId="14691"/>
    <cellStyle name="Normal 52 2" xfId="14692"/>
    <cellStyle name="Normal 53" xfId="14693"/>
    <cellStyle name="Normal 53 2" xfId="14694"/>
    <cellStyle name="Normal 54" xfId="14695"/>
    <cellStyle name="Normal 54 2" xfId="14696"/>
    <cellStyle name="Normal 54 2 2" xfId="14697"/>
    <cellStyle name="Normal 54 2 3" xfId="14698"/>
    <cellStyle name="Normal 54 3" xfId="14699"/>
    <cellStyle name="Normal 54 4" xfId="14700"/>
    <cellStyle name="Normal 54 5" xfId="14701"/>
    <cellStyle name="Normal 54 6" xfId="14702"/>
    <cellStyle name="Normal 55" xfId="14703"/>
    <cellStyle name="Normal 55 2" xfId="14704"/>
    <cellStyle name="Normal 55 2 2" xfId="14705"/>
    <cellStyle name="Normal 55 3" xfId="14706"/>
    <cellStyle name="Normal 55 3 2" xfId="14707"/>
    <cellStyle name="Normal 55 4" xfId="14708"/>
    <cellStyle name="Normal 55 4 2" xfId="14709"/>
    <cellStyle name="Normal 55 5" xfId="14710"/>
    <cellStyle name="Normal 55 6" xfId="14711"/>
    <cellStyle name="Normal 56" xfId="14712"/>
    <cellStyle name="Normal 56 2" xfId="14713"/>
    <cellStyle name="Normal 57" xfId="14714"/>
    <cellStyle name="Normal 57 2" xfId="14715"/>
    <cellStyle name="Normal 58" xfId="14716"/>
    <cellStyle name="Normal 58 2" xfId="14717"/>
    <cellStyle name="Normal 59" xfId="14718"/>
    <cellStyle name="Normal 59 2" xfId="14719"/>
    <cellStyle name="Normal 6" xfId="32"/>
    <cellStyle name="Normal 6 2" xfId="14720"/>
    <cellStyle name="Normal 6 2 2" xfId="14721"/>
    <cellStyle name="Normal 6 2 3" xfId="14722"/>
    <cellStyle name="Normal 6 2 4" xfId="14723"/>
    <cellStyle name="Normal 6 3" xfId="14724"/>
    <cellStyle name="Normal 6 4" xfId="14725"/>
    <cellStyle name="Normal 6 5" xfId="14726"/>
    <cellStyle name="Normal 6 6" xfId="14727"/>
    <cellStyle name="Normal 60" xfId="14728"/>
    <cellStyle name="Normal 60 2" xfId="14729"/>
    <cellStyle name="Normal 61" xfId="14730"/>
    <cellStyle name="Normal 61 2" xfId="14731"/>
    <cellStyle name="Normal 62" xfId="14732"/>
    <cellStyle name="Normal 63" xfId="14733"/>
    <cellStyle name="Normal 64" xfId="14734"/>
    <cellStyle name="Normal 65" xfId="14735"/>
    <cellStyle name="Normal 66" xfId="14736"/>
    <cellStyle name="Normal 67" xfId="14737"/>
    <cellStyle name="Normal 68" xfId="14738"/>
    <cellStyle name="Normal 69" xfId="14739"/>
    <cellStyle name="Normal 7" xfId="33"/>
    <cellStyle name="Normal 7 2" xfId="14740"/>
    <cellStyle name="Normal 7 2 2" xfId="14741"/>
    <cellStyle name="Normal 7 2 3" xfId="14742"/>
    <cellStyle name="Normal 7 3" xfId="14743"/>
    <cellStyle name="Normal 7 4" xfId="14744"/>
    <cellStyle name="Normal 7 5" xfId="14745"/>
    <cellStyle name="Normal 7 6" xfId="14746"/>
    <cellStyle name="Normal 7_Planning_Julio_2010_v5_trabajando" xfId="14747"/>
    <cellStyle name="Normal 70" xfId="14748"/>
    <cellStyle name="Normal 71" xfId="14749"/>
    <cellStyle name="Normal 72" xfId="14750"/>
    <cellStyle name="Normal 73" xfId="14751"/>
    <cellStyle name="Normal 74" xfId="14752"/>
    <cellStyle name="Normal 75" xfId="14753"/>
    <cellStyle name="Normal 76" xfId="14754"/>
    <cellStyle name="Normal 77" xfId="14755"/>
    <cellStyle name="Normal 78" xfId="14756"/>
    <cellStyle name="Normal 79" xfId="14757"/>
    <cellStyle name="Normal 8" xfId="34"/>
    <cellStyle name="Normal 8 10" xfId="14758"/>
    <cellStyle name="Normal 8 11" xfId="14759"/>
    <cellStyle name="Normal 8 12" xfId="14760"/>
    <cellStyle name="Normal 8 13" xfId="14761"/>
    <cellStyle name="Normal 8 14" xfId="14762"/>
    <cellStyle name="Normal 8 15" xfId="14763"/>
    <cellStyle name="Normal 8 16" xfId="14764"/>
    <cellStyle name="Normal 8 17" xfId="14765"/>
    <cellStyle name="Normal 8 18" xfId="14766"/>
    <cellStyle name="Normal 8 19" xfId="14767"/>
    <cellStyle name="Normal 8 2" xfId="14768"/>
    <cellStyle name="Normal 8 2 2" xfId="14769"/>
    <cellStyle name="Normal 8 2 2 2" xfId="53518"/>
    <cellStyle name="Normal 8 2 3" xfId="14770"/>
    <cellStyle name="Normal 8 2 4" xfId="14771"/>
    <cellStyle name="Normal 8 20" xfId="14772"/>
    <cellStyle name="Normal 8 21" xfId="14773"/>
    <cellStyle name="Normal 8 22" xfId="14774"/>
    <cellStyle name="Normal 8 23" xfId="14775"/>
    <cellStyle name="Normal 8 24" xfId="14776"/>
    <cellStyle name="Normal 8 25" xfId="14777"/>
    <cellStyle name="Normal 8 26" xfId="14778"/>
    <cellStyle name="Normal 8 3" xfId="14779"/>
    <cellStyle name="Normal 8 4" xfId="14780"/>
    <cellStyle name="Normal 8 5" xfId="14781"/>
    <cellStyle name="Normal 8 6" xfId="14782"/>
    <cellStyle name="Normal 8 7" xfId="14783"/>
    <cellStyle name="Normal 8 8" xfId="14784"/>
    <cellStyle name="Normal 8 9" xfId="14785"/>
    <cellStyle name="Normal 80" xfId="14786"/>
    <cellStyle name="Normal 81" xfId="14787"/>
    <cellStyle name="Normal 82" xfId="14788"/>
    <cellStyle name="Normal 83" xfId="14789"/>
    <cellStyle name="Normal 84" xfId="14790"/>
    <cellStyle name="Normal 85" xfId="14791"/>
    <cellStyle name="Normal 86" xfId="14792"/>
    <cellStyle name="Normal 87" xfId="14793"/>
    <cellStyle name="Normal 88" xfId="14794"/>
    <cellStyle name="Normal 89" xfId="14795"/>
    <cellStyle name="Normal 9" xfId="35"/>
    <cellStyle name="Normal 9 2" xfId="14796"/>
    <cellStyle name="Normal 9 2 2" xfId="14797"/>
    <cellStyle name="Normal 9 2 3" xfId="14798"/>
    <cellStyle name="Normal 9 2 4" xfId="14799"/>
    <cellStyle name="Normal 9 3" xfId="14800"/>
    <cellStyle name="Normal 9 4" xfId="14801"/>
    <cellStyle name="Normal 9 5" xfId="14802"/>
    <cellStyle name="Normal 90" xfId="14803"/>
    <cellStyle name="Normal 91" xfId="14804"/>
    <cellStyle name="Normal 92" xfId="14805"/>
    <cellStyle name="Normal 93" xfId="14806"/>
    <cellStyle name="Normal 94" xfId="14807"/>
    <cellStyle name="Normal 95" xfId="14808"/>
    <cellStyle name="Normal 96" xfId="14809"/>
    <cellStyle name="Normal 97" xfId="14810"/>
    <cellStyle name="Normal 98" xfId="14811"/>
    <cellStyle name="Normal 99" xfId="14812"/>
    <cellStyle name="Normal_TAPAS" xfId="36"/>
    <cellStyle name="NormalAlignementDroite" xfId="53519"/>
    <cellStyle name="NormalAlignementDroite 2" xfId="53520"/>
    <cellStyle name="Normale 2" xfId="53521"/>
    <cellStyle name="Normale_CAL-GARA" xfId="53522"/>
    <cellStyle name="Normalny 2" xfId="14813"/>
    <cellStyle name="Normalny 3" xfId="14814"/>
    <cellStyle name="Normalny_Arkusz1" xfId="37"/>
    <cellStyle name="Nota" xfId="14815"/>
    <cellStyle name="Nota 10" xfId="14816"/>
    <cellStyle name="Nota 10 2" xfId="14817"/>
    <cellStyle name="Nota 10 2 2" xfId="14818"/>
    <cellStyle name="Nota 10 2 3" xfId="14819"/>
    <cellStyle name="Nota 10 2 4" xfId="14820"/>
    <cellStyle name="Nota 10 3" xfId="14821"/>
    <cellStyle name="Nota 10 3 2" xfId="14822"/>
    <cellStyle name="Nota 10 3 3" xfId="14823"/>
    <cellStyle name="Nota 10 3 4" xfId="14824"/>
    <cellStyle name="Nota 10 4" xfId="14825"/>
    <cellStyle name="Nota 10 4 2" xfId="14826"/>
    <cellStyle name="Nota 10 4 3" xfId="14827"/>
    <cellStyle name="Nota 10 4 4" xfId="14828"/>
    <cellStyle name="Nota 10 5" xfId="14829"/>
    <cellStyle name="Nota 10 6" xfId="14830"/>
    <cellStyle name="Nota 10 7" xfId="14831"/>
    <cellStyle name="Nota 10 8" xfId="14832"/>
    <cellStyle name="Nota 11" xfId="14833"/>
    <cellStyle name="Nota 11 2" xfId="14834"/>
    <cellStyle name="Nota 11 3" xfId="14835"/>
    <cellStyle name="Nota 11 4" xfId="14836"/>
    <cellStyle name="Nota 12" xfId="14837"/>
    <cellStyle name="Nota 12 2" xfId="14838"/>
    <cellStyle name="Nota 12 3" xfId="14839"/>
    <cellStyle name="Nota 12 4" xfId="14840"/>
    <cellStyle name="Nota 13" xfId="14841"/>
    <cellStyle name="Nota 14" xfId="14842"/>
    <cellStyle name="Nota 2" xfId="14843"/>
    <cellStyle name="Nota 2 10" xfId="14844"/>
    <cellStyle name="Nota 2 10 2" xfId="14845"/>
    <cellStyle name="Nota 2 10 3" xfId="14846"/>
    <cellStyle name="Nota 2 10 4" xfId="14847"/>
    <cellStyle name="Nota 2 11" xfId="14848"/>
    <cellStyle name="Nota 2 11 2" xfId="14849"/>
    <cellStyle name="Nota 2 11 3" xfId="14850"/>
    <cellStyle name="Nota 2 11 4" xfId="14851"/>
    <cellStyle name="Nota 2 12" xfId="14852"/>
    <cellStyle name="Nota 2 13" xfId="14853"/>
    <cellStyle name="Nota 2 2" xfId="14854"/>
    <cellStyle name="Nota 2 2 10" xfId="14855"/>
    <cellStyle name="Nota 2 2 11" xfId="14856"/>
    <cellStyle name="Nota 2 2 2" xfId="14857"/>
    <cellStyle name="Nota 2 2 2 2" xfId="14858"/>
    <cellStyle name="Nota 2 2 2 2 2" xfId="14859"/>
    <cellStyle name="Nota 2 2 2 2 2 2" xfId="14860"/>
    <cellStyle name="Nota 2 2 2 2 2 3" xfId="14861"/>
    <cellStyle name="Nota 2 2 2 2 2 4" xfId="14862"/>
    <cellStyle name="Nota 2 2 2 2 3" xfId="14863"/>
    <cellStyle name="Nota 2 2 2 2 3 2" xfId="14864"/>
    <cellStyle name="Nota 2 2 2 2 3 3" xfId="14865"/>
    <cellStyle name="Nota 2 2 2 2 3 4" xfId="14866"/>
    <cellStyle name="Nota 2 2 2 2 4" xfId="14867"/>
    <cellStyle name="Nota 2 2 2 2 4 2" xfId="14868"/>
    <cellStyle name="Nota 2 2 2 2 4 3" xfId="14869"/>
    <cellStyle name="Nota 2 2 2 2 4 4" xfId="14870"/>
    <cellStyle name="Nota 2 2 2 2 5" xfId="14871"/>
    <cellStyle name="Nota 2 2 2 2 6" xfId="14872"/>
    <cellStyle name="Nota 2 2 2 2 7" xfId="14873"/>
    <cellStyle name="Nota 2 2 2 2 8" xfId="14874"/>
    <cellStyle name="Nota 2 2 2 3" xfId="14875"/>
    <cellStyle name="Nota 2 2 2 3 2" xfId="14876"/>
    <cellStyle name="Nota 2 2 2 3 2 2" xfId="14877"/>
    <cellStyle name="Nota 2 2 2 3 2 3" xfId="14878"/>
    <cellStyle name="Nota 2 2 2 3 2 4" xfId="14879"/>
    <cellStyle name="Nota 2 2 2 3 3" xfId="14880"/>
    <cellStyle name="Nota 2 2 2 3 3 2" xfId="14881"/>
    <cellStyle name="Nota 2 2 2 3 3 3" xfId="14882"/>
    <cellStyle name="Nota 2 2 2 3 3 4" xfId="14883"/>
    <cellStyle name="Nota 2 2 2 3 4" xfId="14884"/>
    <cellStyle name="Nota 2 2 2 3 4 2" xfId="14885"/>
    <cellStyle name="Nota 2 2 2 3 4 3" xfId="14886"/>
    <cellStyle name="Nota 2 2 2 3 4 4" xfId="14887"/>
    <cellStyle name="Nota 2 2 2 3 5" xfId="14888"/>
    <cellStyle name="Nota 2 2 2 3 6" xfId="14889"/>
    <cellStyle name="Nota 2 2 2 3 7" xfId="14890"/>
    <cellStyle name="Nota 2 2 2 3 8" xfId="14891"/>
    <cellStyle name="Nota 2 2 2 4" xfId="14892"/>
    <cellStyle name="Nota 2 2 2 4 2" xfId="14893"/>
    <cellStyle name="Nota 2 2 2 4 2 2" xfId="14894"/>
    <cellStyle name="Nota 2 2 2 4 2 3" xfId="14895"/>
    <cellStyle name="Nota 2 2 2 4 2 4" xfId="14896"/>
    <cellStyle name="Nota 2 2 2 4 3" xfId="14897"/>
    <cellStyle name="Nota 2 2 2 4 3 2" xfId="14898"/>
    <cellStyle name="Nota 2 2 2 4 3 3" xfId="14899"/>
    <cellStyle name="Nota 2 2 2 4 3 4" xfId="14900"/>
    <cellStyle name="Nota 2 2 2 4 4" xfId="14901"/>
    <cellStyle name="Nota 2 2 2 4 4 2" xfId="14902"/>
    <cellStyle name="Nota 2 2 2 4 4 3" xfId="14903"/>
    <cellStyle name="Nota 2 2 2 4 4 4" xfId="14904"/>
    <cellStyle name="Nota 2 2 2 4 5" xfId="14905"/>
    <cellStyle name="Nota 2 2 2 4 6" xfId="14906"/>
    <cellStyle name="Nota 2 2 2 4 7" xfId="14907"/>
    <cellStyle name="Nota 2 2 2 4 8" xfId="14908"/>
    <cellStyle name="Nota 2 2 2 5" xfId="14909"/>
    <cellStyle name="Nota 2 2 2 5 2" xfId="14910"/>
    <cellStyle name="Nota 2 2 2 5 2 2" xfId="14911"/>
    <cellStyle name="Nota 2 2 2 5 2 3" xfId="14912"/>
    <cellStyle name="Nota 2 2 2 5 2 4" xfId="14913"/>
    <cellStyle name="Nota 2 2 2 5 3" xfId="14914"/>
    <cellStyle name="Nota 2 2 2 5 3 2" xfId="14915"/>
    <cellStyle name="Nota 2 2 2 5 3 3" xfId="14916"/>
    <cellStyle name="Nota 2 2 2 5 3 4" xfId="14917"/>
    <cellStyle name="Nota 2 2 2 5 4" xfId="14918"/>
    <cellStyle name="Nota 2 2 2 5 4 2" xfId="14919"/>
    <cellStyle name="Nota 2 2 2 5 4 3" xfId="14920"/>
    <cellStyle name="Nota 2 2 2 5 4 4" xfId="14921"/>
    <cellStyle name="Nota 2 2 2 5 5" xfId="14922"/>
    <cellStyle name="Nota 2 2 2 5 6" xfId="14923"/>
    <cellStyle name="Nota 2 2 2 5 7" xfId="14924"/>
    <cellStyle name="Nota 2 2 2 5 8" xfId="14925"/>
    <cellStyle name="Nota 2 2 2 6" xfId="14926"/>
    <cellStyle name="Nota 2 2 2 6 2" xfId="14927"/>
    <cellStyle name="Nota 2 2 2 6 3" xfId="14928"/>
    <cellStyle name="Nota 2 2 2 6 4" xfId="14929"/>
    <cellStyle name="Nota 2 2 2 7" xfId="14930"/>
    <cellStyle name="Nota 2 2 2 7 2" xfId="14931"/>
    <cellStyle name="Nota 2 2 2 7 3" xfId="14932"/>
    <cellStyle name="Nota 2 2 2 7 4" xfId="14933"/>
    <cellStyle name="Nota 2 2 2 8" xfId="14934"/>
    <cellStyle name="Nota 2 2 2 9" xfId="14935"/>
    <cellStyle name="Nota 2 2 3" xfId="14936"/>
    <cellStyle name="Nota 2 2 3 2" xfId="14937"/>
    <cellStyle name="Nota 2 2 3 2 2" xfId="14938"/>
    <cellStyle name="Nota 2 2 3 2 3" xfId="14939"/>
    <cellStyle name="Nota 2 2 3 2 4" xfId="14940"/>
    <cellStyle name="Nota 2 2 3 3" xfId="14941"/>
    <cellStyle name="Nota 2 2 3 3 2" xfId="14942"/>
    <cellStyle name="Nota 2 2 3 3 3" xfId="14943"/>
    <cellStyle name="Nota 2 2 3 3 4" xfId="14944"/>
    <cellStyle name="Nota 2 2 3 4" xfId="14945"/>
    <cellStyle name="Nota 2 2 3 4 2" xfId="14946"/>
    <cellStyle name="Nota 2 2 3 4 3" xfId="14947"/>
    <cellStyle name="Nota 2 2 3 4 4" xfId="14948"/>
    <cellStyle name="Nota 2 2 3 5" xfId="14949"/>
    <cellStyle name="Nota 2 2 3 6" xfId="14950"/>
    <cellStyle name="Nota 2 2 3 7" xfId="14951"/>
    <cellStyle name="Nota 2 2 3 8" xfId="14952"/>
    <cellStyle name="Nota 2 2 4" xfId="14953"/>
    <cellStyle name="Nota 2 2 4 2" xfId="14954"/>
    <cellStyle name="Nota 2 2 4 2 2" xfId="14955"/>
    <cellStyle name="Nota 2 2 4 2 3" xfId="14956"/>
    <cellStyle name="Nota 2 2 4 2 4" xfId="14957"/>
    <cellStyle name="Nota 2 2 4 3" xfId="14958"/>
    <cellStyle name="Nota 2 2 4 3 2" xfId="14959"/>
    <cellStyle name="Nota 2 2 4 3 3" xfId="14960"/>
    <cellStyle name="Nota 2 2 4 3 4" xfId="14961"/>
    <cellStyle name="Nota 2 2 4 4" xfId="14962"/>
    <cellStyle name="Nota 2 2 4 4 2" xfId="14963"/>
    <cellStyle name="Nota 2 2 4 4 3" xfId="14964"/>
    <cellStyle name="Nota 2 2 4 4 4" xfId="14965"/>
    <cellStyle name="Nota 2 2 4 5" xfId="14966"/>
    <cellStyle name="Nota 2 2 4 6" xfId="14967"/>
    <cellStyle name="Nota 2 2 4 7" xfId="14968"/>
    <cellStyle name="Nota 2 2 4 8" xfId="14969"/>
    <cellStyle name="Nota 2 2 5" xfId="14970"/>
    <cellStyle name="Nota 2 2 5 2" xfId="14971"/>
    <cellStyle name="Nota 2 2 5 2 2" xfId="14972"/>
    <cellStyle name="Nota 2 2 5 2 3" xfId="14973"/>
    <cellStyle name="Nota 2 2 5 2 4" xfId="14974"/>
    <cellStyle name="Nota 2 2 5 3" xfId="14975"/>
    <cellStyle name="Nota 2 2 5 3 2" xfId="14976"/>
    <cellStyle name="Nota 2 2 5 3 3" xfId="14977"/>
    <cellStyle name="Nota 2 2 5 3 4" xfId="14978"/>
    <cellStyle name="Nota 2 2 5 4" xfId="14979"/>
    <cellStyle name="Nota 2 2 5 4 2" xfId="14980"/>
    <cellStyle name="Nota 2 2 5 4 3" xfId="14981"/>
    <cellStyle name="Nota 2 2 5 4 4" xfId="14982"/>
    <cellStyle name="Nota 2 2 5 5" xfId="14983"/>
    <cellStyle name="Nota 2 2 5 6" xfId="14984"/>
    <cellStyle name="Nota 2 2 5 7" xfId="14985"/>
    <cellStyle name="Nota 2 2 5 8" xfId="14986"/>
    <cellStyle name="Nota 2 2 6" xfId="14987"/>
    <cellStyle name="Nota 2 2 6 2" xfId="14988"/>
    <cellStyle name="Nota 2 2 6 2 2" xfId="14989"/>
    <cellStyle name="Nota 2 2 6 2 3" xfId="14990"/>
    <cellStyle name="Nota 2 2 6 2 4" xfId="14991"/>
    <cellStyle name="Nota 2 2 6 3" xfId="14992"/>
    <cellStyle name="Nota 2 2 6 3 2" xfId="14993"/>
    <cellStyle name="Nota 2 2 6 3 3" xfId="14994"/>
    <cellStyle name="Nota 2 2 6 3 4" xfId="14995"/>
    <cellStyle name="Nota 2 2 6 4" xfId="14996"/>
    <cellStyle name="Nota 2 2 6 4 2" xfId="14997"/>
    <cellStyle name="Nota 2 2 6 4 3" xfId="14998"/>
    <cellStyle name="Nota 2 2 6 4 4" xfId="14999"/>
    <cellStyle name="Nota 2 2 6 5" xfId="15000"/>
    <cellStyle name="Nota 2 2 6 6" xfId="15001"/>
    <cellStyle name="Nota 2 2 6 7" xfId="15002"/>
    <cellStyle name="Nota 2 2 6 8" xfId="15003"/>
    <cellStyle name="Nota 2 2 7" xfId="15004"/>
    <cellStyle name="Nota 2 2 7 2" xfId="15005"/>
    <cellStyle name="Nota 2 2 7 2 2" xfId="15006"/>
    <cellStyle name="Nota 2 2 7 2 3" xfId="15007"/>
    <cellStyle name="Nota 2 2 7 2 4" xfId="15008"/>
    <cellStyle name="Nota 2 2 7 3" xfId="15009"/>
    <cellStyle name="Nota 2 2 7 3 2" xfId="15010"/>
    <cellStyle name="Nota 2 2 7 3 3" xfId="15011"/>
    <cellStyle name="Nota 2 2 7 3 4" xfId="15012"/>
    <cellStyle name="Nota 2 2 7 4" xfId="15013"/>
    <cellStyle name="Nota 2 2 7 4 2" xfId="15014"/>
    <cellStyle name="Nota 2 2 7 4 3" xfId="15015"/>
    <cellStyle name="Nota 2 2 7 4 4" xfId="15016"/>
    <cellStyle name="Nota 2 2 7 5" xfId="15017"/>
    <cellStyle name="Nota 2 2 7 6" xfId="15018"/>
    <cellStyle name="Nota 2 2 7 7" xfId="15019"/>
    <cellStyle name="Nota 2 2 7 8" xfId="15020"/>
    <cellStyle name="Nota 2 2 8" xfId="15021"/>
    <cellStyle name="Nota 2 2 8 2" xfId="15022"/>
    <cellStyle name="Nota 2 2 8 3" xfId="15023"/>
    <cellStyle name="Nota 2 2 8 4" xfId="15024"/>
    <cellStyle name="Nota 2 2 9" xfId="15025"/>
    <cellStyle name="Nota 2 2 9 2" xfId="15026"/>
    <cellStyle name="Nota 2 2 9 3" xfId="15027"/>
    <cellStyle name="Nota 2 2 9 4" xfId="15028"/>
    <cellStyle name="Nota 2 3" xfId="15029"/>
    <cellStyle name="Nota 2 3 10" xfId="15030"/>
    <cellStyle name="Nota 2 3 11" xfId="15031"/>
    <cellStyle name="Nota 2 3 2" xfId="15032"/>
    <cellStyle name="Nota 2 3 2 2" xfId="15033"/>
    <cellStyle name="Nota 2 3 2 2 2" xfId="15034"/>
    <cellStyle name="Nota 2 3 2 2 2 2" xfId="15035"/>
    <cellStyle name="Nota 2 3 2 2 2 3" xfId="15036"/>
    <cellStyle name="Nota 2 3 2 2 2 4" xfId="15037"/>
    <cellStyle name="Nota 2 3 2 2 3" xfId="15038"/>
    <cellStyle name="Nota 2 3 2 2 3 2" xfId="15039"/>
    <cellStyle name="Nota 2 3 2 2 3 3" xfId="15040"/>
    <cellStyle name="Nota 2 3 2 2 3 4" xfId="15041"/>
    <cellStyle name="Nota 2 3 2 2 4" xfId="15042"/>
    <cellStyle name="Nota 2 3 2 2 4 2" xfId="15043"/>
    <cellStyle name="Nota 2 3 2 2 4 3" xfId="15044"/>
    <cellStyle name="Nota 2 3 2 2 4 4" xfId="15045"/>
    <cellStyle name="Nota 2 3 2 2 5" xfId="15046"/>
    <cellStyle name="Nota 2 3 2 2 6" xfId="15047"/>
    <cellStyle name="Nota 2 3 2 2 7" xfId="15048"/>
    <cellStyle name="Nota 2 3 2 2 8" xfId="15049"/>
    <cellStyle name="Nota 2 3 2 3" xfId="15050"/>
    <cellStyle name="Nota 2 3 2 3 2" xfId="15051"/>
    <cellStyle name="Nota 2 3 2 3 2 2" xfId="15052"/>
    <cellStyle name="Nota 2 3 2 3 2 3" xfId="15053"/>
    <cellStyle name="Nota 2 3 2 3 2 4" xfId="15054"/>
    <cellStyle name="Nota 2 3 2 3 3" xfId="15055"/>
    <cellStyle name="Nota 2 3 2 3 3 2" xfId="15056"/>
    <cellStyle name="Nota 2 3 2 3 3 3" xfId="15057"/>
    <cellStyle name="Nota 2 3 2 3 3 4" xfId="15058"/>
    <cellStyle name="Nota 2 3 2 3 4" xfId="15059"/>
    <cellStyle name="Nota 2 3 2 3 4 2" xfId="15060"/>
    <cellStyle name="Nota 2 3 2 3 4 3" xfId="15061"/>
    <cellStyle name="Nota 2 3 2 3 4 4" xfId="15062"/>
    <cellStyle name="Nota 2 3 2 3 5" xfId="15063"/>
    <cellStyle name="Nota 2 3 2 3 6" xfId="15064"/>
    <cellStyle name="Nota 2 3 2 3 7" xfId="15065"/>
    <cellStyle name="Nota 2 3 2 3 8" xfId="15066"/>
    <cellStyle name="Nota 2 3 2 4" xfId="15067"/>
    <cellStyle name="Nota 2 3 2 4 2" xfId="15068"/>
    <cellStyle name="Nota 2 3 2 4 2 2" xfId="15069"/>
    <cellStyle name="Nota 2 3 2 4 2 3" xfId="15070"/>
    <cellStyle name="Nota 2 3 2 4 2 4" xfId="15071"/>
    <cellStyle name="Nota 2 3 2 4 3" xfId="15072"/>
    <cellStyle name="Nota 2 3 2 4 3 2" xfId="15073"/>
    <cellStyle name="Nota 2 3 2 4 3 3" xfId="15074"/>
    <cellStyle name="Nota 2 3 2 4 3 4" xfId="15075"/>
    <cellStyle name="Nota 2 3 2 4 4" xfId="15076"/>
    <cellStyle name="Nota 2 3 2 4 4 2" xfId="15077"/>
    <cellStyle name="Nota 2 3 2 4 4 3" xfId="15078"/>
    <cellStyle name="Nota 2 3 2 4 4 4" xfId="15079"/>
    <cellStyle name="Nota 2 3 2 4 5" xfId="15080"/>
    <cellStyle name="Nota 2 3 2 4 6" xfId="15081"/>
    <cellStyle name="Nota 2 3 2 4 7" xfId="15082"/>
    <cellStyle name="Nota 2 3 2 4 8" xfId="15083"/>
    <cellStyle name="Nota 2 3 2 5" xfId="15084"/>
    <cellStyle name="Nota 2 3 2 5 2" xfId="15085"/>
    <cellStyle name="Nota 2 3 2 5 2 2" xfId="15086"/>
    <cellStyle name="Nota 2 3 2 5 2 3" xfId="15087"/>
    <cellStyle name="Nota 2 3 2 5 2 4" xfId="15088"/>
    <cellStyle name="Nota 2 3 2 5 3" xfId="15089"/>
    <cellStyle name="Nota 2 3 2 5 3 2" xfId="15090"/>
    <cellStyle name="Nota 2 3 2 5 3 3" xfId="15091"/>
    <cellStyle name="Nota 2 3 2 5 3 4" xfId="15092"/>
    <cellStyle name="Nota 2 3 2 5 4" xfId="15093"/>
    <cellStyle name="Nota 2 3 2 5 4 2" xfId="15094"/>
    <cellStyle name="Nota 2 3 2 5 4 3" xfId="15095"/>
    <cellStyle name="Nota 2 3 2 5 4 4" xfId="15096"/>
    <cellStyle name="Nota 2 3 2 5 5" xfId="15097"/>
    <cellStyle name="Nota 2 3 2 5 6" xfId="15098"/>
    <cellStyle name="Nota 2 3 2 5 7" xfId="15099"/>
    <cellStyle name="Nota 2 3 2 5 8" xfId="15100"/>
    <cellStyle name="Nota 2 3 2 6" xfId="15101"/>
    <cellStyle name="Nota 2 3 2 6 2" xfId="15102"/>
    <cellStyle name="Nota 2 3 2 6 3" xfId="15103"/>
    <cellStyle name="Nota 2 3 2 6 4" xfId="15104"/>
    <cellStyle name="Nota 2 3 2 7" xfId="15105"/>
    <cellStyle name="Nota 2 3 2 7 2" xfId="15106"/>
    <cellStyle name="Nota 2 3 2 7 3" xfId="15107"/>
    <cellStyle name="Nota 2 3 2 7 4" xfId="15108"/>
    <cellStyle name="Nota 2 3 2 8" xfId="15109"/>
    <cellStyle name="Nota 2 3 2 9" xfId="15110"/>
    <cellStyle name="Nota 2 3 3" xfId="15111"/>
    <cellStyle name="Nota 2 3 3 2" xfId="15112"/>
    <cellStyle name="Nota 2 3 3 2 2" xfId="15113"/>
    <cellStyle name="Nota 2 3 3 2 3" xfId="15114"/>
    <cellStyle name="Nota 2 3 3 2 4" xfId="15115"/>
    <cellStyle name="Nota 2 3 3 3" xfId="15116"/>
    <cellStyle name="Nota 2 3 3 3 2" xfId="15117"/>
    <cellStyle name="Nota 2 3 3 3 3" xfId="15118"/>
    <cellStyle name="Nota 2 3 3 3 4" xfId="15119"/>
    <cellStyle name="Nota 2 3 3 4" xfId="15120"/>
    <cellStyle name="Nota 2 3 3 4 2" xfId="15121"/>
    <cellStyle name="Nota 2 3 3 4 3" xfId="15122"/>
    <cellStyle name="Nota 2 3 3 4 4" xfId="15123"/>
    <cellStyle name="Nota 2 3 3 5" xfId="15124"/>
    <cellStyle name="Nota 2 3 3 6" xfId="15125"/>
    <cellStyle name="Nota 2 3 3 7" xfId="15126"/>
    <cellStyle name="Nota 2 3 3 8" xfId="15127"/>
    <cellStyle name="Nota 2 3 4" xfId="15128"/>
    <cellStyle name="Nota 2 3 4 2" xfId="15129"/>
    <cellStyle name="Nota 2 3 4 2 2" xfId="15130"/>
    <cellStyle name="Nota 2 3 4 2 3" xfId="15131"/>
    <cellStyle name="Nota 2 3 4 2 4" xfId="15132"/>
    <cellStyle name="Nota 2 3 4 3" xfId="15133"/>
    <cellStyle name="Nota 2 3 4 3 2" xfId="15134"/>
    <cellStyle name="Nota 2 3 4 3 3" xfId="15135"/>
    <cellStyle name="Nota 2 3 4 3 4" xfId="15136"/>
    <cellStyle name="Nota 2 3 4 4" xfId="15137"/>
    <cellStyle name="Nota 2 3 4 4 2" xfId="15138"/>
    <cellStyle name="Nota 2 3 4 4 3" xfId="15139"/>
    <cellStyle name="Nota 2 3 4 4 4" xfId="15140"/>
    <cellStyle name="Nota 2 3 4 5" xfId="15141"/>
    <cellStyle name="Nota 2 3 4 6" xfId="15142"/>
    <cellStyle name="Nota 2 3 4 7" xfId="15143"/>
    <cellStyle name="Nota 2 3 4 8" xfId="15144"/>
    <cellStyle name="Nota 2 3 5" xfId="15145"/>
    <cellStyle name="Nota 2 3 5 2" xfId="15146"/>
    <cellStyle name="Nota 2 3 5 2 2" xfId="15147"/>
    <cellStyle name="Nota 2 3 5 2 3" xfId="15148"/>
    <cellStyle name="Nota 2 3 5 2 4" xfId="15149"/>
    <cellStyle name="Nota 2 3 5 3" xfId="15150"/>
    <cellStyle name="Nota 2 3 5 3 2" xfId="15151"/>
    <cellStyle name="Nota 2 3 5 3 3" xfId="15152"/>
    <cellStyle name="Nota 2 3 5 3 4" xfId="15153"/>
    <cellStyle name="Nota 2 3 5 4" xfId="15154"/>
    <cellStyle name="Nota 2 3 5 4 2" xfId="15155"/>
    <cellStyle name="Nota 2 3 5 4 3" xfId="15156"/>
    <cellStyle name="Nota 2 3 5 4 4" xfId="15157"/>
    <cellStyle name="Nota 2 3 5 5" xfId="15158"/>
    <cellStyle name="Nota 2 3 5 6" xfId="15159"/>
    <cellStyle name="Nota 2 3 5 7" xfId="15160"/>
    <cellStyle name="Nota 2 3 5 8" xfId="15161"/>
    <cellStyle name="Nota 2 3 6" xfId="15162"/>
    <cellStyle name="Nota 2 3 6 2" xfId="15163"/>
    <cellStyle name="Nota 2 3 6 2 2" xfId="15164"/>
    <cellStyle name="Nota 2 3 6 2 3" xfId="15165"/>
    <cellStyle name="Nota 2 3 6 2 4" xfId="15166"/>
    <cellStyle name="Nota 2 3 6 3" xfId="15167"/>
    <cellStyle name="Nota 2 3 6 3 2" xfId="15168"/>
    <cellStyle name="Nota 2 3 6 3 3" xfId="15169"/>
    <cellStyle name="Nota 2 3 6 3 4" xfId="15170"/>
    <cellStyle name="Nota 2 3 6 4" xfId="15171"/>
    <cellStyle name="Nota 2 3 6 4 2" xfId="15172"/>
    <cellStyle name="Nota 2 3 6 4 3" xfId="15173"/>
    <cellStyle name="Nota 2 3 6 4 4" xfId="15174"/>
    <cellStyle name="Nota 2 3 6 5" xfId="15175"/>
    <cellStyle name="Nota 2 3 6 6" xfId="15176"/>
    <cellStyle name="Nota 2 3 6 7" xfId="15177"/>
    <cellStyle name="Nota 2 3 6 8" xfId="15178"/>
    <cellStyle name="Nota 2 3 7" xfId="15179"/>
    <cellStyle name="Nota 2 3 7 2" xfId="15180"/>
    <cellStyle name="Nota 2 3 7 2 2" xfId="15181"/>
    <cellStyle name="Nota 2 3 7 2 3" xfId="15182"/>
    <cellStyle name="Nota 2 3 7 2 4" xfId="15183"/>
    <cellStyle name="Nota 2 3 7 3" xfId="15184"/>
    <cellStyle name="Nota 2 3 7 3 2" xfId="15185"/>
    <cellStyle name="Nota 2 3 7 3 3" xfId="15186"/>
    <cellStyle name="Nota 2 3 7 3 4" xfId="15187"/>
    <cellStyle name="Nota 2 3 7 4" xfId="15188"/>
    <cellStyle name="Nota 2 3 7 4 2" xfId="15189"/>
    <cellStyle name="Nota 2 3 7 4 3" xfId="15190"/>
    <cellStyle name="Nota 2 3 7 4 4" xfId="15191"/>
    <cellStyle name="Nota 2 3 7 5" xfId="15192"/>
    <cellStyle name="Nota 2 3 7 6" xfId="15193"/>
    <cellStyle name="Nota 2 3 7 7" xfId="15194"/>
    <cellStyle name="Nota 2 3 7 8" xfId="15195"/>
    <cellStyle name="Nota 2 3 8" xfId="15196"/>
    <cellStyle name="Nota 2 3 8 2" xfId="15197"/>
    <cellStyle name="Nota 2 3 8 3" xfId="15198"/>
    <cellStyle name="Nota 2 3 8 4" xfId="15199"/>
    <cellStyle name="Nota 2 3 9" xfId="15200"/>
    <cellStyle name="Nota 2 3 9 2" xfId="15201"/>
    <cellStyle name="Nota 2 3 9 3" xfId="15202"/>
    <cellStyle name="Nota 2 3 9 4" xfId="15203"/>
    <cellStyle name="Nota 2 4" xfId="15204"/>
    <cellStyle name="Nota 2 4 2" xfId="15205"/>
    <cellStyle name="Nota 2 4 2 2" xfId="15206"/>
    <cellStyle name="Nota 2 4 2 2 2" xfId="15207"/>
    <cellStyle name="Nota 2 4 2 2 3" xfId="15208"/>
    <cellStyle name="Nota 2 4 2 2 4" xfId="15209"/>
    <cellStyle name="Nota 2 4 2 3" xfId="15210"/>
    <cellStyle name="Nota 2 4 2 3 2" xfId="15211"/>
    <cellStyle name="Nota 2 4 2 3 3" xfId="15212"/>
    <cellStyle name="Nota 2 4 2 3 4" xfId="15213"/>
    <cellStyle name="Nota 2 4 2 4" xfId="15214"/>
    <cellStyle name="Nota 2 4 2 4 2" xfId="15215"/>
    <cellStyle name="Nota 2 4 2 4 3" xfId="15216"/>
    <cellStyle name="Nota 2 4 2 4 4" xfId="15217"/>
    <cellStyle name="Nota 2 4 2 5" xfId="15218"/>
    <cellStyle name="Nota 2 4 2 6" xfId="15219"/>
    <cellStyle name="Nota 2 4 2 7" xfId="15220"/>
    <cellStyle name="Nota 2 4 2 8" xfId="15221"/>
    <cellStyle name="Nota 2 4 3" xfId="15222"/>
    <cellStyle name="Nota 2 4 3 2" xfId="15223"/>
    <cellStyle name="Nota 2 4 3 2 2" xfId="15224"/>
    <cellStyle name="Nota 2 4 3 2 3" xfId="15225"/>
    <cellStyle name="Nota 2 4 3 2 4" xfId="15226"/>
    <cellStyle name="Nota 2 4 3 3" xfId="15227"/>
    <cellStyle name="Nota 2 4 3 3 2" xfId="15228"/>
    <cellStyle name="Nota 2 4 3 3 3" xfId="15229"/>
    <cellStyle name="Nota 2 4 3 3 4" xfId="15230"/>
    <cellStyle name="Nota 2 4 3 4" xfId="15231"/>
    <cellStyle name="Nota 2 4 3 4 2" xfId="15232"/>
    <cellStyle name="Nota 2 4 3 4 3" xfId="15233"/>
    <cellStyle name="Nota 2 4 3 4 4" xfId="15234"/>
    <cellStyle name="Nota 2 4 3 5" xfId="15235"/>
    <cellStyle name="Nota 2 4 3 6" xfId="15236"/>
    <cellStyle name="Nota 2 4 3 7" xfId="15237"/>
    <cellStyle name="Nota 2 4 3 8" xfId="15238"/>
    <cellStyle name="Nota 2 4 4" xfId="15239"/>
    <cellStyle name="Nota 2 4 4 2" xfId="15240"/>
    <cellStyle name="Nota 2 4 4 2 2" xfId="15241"/>
    <cellStyle name="Nota 2 4 4 2 3" xfId="15242"/>
    <cellStyle name="Nota 2 4 4 2 4" xfId="15243"/>
    <cellStyle name="Nota 2 4 4 3" xfId="15244"/>
    <cellStyle name="Nota 2 4 4 3 2" xfId="15245"/>
    <cellStyle name="Nota 2 4 4 3 3" xfId="15246"/>
    <cellStyle name="Nota 2 4 4 3 4" xfId="15247"/>
    <cellStyle name="Nota 2 4 4 4" xfId="15248"/>
    <cellStyle name="Nota 2 4 4 4 2" xfId="15249"/>
    <cellStyle name="Nota 2 4 4 4 3" xfId="15250"/>
    <cellStyle name="Nota 2 4 4 4 4" xfId="15251"/>
    <cellStyle name="Nota 2 4 4 5" xfId="15252"/>
    <cellStyle name="Nota 2 4 4 6" xfId="15253"/>
    <cellStyle name="Nota 2 4 4 7" xfId="15254"/>
    <cellStyle name="Nota 2 4 4 8" xfId="15255"/>
    <cellStyle name="Nota 2 4 5" xfId="15256"/>
    <cellStyle name="Nota 2 4 5 2" xfId="15257"/>
    <cellStyle name="Nota 2 4 5 2 2" xfId="15258"/>
    <cellStyle name="Nota 2 4 5 2 3" xfId="15259"/>
    <cellStyle name="Nota 2 4 5 2 4" xfId="15260"/>
    <cellStyle name="Nota 2 4 5 3" xfId="15261"/>
    <cellStyle name="Nota 2 4 5 3 2" xfId="15262"/>
    <cellStyle name="Nota 2 4 5 3 3" xfId="15263"/>
    <cellStyle name="Nota 2 4 5 3 4" xfId="15264"/>
    <cellStyle name="Nota 2 4 5 4" xfId="15265"/>
    <cellStyle name="Nota 2 4 5 4 2" xfId="15266"/>
    <cellStyle name="Nota 2 4 5 4 3" xfId="15267"/>
    <cellStyle name="Nota 2 4 5 4 4" xfId="15268"/>
    <cellStyle name="Nota 2 4 5 5" xfId="15269"/>
    <cellStyle name="Nota 2 4 5 6" xfId="15270"/>
    <cellStyle name="Nota 2 4 5 7" xfId="15271"/>
    <cellStyle name="Nota 2 4 5 8" xfId="15272"/>
    <cellStyle name="Nota 2 4 6" xfId="15273"/>
    <cellStyle name="Nota 2 4 6 2" xfId="15274"/>
    <cellStyle name="Nota 2 4 6 3" xfId="15275"/>
    <cellStyle name="Nota 2 4 6 4" xfId="15276"/>
    <cellStyle name="Nota 2 4 7" xfId="15277"/>
    <cellStyle name="Nota 2 4 7 2" xfId="15278"/>
    <cellStyle name="Nota 2 4 7 3" xfId="15279"/>
    <cellStyle name="Nota 2 4 7 4" xfId="15280"/>
    <cellStyle name="Nota 2 4 8" xfId="15281"/>
    <cellStyle name="Nota 2 4 9" xfId="15282"/>
    <cellStyle name="Nota 2 5" xfId="15283"/>
    <cellStyle name="Nota 2 5 2" xfId="15284"/>
    <cellStyle name="Nota 2 5 2 2" xfId="15285"/>
    <cellStyle name="Nota 2 5 2 3" xfId="15286"/>
    <cellStyle name="Nota 2 5 2 4" xfId="15287"/>
    <cellStyle name="Nota 2 5 3" xfId="15288"/>
    <cellStyle name="Nota 2 5 3 2" xfId="15289"/>
    <cellStyle name="Nota 2 5 3 3" xfId="15290"/>
    <cellStyle name="Nota 2 5 3 4" xfId="15291"/>
    <cellStyle name="Nota 2 5 4" xfId="15292"/>
    <cellStyle name="Nota 2 5 4 2" xfId="15293"/>
    <cellStyle name="Nota 2 5 4 3" xfId="15294"/>
    <cellStyle name="Nota 2 5 4 4" xfId="15295"/>
    <cellStyle name="Nota 2 5 5" xfId="15296"/>
    <cellStyle name="Nota 2 5 6" xfId="15297"/>
    <cellStyle name="Nota 2 5 7" xfId="15298"/>
    <cellStyle name="Nota 2 5 8" xfId="15299"/>
    <cellStyle name="Nota 2 6" xfId="15300"/>
    <cellStyle name="Nota 2 6 2" xfId="15301"/>
    <cellStyle name="Nota 2 6 2 2" xfId="15302"/>
    <cellStyle name="Nota 2 6 2 3" xfId="15303"/>
    <cellStyle name="Nota 2 6 2 4" xfId="15304"/>
    <cellStyle name="Nota 2 6 3" xfId="15305"/>
    <cellStyle name="Nota 2 6 3 2" xfId="15306"/>
    <cellStyle name="Nota 2 6 3 3" xfId="15307"/>
    <cellStyle name="Nota 2 6 3 4" xfId="15308"/>
    <cellStyle name="Nota 2 6 4" xfId="15309"/>
    <cellStyle name="Nota 2 6 4 2" xfId="15310"/>
    <cellStyle name="Nota 2 6 4 3" xfId="15311"/>
    <cellStyle name="Nota 2 6 4 4" xfId="15312"/>
    <cellStyle name="Nota 2 6 5" xfId="15313"/>
    <cellStyle name="Nota 2 6 6" xfId="15314"/>
    <cellStyle name="Nota 2 6 7" xfId="15315"/>
    <cellStyle name="Nota 2 6 8" xfId="15316"/>
    <cellStyle name="Nota 2 7" xfId="15317"/>
    <cellStyle name="Nota 2 7 2" xfId="15318"/>
    <cellStyle name="Nota 2 7 2 2" xfId="15319"/>
    <cellStyle name="Nota 2 7 2 3" xfId="15320"/>
    <cellStyle name="Nota 2 7 2 4" xfId="15321"/>
    <cellStyle name="Nota 2 7 3" xfId="15322"/>
    <cellStyle name="Nota 2 7 3 2" xfId="15323"/>
    <cellStyle name="Nota 2 7 3 3" xfId="15324"/>
    <cellStyle name="Nota 2 7 3 4" xfId="15325"/>
    <cellStyle name="Nota 2 7 4" xfId="15326"/>
    <cellStyle name="Nota 2 7 4 2" xfId="15327"/>
    <cellStyle name="Nota 2 7 4 3" xfId="15328"/>
    <cellStyle name="Nota 2 7 4 4" xfId="15329"/>
    <cellStyle name="Nota 2 7 5" xfId="15330"/>
    <cellStyle name="Nota 2 7 6" xfId="15331"/>
    <cellStyle name="Nota 2 7 7" xfId="15332"/>
    <cellStyle name="Nota 2 7 8" xfId="15333"/>
    <cellStyle name="Nota 2 8" xfId="15334"/>
    <cellStyle name="Nota 2 8 2" xfId="15335"/>
    <cellStyle name="Nota 2 8 2 2" xfId="15336"/>
    <cellStyle name="Nota 2 8 2 3" xfId="15337"/>
    <cellStyle name="Nota 2 8 2 4" xfId="15338"/>
    <cellStyle name="Nota 2 8 3" xfId="15339"/>
    <cellStyle name="Nota 2 8 3 2" xfId="15340"/>
    <cellStyle name="Nota 2 8 3 3" xfId="15341"/>
    <cellStyle name="Nota 2 8 3 4" xfId="15342"/>
    <cellStyle name="Nota 2 8 4" xfId="15343"/>
    <cellStyle name="Nota 2 8 4 2" xfId="15344"/>
    <cellStyle name="Nota 2 8 4 3" xfId="15345"/>
    <cellStyle name="Nota 2 8 4 4" xfId="15346"/>
    <cellStyle name="Nota 2 8 5" xfId="15347"/>
    <cellStyle name="Nota 2 8 6" xfId="15348"/>
    <cellStyle name="Nota 2 8 7" xfId="15349"/>
    <cellStyle name="Nota 2 8 8" xfId="15350"/>
    <cellStyle name="Nota 2 9" xfId="15351"/>
    <cellStyle name="Nota 2 9 2" xfId="15352"/>
    <cellStyle name="Nota 2 9 2 2" xfId="15353"/>
    <cellStyle name="Nota 2 9 2 3" xfId="15354"/>
    <cellStyle name="Nota 2 9 2 4" xfId="15355"/>
    <cellStyle name="Nota 2 9 3" xfId="15356"/>
    <cellStyle name="Nota 2 9 3 2" xfId="15357"/>
    <cellStyle name="Nota 2 9 3 3" xfId="15358"/>
    <cellStyle name="Nota 2 9 3 4" xfId="15359"/>
    <cellStyle name="Nota 2 9 4" xfId="15360"/>
    <cellStyle name="Nota 2 9 4 2" xfId="15361"/>
    <cellStyle name="Nota 2 9 4 3" xfId="15362"/>
    <cellStyle name="Nota 2 9 4 4" xfId="15363"/>
    <cellStyle name="Nota 2 9 5" xfId="15364"/>
    <cellStyle name="Nota 2 9 6" xfId="15365"/>
    <cellStyle name="Nota 2 9 7" xfId="15366"/>
    <cellStyle name="Nota 2 9 8" xfId="15367"/>
    <cellStyle name="Nota 3" xfId="15368"/>
    <cellStyle name="Nota 3 10" xfId="15369"/>
    <cellStyle name="Nota 3 11" xfId="15370"/>
    <cellStyle name="Nota 3 2" xfId="15371"/>
    <cellStyle name="Nota 3 2 2" xfId="15372"/>
    <cellStyle name="Nota 3 2 2 2" xfId="15373"/>
    <cellStyle name="Nota 3 2 2 2 2" xfId="15374"/>
    <cellStyle name="Nota 3 2 2 2 3" xfId="15375"/>
    <cellStyle name="Nota 3 2 2 2 4" xfId="15376"/>
    <cellStyle name="Nota 3 2 2 3" xfId="15377"/>
    <cellStyle name="Nota 3 2 2 3 2" xfId="15378"/>
    <cellStyle name="Nota 3 2 2 3 3" xfId="15379"/>
    <cellStyle name="Nota 3 2 2 3 4" xfId="15380"/>
    <cellStyle name="Nota 3 2 2 4" xfId="15381"/>
    <cellStyle name="Nota 3 2 2 4 2" xfId="15382"/>
    <cellStyle name="Nota 3 2 2 4 3" xfId="15383"/>
    <cellStyle name="Nota 3 2 2 4 4" xfId="15384"/>
    <cellStyle name="Nota 3 2 2 5" xfId="15385"/>
    <cellStyle name="Nota 3 2 2 6" xfId="15386"/>
    <cellStyle name="Nota 3 2 2 7" xfId="15387"/>
    <cellStyle name="Nota 3 2 2 8" xfId="15388"/>
    <cellStyle name="Nota 3 2 3" xfId="15389"/>
    <cellStyle name="Nota 3 2 3 2" xfId="15390"/>
    <cellStyle name="Nota 3 2 3 2 2" xfId="15391"/>
    <cellStyle name="Nota 3 2 3 2 3" xfId="15392"/>
    <cellStyle name="Nota 3 2 3 2 4" xfId="15393"/>
    <cellStyle name="Nota 3 2 3 3" xfId="15394"/>
    <cellStyle name="Nota 3 2 3 3 2" xfId="15395"/>
    <cellStyle name="Nota 3 2 3 3 3" xfId="15396"/>
    <cellStyle name="Nota 3 2 3 3 4" xfId="15397"/>
    <cellStyle name="Nota 3 2 3 4" xfId="15398"/>
    <cellStyle name="Nota 3 2 3 4 2" xfId="15399"/>
    <cellStyle name="Nota 3 2 3 4 3" xfId="15400"/>
    <cellStyle name="Nota 3 2 3 4 4" xfId="15401"/>
    <cellStyle name="Nota 3 2 3 5" xfId="15402"/>
    <cellStyle name="Nota 3 2 3 6" xfId="15403"/>
    <cellStyle name="Nota 3 2 3 7" xfId="15404"/>
    <cellStyle name="Nota 3 2 3 8" xfId="15405"/>
    <cellStyle name="Nota 3 2 4" xfId="15406"/>
    <cellStyle name="Nota 3 2 4 2" xfId="15407"/>
    <cellStyle name="Nota 3 2 4 2 2" xfId="15408"/>
    <cellStyle name="Nota 3 2 4 2 3" xfId="15409"/>
    <cellStyle name="Nota 3 2 4 2 4" xfId="15410"/>
    <cellStyle name="Nota 3 2 4 3" xfId="15411"/>
    <cellStyle name="Nota 3 2 4 3 2" xfId="15412"/>
    <cellStyle name="Nota 3 2 4 3 3" xfId="15413"/>
    <cellStyle name="Nota 3 2 4 3 4" xfId="15414"/>
    <cellStyle name="Nota 3 2 4 4" xfId="15415"/>
    <cellStyle name="Nota 3 2 4 4 2" xfId="15416"/>
    <cellStyle name="Nota 3 2 4 4 3" xfId="15417"/>
    <cellStyle name="Nota 3 2 4 4 4" xfId="15418"/>
    <cellStyle name="Nota 3 2 4 5" xfId="15419"/>
    <cellStyle name="Nota 3 2 4 6" xfId="15420"/>
    <cellStyle name="Nota 3 2 4 7" xfId="15421"/>
    <cellStyle name="Nota 3 2 4 8" xfId="15422"/>
    <cellStyle name="Nota 3 2 5" xfId="15423"/>
    <cellStyle name="Nota 3 2 5 2" xfId="15424"/>
    <cellStyle name="Nota 3 2 5 2 2" xfId="15425"/>
    <cellStyle name="Nota 3 2 5 2 3" xfId="15426"/>
    <cellStyle name="Nota 3 2 5 2 4" xfId="15427"/>
    <cellStyle name="Nota 3 2 5 3" xfId="15428"/>
    <cellStyle name="Nota 3 2 5 3 2" xfId="15429"/>
    <cellStyle name="Nota 3 2 5 3 3" xfId="15430"/>
    <cellStyle name="Nota 3 2 5 3 4" xfId="15431"/>
    <cellStyle name="Nota 3 2 5 4" xfId="15432"/>
    <cellStyle name="Nota 3 2 5 4 2" xfId="15433"/>
    <cellStyle name="Nota 3 2 5 4 3" xfId="15434"/>
    <cellStyle name="Nota 3 2 5 4 4" xfId="15435"/>
    <cellStyle name="Nota 3 2 5 5" xfId="15436"/>
    <cellStyle name="Nota 3 2 5 6" xfId="15437"/>
    <cellStyle name="Nota 3 2 5 7" xfId="15438"/>
    <cellStyle name="Nota 3 2 5 8" xfId="15439"/>
    <cellStyle name="Nota 3 2 6" xfId="15440"/>
    <cellStyle name="Nota 3 2 6 2" xfId="15441"/>
    <cellStyle name="Nota 3 2 6 3" xfId="15442"/>
    <cellStyle name="Nota 3 2 6 4" xfId="15443"/>
    <cellStyle name="Nota 3 2 7" xfId="15444"/>
    <cellStyle name="Nota 3 2 7 2" xfId="15445"/>
    <cellStyle name="Nota 3 2 7 3" xfId="15446"/>
    <cellStyle name="Nota 3 2 7 4" xfId="15447"/>
    <cellStyle name="Nota 3 2 8" xfId="15448"/>
    <cellStyle name="Nota 3 2 9" xfId="15449"/>
    <cellStyle name="Nota 3 3" xfId="15450"/>
    <cellStyle name="Nota 3 3 2" xfId="15451"/>
    <cellStyle name="Nota 3 3 2 2" xfId="15452"/>
    <cellStyle name="Nota 3 3 2 3" xfId="15453"/>
    <cellStyle name="Nota 3 3 2 4" xfId="15454"/>
    <cellStyle name="Nota 3 3 3" xfId="15455"/>
    <cellStyle name="Nota 3 3 3 2" xfId="15456"/>
    <cellStyle name="Nota 3 3 3 3" xfId="15457"/>
    <cellStyle name="Nota 3 3 3 4" xfId="15458"/>
    <cellStyle name="Nota 3 3 4" xfId="15459"/>
    <cellStyle name="Nota 3 3 4 2" xfId="15460"/>
    <cellStyle name="Nota 3 3 4 3" xfId="15461"/>
    <cellStyle name="Nota 3 3 4 4" xfId="15462"/>
    <cellStyle name="Nota 3 3 5" xfId="15463"/>
    <cellStyle name="Nota 3 3 6" xfId="15464"/>
    <cellStyle name="Nota 3 3 7" xfId="15465"/>
    <cellStyle name="Nota 3 3 8" xfId="15466"/>
    <cellStyle name="Nota 3 4" xfId="15467"/>
    <cellStyle name="Nota 3 4 2" xfId="15468"/>
    <cellStyle name="Nota 3 4 2 2" xfId="15469"/>
    <cellStyle name="Nota 3 4 2 3" xfId="15470"/>
    <cellStyle name="Nota 3 4 2 4" xfId="15471"/>
    <cellStyle name="Nota 3 4 3" xfId="15472"/>
    <cellStyle name="Nota 3 4 3 2" xfId="15473"/>
    <cellStyle name="Nota 3 4 3 3" xfId="15474"/>
    <cellStyle name="Nota 3 4 3 4" xfId="15475"/>
    <cellStyle name="Nota 3 4 4" xfId="15476"/>
    <cellStyle name="Nota 3 4 4 2" xfId="15477"/>
    <cellStyle name="Nota 3 4 4 3" xfId="15478"/>
    <cellStyle name="Nota 3 4 4 4" xfId="15479"/>
    <cellStyle name="Nota 3 4 5" xfId="15480"/>
    <cellStyle name="Nota 3 4 6" xfId="15481"/>
    <cellStyle name="Nota 3 4 7" xfId="15482"/>
    <cellStyle name="Nota 3 4 8" xfId="15483"/>
    <cellStyle name="Nota 3 5" xfId="15484"/>
    <cellStyle name="Nota 3 5 2" xfId="15485"/>
    <cellStyle name="Nota 3 5 2 2" xfId="15486"/>
    <cellStyle name="Nota 3 5 2 3" xfId="15487"/>
    <cellStyle name="Nota 3 5 2 4" xfId="15488"/>
    <cellStyle name="Nota 3 5 3" xfId="15489"/>
    <cellStyle name="Nota 3 5 3 2" xfId="15490"/>
    <cellStyle name="Nota 3 5 3 3" xfId="15491"/>
    <cellStyle name="Nota 3 5 3 4" xfId="15492"/>
    <cellStyle name="Nota 3 5 4" xfId="15493"/>
    <cellStyle name="Nota 3 5 4 2" xfId="15494"/>
    <cellStyle name="Nota 3 5 4 3" xfId="15495"/>
    <cellStyle name="Nota 3 5 4 4" xfId="15496"/>
    <cellStyle name="Nota 3 5 5" xfId="15497"/>
    <cellStyle name="Nota 3 5 6" xfId="15498"/>
    <cellStyle name="Nota 3 5 7" xfId="15499"/>
    <cellStyle name="Nota 3 5 8" xfId="15500"/>
    <cellStyle name="Nota 3 6" xfId="15501"/>
    <cellStyle name="Nota 3 6 2" xfId="15502"/>
    <cellStyle name="Nota 3 6 2 2" xfId="15503"/>
    <cellStyle name="Nota 3 6 2 3" xfId="15504"/>
    <cellStyle name="Nota 3 6 2 4" xfId="15505"/>
    <cellStyle name="Nota 3 6 3" xfId="15506"/>
    <cellStyle name="Nota 3 6 3 2" xfId="15507"/>
    <cellStyle name="Nota 3 6 3 3" xfId="15508"/>
    <cellStyle name="Nota 3 6 3 4" xfId="15509"/>
    <cellStyle name="Nota 3 6 4" xfId="15510"/>
    <cellStyle name="Nota 3 6 4 2" xfId="15511"/>
    <cellStyle name="Nota 3 6 4 3" xfId="15512"/>
    <cellStyle name="Nota 3 6 4 4" xfId="15513"/>
    <cellStyle name="Nota 3 6 5" xfId="15514"/>
    <cellStyle name="Nota 3 6 6" xfId="15515"/>
    <cellStyle name="Nota 3 6 7" xfId="15516"/>
    <cellStyle name="Nota 3 6 8" xfId="15517"/>
    <cellStyle name="Nota 3 7" xfId="15518"/>
    <cellStyle name="Nota 3 7 2" xfId="15519"/>
    <cellStyle name="Nota 3 7 2 2" xfId="15520"/>
    <cellStyle name="Nota 3 7 2 3" xfId="15521"/>
    <cellStyle name="Nota 3 7 2 4" xfId="15522"/>
    <cellStyle name="Nota 3 7 3" xfId="15523"/>
    <cellStyle name="Nota 3 7 3 2" xfId="15524"/>
    <cellStyle name="Nota 3 7 3 3" xfId="15525"/>
    <cellStyle name="Nota 3 7 3 4" xfId="15526"/>
    <cellStyle name="Nota 3 7 4" xfId="15527"/>
    <cellStyle name="Nota 3 7 4 2" xfId="15528"/>
    <cellStyle name="Nota 3 7 4 3" xfId="15529"/>
    <cellStyle name="Nota 3 7 4 4" xfId="15530"/>
    <cellStyle name="Nota 3 7 5" xfId="15531"/>
    <cellStyle name="Nota 3 7 6" xfId="15532"/>
    <cellStyle name="Nota 3 7 7" xfId="15533"/>
    <cellStyle name="Nota 3 7 8" xfId="15534"/>
    <cellStyle name="Nota 3 8" xfId="15535"/>
    <cellStyle name="Nota 3 8 2" xfId="15536"/>
    <cellStyle name="Nota 3 8 3" xfId="15537"/>
    <cellStyle name="Nota 3 8 4" xfId="15538"/>
    <cellStyle name="Nota 3 9" xfId="15539"/>
    <cellStyle name="Nota 3 9 2" xfId="15540"/>
    <cellStyle name="Nota 3 9 3" xfId="15541"/>
    <cellStyle name="Nota 3 9 4" xfId="15542"/>
    <cellStyle name="Nota 4" xfId="15543"/>
    <cellStyle name="Nota 4 10" xfId="15544"/>
    <cellStyle name="Nota 4 11" xfId="15545"/>
    <cellStyle name="Nota 4 2" xfId="15546"/>
    <cellStyle name="Nota 4 2 2" xfId="15547"/>
    <cellStyle name="Nota 4 2 2 2" xfId="15548"/>
    <cellStyle name="Nota 4 2 2 2 2" xfId="15549"/>
    <cellStyle name="Nota 4 2 2 2 3" xfId="15550"/>
    <cellStyle name="Nota 4 2 2 2 4" xfId="15551"/>
    <cellStyle name="Nota 4 2 2 3" xfId="15552"/>
    <cellStyle name="Nota 4 2 2 3 2" xfId="15553"/>
    <cellStyle name="Nota 4 2 2 3 3" xfId="15554"/>
    <cellStyle name="Nota 4 2 2 3 4" xfId="15555"/>
    <cellStyle name="Nota 4 2 2 4" xfId="15556"/>
    <cellStyle name="Nota 4 2 2 4 2" xfId="15557"/>
    <cellStyle name="Nota 4 2 2 4 3" xfId="15558"/>
    <cellStyle name="Nota 4 2 2 4 4" xfId="15559"/>
    <cellStyle name="Nota 4 2 2 5" xfId="15560"/>
    <cellStyle name="Nota 4 2 2 6" xfId="15561"/>
    <cellStyle name="Nota 4 2 2 7" xfId="15562"/>
    <cellStyle name="Nota 4 2 2 8" xfId="15563"/>
    <cellStyle name="Nota 4 2 3" xfId="15564"/>
    <cellStyle name="Nota 4 2 3 2" xfId="15565"/>
    <cellStyle name="Nota 4 2 3 2 2" xfId="15566"/>
    <cellStyle name="Nota 4 2 3 2 3" xfId="15567"/>
    <cellStyle name="Nota 4 2 3 2 4" xfId="15568"/>
    <cellStyle name="Nota 4 2 3 3" xfId="15569"/>
    <cellStyle name="Nota 4 2 3 3 2" xfId="15570"/>
    <cellStyle name="Nota 4 2 3 3 3" xfId="15571"/>
    <cellStyle name="Nota 4 2 3 3 4" xfId="15572"/>
    <cellStyle name="Nota 4 2 3 4" xfId="15573"/>
    <cellStyle name="Nota 4 2 3 4 2" xfId="15574"/>
    <cellStyle name="Nota 4 2 3 4 3" xfId="15575"/>
    <cellStyle name="Nota 4 2 3 4 4" xfId="15576"/>
    <cellStyle name="Nota 4 2 3 5" xfId="15577"/>
    <cellStyle name="Nota 4 2 3 6" xfId="15578"/>
    <cellStyle name="Nota 4 2 3 7" xfId="15579"/>
    <cellStyle name="Nota 4 2 3 8" xfId="15580"/>
    <cellStyle name="Nota 4 2 4" xfId="15581"/>
    <cellStyle name="Nota 4 2 4 2" xfId="15582"/>
    <cellStyle name="Nota 4 2 4 2 2" xfId="15583"/>
    <cellStyle name="Nota 4 2 4 2 3" xfId="15584"/>
    <cellStyle name="Nota 4 2 4 2 4" xfId="15585"/>
    <cellStyle name="Nota 4 2 4 3" xfId="15586"/>
    <cellStyle name="Nota 4 2 4 3 2" xfId="15587"/>
    <cellStyle name="Nota 4 2 4 3 3" xfId="15588"/>
    <cellStyle name="Nota 4 2 4 3 4" xfId="15589"/>
    <cellStyle name="Nota 4 2 4 4" xfId="15590"/>
    <cellStyle name="Nota 4 2 4 4 2" xfId="15591"/>
    <cellStyle name="Nota 4 2 4 4 3" xfId="15592"/>
    <cellStyle name="Nota 4 2 4 4 4" xfId="15593"/>
    <cellStyle name="Nota 4 2 4 5" xfId="15594"/>
    <cellStyle name="Nota 4 2 4 6" xfId="15595"/>
    <cellStyle name="Nota 4 2 4 7" xfId="15596"/>
    <cellStyle name="Nota 4 2 4 8" xfId="15597"/>
    <cellStyle name="Nota 4 2 5" xfId="15598"/>
    <cellStyle name="Nota 4 2 5 2" xfId="15599"/>
    <cellStyle name="Nota 4 2 5 2 2" xfId="15600"/>
    <cellStyle name="Nota 4 2 5 2 3" xfId="15601"/>
    <cellStyle name="Nota 4 2 5 2 4" xfId="15602"/>
    <cellStyle name="Nota 4 2 5 3" xfId="15603"/>
    <cellStyle name="Nota 4 2 5 3 2" xfId="15604"/>
    <cellStyle name="Nota 4 2 5 3 3" xfId="15605"/>
    <cellStyle name="Nota 4 2 5 3 4" xfId="15606"/>
    <cellStyle name="Nota 4 2 5 4" xfId="15607"/>
    <cellStyle name="Nota 4 2 5 4 2" xfId="15608"/>
    <cellStyle name="Nota 4 2 5 4 3" xfId="15609"/>
    <cellStyle name="Nota 4 2 5 4 4" xfId="15610"/>
    <cellStyle name="Nota 4 2 5 5" xfId="15611"/>
    <cellStyle name="Nota 4 2 5 6" xfId="15612"/>
    <cellStyle name="Nota 4 2 5 7" xfId="15613"/>
    <cellStyle name="Nota 4 2 5 8" xfId="15614"/>
    <cellStyle name="Nota 4 2 6" xfId="15615"/>
    <cellStyle name="Nota 4 2 6 2" xfId="15616"/>
    <cellStyle name="Nota 4 2 6 3" xfId="15617"/>
    <cellStyle name="Nota 4 2 6 4" xfId="15618"/>
    <cellStyle name="Nota 4 2 7" xfId="15619"/>
    <cellStyle name="Nota 4 2 7 2" xfId="15620"/>
    <cellStyle name="Nota 4 2 7 3" xfId="15621"/>
    <cellStyle name="Nota 4 2 7 4" xfId="15622"/>
    <cellStyle name="Nota 4 2 8" xfId="15623"/>
    <cellStyle name="Nota 4 2 9" xfId="15624"/>
    <cellStyle name="Nota 4 3" xfId="15625"/>
    <cellStyle name="Nota 4 3 2" xfId="15626"/>
    <cellStyle name="Nota 4 3 2 2" xfId="15627"/>
    <cellStyle name="Nota 4 3 2 3" xfId="15628"/>
    <cellStyle name="Nota 4 3 2 4" xfId="15629"/>
    <cellStyle name="Nota 4 3 3" xfId="15630"/>
    <cellStyle name="Nota 4 3 3 2" xfId="15631"/>
    <cellStyle name="Nota 4 3 3 3" xfId="15632"/>
    <cellStyle name="Nota 4 3 3 4" xfId="15633"/>
    <cellStyle name="Nota 4 3 4" xfId="15634"/>
    <cellStyle name="Nota 4 3 4 2" xfId="15635"/>
    <cellStyle name="Nota 4 3 4 3" xfId="15636"/>
    <cellStyle name="Nota 4 3 4 4" xfId="15637"/>
    <cellStyle name="Nota 4 3 5" xfId="15638"/>
    <cellStyle name="Nota 4 3 6" xfId="15639"/>
    <cellStyle name="Nota 4 3 7" xfId="15640"/>
    <cellStyle name="Nota 4 3 8" xfId="15641"/>
    <cellStyle name="Nota 4 4" xfId="15642"/>
    <cellStyle name="Nota 4 4 2" xfId="15643"/>
    <cellStyle name="Nota 4 4 2 2" xfId="15644"/>
    <cellStyle name="Nota 4 4 2 3" xfId="15645"/>
    <cellStyle name="Nota 4 4 2 4" xfId="15646"/>
    <cellStyle name="Nota 4 4 3" xfId="15647"/>
    <cellStyle name="Nota 4 4 3 2" xfId="15648"/>
    <cellStyle name="Nota 4 4 3 3" xfId="15649"/>
    <cellStyle name="Nota 4 4 3 4" xfId="15650"/>
    <cellStyle name="Nota 4 4 4" xfId="15651"/>
    <cellStyle name="Nota 4 4 4 2" xfId="15652"/>
    <cellStyle name="Nota 4 4 4 3" xfId="15653"/>
    <cellStyle name="Nota 4 4 4 4" xfId="15654"/>
    <cellStyle name="Nota 4 4 5" xfId="15655"/>
    <cellStyle name="Nota 4 4 6" xfId="15656"/>
    <cellStyle name="Nota 4 4 7" xfId="15657"/>
    <cellStyle name="Nota 4 4 8" xfId="15658"/>
    <cellStyle name="Nota 4 5" xfId="15659"/>
    <cellStyle name="Nota 4 5 2" xfId="15660"/>
    <cellStyle name="Nota 4 5 2 2" xfId="15661"/>
    <cellStyle name="Nota 4 5 2 3" xfId="15662"/>
    <cellStyle name="Nota 4 5 2 4" xfId="15663"/>
    <cellStyle name="Nota 4 5 3" xfId="15664"/>
    <cellStyle name="Nota 4 5 3 2" xfId="15665"/>
    <cellStyle name="Nota 4 5 3 3" xfId="15666"/>
    <cellStyle name="Nota 4 5 3 4" xfId="15667"/>
    <cellStyle name="Nota 4 5 4" xfId="15668"/>
    <cellStyle name="Nota 4 5 4 2" xfId="15669"/>
    <cellStyle name="Nota 4 5 4 3" xfId="15670"/>
    <cellStyle name="Nota 4 5 4 4" xfId="15671"/>
    <cellStyle name="Nota 4 5 5" xfId="15672"/>
    <cellStyle name="Nota 4 5 6" xfId="15673"/>
    <cellStyle name="Nota 4 5 7" xfId="15674"/>
    <cellStyle name="Nota 4 5 8" xfId="15675"/>
    <cellStyle name="Nota 4 6" xfId="15676"/>
    <cellStyle name="Nota 4 6 2" xfId="15677"/>
    <cellStyle name="Nota 4 6 2 2" xfId="15678"/>
    <cellStyle name="Nota 4 6 2 3" xfId="15679"/>
    <cellStyle name="Nota 4 6 2 4" xfId="15680"/>
    <cellStyle name="Nota 4 6 3" xfId="15681"/>
    <cellStyle name="Nota 4 6 3 2" xfId="15682"/>
    <cellStyle name="Nota 4 6 3 3" xfId="15683"/>
    <cellStyle name="Nota 4 6 3 4" xfId="15684"/>
    <cellStyle name="Nota 4 6 4" xfId="15685"/>
    <cellStyle name="Nota 4 6 4 2" xfId="15686"/>
    <cellStyle name="Nota 4 6 4 3" xfId="15687"/>
    <cellStyle name="Nota 4 6 4 4" xfId="15688"/>
    <cellStyle name="Nota 4 6 5" xfId="15689"/>
    <cellStyle name="Nota 4 6 6" xfId="15690"/>
    <cellStyle name="Nota 4 6 7" xfId="15691"/>
    <cellStyle name="Nota 4 6 8" xfId="15692"/>
    <cellStyle name="Nota 4 7" xfId="15693"/>
    <cellStyle name="Nota 4 7 2" xfId="15694"/>
    <cellStyle name="Nota 4 7 2 2" xfId="15695"/>
    <cellStyle name="Nota 4 7 2 3" xfId="15696"/>
    <cellStyle name="Nota 4 7 2 4" xfId="15697"/>
    <cellStyle name="Nota 4 7 3" xfId="15698"/>
    <cellStyle name="Nota 4 7 3 2" xfId="15699"/>
    <cellStyle name="Nota 4 7 3 3" xfId="15700"/>
    <cellStyle name="Nota 4 7 3 4" xfId="15701"/>
    <cellStyle name="Nota 4 7 4" xfId="15702"/>
    <cellStyle name="Nota 4 7 4 2" xfId="15703"/>
    <cellStyle name="Nota 4 7 4 3" xfId="15704"/>
    <cellStyle name="Nota 4 7 4 4" xfId="15705"/>
    <cellStyle name="Nota 4 7 5" xfId="15706"/>
    <cellStyle name="Nota 4 7 6" xfId="15707"/>
    <cellStyle name="Nota 4 7 7" xfId="15708"/>
    <cellStyle name="Nota 4 7 8" xfId="15709"/>
    <cellStyle name="Nota 4 8" xfId="15710"/>
    <cellStyle name="Nota 4 8 2" xfId="15711"/>
    <cellStyle name="Nota 4 8 3" xfId="15712"/>
    <cellStyle name="Nota 4 8 4" xfId="15713"/>
    <cellStyle name="Nota 4 9" xfId="15714"/>
    <cellStyle name="Nota 4 9 2" xfId="15715"/>
    <cellStyle name="Nota 4 9 3" xfId="15716"/>
    <cellStyle name="Nota 4 9 4" xfId="15717"/>
    <cellStyle name="Nota 5" xfId="15718"/>
    <cellStyle name="Nota 5 2" xfId="15719"/>
    <cellStyle name="Nota 5 2 2" xfId="15720"/>
    <cellStyle name="Nota 5 2 2 2" xfId="15721"/>
    <cellStyle name="Nota 5 2 2 3" xfId="15722"/>
    <cellStyle name="Nota 5 2 2 4" xfId="15723"/>
    <cellStyle name="Nota 5 2 3" xfId="15724"/>
    <cellStyle name="Nota 5 2 3 2" xfId="15725"/>
    <cellStyle name="Nota 5 2 3 3" xfId="15726"/>
    <cellStyle name="Nota 5 2 3 4" xfId="15727"/>
    <cellStyle name="Nota 5 2 4" xfId="15728"/>
    <cellStyle name="Nota 5 2 4 2" xfId="15729"/>
    <cellStyle name="Nota 5 2 4 3" xfId="15730"/>
    <cellStyle name="Nota 5 2 4 4" xfId="15731"/>
    <cellStyle name="Nota 5 2 5" xfId="15732"/>
    <cellStyle name="Nota 5 2 6" xfId="15733"/>
    <cellStyle name="Nota 5 2 7" xfId="15734"/>
    <cellStyle name="Nota 5 2 8" xfId="15735"/>
    <cellStyle name="Nota 5 3" xfId="15736"/>
    <cellStyle name="Nota 5 3 2" xfId="15737"/>
    <cellStyle name="Nota 5 3 2 2" xfId="15738"/>
    <cellStyle name="Nota 5 3 2 3" xfId="15739"/>
    <cellStyle name="Nota 5 3 2 4" xfId="15740"/>
    <cellStyle name="Nota 5 3 3" xfId="15741"/>
    <cellStyle name="Nota 5 3 3 2" xfId="15742"/>
    <cellStyle name="Nota 5 3 3 3" xfId="15743"/>
    <cellStyle name="Nota 5 3 3 4" xfId="15744"/>
    <cellStyle name="Nota 5 3 4" xfId="15745"/>
    <cellStyle name="Nota 5 3 4 2" xfId="15746"/>
    <cellStyle name="Nota 5 3 4 3" xfId="15747"/>
    <cellStyle name="Nota 5 3 4 4" xfId="15748"/>
    <cellStyle name="Nota 5 3 5" xfId="15749"/>
    <cellStyle name="Nota 5 3 6" xfId="15750"/>
    <cellStyle name="Nota 5 3 7" xfId="15751"/>
    <cellStyle name="Nota 5 3 8" xfId="15752"/>
    <cellStyle name="Nota 5 4" xfId="15753"/>
    <cellStyle name="Nota 5 4 2" xfId="15754"/>
    <cellStyle name="Nota 5 4 2 2" xfId="15755"/>
    <cellStyle name="Nota 5 4 2 3" xfId="15756"/>
    <cellStyle name="Nota 5 4 2 4" xfId="15757"/>
    <cellStyle name="Nota 5 4 3" xfId="15758"/>
    <cellStyle name="Nota 5 4 3 2" xfId="15759"/>
    <cellStyle name="Nota 5 4 3 3" xfId="15760"/>
    <cellStyle name="Nota 5 4 3 4" xfId="15761"/>
    <cellStyle name="Nota 5 4 4" xfId="15762"/>
    <cellStyle name="Nota 5 4 4 2" xfId="15763"/>
    <cellStyle name="Nota 5 4 4 3" xfId="15764"/>
    <cellStyle name="Nota 5 4 4 4" xfId="15765"/>
    <cellStyle name="Nota 5 4 5" xfId="15766"/>
    <cellStyle name="Nota 5 4 6" xfId="15767"/>
    <cellStyle name="Nota 5 4 7" xfId="15768"/>
    <cellStyle name="Nota 5 4 8" xfId="15769"/>
    <cellStyle name="Nota 5 5" xfId="15770"/>
    <cellStyle name="Nota 5 5 2" xfId="15771"/>
    <cellStyle name="Nota 5 5 2 2" xfId="15772"/>
    <cellStyle name="Nota 5 5 2 3" xfId="15773"/>
    <cellStyle name="Nota 5 5 2 4" xfId="15774"/>
    <cellStyle name="Nota 5 5 3" xfId="15775"/>
    <cellStyle name="Nota 5 5 3 2" xfId="15776"/>
    <cellStyle name="Nota 5 5 3 3" xfId="15777"/>
    <cellStyle name="Nota 5 5 3 4" xfId="15778"/>
    <cellStyle name="Nota 5 5 4" xfId="15779"/>
    <cellStyle name="Nota 5 5 4 2" xfId="15780"/>
    <cellStyle name="Nota 5 5 4 3" xfId="15781"/>
    <cellStyle name="Nota 5 5 4 4" xfId="15782"/>
    <cellStyle name="Nota 5 5 5" xfId="15783"/>
    <cellStyle name="Nota 5 5 6" xfId="15784"/>
    <cellStyle name="Nota 5 5 7" xfId="15785"/>
    <cellStyle name="Nota 5 5 8" xfId="15786"/>
    <cellStyle name="Nota 5 6" xfId="15787"/>
    <cellStyle name="Nota 5 6 2" xfId="15788"/>
    <cellStyle name="Nota 5 6 3" xfId="15789"/>
    <cellStyle name="Nota 5 6 4" xfId="15790"/>
    <cellStyle name="Nota 5 7" xfId="15791"/>
    <cellStyle name="Nota 5 7 2" xfId="15792"/>
    <cellStyle name="Nota 5 7 3" xfId="15793"/>
    <cellStyle name="Nota 5 7 4" xfId="15794"/>
    <cellStyle name="Nota 5 8" xfId="15795"/>
    <cellStyle name="Nota 5 9" xfId="15796"/>
    <cellStyle name="Nota 6" xfId="15797"/>
    <cellStyle name="Nota 6 2" xfId="15798"/>
    <cellStyle name="Nota 6 2 2" xfId="15799"/>
    <cellStyle name="Nota 6 2 3" xfId="15800"/>
    <cellStyle name="Nota 6 2 4" xfId="15801"/>
    <cellStyle name="Nota 6 3" xfId="15802"/>
    <cellStyle name="Nota 6 3 2" xfId="15803"/>
    <cellStyle name="Nota 6 3 3" xfId="15804"/>
    <cellStyle name="Nota 6 3 4" xfId="15805"/>
    <cellStyle name="Nota 6 4" xfId="15806"/>
    <cellStyle name="Nota 6 4 2" xfId="15807"/>
    <cellStyle name="Nota 6 4 3" xfId="15808"/>
    <cellStyle name="Nota 6 4 4" xfId="15809"/>
    <cellStyle name="Nota 6 5" xfId="15810"/>
    <cellStyle name="Nota 6 6" xfId="15811"/>
    <cellStyle name="Nota 6 7" xfId="15812"/>
    <cellStyle name="Nota 6 8" xfId="15813"/>
    <cellStyle name="Nota 7" xfId="15814"/>
    <cellStyle name="Nota 7 2" xfId="15815"/>
    <cellStyle name="Nota 7 2 2" xfId="15816"/>
    <cellStyle name="Nota 7 2 3" xfId="15817"/>
    <cellStyle name="Nota 7 2 4" xfId="15818"/>
    <cellStyle name="Nota 7 3" xfId="15819"/>
    <cellStyle name="Nota 7 3 2" xfId="15820"/>
    <cellStyle name="Nota 7 3 3" xfId="15821"/>
    <cellStyle name="Nota 7 3 4" xfId="15822"/>
    <cellStyle name="Nota 7 4" xfId="15823"/>
    <cellStyle name="Nota 7 4 2" xfId="15824"/>
    <cellStyle name="Nota 7 4 3" xfId="15825"/>
    <cellStyle name="Nota 7 4 4" xfId="15826"/>
    <cellStyle name="Nota 7 5" xfId="15827"/>
    <cellStyle name="Nota 7 6" xfId="15828"/>
    <cellStyle name="Nota 7 7" xfId="15829"/>
    <cellStyle name="Nota 7 8" xfId="15830"/>
    <cellStyle name="Nota 8" xfId="15831"/>
    <cellStyle name="Nota 8 2" xfId="15832"/>
    <cellStyle name="Nota 8 2 2" xfId="15833"/>
    <cellStyle name="Nota 8 2 3" xfId="15834"/>
    <cellStyle name="Nota 8 2 4" xfId="15835"/>
    <cellStyle name="Nota 8 3" xfId="15836"/>
    <cellStyle name="Nota 8 3 2" xfId="15837"/>
    <cellStyle name="Nota 8 3 3" xfId="15838"/>
    <cellStyle name="Nota 8 3 4" xfId="15839"/>
    <cellStyle name="Nota 8 4" xfId="15840"/>
    <cellStyle name="Nota 8 4 2" xfId="15841"/>
    <cellStyle name="Nota 8 4 3" xfId="15842"/>
    <cellStyle name="Nota 8 4 4" xfId="15843"/>
    <cellStyle name="Nota 8 5" xfId="15844"/>
    <cellStyle name="Nota 8 6" xfId="15845"/>
    <cellStyle name="Nota 8 7" xfId="15846"/>
    <cellStyle name="Nota 8 8" xfId="15847"/>
    <cellStyle name="Nota 9" xfId="15848"/>
    <cellStyle name="Nota 9 2" xfId="15849"/>
    <cellStyle name="Nota 9 2 2" xfId="15850"/>
    <cellStyle name="Nota 9 2 3" xfId="15851"/>
    <cellStyle name="Nota 9 2 4" xfId="15852"/>
    <cellStyle name="Nota 9 3" xfId="15853"/>
    <cellStyle name="Nota 9 3 2" xfId="15854"/>
    <cellStyle name="Nota 9 3 3" xfId="15855"/>
    <cellStyle name="Nota 9 3 4" xfId="15856"/>
    <cellStyle name="Nota 9 4" xfId="15857"/>
    <cellStyle name="Nota 9 4 2" xfId="15858"/>
    <cellStyle name="Nota 9 4 3" xfId="15859"/>
    <cellStyle name="Nota 9 4 4" xfId="15860"/>
    <cellStyle name="Nota 9 5" xfId="15861"/>
    <cellStyle name="Nota 9 6" xfId="15862"/>
    <cellStyle name="Nota 9 7" xfId="15863"/>
    <cellStyle name="Nota 9 8" xfId="15864"/>
    <cellStyle name="Notas 2" xfId="15865"/>
    <cellStyle name="Notas 2 10" xfId="15866"/>
    <cellStyle name="Notas 2 10 2" xfId="15867"/>
    <cellStyle name="Notas 2 10 2 2" xfId="15868"/>
    <cellStyle name="Notas 2 10 2 3" xfId="15869"/>
    <cellStyle name="Notas 2 10 2 4" xfId="15870"/>
    <cellStyle name="Notas 2 10 3" xfId="15871"/>
    <cellStyle name="Notas 2 10 3 2" xfId="15872"/>
    <cellStyle name="Notas 2 10 3 3" xfId="15873"/>
    <cellStyle name="Notas 2 10 3 4" xfId="15874"/>
    <cellStyle name="Notas 2 10 4" xfId="15875"/>
    <cellStyle name="Notas 2 10 4 2" xfId="15876"/>
    <cellStyle name="Notas 2 10 4 3" xfId="15877"/>
    <cellStyle name="Notas 2 10 4 4" xfId="15878"/>
    <cellStyle name="Notas 2 10 5" xfId="15879"/>
    <cellStyle name="Notas 2 10 6" xfId="15880"/>
    <cellStyle name="Notas 2 10 7" xfId="15881"/>
    <cellStyle name="Notas 2 10 8" xfId="15882"/>
    <cellStyle name="Notas 2 11" xfId="15883"/>
    <cellStyle name="Notas 2 11 2" xfId="15884"/>
    <cellStyle name="Notas 2 11 2 2" xfId="15885"/>
    <cellStyle name="Notas 2 11 2 3" xfId="15886"/>
    <cellStyle name="Notas 2 11 2 4" xfId="15887"/>
    <cellStyle name="Notas 2 11 3" xfId="15888"/>
    <cellStyle name="Notas 2 11 3 2" xfId="15889"/>
    <cellStyle name="Notas 2 11 3 3" xfId="15890"/>
    <cellStyle name="Notas 2 11 3 4" xfId="15891"/>
    <cellStyle name="Notas 2 11 4" xfId="15892"/>
    <cellStyle name="Notas 2 11 4 2" xfId="15893"/>
    <cellStyle name="Notas 2 11 4 3" xfId="15894"/>
    <cellStyle name="Notas 2 11 4 4" xfId="15895"/>
    <cellStyle name="Notas 2 11 5" xfId="15896"/>
    <cellStyle name="Notas 2 11 6" xfId="15897"/>
    <cellStyle name="Notas 2 11 7" xfId="15898"/>
    <cellStyle name="Notas 2 11 8" xfId="15899"/>
    <cellStyle name="Notas 2 12" xfId="15900"/>
    <cellStyle name="Notas 2 12 2" xfId="15901"/>
    <cellStyle name="Notas 2 12 2 2" xfId="15902"/>
    <cellStyle name="Notas 2 12 2 3" xfId="15903"/>
    <cellStyle name="Notas 2 12 2 4" xfId="15904"/>
    <cellStyle name="Notas 2 12 3" xfId="15905"/>
    <cellStyle name="Notas 2 12 3 2" xfId="15906"/>
    <cellStyle name="Notas 2 12 3 3" xfId="15907"/>
    <cellStyle name="Notas 2 12 3 4" xfId="15908"/>
    <cellStyle name="Notas 2 12 4" xfId="15909"/>
    <cellStyle name="Notas 2 12 4 2" xfId="15910"/>
    <cellStyle name="Notas 2 12 4 3" xfId="15911"/>
    <cellStyle name="Notas 2 12 4 4" xfId="15912"/>
    <cellStyle name="Notas 2 12 5" xfId="15913"/>
    <cellStyle name="Notas 2 12 6" xfId="15914"/>
    <cellStyle name="Notas 2 12 7" xfId="15915"/>
    <cellStyle name="Notas 2 12 8" xfId="15916"/>
    <cellStyle name="Notas 2 13" xfId="15917"/>
    <cellStyle name="Notas 2 13 2" xfId="15918"/>
    <cellStyle name="Notas 2 13 3" xfId="15919"/>
    <cellStyle name="Notas 2 13 4" xfId="15920"/>
    <cellStyle name="Notas 2 14" xfId="15921"/>
    <cellStyle name="Notas 2 14 2" xfId="15922"/>
    <cellStyle name="Notas 2 14 3" xfId="15923"/>
    <cellStyle name="Notas 2 14 4" xfId="15924"/>
    <cellStyle name="Notas 2 15" xfId="15925"/>
    <cellStyle name="Notas 2 16" xfId="15926"/>
    <cellStyle name="Notas 2 2" xfId="15927"/>
    <cellStyle name="Notas 2 2 10" xfId="15928"/>
    <cellStyle name="Notas 2 2 10 2" xfId="15929"/>
    <cellStyle name="Notas 2 2 10 2 2" xfId="15930"/>
    <cellStyle name="Notas 2 2 10 2 3" xfId="15931"/>
    <cellStyle name="Notas 2 2 10 2 4" xfId="15932"/>
    <cellStyle name="Notas 2 2 10 3" xfId="15933"/>
    <cellStyle name="Notas 2 2 10 3 2" xfId="15934"/>
    <cellStyle name="Notas 2 2 10 3 3" xfId="15935"/>
    <cellStyle name="Notas 2 2 10 3 4" xfId="15936"/>
    <cellStyle name="Notas 2 2 10 4" xfId="15937"/>
    <cellStyle name="Notas 2 2 10 4 2" xfId="15938"/>
    <cellStyle name="Notas 2 2 10 4 3" xfId="15939"/>
    <cellStyle name="Notas 2 2 10 4 4" xfId="15940"/>
    <cellStyle name="Notas 2 2 10 5" xfId="15941"/>
    <cellStyle name="Notas 2 2 10 6" xfId="15942"/>
    <cellStyle name="Notas 2 2 10 7" xfId="15943"/>
    <cellStyle name="Notas 2 2 10 8" xfId="15944"/>
    <cellStyle name="Notas 2 2 11" xfId="15945"/>
    <cellStyle name="Notas 2 2 11 2" xfId="15946"/>
    <cellStyle name="Notas 2 2 11 2 2" xfId="15947"/>
    <cellStyle name="Notas 2 2 11 2 3" xfId="15948"/>
    <cellStyle name="Notas 2 2 11 2 4" xfId="15949"/>
    <cellStyle name="Notas 2 2 11 3" xfId="15950"/>
    <cellStyle name="Notas 2 2 11 3 2" xfId="15951"/>
    <cellStyle name="Notas 2 2 11 3 3" xfId="15952"/>
    <cellStyle name="Notas 2 2 11 3 4" xfId="15953"/>
    <cellStyle name="Notas 2 2 11 4" xfId="15954"/>
    <cellStyle name="Notas 2 2 11 4 2" xfId="15955"/>
    <cellStyle name="Notas 2 2 11 4 3" xfId="15956"/>
    <cellStyle name="Notas 2 2 11 4 4" xfId="15957"/>
    <cellStyle name="Notas 2 2 11 5" xfId="15958"/>
    <cellStyle name="Notas 2 2 11 6" xfId="15959"/>
    <cellStyle name="Notas 2 2 11 7" xfId="15960"/>
    <cellStyle name="Notas 2 2 11 8" xfId="15961"/>
    <cellStyle name="Notas 2 2 12" xfId="15962"/>
    <cellStyle name="Notas 2 2 12 2" xfId="15963"/>
    <cellStyle name="Notas 2 2 12 3" xfId="15964"/>
    <cellStyle name="Notas 2 2 12 4" xfId="15965"/>
    <cellStyle name="Notas 2 2 13" xfId="15966"/>
    <cellStyle name="Notas 2 2 13 2" xfId="15967"/>
    <cellStyle name="Notas 2 2 13 3" xfId="15968"/>
    <cellStyle name="Notas 2 2 13 4" xfId="15969"/>
    <cellStyle name="Notas 2 2 14" xfId="15970"/>
    <cellStyle name="Notas 2 2 15" xfId="15971"/>
    <cellStyle name="Notas 2 2 2" xfId="15972"/>
    <cellStyle name="Notas 2 2 2 10" xfId="15973"/>
    <cellStyle name="Notas 2 2 2 10 2" xfId="15974"/>
    <cellStyle name="Notas 2 2 2 10 2 2" xfId="15975"/>
    <cellStyle name="Notas 2 2 2 10 2 3" xfId="15976"/>
    <cellStyle name="Notas 2 2 2 10 2 4" xfId="15977"/>
    <cellStyle name="Notas 2 2 2 10 3" xfId="15978"/>
    <cellStyle name="Notas 2 2 2 10 3 2" xfId="15979"/>
    <cellStyle name="Notas 2 2 2 10 3 3" xfId="15980"/>
    <cellStyle name="Notas 2 2 2 10 3 4" xfId="15981"/>
    <cellStyle name="Notas 2 2 2 10 4" xfId="15982"/>
    <cellStyle name="Notas 2 2 2 10 4 2" xfId="15983"/>
    <cellStyle name="Notas 2 2 2 10 4 3" xfId="15984"/>
    <cellStyle name="Notas 2 2 2 10 4 4" xfId="15985"/>
    <cellStyle name="Notas 2 2 2 10 5" xfId="15986"/>
    <cellStyle name="Notas 2 2 2 10 6" xfId="15987"/>
    <cellStyle name="Notas 2 2 2 10 7" xfId="15988"/>
    <cellStyle name="Notas 2 2 2 10 8" xfId="15989"/>
    <cellStyle name="Notas 2 2 2 11" xfId="15990"/>
    <cellStyle name="Notas 2 2 2 11 2" xfId="15991"/>
    <cellStyle name="Notas 2 2 2 11 3" xfId="15992"/>
    <cellStyle name="Notas 2 2 2 11 4" xfId="15993"/>
    <cellStyle name="Notas 2 2 2 12" xfId="15994"/>
    <cellStyle name="Notas 2 2 2 12 2" xfId="15995"/>
    <cellStyle name="Notas 2 2 2 12 3" xfId="15996"/>
    <cellStyle name="Notas 2 2 2 12 4" xfId="15997"/>
    <cellStyle name="Notas 2 2 2 13" xfId="15998"/>
    <cellStyle name="Notas 2 2 2 14" xfId="15999"/>
    <cellStyle name="Notas 2 2 2 2" xfId="16000"/>
    <cellStyle name="Notas 2 2 2 2 10" xfId="16001"/>
    <cellStyle name="Notas 2 2 2 2 10 2" xfId="16002"/>
    <cellStyle name="Notas 2 2 2 2 10 3" xfId="16003"/>
    <cellStyle name="Notas 2 2 2 2 10 4" xfId="16004"/>
    <cellStyle name="Notas 2 2 2 2 11" xfId="16005"/>
    <cellStyle name="Notas 2 2 2 2 11 2" xfId="16006"/>
    <cellStyle name="Notas 2 2 2 2 11 3" xfId="16007"/>
    <cellStyle name="Notas 2 2 2 2 11 4" xfId="16008"/>
    <cellStyle name="Notas 2 2 2 2 12" xfId="16009"/>
    <cellStyle name="Notas 2 2 2 2 13" xfId="16010"/>
    <cellStyle name="Notas 2 2 2 2 2" xfId="16011"/>
    <cellStyle name="Notas 2 2 2 2 2 10" xfId="16012"/>
    <cellStyle name="Notas 2 2 2 2 2 10 2" xfId="16013"/>
    <cellStyle name="Notas 2 2 2 2 2 10 3" xfId="16014"/>
    <cellStyle name="Notas 2 2 2 2 2 10 4" xfId="16015"/>
    <cellStyle name="Notas 2 2 2 2 2 11" xfId="16016"/>
    <cellStyle name="Notas 2 2 2 2 2 12" xfId="16017"/>
    <cellStyle name="Notas 2 2 2 2 2 2" xfId="16018"/>
    <cellStyle name="Notas 2 2 2 2 2 2 10" xfId="16019"/>
    <cellStyle name="Notas 2 2 2 2 2 2 11" xfId="16020"/>
    <cellStyle name="Notas 2 2 2 2 2 2 2" xfId="16021"/>
    <cellStyle name="Notas 2 2 2 2 2 2 2 2" xfId="16022"/>
    <cellStyle name="Notas 2 2 2 2 2 2 2 2 2" xfId="16023"/>
    <cellStyle name="Notas 2 2 2 2 2 2 2 2 2 2" xfId="16024"/>
    <cellStyle name="Notas 2 2 2 2 2 2 2 2 2 3" xfId="16025"/>
    <cellStyle name="Notas 2 2 2 2 2 2 2 2 2 4" xfId="16026"/>
    <cellStyle name="Notas 2 2 2 2 2 2 2 2 3" xfId="16027"/>
    <cellStyle name="Notas 2 2 2 2 2 2 2 2 3 2" xfId="16028"/>
    <cellStyle name="Notas 2 2 2 2 2 2 2 2 3 3" xfId="16029"/>
    <cellStyle name="Notas 2 2 2 2 2 2 2 2 3 4" xfId="16030"/>
    <cellStyle name="Notas 2 2 2 2 2 2 2 2 4" xfId="16031"/>
    <cellStyle name="Notas 2 2 2 2 2 2 2 2 4 2" xfId="16032"/>
    <cellStyle name="Notas 2 2 2 2 2 2 2 2 4 3" xfId="16033"/>
    <cellStyle name="Notas 2 2 2 2 2 2 2 2 4 4" xfId="16034"/>
    <cellStyle name="Notas 2 2 2 2 2 2 2 2 5" xfId="16035"/>
    <cellStyle name="Notas 2 2 2 2 2 2 2 2 6" xfId="16036"/>
    <cellStyle name="Notas 2 2 2 2 2 2 2 2 7" xfId="16037"/>
    <cellStyle name="Notas 2 2 2 2 2 2 2 2 8" xfId="16038"/>
    <cellStyle name="Notas 2 2 2 2 2 2 2 3" xfId="16039"/>
    <cellStyle name="Notas 2 2 2 2 2 2 2 3 2" xfId="16040"/>
    <cellStyle name="Notas 2 2 2 2 2 2 2 3 2 2" xfId="16041"/>
    <cellStyle name="Notas 2 2 2 2 2 2 2 3 2 3" xfId="16042"/>
    <cellStyle name="Notas 2 2 2 2 2 2 2 3 2 4" xfId="16043"/>
    <cellStyle name="Notas 2 2 2 2 2 2 2 3 3" xfId="16044"/>
    <cellStyle name="Notas 2 2 2 2 2 2 2 3 3 2" xfId="16045"/>
    <cellStyle name="Notas 2 2 2 2 2 2 2 3 3 3" xfId="16046"/>
    <cellStyle name="Notas 2 2 2 2 2 2 2 3 3 4" xfId="16047"/>
    <cellStyle name="Notas 2 2 2 2 2 2 2 3 4" xfId="16048"/>
    <cellStyle name="Notas 2 2 2 2 2 2 2 3 4 2" xfId="16049"/>
    <cellStyle name="Notas 2 2 2 2 2 2 2 3 4 3" xfId="16050"/>
    <cellStyle name="Notas 2 2 2 2 2 2 2 3 4 4" xfId="16051"/>
    <cellStyle name="Notas 2 2 2 2 2 2 2 3 5" xfId="16052"/>
    <cellStyle name="Notas 2 2 2 2 2 2 2 3 6" xfId="16053"/>
    <cellStyle name="Notas 2 2 2 2 2 2 2 3 7" xfId="16054"/>
    <cellStyle name="Notas 2 2 2 2 2 2 2 3 8" xfId="16055"/>
    <cellStyle name="Notas 2 2 2 2 2 2 2 4" xfId="16056"/>
    <cellStyle name="Notas 2 2 2 2 2 2 2 4 2" xfId="16057"/>
    <cellStyle name="Notas 2 2 2 2 2 2 2 4 2 2" xfId="16058"/>
    <cellStyle name="Notas 2 2 2 2 2 2 2 4 2 3" xfId="16059"/>
    <cellStyle name="Notas 2 2 2 2 2 2 2 4 2 4" xfId="16060"/>
    <cellStyle name="Notas 2 2 2 2 2 2 2 4 3" xfId="16061"/>
    <cellStyle name="Notas 2 2 2 2 2 2 2 4 3 2" xfId="16062"/>
    <cellStyle name="Notas 2 2 2 2 2 2 2 4 3 3" xfId="16063"/>
    <cellStyle name="Notas 2 2 2 2 2 2 2 4 3 4" xfId="16064"/>
    <cellStyle name="Notas 2 2 2 2 2 2 2 4 4" xfId="16065"/>
    <cellStyle name="Notas 2 2 2 2 2 2 2 4 4 2" xfId="16066"/>
    <cellStyle name="Notas 2 2 2 2 2 2 2 4 4 3" xfId="16067"/>
    <cellStyle name="Notas 2 2 2 2 2 2 2 4 4 4" xfId="16068"/>
    <cellStyle name="Notas 2 2 2 2 2 2 2 4 5" xfId="16069"/>
    <cellStyle name="Notas 2 2 2 2 2 2 2 4 6" xfId="16070"/>
    <cellStyle name="Notas 2 2 2 2 2 2 2 4 7" xfId="16071"/>
    <cellStyle name="Notas 2 2 2 2 2 2 2 4 8" xfId="16072"/>
    <cellStyle name="Notas 2 2 2 2 2 2 2 5" xfId="16073"/>
    <cellStyle name="Notas 2 2 2 2 2 2 2 5 2" xfId="16074"/>
    <cellStyle name="Notas 2 2 2 2 2 2 2 5 2 2" xfId="16075"/>
    <cellStyle name="Notas 2 2 2 2 2 2 2 5 2 3" xfId="16076"/>
    <cellStyle name="Notas 2 2 2 2 2 2 2 5 2 4" xfId="16077"/>
    <cellStyle name="Notas 2 2 2 2 2 2 2 5 3" xfId="16078"/>
    <cellStyle name="Notas 2 2 2 2 2 2 2 5 3 2" xfId="16079"/>
    <cellStyle name="Notas 2 2 2 2 2 2 2 5 3 3" xfId="16080"/>
    <cellStyle name="Notas 2 2 2 2 2 2 2 5 3 4" xfId="16081"/>
    <cellStyle name="Notas 2 2 2 2 2 2 2 5 4" xfId="16082"/>
    <cellStyle name="Notas 2 2 2 2 2 2 2 5 4 2" xfId="16083"/>
    <cellStyle name="Notas 2 2 2 2 2 2 2 5 4 3" xfId="16084"/>
    <cellStyle name="Notas 2 2 2 2 2 2 2 5 4 4" xfId="16085"/>
    <cellStyle name="Notas 2 2 2 2 2 2 2 5 5" xfId="16086"/>
    <cellStyle name="Notas 2 2 2 2 2 2 2 5 6" xfId="16087"/>
    <cellStyle name="Notas 2 2 2 2 2 2 2 5 7" xfId="16088"/>
    <cellStyle name="Notas 2 2 2 2 2 2 2 5 8" xfId="16089"/>
    <cellStyle name="Notas 2 2 2 2 2 2 2 6" xfId="16090"/>
    <cellStyle name="Notas 2 2 2 2 2 2 2 6 2" xfId="16091"/>
    <cellStyle name="Notas 2 2 2 2 2 2 2 6 3" xfId="16092"/>
    <cellStyle name="Notas 2 2 2 2 2 2 2 6 4" xfId="16093"/>
    <cellStyle name="Notas 2 2 2 2 2 2 2 7" xfId="16094"/>
    <cellStyle name="Notas 2 2 2 2 2 2 2 7 2" xfId="16095"/>
    <cellStyle name="Notas 2 2 2 2 2 2 2 7 3" xfId="16096"/>
    <cellStyle name="Notas 2 2 2 2 2 2 2 7 4" xfId="16097"/>
    <cellStyle name="Notas 2 2 2 2 2 2 2 8" xfId="16098"/>
    <cellStyle name="Notas 2 2 2 2 2 2 2 9" xfId="16099"/>
    <cellStyle name="Notas 2 2 2 2 2 2 3" xfId="16100"/>
    <cellStyle name="Notas 2 2 2 2 2 2 3 2" xfId="16101"/>
    <cellStyle name="Notas 2 2 2 2 2 2 3 2 2" xfId="16102"/>
    <cellStyle name="Notas 2 2 2 2 2 2 3 2 3" xfId="16103"/>
    <cellStyle name="Notas 2 2 2 2 2 2 3 2 4" xfId="16104"/>
    <cellStyle name="Notas 2 2 2 2 2 2 3 3" xfId="16105"/>
    <cellStyle name="Notas 2 2 2 2 2 2 3 3 2" xfId="16106"/>
    <cellStyle name="Notas 2 2 2 2 2 2 3 3 3" xfId="16107"/>
    <cellStyle name="Notas 2 2 2 2 2 2 3 3 4" xfId="16108"/>
    <cellStyle name="Notas 2 2 2 2 2 2 3 4" xfId="16109"/>
    <cellStyle name="Notas 2 2 2 2 2 2 3 4 2" xfId="16110"/>
    <cellStyle name="Notas 2 2 2 2 2 2 3 4 3" xfId="16111"/>
    <cellStyle name="Notas 2 2 2 2 2 2 3 4 4" xfId="16112"/>
    <cellStyle name="Notas 2 2 2 2 2 2 3 5" xfId="16113"/>
    <cellStyle name="Notas 2 2 2 2 2 2 3 6" xfId="16114"/>
    <cellStyle name="Notas 2 2 2 2 2 2 3 7" xfId="16115"/>
    <cellStyle name="Notas 2 2 2 2 2 2 3 8" xfId="16116"/>
    <cellStyle name="Notas 2 2 2 2 2 2 4" xfId="16117"/>
    <cellStyle name="Notas 2 2 2 2 2 2 4 2" xfId="16118"/>
    <cellStyle name="Notas 2 2 2 2 2 2 4 2 2" xfId="16119"/>
    <cellStyle name="Notas 2 2 2 2 2 2 4 2 3" xfId="16120"/>
    <cellStyle name="Notas 2 2 2 2 2 2 4 2 4" xfId="16121"/>
    <cellStyle name="Notas 2 2 2 2 2 2 4 3" xfId="16122"/>
    <cellStyle name="Notas 2 2 2 2 2 2 4 3 2" xfId="16123"/>
    <cellStyle name="Notas 2 2 2 2 2 2 4 3 3" xfId="16124"/>
    <cellStyle name="Notas 2 2 2 2 2 2 4 3 4" xfId="16125"/>
    <cellStyle name="Notas 2 2 2 2 2 2 4 4" xfId="16126"/>
    <cellStyle name="Notas 2 2 2 2 2 2 4 4 2" xfId="16127"/>
    <cellStyle name="Notas 2 2 2 2 2 2 4 4 3" xfId="16128"/>
    <cellStyle name="Notas 2 2 2 2 2 2 4 4 4" xfId="16129"/>
    <cellStyle name="Notas 2 2 2 2 2 2 4 5" xfId="16130"/>
    <cellStyle name="Notas 2 2 2 2 2 2 4 6" xfId="16131"/>
    <cellStyle name="Notas 2 2 2 2 2 2 4 7" xfId="16132"/>
    <cellStyle name="Notas 2 2 2 2 2 2 4 8" xfId="16133"/>
    <cellStyle name="Notas 2 2 2 2 2 2 5" xfId="16134"/>
    <cellStyle name="Notas 2 2 2 2 2 2 5 2" xfId="16135"/>
    <cellStyle name="Notas 2 2 2 2 2 2 5 2 2" xfId="16136"/>
    <cellStyle name="Notas 2 2 2 2 2 2 5 2 3" xfId="16137"/>
    <cellStyle name="Notas 2 2 2 2 2 2 5 2 4" xfId="16138"/>
    <cellStyle name="Notas 2 2 2 2 2 2 5 3" xfId="16139"/>
    <cellStyle name="Notas 2 2 2 2 2 2 5 3 2" xfId="16140"/>
    <cellStyle name="Notas 2 2 2 2 2 2 5 3 3" xfId="16141"/>
    <cellStyle name="Notas 2 2 2 2 2 2 5 3 4" xfId="16142"/>
    <cellStyle name="Notas 2 2 2 2 2 2 5 4" xfId="16143"/>
    <cellStyle name="Notas 2 2 2 2 2 2 5 4 2" xfId="16144"/>
    <cellStyle name="Notas 2 2 2 2 2 2 5 4 3" xfId="16145"/>
    <cellStyle name="Notas 2 2 2 2 2 2 5 4 4" xfId="16146"/>
    <cellStyle name="Notas 2 2 2 2 2 2 5 5" xfId="16147"/>
    <cellStyle name="Notas 2 2 2 2 2 2 5 6" xfId="16148"/>
    <cellStyle name="Notas 2 2 2 2 2 2 5 7" xfId="16149"/>
    <cellStyle name="Notas 2 2 2 2 2 2 5 8" xfId="16150"/>
    <cellStyle name="Notas 2 2 2 2 2 2 6" xfId="16151"/>
    <cellStyle name="Notas 2 2 2 2 2 2 6 2" xfId="16152"/>
    <cellStyle name="Notas 2 2 2 2 2 2 6 2 2" xfId="16153"/>
    <cellStyle name="Notas 2 2 2 2 2 2 6 2 3" xfId="16154"/>
    <cellStyle name="Notas 2 2 2 2 2 2 6 2 4" xfId="16155"/>
    <cellStyle name="Notas 2 2 2 2 2 2 6 3" xfId="16156"/>
    <cellStyle name="Notas 2 2 2 2 2 2 6 3 2" xfId="16157"/>
    <cellStyle name="Notas 2 2 2 2 2 2 6 3 3" xfId="16158"/>
    <cellStyle name="Notas 2 2 2 2 2 2 6 3 4" xfId="16159"/>
    <cellStyle name="Notas 2 2 2 2 2 2 6 4" xfId="16160"/>
    <cellStyle name="Notas 2 2 2 2 2 2 6 4 2" xfId="16161"/>
    <cellStyle name="Notas 2 2 2 2 2 2 6 4 3" xfId="16162"/>
    <cellStyle name="Notas 2 2 2 2 2 2 6 4 4" xfId="16163"/>
    <cellStyle name="Notas 2 2 2 2 2 2 6 5" xfId="16164"/>
    <cellStyle name="Notas 2 2 2 2 2 2 6 6" xfId="16165"/>
    <cellStyle name="Notas 2 2 2 2 2 2 6 7" xfId="16166"/>
    <cellStyle name="Notas 2 2 2 2 2 2 6 8" xfId="16167"/>
    <cellStyle name="Notas 2 2 2 2 2 2 7" xfId="16168"/>
    <cellStyle name="Notas 2 2 2 2 2 2 7 2" xfId="16169"/>
    <cellStyle name="Notas 2 2 2 2 2 2 7 2 2" xfId="16170"/>
    <cellStyle name="Notas 2 2 2 2 2 2 7 2 3" xfId="16171"/>
    <cellStyle name="Notas 2 2 2 2 2 2 7 2 4" xfId="16172"/>
    <cellStyle name="Notas 2 2 2 2 2 2 7 3" xfId="16173"/>
    <cellStyle name="Notas 2 2 2 2 2 2 7 3 2" xfId="16174"/>
    <cellStyle name="Notas 2 2 2 2 2 2 7 3 3" xfId="16175"/>
    <cellStyle name="Notas 2 2 2 2 2 2 7 3 4" xfId="16176"/>
    <cellStyle name="Notas 2 2 2 2 2 2 7 4" xfId="16177"/>
    <cellStyle name="Notas 2 2 2 2 2 2 7 4 2" xfId="16178"/>
    <cellStyle name="Notas 2 2 2 2 2 2 7 4 3" xfId="16179"/>
    <cellStyle name="Notas 2 2 2 2 2 2 7 4 4" xfId="16180"/>
    <cellStyle name="Notas 2 2 2 2 2 2 7 5" xfId="16181"/>
    <cellStyle name="Notas 2 2 2 2 2 2 7 6" xfId="16182"/>
    <cellStyle name="Notas 2 2 2 2 2 2 7 7" xfId="16183"/>
    <cellStyle name="Notas 2 2 2 2 2 2 7 8" xfId="16184"/>
    <cellStyle name="Notas 2 2 2 2 2 2 8" xfId="16185"/>
    <cellStyle name="Notas 2 2 2 2 2 2 8 2" xfId="16186"/>
    <cellStyle name="Notas 2 2 2 2 2 2 8 3" xfId="16187"/>
    <cellStyle name="Notas 2 2 2 2 2 2 8 4" xfId="16188"/>
    <cellStyle name="Notas 2 2 2 2 2 2 9" xfId="16189"/>
    <cellStyle name="Notas 2 2 2 2 2 2 9 2" xfId="16190"/>
    <cellStyle name="Notas 2 2 2 2 2 2 9 3" xfId="16191"/>
    <cellStyle name="Notas 2 2 2 2 2 2 9 4" xfId="16192"/>
    <cellStyle name="Notas 2 2 2 2 2 3" xfId="16193"/>
    <cellStyle name="Notas 2 2 2 2 2 3 2" xfId="16194"/>
    <cellStyle name="Notas 2 2 2 2 2 3 2 2" xfId="16195"/>
    <cellStyle name="Notas 2 2 2 2 2 3 2 2 2" xfId="16196"/>
    <cellStyle name="Notas 2 2 2 2 2 3 2 2 3" xfId="16197"/>
    <cellStyle name="Notas 2 2 2 2 2 3 2 2 4" xfId="16198"/>
    <cellStyle name="Notas 2 2 2 2 2 3 2 3" xfId="16199"/>
    <cellStyle name="Notas 2 2 2 2 2 3 2 3 2" xfId="16200"/>
    <cellStyle name="Notas 2 2 2 2 2 3 2 3 3" xfId="16201"/>
    <cellStyle name="Notas 2 2 2 2 2 3 2 3 4" xfId="16202"/>
    <cellStyle name="Notas 2 2 2 2 2 3 2 4" xfId="16203"/>
    <cellStyle name="Notas 2 2 2 2 2 3 2 4 2" xfId="16204"/>
    <cellStyle name="Notas 2 2 2 2 2 3 2 4 3" xfId="16205"/>
    <cellStyle name="Notas 2 2 2 2 2 3 2 4 4" xfId="16206"/>
    <cellStyle name="Notas 2 2 2 2 2 3 2 5" xfId="16207"/>
    <cellStyle name="Notas 2 2 2 2 2 3 2 6" xfId="16208"/>
    <cellStyle name="Notas 2 2 2 2 2 3 2 7" xfId="16209"/>
    <cellStyle name="Notas 2 2 2 2 2 3 2 8" xfId="16210"/>
    <cellStyle name="Notas 2 2 2 2 2 3 3" xfId="16211"/>
    <cellStyle name="Notas 2 2 2 2 2 3 3 2" xfId="16212"/>
    <cellStyle name="Notas 2 2 2 2 2 3 3 2 2" xfId="16213"/>
    <cellStyle name="Notas 2 2 2 2 2 3 3 2 3" xfId="16214"/>
    <cellStyle name="Notas 2 2 2 2 2 3 3 2 4" xfId="16215"/>
    <cellStyle name="Notas 2 2 2 2 2 3 3 3" xfId="16216"/>
    <cellStyle name="Notas 2 2 2 2 2 3 3 3 2" xfId="16217"/>
    <cellStyle name="Notas 2 2 2 2 2 3 3 3 3" xfId="16218"/>
    <cellStyle name="Notas 2 2 2 2 2 3 3 3 4" xfId="16219"/>
    <cellStyle name="Notas 2 2 2 2 2 3 3 4" xfId="16220"/>
    <cellStyle name="Notas 2 2 2 2 2 3 3 4 2" xfId="16221"/>
    <cellStyle name="Notas 2 2 2 2 2 3 3 4 3" xfId="16222"/>
    <cellStyle name="Notas 2 2 2 2 2 3 3 4 4" xfId="16223"/>
    <cellStyle name="Notas 2 2 2 2 2 3 3 5" xfId="16224"/>
    <cellStyle name="Notas 2 2 2 2 2 3 3 6" xfId="16225"/>
    <cellStyle name="Notas 2 2 2 2 2 3 3 7" xfId="16226"/>
    <cellStyle name="Notas 2 2 2 2 2 3 3 8" xfId="16227"/>
    <cellStyle name="Notas 2 2 2 2 2 3 4" xfId="16228"/>
    <cellStyle name="Notas 2 2 2 2 2 3 4 2" xfId="16229"/>
    <cellStyle name="Notas 2 2 2 2 2 3 4 2 2" xfId="16230"/>
    <cellStyle name="Notas 2 2 2 2 2 3 4 2 3" xfId="16231"/>
    <cellStyle name="Notas 2 2 2 2 2 3 4 2 4" xfId="16232"/>
    <cellStyle name="Notas 2 2 2 2 2 3 4 3" xfId="16233"/>
    <cellStyle name="Notas 2 2 2 2 2 3 4 3 2" xfId="16234"/>
    <cellStyle name="Notas 2 2 2 2 2 3 4 3 3" xfId="16235"/>
    <cellStyle name="Notas 2 2 2 2 2 3 4 3 4" xfId="16236"/>
    <cellStyle name="Notas 2 2 2 2 2 3 4 4" xfId="16237"/>
    <cellStyle name="Notas 2 2 2 2 2 3 4 4 2" xfId="16238"/>
    <cellStyle name="Notas 2 2 2 2 2 3 4 4 3" xfId="16239"/>
    <cellStyle name="Notas 2 2 2 2 2 3 4 4 4" xfId="16240"/>
    <cellStyle name="Notas 2 2 2 2 2 3 4 5" xfId="16241"/>
    <cellStyle name="Notas 2 2 2 2 2 3 4 6" xfId="16242"/>
    <cellStyle name="Notas 2 2 2 2 2 3 4 7" xfId="16243"/>
    <cellStyle name="Notas 2 2 2 2 2 3 4 8" xfId="16244"/>
    <cellStyle name="Notas 2 2 2 2 2 3 5" xfId="16245"/>
    <cellStyle name="Notas 2 2 2 2 2 3 5 2" xfId="16246"/>
    <cellStyle name="Notas 2 2 2 2 2 3 5 2 2" xfId="16247"/>
    <cellStyle name="Notas 2 2 2 2 2 3 5 2 3" xfId="16248"/>
    <cellStyle name="Notas 2 2 2 2 2 3 5 2 4" xfId="16249"/>
    <cellStyle name="Notas 2 2 2 2 2 3 5 3" xfId="16250"/>
    <cellStyle name="Notas 2 2 2 2 2 3 5 3 2" xfId="16251"/>
    <cellStyle name="Notas 2 2 2 2 2 3 5 3 3" xfId="16252"/>
    <cellStyle name="Notas 2 2 2 2 2 3 5 3 4" xfId="16253"/>
    <cellStyle name="Notas 2 2 2 2 2 3 5 4" xfId="16254"/>
    <cellStyle name="Notas 2 2 2 2 2 3 5 4 2" xfId="16255"/>
    <cellStyle name="Notas 2 2 2 2 2 3 5 4 3" xfId="16256"/>
    <cellStyle name="Notas 2 2 2 2 2 3 5 4 4" xfId="16257"/>
    <cellStyle name="Notas 2 2 2 2 2 3 5 5" xfId="16258"/>
    <cellStyle name="Notas 2 2 2 2 2 3 5 6" xfId="16259"/>
    <cellStyle name="Notas 2 2 2 2 2 3 5 7" xfId="16260"/>
    <cellStyle name="Notas 2 2 2 2 2 3 5 8" xfId="16261"/>
    <cellStyle name="Notas 2 2 2 2 2 3 6" xfId="16262"/>
    <cellStyle name="Notas 2 2 2 2 2 3 6 2" xfId="16263"/>
    <cellStyle name="Notas 2 2 2 2 2 3 6 3" xfId="16264"/>
    <cellStyle name="Notas 2 2 2 2 2 3 6 4" xfId="16265"/>
    <cellStyle name="Notas 2 2 2 2 2 3 7" xfId="16266"/>
    <cellStyle name="Notas 2 2 2 2 2 3 7 2" xfId="16267"/>
    <cellStyle name="Notas 2 2 2 2 2 3 7 3" xfId="16268"/>
    <cellStyle name="Notas 2 2 2 2 2 3 7 4" xfId="16269"/>
    <cellStyle name="Notas 2 2 2 2 2 3 8" xfId="16270"/>
    <cellStyle name="Notas 2 2 2 2 2 3 9" xfId="16271"/>
    <cellStyle name="Notas 2 2 2 2 2 4" xfId="16272"/>
    <cellStyle name="Notas 2 2 2 2 2 4 2" xfId="16273"/>
    <cellStyle name="Notas 2 2 2 2 2 4 2 2" xfId="16274"/>
    <cellStyle name="Notas 2 2 2 2 2 4 2 3" xfId="16275"/>
    <cellStyle name="Notas 2 2 2 2 2 4 2 4" xfId="16276"/>
    <cellStyle name="Notas 2 2 2 2 2 4 3" xfId="16277"/>
    <cellStyle name="Notas 2 2 2 2 2 4 3 2" xfId="16278"/>
    <cellStyle name="Notas 2 2 2 2 2 4 3 3" xfId="16279"/>
    <cellStyle name="Notas 2 2 2 2 2 4 3 4" xfId="16280"/>
    <cellStyle name="Notas 2 2 2 2 2 4 4" xfId="16281"/>
    <cellStyle name="Notas 2 2 2 2 2 4 4 2" xfId="16282"/>
    <cellStyle name="Notas 2 2 2 2 2 4 4 3" xfId="16283"/>
    <cellStyle name="Notas 2 2 2 2 2 4 4 4" xfId="16284"/>
    <cellStyle name="Notas 2 2 2 2 2 4 5" xfId="16285"/>
    <cellStyle name="Notas 2 2 2 2 2 4 6" xfId="16286"/>
    <cellStyle name="Notas 2 2 2 2 2 4 7" xfId="16287"/>
    <cellStyle name="Notas 2 2 2 2 2 4 8" xfId="16288"/>
    <cellStyle name="Notas 2 2 2 2 2 5" xfId="16289"/>
    <cellStyle name="Notas 2 2 2 2 2 5 2" xfId="16290"/>
    <cellStyle name="Notas 2 2 2 2 2 5 2 2" xfId="16291"/>
    <cellStyle name="Notas 2 2 2 2 2 5 2 3" xfId="16292"/>
    <cellStyle name="Notas 2 2 2 2 2 5 2 4" xfId="16293"/>
    <cellStyle name="Notas 2 2 2 2 2 5 3" xfId="16294"/>
    <cellStyle name="Notas 2 2 2 2 2 5 3 2" xfId="16295"/>
    <cellStyle name="Notas 2 2 2 2 2 5 3 3" xfId="16296"/>
    <cellStyle name="Notas 2 2 2 2 2 5 3 4" xfId="16297"/>
    <cellStyle name="Notas 2 2 2 2 2 5 4" xfId="16298"/>
    <cellStyle name="Notas 2 2 2 2 2 5 4 2" xfId="16299"/>
    <cellStyle name="Notas 2 2 2 2 2 5 4 3" xfId="16300"/>
    <cellStyle name="Notas 2 2 2 2 2 5 4 4" xfId="16301"/>
    <cellStyle name="Notas 2 2 2 2 2 5 5" xfId="16302"/>
    <cellStyle name="Notas 2 2 2 2 2 5 6" xfId="16303"/>
    <cellStyle name="Notas 2 2 2 2 2 5 7" xfId="16304"/>
    <cellStyle name="Notas 2 2 2 2 2 5 8" xfId="16305"/>
    <cellStyle name="Notas 2 2 2 2 2 6" xfId="16306"/>
    <cellStyle name="Notas 2 2 2 2 2 6 2" xfId="16307"/>
    <cellStyle name="Notas 2 2 2 2 2 6 2 2" xfId="16308"/>
    <cellStyle name="Notas 2 2 2 2 2 6 2 3" xfId="16309"/>
    <cellStyle name="Notas 2 2 2 2 2 6 2 4" xfId="16310"/>
    <cellStyle name="Notas 2 2 2 2 2 6 3" xfId="16311"/>
    <cellStyle name="Notas 2 2 2 2 2 6 3 2" xfId="16312"/>
    <cellStyle name="Notas 2 2 2 2 2 6 3 3" xfId="16313"/>
    <cellStyle name="Notas 2 2 2 2 2 6 3 4" xfId="16314"/>
    <cellStyle name="Notas 2 2 2 2 2 6 4" xfId="16315"/>
    <cellStyle name="Notas 2 2 2 2 2 6 4 2" xfId="16316"/>
    <cellStyle name="Notas 2 2 2 2 2 6 4 3" xfId="16317"/>
    <cellStyle name="Notas 2 2 2 2 2 6 4 4" xfId="16318"/>
    <cellStyle name="Notas 2 2 2 2 2 6 5" xfId="16319"/>
    <cellStyle name="Notas 2 2 2 2 2 6 6" xfId="16320"/>
    <cellStyle name="Notas 2 2 2 2 2 6 7" xfId="16321"/>
    <cellStyle name="Notas 2 2 2 2 2 6 8" xfId="16322"/>
    <cellStyle name="Notas 2 2 2 2 2 7" xfId="16323"/>
    <cellStyle name="Notas 2 2 2 2 2 7 2" xfId="16324"/>
    <cellStyle name="Notas 2 2 2 2 2 7 2 2" xfId="16325"/>
    <cellStyle name="Notas 2 2 2 2 2 7 2 3" xfId="16326"/>
    <cellStyle name="Notas 2 2 2 2 2 7 2 4" xfId="16327"/>
    <cellStyle name="Notas 2 2 2 2 2 7 3" xfId="16328"/>
    <cellStyle name="Notas 2 2 2 2 2 7 3 2" xfId="16329"/>
    <cellStyle name="Notas 2 2 2 2 2 7 3 3" xfId="16330"/>
    <cellStyle name="Notas 2 2 2 2 2 7 3 4" xfId="16331"/>
    <cellStyle name="Notas 2 2 2 2 2 7 4" xfId="16332"/>
    <cellStyle name="Notas 2 2 2 2 2 7 4 2" xfId="16333"/>
    <cellStyle name="Notas 2 2 2 2 2 7 4 3" xfId="16334"/>
    <cellStyle name="Notas 2 2 2 2 2 7 4 4" xfId="16335"/>
    <cellStyle name="Notas 2 2 2 2 2 7 5" xfId="16336"/>
    <cellStyle name="Notas 2 2 2 2 2 7 6" xfId="16337"/>
    <cellStyle name="Notas 2 2 2 2 2 7 7" xfId="16338"/>
    <cellStyle name="Notas 2 2 2 2 2 7 8" xfId="16339"/>
    <cellStyle name="Notas 2 2 2 2 2 8" xfId="16340"/>
    <cellStyle name="Notas 2 2 2 2 2 8 2" xfId="16341"/>
    <cellStyle name="Notas 2 2 2 2 2 8 2 2" xfId="16342"/>
    <cellStyle name="Notas 2 2 2 2 2 8 2 3" xfId="16343"/>
    <cellStyle name="Notas 2 2 2 2 2 8 2 4" xfId="16344"/>
    <cellStyle name="Notas 2 2 2 2 2 8 3" xfId="16345"/>
    <cellStyle name="Notas 2 2 2 2 2 8 3 2" xfId="16346"/>
    <cellStyle name="Notas 2 2 2 2 2 8 3 3" xfId="16347"/>
    <cellStyle name="Notas 2 2 2 2 2 8 3 4" xfId="16348"/>
    <cellStyle name="Notas 2 2 2 2 2 8 4" xfId="16349"/>
    <cellStyle name="Notas 2 2 2 2 2 8 4 2" xfId="16350"/>
    <cellStyle name="Notas 2 2 2 2 2 8 4 3" xfId="16351"/>
    <cellStyle name="Notas 2 2 2 2 2 8 4 4" xfId="16352"/>
    <cellStyle name="Notas 2 2 2 2 2 8 5" xfId="16353"/>
    <cellStyle name="Notas 2 2 2 2 2 8 6" xfId="16354"/>
    <cellStyle name="Notas 2 2 2 2 2 8 7" xfId="16355"/>
    <cellStyle name="Notas 2 2 2 2 2 8 8" xfId="16356"/>
    <cellStyle name="Notas 2 2 2 2 2 9" xfId="16357"/>
    <cellStyle name="Notas 2 2 2 2 2 9 2" xfId="16358"/>
    <cellStyle name="Notas 2 2 2 2 2 9 3" xfId="16359"/>
    <cellStyle name="Notas 2 2 2 2 2 9 4" xfId="16360"/>
    <cellStyle name="Notas 2 2 2 2 3" xfId="16361"/>
    <cellStyle name="Notas 2 2 2 2 3 10" xfId="16362"/>
    <cellStyle name="Notas 2 2 2 2 3 11" xfId="16363"/>
    <cellStyle name="Notas 2 2 2 2 3 2" xfId="16364"/>
    <cellStyle name="Notas 2 2 2 2 3 2 2" xfId="16365"/>
    <cellStyle name="Notas 2 2 2 2 3 2 2 2" xfId="16366"/>
    <cellStyle name="Notas 2 2 2 2 3 2 2 2 2" xfId="16367"/>
    <cellStyle name="Notas 2 2 2 2 3 2 2 2 3" xfId="16368"/>
    <cellStyle name="Notas 2 2 2 2 3 2 2 2 4" xfId="16369"/>
    <cellStyle name="Notas 2 2 2 2 3 2 2 3" xfId="16370"/>
    <cellStyle name="Notas 2 2 2 2 3 2 2 3 2" xfId="16371"/>
    <cellStyle name="Notas 2 2 2 2 3 2 2 3 3" xfId="16372"/>
    <cellStyle name="Notas 2 2 2 2 3 2 2 3 4" xfId="16373"/>
    <cellStyle name="Notas 2 2 2 2 3 2 2 4" xfId="16374"/>
    <cellStyle name="Notas 2 2 2 2 3 2 2 4 2" xfId="16375"/>
    <cellStyle name="Notas 2 2 2 2 3 2 2 4 3" xfId="16376"/>
    <cellStyle name="Notas 2 2 2 2 3 2 2 4 4" xfId="16377"/>
    <cellStyle name="Notas 2 2 2 2 3 2 2 5" xfId="16378"/>
    <cellStyle name="Notas 2 2 2 2 3 2 2 6" xfId="16379"/>
    <cellStyle name="Notas 2 2 2 2 3 2 2 7" xfId="16380"/>
    <cellStyle name="Notas 2 2 2 2 3 2 2 8" xfId="16381"/>
    <cellStyle name="Notas 2 2 2 2 3 2 3" xfId="16382"/>
    <cellStyle name="Notas 2 2 2 2 3 2 3 2" xfId="16383"/>
    <cellStyle name="Notas 2 2 2 2 3 2 3 2 2" xfId="16384"/>
    <cellStyle name="Notas 2 2 2 2 3 2 3 2 3" xfId="16385"/>
    <cellStyle name="Notas 2 2 2 2 3 2 3 2 4" xfId="16386"/>
    <cellStyle name="Notas 2 2 2 2 3 2 3 3" xfId="16387"/>
    <cellStyle name="Notas 2 2 2 2 3 2 3 3 2" xfId="16388"/>
    <cellStyle name="Notas 2 2 2 2 3 2 3 3 3" xfId="16389"/>
    <cellStyle name="Notas 2 2 2 2 3 2 3 3 4" xfId="16390"/>
    <cellStyle name="Notas 2 2 2 2 3 2 3 4" xfId="16391"/>
    <cellStyle name="Notas 2 2 2 2 3 2 3 4 2" xfId="16392"/>
    <cellStyle name="Notas 2 2 2 2 3 2 3 4 3" xfId="16393"/>
    <cellStyle name="Notas 2 2 2 2 3 2 3 4 4" xfId="16394"/>
    <cellStyle name="Notas 2 2 2 2 3 2 3 5" xfId="16395"/>
    <cellStyle name="Notas 2 2 2 2 3 2 3 6" xfId="16396"/>
    <cellStyle name="Notas 2 2 2 2 3 2 3 7" xfId="16397"/>
    <cellStyle name="Notas 2 2 2 2 3 2 3 8" xfId="16398"/>
    <cellStyle name="Notas 2 2 2 2 3 2 4" xfId="16399"/>
    <cellStyle name="Notas 2 2 2 2 3 2 4 2" xfId="16400"/>
    <cellStyle name="Notas 2 2 2 2 3 2 4 2 2" xfId="16401"/>
    <cellStyle name="Notas 2 2 2 2 3 2 4 2 3" xfId="16402"/>
    <cellStyle name="Notas 2 2 2 2 3 2 4 2 4" xfId="16403"/>
    <cellStyle name="Notas 2 2 2 2 3 2 4 3" xfId="16404"/>
    <cellStyle name="Notas 2 2 2 2 3 2 4 3 2" xfId="16405"/>
    <cellStyle name="Notas 2 2 2 2 3 2 4 3 3" xfId="16406"/>
    <cellStyle name="Notas 2 2 2 2 3 2 4 3 4" xfId="16407"/>
    <cellStyle name="Notas 2 2 2 2 3 2 4 4" xfId="16408"/>
    <cellStyle name="Notas 2 2 2 2 3 2 4 4 2" xfId="16409"/>
    <cellStyle name="Notas 2 2 2 2 3 2 4 4 3" xfId="16410"/>
    <cellStyle name="Notas 2 2 2 2 3 2 4 4 4" xfId="16411"/>
    <cellStyle name="Notas 2 2 2 2 3 2 4 5" xfId="16412"/>
    <cellStyle name="Notas 2 2 2 2 3 2 4 6" xfId="16413"/>
    <cellStyle name="Notas 2 2 2 2 3 2 4 7" xfId="16414"/>
    <cellStyle name="Notas 2 2 2 2 3 2 4 8" xfId="16415"/>
    <cellStyle name="Notas 2 2 2 2 3 2 5" xfId="16416"/>
    <cellStyle name="Notas 2 2 2 2 3 2 5 2" xfId="16417"/>
    <cellStyle name="Notas 2 2 2 2 3 2 5 2 2" xfId="16418"/>
    <cellStyle name="Notas 2 2 2 2 3 2 5 2 3" xfId="16419"/>
    <cellStyle name="Notas 2 2 2 2 3 2 5 2 4" xfId="16420"/>
    <cellStyle name="Notas 2 2 2 2 3 2 5 3" xfId="16421"/>
    <cellStyle name="Notas 2 2 2 2 3 2 5 3 2" xfId="16422"/>
    <cellStyle name="Notas 2 2 2 2 3 2 5 3 3" xfId="16423"/>
    <cellStyle name="Notas 2 2 2 2 3 2 5 3 4" xfId="16424"/>
    <cellStyle name="Notas 2 2 2 2 3 2 5 4" xfId="16425"/>
    <cellStyle name="Notas 2 2 2 2 3 2 5 4 2" xfId="16426"/>
    <cellStyle name="Notas 2 2 2 2 3 2 5 4 3" xfId="16427"/>
    <cellStyle name="Notas 2 2 2 2 3 2 5 4 4" xfId="16428"/>
    <cellStyle name="Notas 2 2 2 2 3 2 5 5" xfId="16429"/>
    <cellStyle name="Notas 2 2 2 2 3 2 5 6" xfId="16430"/>
    <cellStyle name="Notas 2 2 2 2 3 2 5 7" xfId="16431"/>
    <cellStyle name="Notas 2 2 2 2 3 2 5 8" xfId="16432"/>
    <cellStyle name="Notas 2 2 2 2 3 2 6" xfId="16433"/>
    <cellStyle name="Notas 2 2 2 2 3 2 6 2" xfId="16434"/>
    <cellStyle name="Notas 2 2 2 2 3 2 6 3" xfId="16435"/>
    <cellStyle name="Notas 2 2 2 2 3 2 6 4" xfId="16436"/>
    <cellStyle name="Notas 2 2 2 2 3 2 7" xfId="16437"/>
    <cellStyle name="Notas 2 2 2 2 3 2 7 2" xfId="16438"/>
    <cellStyle name="Notas 2 2 2 2 3 2 7 3" xfId="16439"/>
    <cellStyle name="Notas 2 2 2 2 3 2 7 4" xfId="16440"/>
    <cellStyle name="Notas 2 2 2 2 3 2 8" xfId="16441"/>
    <cellStyle name="Notas 2 2 2 2 3 2 9" xfId="16442"/>
    <cellStyle name="Notas 2 2 2 2 3 3" xfId="16443"/>
    <cellStyle name="Notas 2 2 2 2 3 3 2" xfId="16444"/>
    <cellStyle name="Notas 2 2 2 2 3 3 2 2" xfId="16445"/>
    <cellStyle name="Notas 2 2 2 2 3 3 2 3" xfId="16446"/>
    <cellStyle name="Notas 2 2 2 2 3 3 2 4" xfId="16447"/>
    <cellStyle name="Notas 2 2 2 2 3 3 3" xfId="16448"/>
    <cellStyle name="Notas 2 2 2 2 3 3 3 2" xfId="16449"/>
    <cellStyle name="Notas 2 2 2 2 3 3 3 3" xfId="16450"/>
    <cellStyle name="Notas 2 2 2 2 3 3 3 4" xfId="16451"/>
    <cellStyle name="Notas 2 2 2 2 3 3 4" xfId="16452"/>
    <cellStyle name="Notas 2 2 2 2 3 3 4 2" xfId="16453"/>
    <cellStyle name="Notas 2 2 2 2 3 3 4 3" xfId="16454"/>
    <cellStyle name="Notas 2 2 2 2 3 3 4 4" xfId="16455"/>
    <cellStyle name="Notas 2 2 2 2 3 3 5" xfId="16456"/>
    <cellStyle name="Notas 2 2 2 2 3 3 6" xfId="16457"/>
    <cellStyle name="Notas 2 2 2 2 3 3 7" xfId="16458"/>
    <cellStyle name="Notas 2 2 2 2 3 3 8" xfId="16459"/>
    <cellStyle name="Notas 2 2 2 2 3 4" xfId="16460"/>
    <cellStyle name="Notas 2 2 2 2 3 4 2" xfId="16461"/>
    <cellStyle name="Notas 2 2 2 2 3 4 2 2" xfId="16462"/>
    <cellStyle name="Notas 2 2 2 2 3 4 2 3" xfId="16463"/>
    <cellStyle name="Notas 2 2 2 2 3 4 2 4" xfId="16464"/>
    <cellStyle name="Notas 2 2 2 2 3 4 3" xfId="16465"/>
    <cellStyle name="Notas 2 2 2 2 3 4 3 2" xfId="16466"/>
    <cellStyle name="Notas 2 2 2 2 3 4 3 3" xfId="16467"/>
    <cellStyle name="Notas 2 2 2 2 3 4 3 4" xfId="16468"/>
    <cellStyle name="Notas 2 2 2 2 3 4 4" xfId="16469"/>
    <cellStyle name="Notas 2 2 2 2 3 4 4 2" xfId="16470"/>
    <cellStyle name="Notas 2 2 2 2 3 4 4 3" xfId="16471"/>
    <cellStyle name="Notas 2 2 2 2 3 4 4 4" xfId="16472"/>
    <cellStyle name="Notas 2 2 2 2 3 4 5" xfId="16473"/>
    <cellStyle name="Notas 2 2 2 2 3 4 6" xfId="16474"/>
    <cellStyle name="Notas 2 2 2 2 3 4 7" xfId="16475"/>
    <cellStyle name="Notas 2 2 2 2 3 4 8" xfId="16476"/>
    <cellStyle name="Notas 2 2 2 2 3 5" xfId="16477"/>
    <cellStyle name="Notas 2 2 2 2 3 5 2" xfId="16478"/>
    <cellStyle name="Notas 2 2 2 2 3 5 2 2" xfId="16479"/>
    <cellStyle name="Notas 2 2 2 2 3 5 2 3" xfId="16480"/>
    <cellStyle name="Notas 2 2 2 2 3 5 2 4" xfId="16481"/>
    <cellStyle name="Notas 2 2 2 2 3 5 3" xfId="16482"/>
    <cellStyle name="Notas 2 2 2 2 3 5 3 2" xfId="16483"/>
    <cellStyle name="Notas 2 2 2 2 3 5 3 3" xfId="16484"/>
    <cellStyle name="Notas 2 2 2 2 3 5 3 4" xfId="16485"/>
    <cellStyle name="Notas 2 2 2 2 3 5 4" xfId="16486"/>
    <cellStyle name="Notas 2 2 2 2 3 5 4 2" xfId="16487"/>
    <cellStyle name="Notas 2 2 2 2 3 5 4 3" xfId="16488"/>
    <cellStyle name="Notas 2 2 2 2 3 5 4 4" xfId="16489"/>
    <cellStyle name="Notas 2 2 2 2 3 5 5" xfId="16490"/>
    <cellStyle name="Notas 2 2 2 2 3 5 6" xfId="16491"/>
    <cellStyle name="Notas 2 2 2 2 3 5 7" xfId="16492"/>
    <cellStyle name="Notas 2 2 2 2 3 5 8" xfId="16493"/>
    <cellStyle name="Notas 2 2 2 2 3 6" xfId="16494"/>
    <cellStyle name="Notas 2 2 2 2 3 6 2" xfId="16495"/>
    <cellStyle name="Notas 2 2 2 2 3 6 2 2" xfId="16496"/>
    <cellStyle name="Notas 2 2 2 2 3 6 2 3" xfId="16497"/>
    <cellStyle name="Notas 2 2 2 2 3 6 2 4" xfId="16498"/>
    <cellStyle name="Notas 2 2 2 2 3 6 3" xfId="16499"/>
    <cellStyle name="Notas 2 2 2 2 3 6 3 2" xfId="16500"/>
    <cellStyle name="Notas 2 2 2 2 3 6 3 3" xfId="16501"/>
    <cellStyle name="Notas 2 2 2 2 3 6 3 4" xfId="16502"/>
    <cellStyle name="Notas 2 2 2 2 3 6 4" xfId="16503"/>
    <cellStyle name="Notas 2 2 2 2 3 6 4 2" xfId="16504"/>
    <cellStyle name="Notas 2 2 2 2 3 6 4 3" xfId="16505"/>
    <cellStyle name="Notas 2 2 2 2 3 6 4 4" xfId="16506"/>
    <cellStyle name="Notas 2 2 2 2 3 6 5" xfId="16507"/>
    <cellStyle name="Notas 2 2 2 2 3 6 6" xfId="16508"/>
    <cellStyle name="Notas 2 2 2 2 3 6 7" xfId="16509"/>
    <cellStyle name="Notas 2 2 2 2 3 6 8" xfId="16510"/>
    <cellStyle name="Notas 2 2 2 2 3 7" xfId="16511"/>
    <cellStyle name="Notas 2 2 2 2 3 7 2" xfId="16512"/>
    <cellStyle name="Notas 2 2 2 2 3 7 2 2" xfId="16513"/>
    <cellStyle name="Notas 2 2 2 2 3 7 2 3" xfId="16514"/>
    <cellStyle name="Notas 2 2 2 2 3 7 2 4" xfId="16515"/>
    <cellStyle name="Notas 2 2 2 2 3 7 3" xfId="16516"/>
    <cellStyle name="Notas 2 2 2 2 3 7 3 2" xfId="16517"/>
    <cellStyle name="Notas 2 2 2 2 3 7 3 3" xfId="16518"/>
    <cellStyle name="Notas 2 2 2 2 3 7 3 4" xfId="16519"/>
    <cellStyle name="Notas 2 2 2 2 3 7 4" xfId="16520"/>
    <cellStyle name="Notas 2 2 2 2 3 7 4 2" xfId="16521"/>
    <cellStyle name="Notas 2 2 2 2 3 7 4 3" xfId="16522"/>
    <cellStyle name="Notas 2 2 2 2 3 7 4 4" xfId="16523"/>
    <cellStyle name="Notas 2 2 2 2 3 7 5" xfId="16524"/>
    <cellStyle name="Notas 2 2 2 2 3 7 6" xfId="16525"/>
    <cellStyle name="Notas 2 2 2 2 3 7 7" xfId="16526"/>
    <cellStyle name="Notas 2 2 2 2 3 7 8" xfId="16527"/>
    <cellStyle name="Notas 2 2 2 2 3 8" xfId="16528"/>
    <cellStyle name="Notas 2 2 2 2 3 8 2" xfId="16529"/>
    <cellStyle name="Notas 2 2 2 2 3 8 3" xfId="16530"/>
    <cellStyle name="Notas 2 2 2 2 3 8 4" xfId="16531"/>
    <cellStyle name="Notas 2 2 2 2 3 9" xfId="16532"/>
    <cellStyle name="Notas 2 2 2 2 3 9 2" xfId="16533"/>
    <cellStyle name="Notas 2 2 2 2 3 9 3" xfId="16534"/>
    <cellStyle name="Notas 2 2 2 2 3 9 4" xfId="16535"/>
    <cellStyle name="Notas 2 2 2 2 4" xfId="16536"/>
    <cellStyle name="Notas 2 2 2 2 4 2" xfId="16537"/>
    <cellStyle name="Notas 2 2 2 2 4 2 2" xfId="16538"/>
    <cellStyle name="Notas 2 2 2 2 4 2 2 2" xfId="16539"/>
    <cellStyle name="Notas 2 2 2 2 4 2 2 3" xfId="16540"/>
    <cellStyle name="Notas 2 2 2 2 4 2 2 4" xfId="16541"/>
    <cellStyle name="Notas 2 2 2 2 4 2 3" xfId="16542"/>
    <cellStyle name="Notas 2 2 2 2 4 2 3 2" xfId="16543"/>
    <cellStyle name="Notas 2 2 2 2 4 2 3 3" xfId="16544"/>
    <cellStyle name="Notas 2 2 2 2 4 2 3 4" xfId="16545"/>
    <cellStyle name="Notas 2 2 2 2 4 2 4" xfId="16546"/>
    <cellStyle name="Notas 2 2 2 2 4 2 4 2" xfId="16547"/>
    <cellStyle name="Notas 2 2 2 2 4 2 4 3" xfId="16548"/>
    <cellStyle name="Notas 2 2 2 2 4 2 4 4" xfId="16549"/>
    <cellStyle name="Notas 2 2 2 2 4 2 5" xfId="16550"/>
    <cellStyle name="Notas 2 2 2 2 4 2 6" xfId="16551"/>
    <cellStyle name="Notas 2 2 2 2 4 2 7" xfId="16552"/>
    <cellStyle name="Notas 2 2 2 2 4 2 8" xfId="16553"/>
    <cellStyle name="Notas 2 2 2 2 4 3" xfId="16554"/>
    <cellStyle name="Notas 2 2 2 2 4 3 2" xfId="16555"/>
    <cellStyle name="Notas 2 2 2 2 4 3 2 2" xfId="16556"/>
    <cellStyle name="Notas 2 2 2 2 4 3 2 3" xfId="16557"/>
    <cellStyle name="Notas 2 2 2 2 4 3 2 4" xfId="16558"/>
    <cellStyle name="Notas 2 2 2 2 4 3 3" xfId="16559"/>
    <cellStyle name="Notas 2 2 2 2 4 3 3 2" xfId="16560"/>
    <cellStyle name="Notas 2 2 2 2 4 3 3 3" xfId="16561"/>
    <cellStyle name="Notas 2 2 2 2 4 3 3 4" xfId="16562"/>
    <cellStyle name="Notas 2 2 2 2 4 3 4" xfId="16563"/>
    <cellStyle name="Notas 2 2 2 2 4 3 4 2" xfId="16564"/>
    <cellStyle name="Notas 2 2 2 2 4 3 4 3" xfId="16565"/>
    <cellStyle name="Notas 2 2 2 2 4 3 4 4" xfId="16566"/>
    <cellStyle name="Notas 2 2 2 2 4 3 5" xfId="16567"/>
    <cellStyle name="Notas 2 2 2 2 4 3 6" xfId="16568"/>
    <cellStyle name="Notas 2 2 2 2 4 3 7" xfId="16569"/>
    <cellStyle name="Notas 2 2 2 2 4 3 8" xfId="16570"/>
    <cellStyle name="Notas 2 2 2 2 4 4" xfId="16571"/>
    <cellStyle name="Notas 2 2 2 2 4 4 2" xfId="16572"/>
    <cellStyle name="Notas 2 2 2 2 4 4 2 2" xfId="16573"/>
    <cellStyle name="Notas 2 2 2 2 4 4 2 3" xfId="16574"/>
    <cellStyle name="Notas 2 2 2 2 4 4 2 4" xfId="16575"/>
    <cellStyle name="Notas 2 2 2 2 4 4 3" xfId="16576"/>
    <cellStyle name="Notas 2 2 2 2 4 4 3 2" xfId="16577"/>
    <cellStyle name="Notas 2 2 2 2 4 4 3 3" xfId="16578"/>
    <cellStyle name="Notas 2 2 2 2 4 4 3 4" xfId="16579"/>
    <cellStyle name="Notas 2 2 2 2 4 4 4" xfId="16580"/>
    <cellStyle name="Notas 2 2 2 2 4 4 4 2" xfId="16581"/>
    <cellStyle name="Notas 2 2 2 2 4 4 4 3" xfId="16582"/>
    <cellStyle name="Notas 2 2 2 2 4 4 4 4" xfId="16583"/>
    <cellStyle name="Notas 2 2 2 2 4 4 5" xfId="16584"/>
    <cellStyle name="Notas 2 2 2 2 4 4 6" xfId="16585"/>
    <cellStyle name="Notas 2 2 2 2 4 4 7" xfId="16586"/>
    <cellStyle name="Notas 2 2 2 2 4 4 8" xfId="16587"/>
    <cellStyle name="Notas 2 2 2 2 4 5" xfId="16588"/>
    <cellStyle name="Notas 2 2 2 2 4 5 2" xfId="16589"/>
    <cellStyle name="Notas 2 2 2 2 4 5 2 2" xfId="16590"/>
    <cellStyle name="Notas 2 2 2 2 4 5 2 3" xfId="16591"/>
    <cellStyle name="Notas 2 2 2 2 4 5 2 4" xfId="16592"/>
    <cellStyle name="Notas 2 2 2 2 4 5 3" xfId="16593"/>
    <cellStyle name="Notas 2 2 2 2 4 5 3 2" xfId="16594"/>
    <cellStyle name="Notas 2 2 2 2 4 5 3 3" xfId="16595"/>
    <cellStyle name="Notas 2 2 2 2 4 5 3 4" xfId="16596"/>
    <cellStyle name="Notas 2 2 2 2 4 5 4" xfId="16597"/>
    <cellStyle name="Notas 2 2 2 2 4 5 4 2" xfId="16598"/>
    <cellStyle name="Notas 2 2 2 2 4 5 4 3" xfId="16599"/>
    <cellStyle name="Notas 2 2 2 2 4 5 4 4" xfId="16600"/>
    <cellStyle name="Notas 2 2 2 2 4 5 5" xfId="16601"/>
    <cellStyle name="Notas 2 2 2 2 4 5 6" xfId="16602"/>
    <cellStyle name="Notas 2 2 2 2 4 5 7" xfId="16603"/>
    <cellStyle name="Notas 2 2 2 2 4 5 8" xfId="16604"/>
    <cellStyle name="Notas 2 2 2 2 4 6" xfId="16605"/>
    <cellStyle name="Notas 2 2 2 2 4 6 2" xfId="16606"/>
    <cellStyle name="Notas 2 2 2 2 4 6 3" xfId="16607"/>
    <cellStyle name="Notas 2 2 2 2 4 6 4" xfId="16608"/>
    <cellStyle name="Notas 2 2 2 2 4 7" xfId="16609"/>
    <cellStyle name="Notas 2 2 2 2 4 7 2" xfId="16610"/>
    <cellStyle name="Notas 2 2 2 2 4 7 3" xfId="16611"/>
    <cellStyle name="Notas 2 2 2 2 4 7 4" xfId="16612"/>
    <cellStyle name="Notas 2 2 2 2 4 8" xfId="16613"/>
    <cellStyle name="Notas 2 2 2 2 4 9" xfId="16614"/>
    <cellStyle name="Notas 2 2 2 2 5" xfId="16615"/>
    <cellStyle name="Notas 2 2 2 2 5 2" xfId="16616"/>
    <cellStyle name="Notas 2 2 2 2 5 2 2" xfId="16617"/>
    <cellStyle name="Notas 2 2 2 2 5 2 3" xfId="16618"/>
    <cellStyle name="Notas 2 2 2 2 5 2 4" xfId="16619"/>
    <cellStyle name="Notas 2 2 2 2 5 3" xfId="16620"/>
    <cellStyle name="Notas 2 2 2 2 5 3 2" xfId="16621"/>
    <cellStyle name="Notas 2 2 2 2 5 3 3" xfId="16622"/>
    <cellStyle name="Notas 2 2 2 2 5 3 4" xfId="16623"/>
    <cellStyle name="Notas 2 2 2 2 5 4" xfId="16624"/>
    <cellStyle name="Notas 2 2 2 2 5 4 2" xfId="16625"/>
    <cellStyle name="Notas 2 2 2 2 5 4 3" xfId="16626"/>
    <cellStyle name="Notas 2 2 2 2 5 4 4" xfId="16627"/>
    <cellStyle name="Notas 2 2 2 2 5 5" xfId="16628"/>
    <cellStyle name="Notas 2 2 2 2 5 6" xfId="16629"/>
    <cellStyle name="Notas 2 2 2 2 5 7" xfId="16630"/>
    <cellStyle name="Notas 2 2 2 2 5 8" xfId="16631"/>
    <cellStyle name="Notas 2 2 2 2 6" xfId="16632"/>
    <cellStyle name="Notas 2 2 2 2 6 2" xfId="16633"/>
    <cellStyle name="Notas 2 2 2 2 6 2 2" xfId="16634"/>
    <cellStyle name="Notas 2 2 2 2 6 2 3" xfId="16635"/>
    <cellStyle name="Notas 2 2 2 2 6 2 4" xfId="16636"/>
    <cellStyle name="Notas 2 2 2 2 6 3" xfId="16637"/>
    <cellStyle name="Notas 2 2 2 2 6 3 2" xfId="16638"/>
    <cellStyle name="Notas 2 2 2 2 6 3 3" xfId="16639"/>
    <cellStyle name="Notas 2 2 2 2 6 3 4" xfId="16640"/>
    <cellStyle name="Notas 2 2 2 2 6 4" xfId="16641"/>
    <cellStyle name="Notas 2 2 2 2 6 4 2" xfId="16642"/>
    <cellStyle name="Notas 2 2 2 2 6 4 3" xfId="16643"/>
    <cellStyle name="Notas 2 2 2 2 6 4 4" xfId="16644"/>
    <cellStyle name="Notas 2 2 2 2 6 5" xfId="16645"/>
    <cellStyle name="Notas 2 2 2 2 6 6" xfId="16646"/>
    <cellStyle name="Notas 2 2 2 2 6 7" xfId="16647"/>
    <cellStyle name="Notas 2 2 2 2 6 8" xfId="16648"/>
    <cellStyle name="Notas 2 2 2 2 7" xfId="16649"/>
    <cellStyle name="Notas 2 2 2 2 7 2" xfId="16650"/>
    <cellStyle name="Notas 2 2 2 2 7 2 2" xfId="16651"/>
    <cellStyle name="Notas 2 2 2 2 7 2 3" xfId="16652"/>
    <cellStyle name="Notas 2 2 2 2 7 2 4" xfId="16653"/>
    <cellStyle name="Notas 2 2 2 2 7 3" xfId="16654"/>
    <cellStyle name="Notas 2 2 2 2 7 3 2" xfId="16655"/>
    <cellStyle name="Notas 2 2 2 2 7 3 3" xfId="16656"/>
    <cellStyle name="Notas 2 2 2 2 7 3 4" xfId="16657"/>
    <cellStyle name="Notas 2 2 2 2 7 4" xfId="16658"/>
    <cellStyle name="Notas 2 2 2 2 7 4 2" xfId="16659"/>
    <cellStyle name="Notas 2 2 2 2 7 4 3" xfId="16660"/>
    <cellStyle name="Notas 2 2 2 2 7 4 4" xfId="16661"/>
    <cellStyle name="Notas 2 2 2 2 7 5" xfId="16662"/>
    <cellStyle name="Notas 2 2 2 2 7 6" xfId="16663"/>
    <cellStyle name="Notas 2 2 2 2 7 7" xfId="16664"/>
    <cellStyle name="Notas 2 2 2 2 7 8" xfId="16665"/>
    <cellStyle name="Notas 2 2 2 2 8" xfId="16666"/>
    <cellStyle name="Notas 2 2 2 2 8 2" xfId="16667"/>
    <cellStyle name="Notas 2 2 2 2 8 2 2" xfId="16668"/>
    <cellStyle name="Notas 2 2 2 2 8 2 3" xfId="16669"/>
    <cellStyle name="Notas 2 2 2 2 8 2 4" xfId="16670"/>
    <cellStyle name="Notas 2 2 2 2 8 3" xfId="16671"/>
    <cellStyle name="Notas 2 2 2 2 8 3 2" xfId="16672"/>
    <cellStyle name="Notas 2 2 2 2 8 3 3" xfId="16673"/>
    <cellStyle name="Notas 2 2 2 2 8 3 4" xfId="16674"/>
    <cellStyle name="Notas 2 2 2 2 8 4" xfId="16675"/>
    <cellStyle name="Notas 2 2 2 2 8 4 2" xfId="16676"/>
    <cellStyle name="Notas 2 2 2 2 8 4 3" xfId="16677"/>
    <cellStyle name="Notas 2 2 2 2 8 4 4" xfId="16678"/>
    <cellStyle name="Notas 2 2 2 2 8 5" xfId="16679"/>
    <cellStyle name="Notas 2 2 2 2 8 6" xfId="16680"/>
    <cellStyle name="Notas 2 2 2 2 8 7" xfId="16681"/>
    <cellStyle name="Notas 2 2 2 2 8 8" xfId="16682"/>
    <cellStyle name="Notas 2 2 2 2 9" xfId="16683"/>
    <cellStyle name="Notas 2 2 2 2 9 2" xfId="16684"/>
    <cellStyle name="Notas 2 2 2 2 9 2 2" xfId="16685"/>
    <cellStyle name="Notas 2 2 2 2 9 2 3" xfId="16686"/>
    <cellStyle name="Notas 2 2 2 2 9 2 4" xfId="16687"/>
    <cellStyle name="Notas 2 2 2 2 9 3" xfId="16688"/>
    <cellStyle name="Notas 2 2 2 2 9 3 2" xfId="16689"/>
    <cellStyle name="Notas 2 2 2 2 9 3 3" xfId="16690"/>
    <cellStyle name="Notas 2 2 2 2 9 3 4" xfId="16691"/>
    <cellStyle name="Notas 2 2 2 2 9 4" xfId="16692"/>
    <cellStyle name="Notas 2 2 2 2 9 4 2" xfId="16693"/>
    <cellStyle name="Notas 2 2 2 2 9 4 3" xfId="16694"/>
    <cellStyle name="Notas 2 2 2 2 9 4 4" xfId="16695"/>
    <cellStyle name="Notas 2 2 2 2 9 5" xfId="16696"/>
    <cellStyle name="Notas 2 2 2 2 9 6" xfId="16697"/>
    <cellStyle name="Notas 2 2 2 2 9 7" xfId="16698"/>
    <cellStyle name="Notas 2 2 2 2 9 8" xfId="16699"/>
    <cellStyle name="Notas 2 2 2 3" xfId="16700"/>
    <cellStyle name="Notas 2 2 2 3 10" xfId="16701"/>
    <cellStyle name="Notas 2 2 2 3 10 2" xfId="16702"/>
    <cellStyle name="Notas 2 2 2 3 10 3" xfId="16703"/>
    <cellStyle name="Notas 2 2 2 3 10 4" xfId="16704"/>
    <cellStyle name="Notas 2 2 2 3 11" xfId="16705"/>
    <cellStyle name="Notas 2 2 2 3 12" xfId="16706"/>
    <cellStyle name="Notas 2 2 2 3 2" xfId="16707"/>
    <cellStyle name="Notas 2 2 2 3 2 10" xfId="16708"/>
    <cellStyle name="Notas 2 2 2 3 2 11" xfId="16709"/>
    <cellStyle name="Notas 2 2 2 3 2 2" xfId="16710"/>
    <cellStyle name="Notas 2 2 2 3 2 2 2" xfId="16711"/>
    <cellStyle name="Notas 2 2 2 3 2 2 2 2" xfId="16712"/>
    <cellStyle name="Notas 2 2 2 3 2 2 2 2 2" xfId="16713"/>
    <cellStyle name="Notas 2 2 2 3 2 2 2 2 3" xfId="16714"/>
    <cellStyle name="Notas 2 2 2 3 2 2 2 2 4" xfId="16715"/>
    <cellStyle name="Notas 2 2 2 3 2 2 2 3" xfId="16716"/>
    <cellStyle name="Notas 2 2 2 3 2 2 2 3 2" xfId="16717"/>
    <cellStyle name="Notas 2 2 2 3 2 2 2 3 3" xfId="16718"/>
    <cellStyle name="Notas 2 2 2 3 2 2 2 3 4" xfId="16719"/>
    <cellStyle name="Notas 2 2 2 3 2 2 2 4" xfId="16720"/>
    <cellStyle name="Notas 2 2 2 3 2 2 2 4 2" xfId="16721"/>
    <cellStyle name="Notas 2 2 2 3 2 2 2 4 3" xfId="16722"/>
    <cellStyle name="Notas 2 2 2 3 2 2 2 4 4" xfId="16723"/>
    <cellStyle name="Notas 2 2 2 3 2 2 2 5" xfId="16724"/>
    <cellStyle name="Notas 2 2 2 3 2 2 2 6" xfId="16725"/>
    <cellStyle name="Notas 2 2 2 3 2 2 2 7" xfId="16726"/>
    <cellStyle name="Notas 2 2 2 3 2 2 2 8" xfId="16727"/>
    <cellStyle name="Notas 2 2 2 3 2 2 3" xfId="16728"/>
    <cellStyle name="Notas 2 2 2 3 2 2 3 2" xfId="16729"/>
    <cellStyle name="Notas 2 2 2 3 2 2 3 2 2" xfId="16730"/>
    <cellStyle name="Notas 2 2 2 3 2 2 3 2 3" xfId="16731"/>
    <cellStyle name="Notas 2 2 2 3 2 2 3 2 4" xfId="16732"/>
    <cellStyle name="Notas 2 2 2 3 2 2 3 3" xfId="16733"/>
    <cellStyle name="Notas 2 2 2 3 2 2 3 3 2" xfId="16734"/>
    <cellStyle name="Notas 2 2 2 3 2 2 3 3 3" xfId="16735"/>
    <cellStyle name="Notas 2 2 2 3 2 2 3 3 4" xfId="16736"/>
    <cellStyle name="Notas 2 2 2 3 2 2 3 4" xfId="16737"/>
    <cellStyle name="Notas 2 2 2 3 2 2 3 4 2" xfId="16738"/>
    <cellStyle name="Notas 2 2 2 3 2 2 3 4 3" xfId="16739"/>
    <cellStyle name="Notas 2 2 2 3 2 2 3 4 4" xfId="16740"/>
    <cellStyle name="Notas 2 2 2 3 2 2 3 5" xfId="16741"/>
    <cellStyle name="Notas 2 2 2 3 2 2 3 6" xfId="16742"/>
    <cellStyle name="Notas 2 2 2 3 2 2 3 7" xfId="16743"/>
    <cellStyle name="Notas 2 2 2 3 2 2 3 8" xfId="16744"/>
    <cellStyle name="Notas 2 2 2 3 2 2 4" xfId="16745"/>
    <cellStyle name="Notas 2 2 2 3 2 2 4 2" xfId="16746"/>
    <cellStyle name="Notas 2 2 2 3 2 2 4 2 2" xfId="16747"/>
    <cellStyle name="Notas 2 2 2 3 2 2 4 2 3" xfId="16748"/>
    <cellStyle name="Notas 2 2 2 3 2 2 4 2 4" xfId="16749"/>
    <cellStyle name="Notas 2 2 2 3 2 2 4 3" xfId="16750"/>
    <cellStyle name="Notas 2 2 2 3 2 2 4 3 2" xfId="16751"/>
    <cellStyle name="Notas 2 2 2 3 2 2 4 3 3" xfId="16752"/>
    <cellStyle name="Notas 2 2 2 3 2 2 4 3 4" xfId="16753"/>
    <cellStyle name="Notas 2 2 2 3 2 2 4 4" xfId="16754"/>
    <cellStyle name="Notas 2 2 2 3 2 2 4 4 2" xfId="16755"/>
    <cellStyle name="Notas 2 2 2 3 2 2 4 4 3" xfId="16756"/>
    <cellStyle name="Notas 2 2 2 3 2 2 4 4 4" xfId="16757"/>
    <cellStyle name="Notas 2 2 2 3 2 2 4 5" xfId="16758"/>
    <cellStyle name="Notas 2 2 2 3 2 2 4 6" xfId="16759"/>
    <cellStyle name="Notas 2 2 2 3 2 2 4 7" xfId="16760"/>
    <cellStyle name="Notas 2 2 2 3 2 2 4 8" xfId="16761"/>
    <cellStyle name="Notas 2 2 2 3 2 2 5" xfId="16762"/>
    <cellStyle name="Notas 2 2 2 3 2 2 5 2" xfId="16763"/>
    <cellStyle name="Notas 2 2 2 3 2 2 5 2 2" xfId="16764"/>
    <cellStyle name="Notas 2 2 2 3 2 2 5 2 3" xfId="16765"/>
    <cellStyle name="Notas 2 2 2 3 2 2 5 2 4" xfId="16766"/>
    <cellStyle name="Notas 2 2 2 3 2 2 5 3" xfId="16767"/>
    <cellStyle name="Notas 2 2 2 3 2 2 5 3 2" xfId="16768"/>
    <cellStyle name="Notas 2 2 2 3 2 2 5 3 3" xfId="16769"/>
    <cellStyle name="Notas 2 2 2 3 2 2 5 3 4" xfId="16770"/>
    <cellStyle name="Notas 2 2 2 3 2 2 5 4" xfId="16771"/>
    <cellStyle name="Notas 2 2 2 3 2 2 5 4 2" xfId="16772"/>
    <cellStyle name="Notas 2 2 2 3 2 2 5 4 3" xfId="16773"/>
    <cellStyle name="Notas 2 2 2 3 2 2 5 4 4" xfId="16774"/>
    <cellStyle name="Notas 2 2 2 3 2 2 5 5" xfId="16775"/>
    <cellStyle name="Notas 2 2 2 3 2 2 5 6" xfId="16776"/>
    <cellStyle name="Notas 2 2 2 3 2 2 5 7" xfId="16777"/>
    <cellStyle name="Notas 2 2 2 3 2 2 5 8" xfId="16778"/>
    <cellStyle name="Notas 2 2 2 3 2 2 6" xfId="16779"/>
    <cellStyle name="Notas 2 2 2 3 2 2 6 2" xfId="16780"/>
    <cellStyle name="Notas 2 2 2 3 2 2 6 3" xfId="16781"/>
    <cellStyle name="Notas 2 2 2 3 2 2 6 4" xfId="16782"/>
    <cellStyle name="Notas 2 2 2 3 2 2 7" xfId="16783"/>
    <cellStyle name="Notas 2 2 2 3 2 2 7 2" xfId="16784"/>
    <cellStyle name="Notas 2 2 2 3 2 2 7 3" xfId="16785"/>
    <cellStyle name="Notas 2 2 2 3 2 2 7 4" xfId="16786"/>
    <cellStyle name="Notas 2 2 2 3 2 2 8" xfId="16787"/>
    <cellStyle name="Notas 2 2 2 3 2 2 9" xfId="16788"/>
    <cellStyle name="Notas 2 2 2 3 2 3" xfId="16789"/>
    <cellStyle name="Notas 2 2 2 3 2 3 2" xfId="16790"/>
    <cellStyle name="Notas 2 2 2 3 2 3 2 2" xfId="16791"/>
    <cellStyle name="Notas 2 2 2 3 2 3 2 3" xfId="16792"/>
    <cellStyle name="Notas 2 2 2 3 2 3 2 4" xfId="16793"/>
    <cellStyle name="Notas 2 2 2 3 2 3 3" xfId="16794"/>
    <cellStyle name="Notas 2 2 2 3 2 3 3 2" xfId="16795"/>
    <cellStyle name="Notas 2 2 2 3 2 3 3 3" xfId="16796"/>
    <cellStyle name="Notas 2 2 2 3 2 3 3 4" xfId="16797"/>
    <cellStyle name="Notas 2 2 2 3 2 3 4" xfId="16798"/>
    <cellStyle name="Notas 2 2 2 3 2 3 4 2" xfId="16799"/>
    <cellStyle name="Notas 2 2 2 3 2 3 4 3" xfId="16800"/>
    <cellStyle name="Notas 2 2 2 3 2 3 4 4" xfId="16801"/>
    <cellStyle name="Notas 2 2 2 3 2 3 5" xfId="16802"/>
    <cellStyle name="Notas 2 2 2 3 2 3 6" xfId="16803"/>
    <cellStyle name="Notas 2 2 2 3 2 3 7" xfId="16804"/>
    <cellStyle name="Notas 2 2 2 3 2 3 8" xfId="16805"/>
    <cellStyle name="Notas 2 2 2 3 2 4" xfId="16806"/>
    <cellStyle name="Notas 2 2 2 3 2 4 2" xfId="16807"/>
    <cellStyle name="Notas 2 2 2 3 2 4 2 2" xfId="16808"/>
    <cellStyle name="Notas 2 2 2 3 2 4 2 3" xfId="16809"/>
    <cellStyle name="Notas 2 2 2 3 2 4 2 4" xfId="16810"/>
    <cellStyle name="Notas 2 2 2 3 2 4 3" xfId="16811"/>
    <cellStyle name="Notas 2 2 2 3 2 4 3 2" xfId="16812"/>
    <cellStyle name="Notas 2 2 2 3 2 4 3 3" xfId="16813"/>
    <cellStyle name="Notas 2 2 2 3 2 4 3 4" xfId="16814"/>
    <cellStyle name="Notas 2 2 2 3 2 4 4" xfId="16815"/>
    <cellStyle name="Notas 2 2 2 3 2 4 4 2" xfId="16816"/>
    <cellStyle name="Notas 2 2 2 3 2 4 4 3" xfId="16817"/>
    <cellStyle name="Notas 2 2 2 3 2 4 4 4" xfId="16818"/>
    <cellStyle name="Notas 2 2 2 3 2 4 5" xfId="16819"/>
    <cellStyle name="Notas 2 2 2 3 2 4 6" xfId="16820"/>
    <cellStyle name="Notas 2 2 2 3 2 4 7" xfId="16821"/>
    <cellStyle name="Notas 2 2 2 3 2 4 8" xfId="16822"/>
    <cellStyle name="Notas 2 2 2 3 2 5" xfId="16823"/>
    <cellStyle name="Notas 2 2 2 3 2 5 2" xfId="16824"/>
    <cellStyle name="Notas 2 2 2 3 2 5 2 2" xfId="16825"/>
    <cellStyle name="Notas 2 2 2 3 2 5 2 3" xfId="16826"/>
    <cellStyle name="Notas 2 2 2 3 2 5 2 4" xfId="16827"/>
    <cellStyle name="Notas 2 2 2 3 2 5 3" xfId="16828"/>
    <cellStyle name="Notas 2 2 2 3 2 5 3 2" xfId="16829"/>
    <cellStyle name="Notas 2 2 2 3 2 5 3 3" xfId="16830"/>
    <cellStyle name="Notas 2 2 2 3 2 5 3 4" xfId="16831"/>
    <cellStyle name="Notas 2 2 2 3 2 5 4" xfId="16832"/>
    <cellStyle name="Notas 2 2 2 3 2 5 4 2" xfId="16833"/>
    <cellStyle name="Notas 2 2 2 3 2 5 4 3" xfId="16834"/>
    <cellStyle name="Notas 2 2 2 3 2 5 4 4" xfId="16835"/>
    <cellStyle name="Notas 2 2 2 3 2 5 5" xfId="16836"/>
    <cellStyle name="Notas 2 2 2 3 2 5 6" xfId="16837"/>
    <cellStyle name="Notas 2 2 2 3 2 5 7" xfId="16838"/>
    <cellStyle name="Notas 2 2 2 3 2 5 8" xfId="16839"/>
    <cellStyle name="Notas 2 2 2 3 2 6" xfId="16840"/>
    <cellStyle name="Notas 2 2 2 3 2 6 2" xfId="16841"/>
    <cellStyle name="Notas 2 2 2 3 2 6 2 2" xfId="16842"/>
    <cellStyle name="Notas 2 2 2 3 2 6 2 3" xfId="16843"/>
    <cellStyle name="Notas 2 2 2 3 2 6 2 4" xfId="16844"/>
    <cellStyle name="Notas 2 2 2 3 2 6 3" xfId="16845"/>
    <cellStyle name="Notas 2 2 2 3 2 6 3 2" xfId="16846"/>
    <cellStyle name="Notas 2 2 2 3 2 6 3 3" xfId="16847"/>
    <cellStyle name="Notas 2 2 2 3 2 6 3 4" xfId="16848"/>
    <cellStyle name="Notas 2 2 2 3 2 6 4" xfId="16849"/>
    <cellStyle name="Notas 2 2 2 3 2 6 4 2" xfId="16850"/>
    <cellStyle name="Notas 2 2 2 3 2 6 4 3" xfId="16851"/>
    <cellStyle name="Notas 2 2 2 3 2 6 4 4" xfId="16852"/>
    <cellStyle name="Notas 2 2 2 3 2 6 5" xfId="16853"/>
    <cellStyle name="Notas 2 2 2 3 2 6 6" xfId="16854"/>
    <cellStyle name="Notas 2 2 2 3 2 6 7" xfId="16855"/>
    <cellStyle name="Notas 2 2 2 3 2 6 8" xfId="16856"/>
    <cellStyle name="Notas 2 2 2 3 2 7" xfId="16857"/>
    <cellStyle name="Notas 2 2 2 3 2 7 2" xfId="16858"/>
    <cellStyle name="Notas 2 2 2 3 2 7 2 2" xfId="16859"/>
    <cellStyle name="Notas 2 2 2 3 2 7 2 3" xfId="16860"/>
    <cellStyle name="Notas 2 2 2 3 2 7 2 4" xfId="16861"/>
    <cellStyle name="Notas 2 2 2 3 2 7 3" xfId="16862"/>
    <cellStyle name="Notas 2 2 2 3 2 7 3 2" xfId="16863"/>
    <cellStyle name="Notas 2 2 2 3 2 7 3 3" xfId="16864"/>
    <cellStyle name="Notas 2 2 2 3 2 7 3 4" xfId="16865"/>
    <cellStyle name="Notas 2 2 2 3 2 7 4" xfId="16866"/>
    <cellStyle name="Notas 2 2 2 3 2 7 4 2" xfId="16867"/>
    <cellStyle name="Notas 2 2 2 3 2 7 4 3" xfId="16868"/>
    <cellStyle name="Notas 2 2 2 3 2 7 4 4" xfId="16869"/>
    <cellStyle name="Notas 2 2 2 3 2 7 5" xfId="16870"/>
    <cellStyle name="Notas 2 2 2 3 2 7 6" xfId="16871"/>
    <cellStyle name="Notas 2 2 2 3 2 7 7" xfId="16872"/>
    <cellStyle name="Notas 2 2 2 3 2 7 8" xfId="16873"/>
    <cellStyle name="Notas 2 2 2 3 2 8" xfId="16874"/>
    <cellStyle name="Notas 2 2 2 3 2 8 2" xfId="16875"/>
    <cellStyle name="Notas 2 2 2 3 2 8 3" xfId="16876"/>
    <cellStyle name="Notas 2 2 2 3 2 8 4" xfId="16877"/>
    <cellStyle name="Notas 2 2 2 3 2 9" xfId="16878"/>
    <cellStyle name="Notas 2 2 2 3 2 9 2" xfId="16879"/>
    <cellStyle name="Notas 2 2 2 3 2 9 3" xfId="16880"/>
    <cellStyle name="Notas 2 2 2 3 2 9 4" xfId="16881"/>
    <cellStyle name="Notas 2 2 2 3 3" xfId="16882"/>
    <cellStyle name="Notas 2 2 2 3 3 2" xfId="16883"/>
    <cellStyle name="Notas 2 2 2 3 3 2 2" xfId="16884"/>
    <cellStyle name="Notas 2 2 2 3 3 2 2 2" xfId="16885"/>
    <cellStyle name="Notas 2 2 2 3 3 2 2 3" xfId="16886"/>
    <cellStyle name="Notas 2 2 2 3 3 2 2 4" xfId="16887"/>
    <cellStyle name="Notas 2 2 2 3 3 2 3" xfId="16888"/>
    <cellStyle name="Notas 2 2 2 3 3 2 3 2" xfId="16889"/>
    <cellStyle name="Notas 2 2 2 3 3 2 3 3" xfId="16890"/>
    <cellStyle name="Notas 2 2 2 3 3 2 3 4" xfId="16891"/>
    <cellStyle name="Notas 2 2 2 3 3 2 4" xfId="16892"/>
    <cellStyle name="Notas 2 2 2 3 3 2 4 2" xfId="16893"/>
    <cellStyle name="Notas 2 2 2 3 3 2 4 3" xfId="16894"/>
    <cellStyle name="Notas 2 2 2 3 3 2 4 4" xfId="16895"/>
    <cellStyle name="Notas 2 2 2 3 3 2 5" xfId="16896"/>
    <cellStyle name="Notas 2 2 2 3 3 2 6" xfId="16897"/>
    <cellStyle name="Notas 2 2 2 3 3 2 7" xfId="16898"/>
    <cellStyle name="Notas 2 2 2 3 3 2 8" xfId="16899"/>
    <cellStyle name="Notas 2 2 2 3 3 3" xfId="16900"/>
    <cellStyle name="Notas 2 2 2 3 3 3 2" xfId="16901"/>
    <cellStyle name="Notas 2 2 2 3 3 3 2 2" xfId="16902"/>
    <cellStyle name="Notas 2 2 2 3 3 3 2 3" xfId="16903"/>
    <cellStyle name="Notas 2 2 2 3 3 3 2 4" xfId="16904"/>
    <cellStyle name="Notas 2 2 2 3 3 3 3" xfId="16905"/>
    <cellStyle name="Notas 2 2 2 3 3 3 3 2" xfId="16906"/>
    <cellStyle name="Notas 2 2 2 3 3 3 3 3" xfId="16907"/>
    <cellStyle name="Notas 2 2 2 3 3 3 3 4" xfId="16908"/>
    <cellStyle name="Notas 2 2 2 3 3 3 4" xfId="16909"/>
    <cellStyle name="Notas 2 2 2 3 3 3 4 2" xfId="16910"/>
    <cellStyle name="Notas 2 2 2 3 3 3 4 3" xfId="16911"/>
    <cellStyle name="Notas 2 2 2 3 3 3 4 4" xfId="16912"/>
    <cellStyle name="Notas 2 2 2 3 3 3 5" xfId="16913"/>
    <cellStyle name="Notas 2 2 2 3 3 3 6" xfId="16914"/>
    <cellStyle name="Notas 2 2 2 3 3 3 7" xfId="16915"/>
    <cellStyle name="Notas 2 2 2 3 3 3 8" xfId="16916"/>
    <cellStyle name="Notas 2 2 2 3 3 4" xfId="16917"/>
    <cellStyle name="Notas 2 2 2 3 3 4 2" xfId="16918"/>
    <cellStyle name="Notas 2 2 2 3 3 4 2 2" xfId="16919"/>
    <cellStyle name="Notas 2 2 2 3 3 4 2 3" xfId="16920"/>
    <cellStyle name="Notas 2 2 2 3 3 4 2 4" xfId="16921"/>
    <cellStyle name="Notas 2 2 2 3 3 4 3" xfId="16922"/>
    <cellStyle name="Notas 2 2 2 3 3 4 3 2" xfId="16923"/>
    <cellStyle name="Notas 2 2 2 3 3 4 3 3" xfId="16924"/>
    <cellStyle name="Notas 2 2 2 3 3 4 3 4" xfId="16925"/>
    <cellStyle name="Notas 2 2 2 3 3 4 4" xfId="16926"/>
    <cellStyle name="Notas 2 2 2 3 3 4 4 2" xfId="16927"/>
    <cellStyle name="Notas 2 2 2 3 3 4 4 3" xfId="16928"/>
    <cellStyle name="Notas 2 2 2 3 3 4 4 4" xfId="16929"/>
    <cellStyle name="Notas 2 2 2 3 3 4 5" xfId="16930"/>
    <cellStyle name="Notas 2 2 2 3 3 4 6" xfId="16931"/>
    <cellStyle name="Notas 2 2 2 3 3 4 7" xfId="16932"/>
    <cellStyle name="Notas 2 2 2 3 3 4 8" xfId="16933"/>
    <cellStyle name="Notas 2 2 2 3 3 5" xfId="16934"/>
    <cellStyle name="Notas 2 2 2 3 3 5 2" xfId="16935"/>
    <cellStyle name="Notas 2 2 2 3 3 5 2 2" xfId="16936"/>
    <cellStyle name="Notas 2 2 2 3 3 5 2 3" xfId="16937"/>
    <cellStyle name="Notas 2 2 2 3 3 5 2 4" xfId="16938"/>
    <cellStyle name="Notas 2 2 2 3 3 5 3" xfId="16939"/>
    <cellStyle name="Notas 2 2 2 3 3 5 3 2" xfId="16940"/>
    <cellStyle name="Notas 2 2 2 3 3 5 3 3" xfId="16941"/>
    <cellStyle name="Notas 2 2 2 3 3 5 3 4" xfId="16942"/>
    <cellStyle name="Notas 2 2 2 3 3 5 4" xfId="16943"/>
    <cellStyle name="Notas 2 2 2 3 3 5 4 2" xfId="16944"/>
    <cellStyle name="Notas 2 2 2 3 3 5 4 3" xfId="16945"/>
    <cellStyle name="Notas 2 2 2 3 3 5 4 4" xfId="16946"/>
    <cellStyle name="Notas 2 2 2 3 3 5 5" xfId="16947"/>
    <cellStyle name="Notas 2 2 2 3 3 5 6" xfId="16948"/>
    <cellStyle name="Notas 2 2 2 3 3 5 7" xfId="16949"/>
    <cellStyle name="Notas 2 2 2 3 3 5 8" xfId="16950"/>
    <cellStyle name="Notas 2 2 2 3 3 6" xfId="16951"/>
    <cellStyle name="Notas 2 2 2 3 3 6 2" xfId="16952"/>
    <cellStyle name="Notas 2 2 2 3 3 6 3" xfId="16953"/>
    <cellStyle name="Notas 2 2 2 3 3 6 4" xfId="16954"/>
    <cellStyle name="Notas 2 2 2 3 3 7" xfId="16955"/>
    <cellStyle name="Notas 2 2 2 3 3 7 2" xfId="16956"/>
    <cellStyle name="Notas 2 2 2 3 3 7 3" xfId="16957"/>
    <cellStyle name="Notas 2 2 2 3 3 7 4" xfId="16958"/>
    <cellStyle name="Notas 2 2 2 3 3 8" xfId="16959"/>
    <cellStyle name="Notas 2 2 2 3 3 9" xfId="16960"/>
    <cellStyle name="Notas 2 2 2 3 4" xfId="16961"/>
    <cellStyle name="Notas 2 2 2 3 4 2" xfId="16962"/>
    <cellStyle name="Notas 2 2 2 3 4 2 2" xfId="16963"/>
    <cellStyle name="Notas 2 2 2 3 4 2 3" xfId="16964"/>
    <cellStyle name="Notas 2 2 2 3 4 2 4" xfId="16965"/>
    <cellStyle name="Notas 2 2 2 3 4 3" xfId="16966"/>
    <cellStyle name="Notas 2 2 2 3 4 3 2" xfId="16967"/>
    <cellStyle name="Notas 2 2 2 3 4 3 3" xfId="16968"/>
    <cellStyle name="Notas 2 2 2 3 4 3 4" xfId="16969"/>
    <cellStyle name="Notas 2 2 2 3 4 4" xfId="16970"/>
    <cellStyle name="Notas 2 2 2 3 4 4 2" xfId="16971"/>
    <cellStyle name="Notas 2 2 2 3 4 4 3" xfId="16972"/>
    <cellStyle name="Notas 2 2 2 3 4 4 4" xfId="16973"/>
    <cellStyle name="Notas 2 2 2 3 4 5" xfId="16974"/>
    <cellStyle name="Notas 2 2 2 3 4 6" xfId="16975"/>
    <cellStyle name="Notas 2 2 2 3 4 7" xfId="16976"/>
    <cellStyle name="Notas 2 2 2 3 4 8" xfId="16977"/>
    <cellStyle name="Notas 2 2 2 3 5" xfId="16978"/>
    <cellStyle name="Notas 2 2 2 3 5 2" xfId="16979"/>
    <cellStyle name="Notas 2 2 2 3 5 2 2" xfId="16980"/>
    <cellStyle name="Notas 2 2 2 3 5 2 3" xfId="16981"/>
    <cellStyle name="Notas 2 2 2 3 5 2 4" xfId="16982"/>
    <cellStyle name="Notas 2 2 2 3 5 3" xfId="16983"/>
    <cellStyle name="Notas 2 2 2 3 5 3 2" xfId="16984"/>
    <cellStyle name="Notas 2 2 2 3 5 3 3" xfId="16985"/>
    <cellStyle name="Notas 2 2 2 3 5 3 4" xfId="16986"/>
    <cellStyle name="Notas 2 2 2 3 5 4" xfId="16987"/>
    <cellStyle name="Notas 2 2 2 3 5 4 2" xfId="16988"/>
    <cellStyle name="Notas 2 2 2 3 5 4 3" xfId="16989"/>
    <cellStyle name="Notas 2 2 2 3 5 4 4" xfId="16990"/>
    <cellStyle name="Notas 2 2 2 3 5 5" xfId="16991"/>
    <cellStyle name="Notas 2 2 2 3 5 6" xfId="16992"/>
    <cellStyle name="Notas 2 2 2 3 5 7" xfId="16993"/>
    <cellStyle name="Notas 2 2 2 3 5 8" xfId="16994"/>
    <cellStyle name="Notas 2 2 2 3 6" xfId="16995"/>
    <cellStyle name="Notas 2 2 2 3 6 2" xfId="16996"/>
    <cellStyle name="Notas 2 2 2 3 6 2 2" xfId="16997"/>
    <cellStyle name="Notas 2 2 2 3 6 2 3" xfId="16998"/>
    <cellStyle name="Notas 2 2 2 3 6 2 4" xfId="16999"/>
    <cellStyle name="Notas 2 2 2 3 6 3" xfId="17000"/>
    <cellStyle name="Notas 2 2 2 3 6 3 2" xfId="17001"/>
    <cellStyle name="Notas 2 2 2 3 6 3 3" xfId="17002"/>
    <cellStyle name="Notas 2 2 2 3 6 3 4" xfId="17003"/>
    <cellStyle name="Notas 2 2 2 3 6 4" xfId="17004"/>
    <cellStyle name="Notas 2 2 2 3 6 4 2" xfId="17005"/>
    <cellStyle name="Notas 2 2 2 3 6 4 3" xfId="17006"/>
    <cellStyle name="Notas 2 2 2 3 6 4 4" xfId="17007"/>
    <cellStyle name="Notas 2 2 2 3 6 5" xfId="17008"/>
    <cellStyle name="Notas 2 2 2 3 6 6" xfId="17009"/>
    <cellStyle name="Notas 2 2 2 3 6 7" xfId="17010"/>
    <cellStyle name="Notas 2 2 2 3 6 8" xfId="17011"/>
    <cellStyle name="Notas 2 2 2 3 7" xfId="17012"/>
    <cellStyle name="Notas 2 2 2 3 7 2" xfId="17013"/>
    <cellStyle name="Notas 2 2 2 3 7 2 2" xfId="17014"/>
    <cellStyle name="Notas 2 2 2 3 7 2 3" xfId="17015"/>
    <cellStyle name="Notas 2 2 2 3 7 2 4" xfId="17016"/>
    <cellStyle name="Notas 2 2 2 3 7 3" xfId="17017"/>
    <cellStyle name="Notas 2 2 2 3 7 3 2" xfId="17018"/>
    <cellStyle name="Notas 2 2 2 3 7 3 3" xfId="17019"/>
    <cellStyle name="Notas 2 2 2 3 7 3 4" xfId="17020"/>
    <cellStyle name="Notas 2 2 2 3 7 4" xfId="17021"/>
    <cellStyle name="Notas 2 2 2 3 7 4 2" xfId="17022"/>
    <cellStyle name="Notas 2 2 2 3 7 4 3" xfId="17023"/>
    <cellStyle name="Notas 2 2 2 3 7 4 4" xfId="17024"/>
    <cellStyle name="Notas 2 2 2 3 7 5" xfId="17025"/>
    <cellStyle name="Notas 2 2 2 3 7 6" xfId="17026"/>
    <cellStyle name="Notas 2 2 2 3 7 7" xfId="17027"/>
    <cellStyle name="Notas 2 2 2 3 7 8" xfId="17028"/>
    <cellStyle name="Notas 2 2 2 3 8" xfId="17029"/>
    <cellStyle name="Notas 2 2 2 3 8 2" xfId="17030"/>
    <cellStyle name="Notas 2 2 2 3 8 2 2" xfId="17031"/>
    <cellStyle name="Notas 2 2 2 3 8 2 3" xfId="17032"/>
    <cellStyle name="Notas 2 2 2 3 8 2 4" xfId="17033"/>
    <cellStyle name="Notas 2 2 2 3 8 3" xfId="17034"/>
    <cellStyle name="Notas 2 2 2 3 8 3 2" xfId="17035"/>
    <cellStyle name="Notas 2 2 2 3 8 3 3" xfId="17036"/>
    <cellStyle name="Notas 2 2 2 3 8 3 4" xfId="17037"/>
    <cellStyle name="Notas 2 2 2 3 8 4" xfId="17038"/>
    <cellStyle name="Notas 2 2 2 3 8 4 2" xfId="17039"/>
    <cellStyle name="Notas 2 2 2 3 8 4 3" xfId="17040"/>
    <cellStyle name="Notas 2 2 2 3 8 4 4" xfId="17041"/>
    <cellStyle name="Notas 2 2 2 3 8 5" xfId="17042"/>
    <cellStyle name="Notas 2 2 2 3 8 6" xfId="17043"/>
    <cellStyle name="Notas 2 2 2 3 8 7" xfId="17044"/>
    <cellStyle name="Notas 2 2 2 3 8 8" xfId="17045"/>
    <cellStyle name="Notas 2 2 2 3 9" xfId="17046"/>
    <cellStyle name="Notas 2 2 2 3 9 2" xfId="17047"/>
    <cellStyle name="Notas 2 2 2 3 9 3" xfId="17048"/>
    <cellStyle name="Notas 2 2 2 3 9 4" xfId="17049"/>
    <cellStyle name="Notas 2 2 2 4" xfId="17050"/>
    <cellStyle name="Notas 2 2 2 4 10" xfId="17051"/>
    <cellStyle name="Notas 2 2 2 4 11" xfId="17052"/>
    <cellStyle name="Notas 2 2 2 4 2" xfId="17053"/>
    <cellStyle name="Notas 2 2 2 4 2 2" xfId="17054"/>
    <cellStyle name="Notas 2 2 2 4 2 2 2" xfId="17055"/>
    <cellStyle name="Notas 2 2 2 4 2 2 2 2" xfId="17056"/>
    <cellStyle name="Notas 2 2 2 4 2 2 2 3" xfId="17057"/>
    <cellStyle name="Notas 2 2 2 4 2 2 2 4" xfId="17058"/>
    <cellStyle name="Notas 2 2 2 4 2 2 3" xfId="17059"/>
    <cellStyle name="Notas 2 2 2 4 2 2 3 2" xfId="17060"/>
    <cellStyle name="Notas 2 2 2 4 2 2 3 3" xfId="17061"/>
    <cellStyle name="Notas 2 2 2 4 2 2 3 4" xfId="17062"/>
    <cellStyle name="Notas 2 2 2 4 2 2 4" xfId="17063"/>
    <cellStyle name="Notas 2 2 2 4 2 2 4 2" xfId="17064"/>
    <cellStyle name="Notas 2 2 2 4 2 2 4 3" xfId="17065"/>
    <cellStyle name="Notas 2 2 2 4 2 2 4 4" xfId="17066"/>
    <cellStyle name="Notas 2 2 2 4 2 2 5" xfId="17067"/>
    <cellStyle name="Notas 2 2 2 4 2 2 6" xfId="17068"/>
    <cellStyle name="Notas 2 2 2 4 2 2 7" xfId="17069"/>
    <cellStyle name="Notas 2 2 2 4 2 2 8" xfId="17070"/>
    <cellStyle name="Notas 2 2 2 4 2 3" xfId="17071"/>
    <cellStyle name="Notas 2 2 2 4 2 3 2" xfId="17072"/>
    <cellStyle name="Notas 2 2 2 4 2 3 2 2" xfId="17073"/>
    <cellStyle name="Notas 2 2 2 4 2 3 2 3" xfId="17074"/>
    <cellStyle name="Notas 2 2 2 4 2 3 2 4" xfId="17075"/>
    <cellStyle name="Notas 2 2 2 4 2 3 3" xfId="17076"/>
    <cellStyle name="Notas 2 2 2 4 2 3 3 2" xfId="17077"/>
    <cellStyle name="Notas 2 2 2 4 2 3 3 3" xfId="17078"/>
    <cellStyle name="Notas 2 2 2 4 2 3 3 4" xfId="17079"/>
    <cellStyle name="Notas 2 2 2 4 2 3 4" xfId="17080"/>
    <cellStyle name="Notas 2 2 2 4 2 3 4 2" xfId="17081"/>
    <cellStyle name="Notas 2 2 2 4 2 3 4 3" xfId="17082"/>
    <cellStyle name="Notas 2 2 2 4 2 3 4 4" xfId="17083"/>
    <cellStyle name="Notas 2 2 2 4 2 3 5" xfId="17084"/>
    <cellStyle name="Notas 2 2 2 4 2 3 6" xfId="17085"/>
    <cellStyle name="Notas 2 2 2 4 2 3 7" xfId="17086"/>
    <cellStyle name="Notas 2 2 2 4 2 3 8" xfId="17087"/>
    <cellStyle name="Notas 2 2 2 4 2 4" xfId="17088"/>
    <cellStyle name="Notas 2 2 2 4 2 4 2" xfId="17089"/>
    <cellStyle name="Notas 2 2 2 4 2 4 2 2" xfId="17090"/>
    <cellStyle name="Notas 2 2 2 4 2 4 2 3" xfId="17091"/>
    <cellStyle name="Notas 2 2 2 4 2 4 2 4" xfId="17092"/>
    <cellStyle name="Notas 2 2 2 4 2 4 3" xfId="17093"/>
    <cellStyle name="Notas 2 2 2 4 2 4 3 2" xfId="17094"/>
    <cellStyle name="Notas 2 2 2 4 2 4 3 3" xfId="17095"/>
    <cellStyle name="Notas 2 2 2 4 2 4 3 4" xfId="17096"/>
    <cellStyle name="Notas 2 2 2 4 2 4 4" xfId="17097"/>
    <cellStyle name="Notas 2 2 2 4 2 4 4 2" xfId="17098"/>
    <cellStyle name="Notas 2 2 2 4 2 4 4 3" xfId="17099"/>
    <cellStyle name="Notas 2 2 2 4 2 4 4 4" xfId="17100"/>
    <cellStyle name="Notas 2 2 2 4 2 4 5" xfId="17101"/>
    <cellStyle name="Notas 2 2 2 4 2 4 6" xfId="17102"/>
    <cellStyle name="Notas 2 2 2 4 2 4 7" xfId="17103"/>
    <cellStyle name="Notas 2 2 2 4 2 4 8" xfId="17104"/>
    <cellStyle name="Notas 2 2 2 4 2 5" xfId="17105"/>
    <cellStyle name="Notas 2 2 2 4 2 5 2" xfId="17106"/>
    <cellStyle name="Notas 2 2 2 4 2 5 2 2" xfId="17107"/>
    <cellStyle name="Notas 2 2 2 4 2 5 2 3" xfId="17108"/>
    <cellStyle name="Notas 2 2 2 4 2 5 2 4" xfId="17109"/>
    <cellStyle name="Notas 2 2 2 4 2 5 3" xfId="17110"/>
    <cellStyle name="Notas 2 2 2 4 2 5 3 2" xfId="17111"/>
    <cellStyle name="Notas 2 2 2 4 2 5 3 3" xfId="17112"/>
    <cellStyle name="Notas 2 2 2 4 2 5 3 4" xfId="17113"/>
    <cellStyle name="Notas 2 2 2 4 2 5 4" xfId="17114"/>
    <cellStyle name="Notas 2 2 2 4 2 5 4 2" xfId="17115"/>
    <cellStyle name="Notas 2 2 2 4 2 5 4 3" xfId="17116"/>
    <cellStyle name="Notas 2 2 2 4 2 5 4 4" xfId="17117"/>
    <cellStyle name="Notas 2 2 2 4 2 5 5" xfId="17118"/>
    <cellStyle name="Notas 2 2 2 4 2 5 6" xfId="17119"/>
    <cellStyle name="Notas 2 2 2 4 2 5 7" xfId="17120"/>
    <cellStyle name="Notas 2 2 2 4 2 5 8" xfId="17121"/>
    <cellStyle name="Notas 2 2 2 4 2 6" xfId="17122"/>
    <cellStyle name="Notas 2 2 2 4 2 6 2" xfId="17123"/>
    <cellStyle name="Notas 2 2 2 4 2 6 3" xfId="17124"/>
    <cellStyle name="Notas 2 2 2 4 2 6 4" xfId="17125"/>
    <cellStyle name="Notas 2 2 2 4 2 7" xfId="17126"/>
    <cellStyle name="Notas 2 2 2 4 2 7 2" xfId="17127"/>
    <cellStyle name="Notas 2 2 2 4 2 7 3" xfId="17128"/>
    <cellStyle name="Notas 2 2 2 4 2 7 4" xfId="17129"/>
    <cellStyle name="Notas 2 2 2 4 2 8" xfId="17130"/>
    <cellStyle name="Notas 2 2 2 4 2 9" xfId="17131"/>
    <cellStyle name="Notas 2 2 2 4 3" xfId="17132"/>
    <cellStyle name="Notas 2 2 2 4 3 2" xfId="17133"/>
    <cellStyle name="Notas 2 2 2 4 3 2 2" xfId="17134"/>
    <cellStyle name="Notas 2 2 2 4 3 2 3" xfId="17135"/>
    <cellStyle name="Notas 2 2 2 4 3 2 4" xfId="17136"/>
    <cellStyle name="Notas 2 2 2 4 3 3" xfId="17137"/>
    <cellStyle name="Notas 2 2 2 4 3 3 2" xfId="17138"/>
    <cellStyle name="Notas 2 2 2 4 3 3 3" xfId="17139"/>
    <cellStyle name="Notas 2 2 2 4 3 3 4" xfId="17140"/>
    <cellStyle name="Notas 2 2 2 4 3 4" xfId="17141"/>
    <cellStyle name="Notas 2 2 2 4 3 4 2" xfId="17142"/>
    <cellStyle name="Notas 2 2 2 4 3 4 3" xfId="17143"/>
    <cellStyle name="Notas 2 2 2 4 3 4 4" xfId="17144"/>
    <cellStyle name="Notas 2 2 2 4 3 5" xfId="17145"/>
    <cellStyle name="Notas 2 2 2 4 3 6" xfId="17146"/>
    <cellStyle name="Notas 2 2 2 4 3 7" xfId="17147"/>
    <cellStyle name="Notas 2 2 2 4 3 8" xfId="17148"/>
    <cellStyle name="Notas 2 2 2 4 4" xfId="17149"/>
    <cellStyle name="Notas 2 2 2 4 4 2" xfId="17150"/>
    <cellStyle name="Notas 2 2 2 4 4 2 2" xfId="17151"/>
    <cellStyle name="Notas 2 2 2 4 4 2 3" xfId="17152"/>
    <cellStyle name="Notas 2 2 2 4 4 2 4" xfId="17153"/>
    <cellStyle name="Notas 2 2 2 4 4 3" xfId="17154"/>
    <cellStyle name="Notas 2 2 2 4 4 3 2" xfId="17155"/>
    <cellStyle name="Notas 2 2 2 4 4 3 3" xfId="17156"/>
    <cellStyle name="Notas 2 2 2 4 4 3 4" xfId="17157"/>
    <cellStyle name="Notas 2 2 2 4 4 4" xfId="17158"/>
    <cellStyle name="Notas 2 2 2 4 4 4 2" xfId="17159"/>
    <cellStyle name="Notas 2 2 2 4 4 4 3" xfId="17160"/>
    <cellStyle name="Notas 2 2 2 4 4 4 4" xfId="17161"/>
    <cellStyle name="Notas 2 2 2 4 4 5" xfId="17162"/>
    <cellStyle name="Notas 2 2 2 4 4 6" xfId="17163"/>
    <cellStyle name="Notas 2 2 2 4 4 7" xfId="17164"/>
    <cellStyle name="Notas 2 2 2 4 4 8" xfId="17165"/>
    <cellStyle name="Notas 2 2 2 4 5" xfId="17166"/>
    <cellStyle name="Notas 2 2 2 4 5 2" xfId="17167"/>
    <cellStyle name="Notas 2 2 2 4 5 2 2" xfId="17168"/>
    <cellStyle name="Notas 2 2 2 4 5 2 3" xfId="17169"/>
    <cellStyle name="Notas 2 2 2 4 5 2 4" xfId="17170"/>
    <cellStyle name="Notas 2 2 2 4 5 3" xfId="17171"/>
    <cellStyle name="Notas 2 2 2 4 5 3 2" xfId="17172"/>
    <cellStyle name="Notas 2 2 2 4 5 3 3" xfId="17173"/>
    <cellStyle name="Notas 2 2 2 4 5 3 4" xfId="17174"/>
    <cellStyle name="Notas 2 2 2 4 5 4" xfId="17175"/>
    <cellStyle name="Notas 2 2 2 4 5 4 2" xfId="17176"/>
    <cellStyle name="Notas 2 2 2 4 5 4 3" xfId="17177"/>
    <cellStyle name="Notas 2 2 2 4 5 4 4" xfId="17178"/>
    <cellStyle name="Notas 2 2 2 4 5 5" xfId="17179"/>
    <cellStyle name="Notas 2 2 2 4 5 6" xfId="17180"/>
    <cellStyle name="Notas 2 2 2 4 5 7" xfId="17181"/>
    <cellStyle name="Notas 2 2 2 4 5 8" xfId="17182"/>
    <cellStyle name="Notas 2 2 2 4 6" xfId="17183"/>
    <cellStyle name="Notas 2 2 2 4 6 2" xfId="17184"/>
    <cellStyle name="Notas 2 2 2 4 6 2 2" xfId="17185"/>
    <cellStyle name="Notas 2 2 2 4 6 2 3" xfId="17186"/>
    <cellStyle name="Notas 2 2 2 4 6 2 4" xfId="17187"/>
    <cellStyle name="Notas 2 2 2 4 6 3" xfId="17188"/>
    <cellStyle name="Notas 2 2 2 4 6 3 2" xfId="17189"/>
    <cellStyle name="Notas 2 2 2 4 6 3 3" xfId="17190"/>
    <cellStyle name="Notas 2 2 2 4 6 3 4" xfId="17191"/>
    <cellStyle name="Notas 2 2 2 4 6 4" xfId="17192"/>
    <cellStyle name="Notas 2 2 2 4 6 4 2" xfId="17193"/>
    <cellStyle name="Notas 2 2 2 4 6 4 3" xfId="17194"/>
    <cellStyle name="Notas 2 2 2 4 6 4 4" xfId="17195"/>
    <cellStyle name="Notas 2 2 2 4 6 5" xfId="17196"/>
    <cellStyle name="Notas 2 2 2 4 6 6" xfId="17197"/>
    <cellStyle name="Notas 2 2 2 4 6 7" xfId="17198"/>
    <cellStyle name="Notas 2 2 2 4 6 8" xfId="17199"/>
    <cellStyle name="Notas 2 2 2 4 7" xfId="17200"/>
    <cellStyle name="Notas 2 2 2 4 7 2" xfId="17201"/>
    <cellStyle name="Notas 2 2 2 4 7 2 2" xfId="17202"/>
    <cellStyle name="Notas 2 2 2 4 7 2 3" xfId="17203"/>
    <cellStyle name="Notas 2 2 2 4 7 2 4" xfId="17204"/>
    <cellStyle name="Notas 2 2 2 4 7 3" xfId="17205"/>
    <cellStyle name="Notas 2 2 2 4 7 3 2" xfId="17206"/>
    <cellStyle name="Notas 2 2 2 4 7 3 3" xfId="17207"/>
    <cellStyle name="Notas 2 2 2 4 7 3 4" xfId="17208"/>
    <cellStyle name="Notas 2 2 2 4 7 4" xfId="17209"/>
    <cellStyle name="Notas 2 2 2 4 7 4 2" xfId="17210"/>
    <cellStyle name="Notas 2 2 2 4 7 4 3" xfId="17211"/>
    <cellStyle name="Notas 2 2 2 4 7 4 4" xfId="17212"/>
    <cellStyle name="Notas 2 2 2 4 7 5" xfId="17213"/>
    <cellStyle name="Notas 2 2 2 4 7 6" xfId="17214"/>
    <cellStyle name="Notas 2 2 2 4 7 7" xfId="17215"/>
    <cellStyle name="Notas 2 2 2 4 7 8" xfId="17216"/>
    <cellStyle name="Notas 2 2 2 4 8" xfId="17217"/>
    <cellStyle name="Notas 2 2 2 4 8 2" xfId="17218"/>
    <cellStyle name="Notas 2 2 2 4 8 3" xfId="17219"/>
    <cellStyle name="Notas 2 2 2 4 8 4" xfId="17220"/>
    <cellStyle name="Notas 2 2 2 4 9" xfId="17221"/>
    <cellStyle name="Notas 2 2 2 4 9 2" xfId="17222"/>
    <cellStyle name="Notas 2 2 2 4 9 3" xfId="17223"/>
    <cellStyle name="Notas 2 2 2 4 9 4" xfId="17224"/>
    <cellStyle name="Notas 2 2 2 5" xfId="17225"/>
    <cellStyle name="Notas 2 2 2 5 2" xfId="17226"/>
    <cellStyle name="Notas 2 2 2 5 2 2" xfId="17227"/>
    <cellStyle name="Notas 2 2 2 5 2 2 2" xfId="17228"/>
    <cellStyle name="Notas 2 2 2 5 2 2 3" xfId="17229"/>
    <cellStyle name="Notas 2 2 2 5 2 2 4" xfId="17230"/>
    <cellStyle name="Notas 2 2 2 5 2 3" xfId="17231"/>
    <cellStyle name="Notas 2 2 2 5 2 3 2" xfId="17232"/>
    <cellStyle name="Notas 2 2 2 5 2 3 3" xfId="17233"/>
    <cellStyle name="Notas 2 2 2 5 2 3 4" xfId="17234"/>
    <cellStyle name="Notas 2 2 2 5 2 4" xfId="17235"/>
    <cellStyle name="Notas 2 2 2 5 2 4 2" xfId="17236"/>
    <cellStyle name="Notas 2 2 2 5 2 4 3" xfId="17237"/>
    <cellStyle name="Notas 2 2 2 5 2 4 4" xfId="17238"/>
    <cellStyle name="Notas 2 2 2 5 2 5" xfId="17239"/>
    <cellStyle name="Notas 2 2 2 5 2 6" xfId="17240"/>
    <cellStyle name="Notas 2 2 2 5 2 7" xfId="17241"/>
    <cellStyle name="Notas 2 2 2 5 2 8" xfId="17242"/>
    <cellStyle name="Notas 2 2 2 5 3" xfId="17243"/>
    <cellStyle name="Notas 2 2 2 5 3 2" xfId="17244"/>
    <cellStyle name="Notas 2 2 2 5 3 2 2" xfId="17245"/>
    <cellStyle name="Notas 2 2 2 5 3 2 3" xfId="17246"/>
    <cellStyle name="Notas 2 2 2 5 3 2 4" xfId="17247"/>
    <cellStyle name="Notas 2 2 2 5 3 3" xfId="17248"/>
    <cellStyle name="Notas 2 2 2 5 3 3 2" xfId="17249"/>
    <cellStyle name="Notas 2 2 2 5 3 3 3" xfId="17250"/>
    <cellStyle name="Notas 2 2 2 5 3 3 4" xfId="17251"/>
    <cellStyle name="Notas 2 2 2 5 3 4" xfId="17252"/>
    <cellStyle name="Notas 2 2 2 5 3 4 2" xfId="17253"/>
    <cellStyle name="Notas 2 2 2 5 3 4 3" xfId="17254"/>
    <cellStyle name="Notas 2 2 2 5 3 4 4" xfId="17255"/>
    <cellStyle name="Notas 2 2 2 5 3 5" xfId="17256"/>
    <cellStyle name="Notas 2 2 2 5 3 6" xfId="17257"/>
    <cellStyle name="Notas 2 2 2 5 3 7" xfId="17258"/>
    <cellStyle name="Notas 2 2 2 5 3 8" xfId="17259"/>
    <cellStyle name="Notas 2 2 2 5 4" xfId="17260"/>
    <cellStyle name="Notas 2 2 2 5 4 2" xfId="17261"/>
    <cellStyle name="Notas 2 2 2 5 4 2 2" xfId="17262"/>
    <cellStyle name="Notas 2 2 2 5 4 2 3" xfId="17263"/>
    <cellStyle name="Notas 2 2 2 5 4 2 4" xfId="17264"/>
    <cellStyle name="Notas 2 2 2 5 4 3" xfId="17265"/>
    <cellStyle name="Notas 2 2 2 5 4 3 2" xfId="17266"/>
    <cellStyle name="Notas 2 2 2 5 4 3 3" xfId="17267"/>
    <cellStyle name="Notas 2 2 2 5 4 3 4" xfId="17268"/>
    <cellStyle name="Notas 2 2 2 5 4 4" xfId="17269"/>
    <cellStyle name="Notas 2 2 2 5 4 4 2" xfId="17270"/>
    <cellStyle name="Notas 2 2 2 5 4 4 3" xfId="17271"/>
    <cellStyle name="Notas 2 2 2 5 4 4 4" xfId="17272"/>
    <cellStyle name="Notas 2 2 2 5 4 5" xfId="17273"/>
    <cellStyle name="Notas 2 2 2 5 4 6" xfId="17274"/>
    <cellStyle name="Notas 2 2 2 5 4 7" xfId="17275"/>
    <cellStyle name="Notas 2 2 2 5 4 8" xfId="17276"/>
    <cellStyle name="Notas 2 2 2 5 5" xfId="17277"/>
    <cellStyle name="Notas 2 2 2 5 5 2" xfId="17278"/>
    <cellStyle name="Notas 2 2 2 5 5 2 2" xfId="17279"/>
    <cellStyle name="Notas 2 2 2 5 5 2 3" xfId="17280"/>
    <cellStyle name="Notas 2 2 2 5 5 2 4" xfId="17281"/>
    <cellStyle name="Notas 2 2 2 5 5 3" xfId="17282"/>
    <cellStyle name="Notas 2 2 2 5 5 3 2" xfId="17283"/>
    <cellStyle name="Notas 2 2 2 5 5 3 3" xfId="17284"/>
    <cellStyle name="Notas 2 2 2 5 5 3 4" xfId="17285"/>
    <cellStyle name="Notas 2 2 2 5 5 4" xfId="17286"/>
    <cellStyle name="Notas 2 2 2 5 5 4 2" xfId="17287"/>
    <cellStyle name="Notas 2 2 2 5 5 4 3" xfId="17288"/>
    <cellStyle name="Notas 2 2 2 5 5 4 4" xfId="17289"/>
    <cellStyle name="Notas 2 2 2 5 5 5" xfId="17290"/>
    <cellStyle name="Notas 2 2 2 5 5 6" xfId="17291"/>
    <cellStyle name="Notas 2 2 2 5 5 7" xfId="17292"/>
    <cellStyle name="Notas 2 2 2 5 5 8" xfId="17293"/>
    <cellStyle name="Notas 2 2 2 5 6" xfId="17294"/>
    <cellStyle name="Notas 2 2 2 5 6 2" xfId="17295"/>
    <cellStyle name="Notas 2 2 2 5 6 3" xfId="17296"/>
    <cellStyle name="Notas 2 2 2 5 6 4" xfId="17297"/>
    <cellStyle name="Notas 2 2 2 5 7" xfId="17298"/>
    <cellStyle name="Notas 2 2 2 5 7 2" xfId="17299"/>
    <cellStyle name="Notas 2 2 2 5 7 3" xfId="17300"/>
    <cellStyle name="Notas 2 2 2 5 7 4" xfId="17301"/>
    <cellStyle name="Notas 2 2 2 5 8" xfId="17302"/>
    <cellStyle name="Notas 2 2 2 5 9" xfId="17303"/>
    <cellStyle name="Notas 2 2 2 6" xfId="17304"/>
    <cellStyle name="Notas 2 2 2 6 2" xfId="17305"/>
    <cellStyle name="Notas 2 2 2 6 2 2" xfId="17306"/>
    <cellStyle name="Notas 2 2 2 6 2 3" xfId="17307"/>
    <cellStyle name="Notas 2 2 2 6 2 4" xfId="17308"/>
    <cellStyle name="Notas 2 2 2 6 3" xfId="17309"/>
    <cellStyle name="Notas 2 2 2 6 3 2" xfId="17310"/>
    <cellStyle name="Notas 2 2 2 6 3 3" xfId="17311"/>
    <cellStyle name="Notas 2 2 2 6 3 4" xfId="17312"/>
    <cellStyle name="Notas 2 2 2 6 4" xfId="17313"/>
    <cellStyle name="Notas 2 2 2 6 4 2" xfId="17314"/>
    <cellStyle name="Notas 2 2 2 6 4 3" xfId="17315"/>
    <cellStyle name="Notas 2 2 2 6 4 4" xfId="17316"/>
    <cellStyle name="Notas 2 2 2 6 5" xfId="17317"/>
    <cellStyle name="Notas 2 2 2 6 6" xfId="17318"/>
    <cellStyle name="Notas 2 2 2 6 7" xfId="17319"/>
    <cellStyle name="Notas 2 2 2 6 8" xfId="17320"/>
    <cellStyle name="Notas 2 2 2 7" xfId="17321"/>
    <cellStyle name="Notas 2 2 2 7 2" xfId="17322"/>
    <cellStyle name="Notas 2 2 2 7 2 2" xfId="17323"/>
    <cellStyle name="Notas 2 2 2 7 2 3" xfId="17324"/>
    <cellStyle name="Notas 2 2 2 7 2 4" xfId="17325"/>
    <cellStyle name="Notas 2 2 2 7 3" xfId="17326"/>
    <cellStyle name="Notas 2 2 2 7 3 2" xfId="17327"/>
    <cellStyle name="Notas 2 2 2 7 3 3" xfId="17328"/>
    <cellStyle name="Notas 2 2 2 7 3 4" xfId="17329"/>
    <cellStyle name="Notas 2 2 2 7 4" xfId="17330"/>
    <cellStyle name="Notas 2 2 2 7 4 2" xfId="17331"/>
    <cellStyle name="Notas 2 2 2 7 4 3" xfId="17332"/>
    <cellStyle name="Notas 2 2 2 7 4 4" xfId="17333"/>
    <cellStyle name="Notas 2 2 2 7 5" xfId="17334"/>
    <cellStyle name="Notas 2 2 2 7 6" xfId="17335"/>
    <cellStyle name="Notas 2 2 2 7 7" xfId="17336"/>
    <cellStyle name="Notas 2 2 2 7 8" xfId="17337"/>
    <cellStyle name="Notas 2 2 2 8" xfId="17338"/>
    <cellStyle name="Notas 2 2 2 8 2" xfId="17339"/>
    <cellStyle name="Notas 2 2 2 8 2 2" xfId="17340"/>
    <cellStyle name="Notas 2 2 2 8 2 3" xfId="17341"/>
    <cellStyle name="Notas 2 2 2 8 2 4" xfId="17342"/>
    <cellStyle name="Notas 2 2 2 8 3" xfId="17343"/>
    <cellStyle name="Notas 2 2 2 8 3 2" xfId="17344"/>
    <cellStyle name="Notas 2 2 2 8 3 3" xfId="17345"/>
    <cellStyle name="Notas 2 2 2 8 3 4" xfId="17346"/>
    <cellStyle name="Notas 2 2 2 8 4" xfId="17347"/>
    <cellStyle name="Notas 2 2 2 8 4 2" xfId="17348"/>
    <cellStyle name="Notas 2 2 2 8 4 3" xfId="17349"/>
    <cellStyle name="Notas 2 2 2 8 4 4" xfId="17350"/>
    <cellStyle name="Notas 2 2 2 8 5" xfId="17351"/>
    <cellStyle name="Notas 2 2 2 8 6" xfId="17352"/>
    <cellStyle name="Notas 2 2 2 8 7" xfId="17353"/>
    <cellStyle name="Notas 2 2 2 8 8" xfId="17354"/>
    <cellStyle name="Notas 2 2 2 9" xfId="17355"/>
    <cellStyle name="Notas 2 2 2 9 2" xfId="17356"/>
    <cellStyle name="Notas 2 2 2 9 2 2" xfId="17357"/>
    <cellStyle name="Notas 2 2 2 9 2 3" xfId="17358"/>
    <cellStyle name="Notas 2 2 2 9 2 4" xfId="17359"/>
    <cellStyle name="Notas 2 2 2 9 3" xfId="17360"/>
    <cellStyle name="Notas 2 2 2 9 3 2" xfId="17361"/>
    <cellStyle name="Notas 2 2 2 9 3 3" xfId="17362"/>
    <cellStyle name="Notas 2 2 2 9 3 4" xfId="17363"/>
    <cellStyle name="Notas 2 2 2 9 4" xfId="17364"/>
    <cellStyle name="Notas 2 2 2 9 4 2" xfId="17365"/>
    <cellStyle name="Notas 2 2 2 9 4 3" xfId="17366"/>
    <cellStyle name="Notas 2 2 2 9 4 4" xfId="17367"/>
    <cellStyle name="Notas 2 2 2 9 5" xfId="17368"/>
    <cellStyle name="Notas 2 2 2 9 6" xfId="17369"/>
    <cellStyle name="Notas 2 2 2 9 7" xfId="17370"/>
    <cellStyle name="Notas 2 2 2 9 8" xfId="17371"/>
    <cellStyle name="Notas 2 2 3" xfId="17372"/>
    <cellStyle name="Notas 2 2 3 10" xfId="17373"/>
    <cellStyle name="Notas 2 2 3 10 2" xfId="17374"/>
    <cellStyle name="Notas 2 2 3 10 3" xfId="17375"/>
    <cellStyle name="Notas 2 2 3 10 4" xfId="17376"/>
    <cellStyle name="Notas 2 2 3 11" xfId="17377"/>
    <cellStyle name="Notas 2 2 3 11 2" xfId="17378"/>
    <cellStyle name="Notas 2 2 3 11 3" xfId="17379"/>
    <cellStyle name="Notas 2 2 3 11 4" xfId="17380"/>
    <cellStyle name="Notas 2 2 3 12" xfId="17381"/>
    <cellStyle name="Notas 2 2 3 13" xfId="17382"/>
    <cellStyle name="Notas 2 2 3 2" xfId="17383"/>
    <cellStyle name="Notas 2 2 3 2 10" xfId="17384"/>
    <cellStyle name="Notas 2 2 3 2 10 2" xfId="17385"/>
    <cellStyle name="Notas 2 2 3 2 10 3" xfId="17386"/>
    <cellStyle name="Notas 2 2 3 2 10 4" xfId="17387"/>
    <cellStyle name="Notas 2 2 3 2 11" xfId="17388"/>
    <cellStyle name="Notas 2 2 3 2 12" xfId="17389"/>
    <cellStyle name="Notas 2 2 3 2 2" xfId="17390"/>
    <cellStyle name="Notas 2 2 3 2 2 10" xfId="17391"/>
    <cellStyle name="Notas 2 2 3 2 2 11" xfId="17392"/>
    <cellStyle name="Notas 2 2 3 2 2 2" xfId="17393"/>
    <cellStyle name="Notas 2 2 3 2 2 2 2" xfId="17394"/>
    <cellStyle name="Notas 2 2 3 2 2 2 2 2" xfId="17395"/>
    <cellStyle name="Notas 2 2 3 2 2 2 2 2 2" xfId="17396"/>
    <cellStyle name="Notas 2 2 3 2 2 2 2 2 3" xfId="17397"/>
    <cellStyle name="Notas 2 2 3 2 2 2 2 2 4" xfId="17398"/>
    <cellStyle name="Notas 2 2 3 2 2 2 2 3" xfId="17399"/>
    <cellStyle name="Notas 2 2 3 2 2 2 2 3 2" xfId="17400"/>
    <cellStyle name="Notas 2 2 3 2 2 2 2 3 3" xfId="17401"/>
    <cellStyle name="Notas 2 2 3 2 2 2 2 3 4" xfId="17402"/>
    <cellStyle name="Notas 2 2 3 2 2 2 2 4" xfId="17403"/>
    <cellStyle name="Notas 2 2 3 2 2 2 2 4 2" xfId="17404"/>
    <cellStyle name="Notas 2 2 3 2 2 2 2 4 3" xfId="17405"/>
    <cellStyle name="Notas 2 2 3 2 2 2 2 4 4" xfId="17406"/>
    <cellStyle name="Notas 2 2 3 2 2 2 2 5" xfId="17407"/>
    <cellStyle name="Notas 2 2 3 2 2 2 2 6" xfId="17408"/>
    <cellStyle name="Notas 2 2 3 2 2 2 2 7" xfId="17409"/>
    <cellStyle name="Notas 2 2 3 2 2 2 2 8" xfId="17410"/>
    <cellStyle name="Notas 2 2 3 2 2 2 3" xfId="17411"/>
    <cellStyle name="Notas 2 2 3 2 2 2 3 2" xfId="17412"/>
    <cellStyle name="Notas 2 2 3 2 2 2 3 2 2" xfId="17413"/>
    <cellStyle name="Notas 2 2 3 2 2 2 3 2 3" xfId="17414"/>
    <cellStyle name="Notas 2 2 3 2 2 2 3 2 4" xfId="17415"/>
    <cellStyle name="Notas 2 2 3 2 2 2 3 3" xfId="17416"/>
    <cellStyle name="Notas 2 2 3 2 2 2 3 3 2" xfId="17417"/>
    <cellStyle name="Notas 2 2 3 2 2 2 3 3 3" xfId="17418"/>
    <cellStyle name="Notas 2 2 3 2 2 2 3 3 4" xfId="17419"/>
    <cellStyle name="Notas 2 2 3 2 2 2 3 4" xfId="17420"/>
    <cellStyle name="Notas 2 2 3 2 2 2 3 4 2" xfId="17421"/>
    <cellStyle name="Notas 2 2 3 2 2 2 3 4 3" xfId="17422"/>
    <cellStyle name="Notas 2 2 3 2 2 2 3 4 4" xfId="17423"/>
    <cellStyle name="Notas 2 2 3 2 2 2 3 5" xfId="17424"/>
    <cellStyle name="Notas 2 2 3 2 2 2 3 6" xfId="17425"/>
    <cellStyle name="Notas 2 2 3 2 2 2 3 7" xfId="17426"/>
    <cellStyle name="Notas 2 2 3 2 2 2 3 8" xfId="17427"/>
    <cellStyle name="Notas 2 2 3 2 2 2 4" xfId="17428"/>
    <cellStyle name="Notas 2 2 3 2 2 2 4 2" xfId="17429"/>
    <cellStyle name="Notas 2 2 3 2 2 2 4 2 2" xfId="17430"/>
    <cellStyle name="Notas 2 2 3 2 2 2 4 2 3" xfId="17431"/>
    <cellStyle name="Notas 2 2 3 2 2 2 4 2 4" xfId="17432"/>
    <cellStyle name="Notas 2 2 3 2 2 2 4 3" xfId="17433"/>
    <cellStyle name="Notas 2 2 3 2 2 2 4 3 2" xfId="17434"/>
    <cellStyle name="Notas 2 2 3 2 2 2 4 3 3" xfId="17435"/>
    <cellStyle name="Notas 2 2 3 2 2 2 4 3 4" xfId="17436"/>
    <cellStyle name="Notas 2 2 3 2 2 2 4 4" xfId="17437"/>
    <cellStyle name="Notas 2 2 3 2 2 2 4 4 2" xfId="17438"/>
    <cellStyle name="Notas 2 2 3 2 2 2 4 4 3" xfId="17439"/>
    <cellStyle name="Notas 2 2 3 2 2 2 4 4 4" xfId="17440"/>
    <cellStyle name="Notas 2 2 3 2 2 2 4 5" xfId="17441"/>
    <cellStyle name="Notas 2 2 3 2 2 2 4 6" xfId="17442"/>
    <cellStyle name="Notas 2 2 3 2 2 2 4 7" xfId="17443"/>
    <cellStyle name="Notas 2 2 3 2 2 2 4 8" xfId="17444"/>
    <cellStyle name="Notas 2 2 3 2 2 2 5" xfId="17445"/>
    <cellStyle name="Notas 2 2 3 2 2 2 5 2" xfId="17446"/>
    <cellStyle name="Notas 2 2 3 2 2 2 5 2 2" xfId="17447"/>
    <cellStyle name="Notas 2 2 3 2 2 2 5 2 3" xfId="17448"/>
    <cellStyle name="Notas 2 2 3 2 2 2 5 2 4" xfId="17449"/>
    <cellStyle name="Notas 2 2 3 2 2 2 5 3" xfId="17450"/>
    <cellStyle name="Notas 2 2 3 2 2 2 5 3 2" xfId="17451"/>
    <cellStyle name="Notas 2 2 3 2 2 2 5 3 3" xfId="17452"/>
    <cellStyle name="Notas 2 2 3 2 2 2 5 3 4" xfId="17453"/>
    <cellStyle name="Notas 2 2 3 2 2 2 5 4" xfId="17454"/>
    <cellStyle name="Notas 2 2 3 2 2 2 5 4 2" xfId="17455"/>
    <cellStyle name="Notas 2 2 3 2 2 2 5 4 3" xfId="17456"/>
    <cellStyle name="Notas 2 2 3 2 2 2 5 4 4" xfId="17457"/>
    <cellStyle name="Notas 2 2 3 2 2 2 5 5" xfId="17458"/>
    <cellStyle name="Notas 2 2 3 2 2 2 5 6" xfId="17459"/>
    <cellStyle name="Notas 2 2 3 2 2 2 5 7" xfId="17460"/>
    <cellStyle name="Notas 2 2 3 2 2 2 5 8" xfId="17461"/>
    <cellStyle name="Notas 2 2 3 2 2 2 6" xfId="17462"/>
    <cellStyle name="Notas 2 2 3 2 2 2 6 2" xfId="17463"/>
    <cellStyle name="Notas 2 2 3 2 2 2 6 3" xfId="17464"/>
    <cellStyle name="Notas 2 2 3 2 2 2 6 4" xfId="17465"/>
    <cellStyle name="Notas 2 2 3 2 2 2 7" xfId="17466"/>
    <cellStyle name="Notas 2 2 3 2 2 2 7 2" xfId="17467"/>
    <cellStyle name="Notas 2 2 3 2 2 2 7 3" xfId="17468"/>
    <cellStyle name="Notas 2 2 3 2 2 2 7 4" xfId="17469"/>
    <cellStyle name="Notas 2 2 3 2 2 2 8" xfId="17470"/>
    <cellStyle name="Notas 2 2 3 2 2 2 9" xfId="17471"/>
    <cellStyle name="Notas 2 2 3 2 2 3" xfId="17472"/>
    <cellStyle name="Notas 2 2 3 2 2 3 2" xfId="17473"/>
    <cellStyle name="Notas 2 2 3 2 2 3 2 2" xfId="17474"/>
    <cellStyle name="Notas 2 2 3 2 2 3 2 3" xfId="17475"/>
    <cellStyle name="Notas 2 2 3 2 2 3 2 4" xfId="17476"/>
    <cellStyle name="Notas 2 2 3 2 2 3 3" xfId="17477"/>
    <cellStyle name="Notas 2 2 3 2 2 3 3 2" xfId="17478"/>
    <cellStyle name="Notas 2 2 3 2 2 3 3 3" xfId="17479"/>
    <cellStyle name="Notas 2 2 3 2 2 3 3 4" xfId="17480"/>
    <cellStyle name="Notas 2 2 3 2 2 3 4" xfId="17481"/>
    <cellStyle name="Notas 2 2 3 2 2 3 4 2" xfId="17482"/>
    <cellStyle name="Notas 2 2 3 2 2 3 4 3" xfId="17483"/>
    <cellStyle name="Notas 2 2 3 2 2 3 4 4" xfId="17484"/>
    <cellStyle name="Notas 2 2 3 2 2 3 5" xfId="17485"/>
    <cellStyle name="Notas 2 2 3 2 2 3 6" xfId="17486"/>
    <cellStyle name="Notas 2 2 3 2 2 3 7" xfId="17487"/>
    <cellStyle name="Notas 2 2 3 2 2 3 8" xfId="17488"/>
    <cellStyle name="Notas 2 2 3 2 2 4" xfId="17489"/>
    <cellStyle name="Notas 2 2 3 2 2 4 2" xfId="17490"/>
    <cellStyle name="Notas 2 2 3 2 2 4 2 2" xfId="17491"/>
    <cellStyle name="Notas 2 2 3 2 2 4 2 3" xfId="17492"/>
    <cellStyle name="Notas 2 2 3 2 2 4 2 4" xfId="17493"/>
    <cellStyle name="Notas 2 2 3 2 2 4 3" xfId="17494"/>
    <cellStyle name="Notas 2 2 3 2 2 4 3 2" xfId="17495"/>
    <cellStyle name="Notas 2 2 3 2 2 4 3 3" xfId="17496"/>
    <cellStyle name="Notas 2 2 3 2 2 4 3 4" xfId="17497"/>
    <cellStyle name="Notas 2 2 3 2 2 4 4" xfId="17498"/>
    <cellStyle name="Notas 2 2 3 2 2 4 4 2" xfId="17499"/>
    <cellStyle name="Notas 2 2 3 2 2 4 4 3" xfId="17500"/>
    <cellStyle name="Notas 2 2 3 2 2 4 4 4" xfId="17501"/>
    <cellStyle name="Notas 2 2 3 2 2 4 5" xfId="17502"/>
    <cellStyle name="Notas 2 2 3 2 2 4 6" xfId="17503"/>
    <cellStyle name="Notas 2 2 3 2 2 4 7" xfId="17504"/>
    <cellStyle name="Notas 2 2 3 2 2 4 8" xfId="17505"/>
    <cellStyle name="Notas 2 2 3 2 2 5" xfId="17506"/>
    <cellStyle name="Notas 2 2 3 2 2 5 2" xfId="17507"/>
    <cellStyle name="Notas 2 2 3 2 2 5 2 2" xfId="17508"/>
    <cellStyle name="Notas 2 2 3 2 2 5 2 3" xfId="17509"/>
    <cellStyle name="Notas 2 2 3 2 2 5 2 4" xfId="17510"/>
    <cellStyle name="Notas 2 2 3 2 2 5 3" xfId="17511"/>
    <cellStyle name="Notas 2 2 3 2 2 5 3 2" xfId="17512"/>
    <cellStyle name="Notas 2 2 3 2 2 5 3 3" xfId="17513"/>
    <cellStyle name="Notas 2 2 3 2 2 5 3 4" xfId="17514"/>
    <cellStyle name="Notas 2 2 3 2 2 5 4" xfId="17515"/>
    <cellStyle name="Notas 2 2 3 2 2 5 4 2" xfId="17516"/>
    <cellStyle name="Notas 2 2 3 2 2 5 4 3" xfId="17517"/>
    <cellStyle name="Notas 2 2 3 2 2 5 4 4" xfId="17518"/>
    <cellStyle name="Notas 2 2 3 2 2 5 5" xfId="17519"/>
    <cellStyle name="Notas 2 2 3 2 2 5 6" xfId="17520"/>
    <cellStyle name="Notas 2 2 3 2 2 5 7" xfId="17521"/>
    <cellStyle name="Notas 2 2 3 2 2 5 8" xfId="17522"/>
    <cellStyle name="Notas 2 2 3 2 2 6" xfId="17523"/>
    <cellStyle name="Notas 2 2 3 2 2 6 2" xfId="17524"/>
    <cellStyle name="Notas 2 2 3 2 2 6 2 2" xfId="17525"/>
    <cellStyle name="Notas 2 2 3 2 2 6 2 3" xfId="17526"/>
    <cellStyle name="Notas 2 2 3 2 2 6 2 4" xfId="17527"/>
    <cellStyle name="Notas 2 2 3 2 2 6 3" xfId="17528"/>
    <cellStyle name="Notas 2 2 3 2 2 6 3 2" xfId="17529"/>
    <cellStyle name="Notas 2 2 3 2 2 6 3 3" xfId="17530"/>
    <cellStyle name="Notas 2 2 3 2 2 6 3 4" xfId="17531"/>
    <cellStyle name="Notas 2 2 3 2 2 6 4" xfId="17532"/>
    <cellStyle name="Notas 2 2 3 2 2 6 4 2" xfId="17533"/>
    <cellStyle name="Notas 2 2 3 2 2 6 4 3" xfId="17534"/>
    <cellStyle name="Notas 2 2 3 2 2 6 4 4" xfId="17535"/>
    <cellStyle name="Notas 2 2 3 2 2 6 5" xfId="17536"/>
    <cellStyle name="Notas 2 2 3 2 2 6 6" xfId="17537"/>
    <cellStyle name="Notas 2 2 3 2 2 6 7" xfId="17538"/>
    <cellStyle name="Notas 2 2 3 2 2 6 8" xfId="17539"/>
    <cellStyle name="Notas 2 2 3 2 2 7" xfId="17540"/>
    <cellStyle name="Notas 2 2 3 2 2 7 2" xfId="17541"/>
    <cellStyle name="Notas 2 2 3 2 2 7 2 2" xfId="17542"/>
    <cellStyle name="Notas 2 2 3 2 2 7 2 3" xfId="17543"/>
    <cellStyle name="Notas 2 2 3 2 2 7 2 4" xfId="17544"/>
    <cellStyle name="Notas 2 2 3 2 2 7 3" xfId="17545"/>
    <cellStyle name="Notas 2 2 3 2 2 7 3 2" xfId="17546"/>
    <cellStyle name="Notas 2 2 3 2 2 7 3 3" xfId="17547"/>
    <cellStyle name="Notas 2 2 3 2 2 7 3 4" xfId="17548"/>
    <cellStyle name="Notas 2 2 3 2 2 7 4" xfId="17549"/>
    <cellStyle name="Notas 2 2 3 2 2 7 4 2" xfId="17550"/>
    <cellStyle name="Notas 2 2 3 2 2 7 4 3" xfId="17551"/>
    <cellStyle name="Notas 2 2 3 2 2 7 4 4" xfId="17552"/>
    <cellStyle name="Notas 2 2 3 2 2 7 5" xfId="17553"/>
    <cellStyle name="Notas 2 2 3 2 2 7 6" xfId="17554"/>
    <cellStyle name="Notas 2 2 3 2 2 7 7" xfId="17555"/>
    <cellStyle name="Notas 2 2 3 2 2 7 8" xfId="17556"/>
    <cellStyle name="Notas 2 2 3 2 2 8" xfId="17557"/>
    <cellStyle name="Notas 2 2 3 2 2 8 2" xfId="17558"/>
    <cellStyle name="Notas 2 2 3 2 2 8 3" xfId="17559"/>
    <cellStyle name="Notas 2 2 3 2 2 8 4" xfId="17560"/>
    <cellStyle name="Notas 2 2 3 2 2 9" xfId="17561"/>
    <cellStyle name="Notas 2 2 3 2 2 9 2" xfId="17562"/>
    <cellStyle name="Notas 2 2 3 2 2 9 3" xfId="17563"/>
    <cellStyle name="Notas 2 2 3 2 2 9 4" xfId="17564"/>
    <cellStyle name="Notas 2 2 3 2 3" xfId="17565"/>
    <cellStyle name="Notas 2 2 3 2 3 2" xfId="17566"/>
    <cellStyle name="Notas 2 2 3 2 3 2 2" xfId="17567"/>
    <cellStyle name="Notas 2 2 3 2 3 2 2 2" xfId="17568"/>
    <cellStyle name="Notas 2 2 3 2 3 2 2 3" xfId="17569"/>
    <cellStyle name="Notas 2 2 3 2 3 2 2 4" xfId="17570"/>
    <cellStyle name="Notas 2 2 3 2 3 2 3" xfId="17571"/>
    <cellStyle name="Notas 2 2 3 2 3 2 3 2" xfId="17572"/>
    <cellStyle name="Notas 2 2 3 2 3 2 3 3" xfId="17573"/>
    <cellStyle name="Notas 2 2 3 2 3 2 3 4" xfId="17574"/>
    <cellStyle name="Notas 2 2 3 2 3 2 4" xfId="17575"/>
    <cellStyle name="Notas 2 2 3 2 3 2 4 2" xfId="17576"/>
    <cellStyle name="Notas 2 2 3 2 3 2 4 3" xfId="17577"/>
    <cellStyle name="Notas 2 2 3 2 3 2 4 4" xfId="17578"/>
    <cellStyle name="Notas 2 2 3 2 3 2 5" xfId="17579"/>
    <cellStyle name="Notas 2 2 3 2 3 2 6" xfId="17580"/>
    <cellStyle name="Notas 2 2 3 2 3 2 7" xfId="17581"/>
    <cellStyle name="Notas 2 2 3 2 3 2 8" xfId="17582"/>
    <cellStyle name="Notas 2 2 3 2 3 3" xfId="17583"/>
    <cellStyle name="Notas 2 2 3 2 3 3 2" xfId="17584"/>
    <cellStyle name="Notas 2 2 3 2 3 3 2 2" xfId="17585"/>
    <cellStyle name="Notas 2 2 3 2 3 3 2 3" xfId="17586"/>
    <cellStyle name="Notas 2 2 3 2 3 3 2 4" xfId="17587"/>
    <cellStyle name="Notas 2 2 3 2 3 3 3" xfId="17588"/>
    <cellStyle name="Notas 2 2 3 2 3 3 3 2" xfId="17589"/>
    <cellStyle name="Notas 2 2 3 2 3 3 3 3" xfId="17590"/>
    <cellStyle name="Notas 2 2 3 2 3 3 3 4" xfId="17591"/>
    <cellStyle name="Notas 2 2 3 2 3 3 4" xfId="17592"/>
    <cellStyle name="Notas 2 2 3 2 3 3 4 2" xfId="17593"/>
    <cellStyle name="Notas 2 2 3 2 3 3 4 3" xfId="17594"/>
    <cellStyle name="Notas 2 2 3 2 3 3 4 4" xfId="17595"/>
    <cellStyle name="Notas 2 2 3 2 3 3 5" xfId="17596"/>
    <cellStyle name="Notas 2 2 3 2 3 3 6" xfId="17597"/>
    <cellStyle name="Notas 2 2 3 2 3 3 7" xfId="17598"/>
    <cellStyle name="Notas 2 2 3 2 3 3 8" xfId="17599"/>
    <cellStyle name="Notas 2 2 3 2 3 4" xfId="17600"/>
    <cellStyle name="Notas 2 2 3 2 3 4 2" xfId="17601"/>
    <cellStyle name="Notas 2 2 3 2 3 4 2 2" xfId="17602"/>
    <cellStyle name="Notas 2 2 3 2 3 4 2 3" xfId="17603"/>
    <cellStyle name="Notas 2 2 3 2 3 4 2 4" xfId="17604"/>
    <cellStyle name="Notas 2 2 3 2 3 4 3" xfId="17605"/>
    <cellStyle name="Notas 2 2 3 2 3 4 3 2" xfId="17606"/>
    <cellStyle name="Notas 2 2 3 2 3 4 3 3" xfId="17607"/>
    <cellStyle name="Notas 2 2 3 2 3 4 3 4" xfId="17608"/>
    <cellStyle name="Notas 2 2 3 2 3 4 4" xfId="17609"/>
    <cellStyle name="Notas 2 2 3 2 3 4 4 2" xfId="17610"/>
    <cellStyle name="Notas 2 2 3 2 3 4 4 3" xfId="17611"/>
    <cellStyle name="Notas 2 2 3 2 3 4 4 4" xfId="17612"/>
    <cellStyle name="Notas 2 2 3 2 3 4 5" xfId="17613"/>
    <cellStyle name="Notas 2 2 3 2 3 4 6" xfId="17614"/>
    <cellStyle name="Notas 2 2 3 2 3 4 7" xfId="17615"/>
    <cellStyle name="Notas 2 2 3 2 3 4 8" xfId="17616"/>
    <cellStyle name="Notas 2 2 3 2 3 5" xfId="17617"/>
    <cellStyle name="Notas 2 2 3 2 3 5 2" xfId="17618"/>
    <cellStyle name="Notas 2 2 3 2 3 5 2 2" xfId="17619"/>
    <cellStyle name="Notas 2 2 3 2 3 5 2 3" xfId="17620"/>
    <cellStyle name="Notas 2 2 3 2 3 5 2 4" xfId="17621"/>
    <cellStyle name="Notas 2 2 3 2 3 5 3" xfId="17622"/>
    <cellStyle name="Notas 2 2 3 2 3 5 3 2" xfId="17623"/>
    <cellStyle name="Notas 2 2 3 2 3 5 3 3" xfId="17624"/>
    <cellStyle name="Notas 2 2 3 2 3 5 3 4" xfId="17625"/>
    <cellStyle name="Notas 2 2 3 2 3 5 4" xfId="17626"/>
    <cellStyle name="Notas 2 2 3 2 3 5 4 2" xfId="17627"/>
    <cellStyle name="Notas 2 2 3 2 3 5 4 3" xfId="17628"/>
    <cellStyle name="Notas 2 2 3 2 3 5 4 4" xfId="17629"/>
    <cellStyle name="Notas 2 2 3 2 3 5 5" xfId="17630"/>
    <cellStyle name="Notas 2 2 3 2 3 5 6" xfId="17631"/>
    <cellStyle name="Notas 2 2 3 2 3 5 7" xfId="17632"/>
    <cellStyle name="Notas 2 2 3 2 3 5 8" xfId="17633"/>
    <cellStyle name="Notas 2 2 3 2 3 6" xfId="17634"/>
    <cellStyle name="Notas 2 2 3 2 3 6 2" xfId="17635"/>
    <cellStyle name="Notas 2 2 3 2 3 6 3" xfId="17636"/>
    <cellStyle name="Notas 2 2 3 2 3 6 4" xfId="17637"/>
    <cellStyle name="Notas 2 2 3 2 3 7" xfId="17638"/>
    <cellStyle name="Notas 2 2 3 2 3 7 2" xfId="17639"/>
    <cellStyle name="Notas 2 2 3 2 3 7 3" xfId="17640"/>
    <cellStyle name="Notas 2 2 3 2 3 7 4" xfId="17641"/>
    <cellStyle name="Notas 2 2 3 2 3 8" xfId="17642"/>
    <cellStyle name="Notas 2 2 3 2 3 9" xfId="17643"/>
    <cellStyle name="Notas 2 2 3 2 4" xfId="17644"/>
    <cellStyle name="Notas 2 2 3 2 4 2" xfId="17645"/>
    <cellStyle name="Notas 2 2 3 2 4 2 2" xfId="17646"/>
    <cellStyle name="Notas 2 2 3 2 4 2 3" xfId="17647"/>
    <cellStyle name="Notas 2 2 3 2 4 2 4" xfId="17648"/>
    <cellStyle name="Notas 2 2 3 2 4 3" xfId="17649"/>
    <cellStyle name="Notas 2 2 3 2 4 3 2" xfId="17650"/>
    <cellStyle name="Notas 2 2 3 2 4 3 3" xfId="17651"/>
    <cellStyle name="Notas 2 2 3 2 4 3 4" xfId="17652"/>
    <cellStyle name="Notas 2 2 3 2 4 4" xfId="17653"/>
    <cellStyle name="Notas 2 2 3 2 4 4 2" xfId="17654"/>
    <cellStyle name="Notas 2 2 3 2 4 4 3" xfId="17655"/>
    <cellStyle name="Notas 2 2 3 2 4 4 4" xfId="17656"/>
    <cellStyle name="Notas 2 2 3 2 4 5" xfId="17657"/>
    <cellStyle name="Notas 2 2 3 2 4 6" xfId="17658"/>
    <cellStyle name="Notas 2 2 3 2 4 7" xfId="17659"/>
    <cellStyle name="Notas 2 2 3 2 4 8" xfId="17660"/>
    <cellStyle name="Notas 2 2 3 2 5" xfId="17661"/>
    <cellStyle name="Notas 2 2 3 2 5 2" xfId="17662"/>
    <cellStyle name="Notas 2 2 3 2 5 2 2" xfId="17663"/>
    <cellStyle name="Notas 2 2 3 2 5 2 3" xfId="17664"/>
    <cellStyle name="Notas 2 2 3 2 5 2 4" xfId="17665"/>
    <cellStyle name="Notas 2 2 3 2 5 3" xfId="17666"/>
    <cellStyle name="Notas 2 2 3 2 5 3 2" xfId="17667"/>
    <cellStyle name="Notas 2 2 3 2 5 3 3" xfId="17668"/>
    <cellStyle name="Notas 2 2 3 2 5 3 4" xfId="17669"/>
    <cellStyle name="Notas 2 2 3 2 5 4" xfId="17670"/>
    <cellStyle name="Notas 2 2 3 2 5 4 2" xfId="17671"/>
    <cellStyle name="Notas 2 2 3 2 5 4 3" xfId="17672"/>
    <cellStyle name="Notas 2 2 3 2 5 4 4" xfId="17673"/>
    <cellStyle name="Notas 2 2 3 2 5 5" xfId="17674"/>
    <cellStyle name="Notas 2 2 3 2 5 6" xfId="17675"/>
    <cellStyle name="Notas 2 2 3 2 5 7" xfId="17676"/>
    <cellStyle name="Notas 2 2 3 2 5 8" xfId="17677"/>
    <cellStyle name="Notas 2 2 3 2 6" xfId="17678"/>
    <cellStyle name="Notas 2 2 3 2 6 2" xfId="17679"/>
    <cellStyle name="Notas 2 2 3 2 6 2 2" xfId="17680"/>
    <cellStyle name="Notas 2 2 3 2 6 2 3" xfId="17681"/>
    <cellStyle name="Notas 2 2 3 2 6 2 4" xfId="17682"/>
    <cellStyle name="Notas 2 2 3 2 6 3" xfId="17683"/>
    <cellStyle name="Notas 2 2 3 2 6 3 2" xfId="17684"/>
    <cellStyle name="Notas 2 2 3 2 6 3 3" xfId="17685"/>
    <cellStyle name="Notas 2 2 3 2 6 3 4" xfId="17686"/>
    <cellStyle name="Notas 2 2 3 2 6 4" xfId="17687"/>
    <cellStyle name="Notas 2 2 3 2 6 4 2" xfId="17688"/>
    <cellStyle name="Notas 2 2 3 2 6 4 3" xfId="17689"/>
    <cellStyle name="Notas 2 2 3 2 6 4 4" xfId="17690"/>
    <cellStyle name="Notas 2 2 3 2 6 5" xfId="17691"/>
    <cellStyle name="Notas 2 2 3 2 6 6" xfId="17692"/>
    <cellStyle name="Notas 2 2 3 2 6 7" xfId="17693"/>
    <cellStyle name="Notas 2 2 3 2 6 8" xfId="17694"/>
    <cellStyle name="Notas 2 2 3 2 7" xfId="17695"/>
    <cellStyle name="Notas 2 2 3 2 7 2" xfId="17696"/>
    <cellStyle name="Notas 2 2 3 2 7 2 2" xfId="17697"/>
    <cellStyle name="Notas 2 2 3 2 7 2 3" xfId="17698"/>
    <cellStyle name="Notas 2 2 3 2 7 2 4" xfId="17699"/>
    <cellStyle name="Notas 2 2 3 2 7 3" xfId="17700"/>
    <cellStyle name="Notas 2 2 3 2 7 3 2" xfId="17701"/>
    <cellStyle name="Notas 2 2 3 2 7 3 3" xfId="17702"/>
    <cellStyle name="Notas 2 2 3 2 7 3 4" xfId="17703"/>
    <cellStyle name="Notas 2 2 3 2 7 4" xfId="17704"/>
    <cellStyle name="Notas 2 2 3 2 7 4 2" xfId="17705"/>
    <cellStyle name="Notas 2 2 3 2 7 4 3" xfId="17706"/>
    <cellStyle name="Notas 2 2 3 2 7 4 4" xfId="17707"/>
    <cellStyle name="Notas 2 2 3 2 7 5" xfId="17708"/>
    <cellStyle name="Notas 2 2 3 2 7 6" xfId="17709"/>
    <cellStyle name="Notas 2 2 3 2 7 7" xfId="17710"/>
    <cellStyle name="Notas 2 2 3 2 7 8" xfId="17711"/>
    <cellStyle name="Notas 2 2 3 2 8" xfId="17712"/>
    <cellStyle name="Notas 2 2 3 2 8 2" xfId="17713"/>
    <cellStyle name="Notas 2 2 3 2 8 2 2" xfId="17714"/>
    <cellStyle name="Notas 2 2 3 2 8 2 3" xfId="17715"/>
    <cellStyle name="Notas 2 2 3 2 8 2 4" xfId="17716"/>
    <cellStyle name="Notas 2 2 3 2 8 3" xfId="17717"/>
    <cellStyle name="Notas 2 2 3 2 8 3 2" xfId="17718"/>
    <cellStyle name="Notas 2 2 3 2 8 3 3" xfId="17719"/>
    <cellStyle name="Notas 2 2 3 2 8 3 4" xfId="17720"/>
    <cellStyle name="Notas 2 2 3 2 8 4" xfId="17721"/>
    <cellStyle name="Notas 2 2 3 2 8 4 2" xfId="17722"/>
    <cellStyle name="Notas 2 2 3 2 8 4 3" xfId="17723"/>
    <cellStyle name="Notas 2 2 3 2 8 4 4" xfId="17724"/>
    <cellStyle name="Notas 2 2 3 2 8 5" xfId="17725"/>
    <cellStyle name="Notas 2 2 3 2 8 6" xfId="17726"/>
    <cellStyle name="Notas 2 2 3 2 8 7" xfId="17727"/>
    <cellStyle name="Notas 2 2 3 2 8 8" xfId="17728"/>
    <cellStyle name="Notas 2 2 3 2 9" xfId="17729"/>
    <cellStyle name="Notas 2 2 3 2 9 2" xfId="17730"/>
    <cellStyle name="Notas 2 2 3 2 9 3" xfId="17731"/>
    <cellStyle name="Notas 2 2 3 2 9 4" xfId="17732"/>
    <cellStyle name="Notas 2 2 3 3" xfId="17733"/>
    <cellStyle name="Notas 2 2 3 3 10" xfId="17734"/>
    <cellStyle name="Notas 2 2 3 3 11" xfId="17735"/>
    <cellStyle name="Notas 2 2 3 3 2" xfId="17736"/>
    <cellStyle name="Notas 2 2 3 3 2 2" xfId="17737"/>
    <cellStyle name="Notas 2 2 3 3 2 2 2" xfId="17738"/>
    <cellStyle name="Notas 2 2 3 3 2 2 2 2" xfId="17739"/>
    <cellStyle name="Notas 2 2 3 3 2 2 2 3" xfId="17740"/>
    <cellStyle name="Notas 2 2 3 3 2 2 2 4" xfId="17741"/>
    <cellStyle name="Notas 2 2 3 3 2 2 3" xfId="17742"/>
    <cellStyle name="Notas 2 2 3 3 2 2 3 2" xfId="17743"/>
    <cellStyle name="Notas 2 2 3 3 2 2 3 3" xfId="17744"/>
    <cellStyle name="Notas 2 2 3 3 2 2 3 4" xfId="17745"/>
    <cellStyle name="Notas 2 2 3 3 2 2 4" xfId="17746"/>
    <cellStyle name="Notas 2 2 3 3 2 2 4 2" xfId="17747"/>
    <cellStyle name="Notas 2 2 3 3 2 2 4 3" xfId="17748"/>
    <cellStyle name="Notas 2 2 3 3 2 2 4 4" xfId="17749"/>
    <cellStyle name="Notas 2 2 3 3 2 2 5" xfId="17750"/>
    <cellStyle name="Notas 2 2 3 3 2 2 6" xfId="17751"/>
    <cellStyle name="Notas 2 2 3 3 2 2 7" xfId="17752"/>
    <cellStyle name="Notas 2 2 3 3 2 2 8" xfId="17753"/>
    <cellStyle name="Notas 2 2 3 3 2 3" xfId="17754"/>
    <cellStyle name="Notas 2 2 3 3 2 3 2" xfId="17755"/>
    <cellStyle name="Notas 2 2 3 3 2 3 2 2" xfId="17756"/>
    <cellStyle name="Notas 2 2 3 3 2 3 2 3" xfId="17757"/>
    <cellStyle name="Notas 2 2 3 3 2 3 2 4" xfId="17758"/>
    <cellStyle name="Notas 2 2 3 3 2 3 3" xfId="17759"/>
    <cellStyle name="Notas 2 2 3 3 2 3 3 2" xfId="17760"/>
    <cellStyle name="Notas 2 2 3 3 2 3 3 3" xfId="17761"/>
    <cellStyle name="Notas 2 2 3 3 2 3 3 4" xfId="17762"/>
    <cellStyle name="Notas 2 2 3 3 2 3 4" xfId="17763"/>
    <cellStyle name="Notas 2 2 3 3 2 3 4 2" xfId="17764"/>
    <cellStyle name="Notas 2 2 3 3 2 3 4 3" xfId="17765"/>
    <cellStyle name="Notas 2 2 3 3 2 3 4 4" xfId="17766"/>
    <cellStyle name="Notas 2 2 3 3 2 3 5" xfId="17767"/>
    <cellStyle name="Notas 2 2 3 3 2 3 6" xfId="17768"/>
    <cellStyle name="Notas 2 2 3 3 2 3 7" xfId="17769"/>
    <cellStyle name="Notas 2 2 3 3 2 3 8" xfId="17770"/>
    <cellStyle name="Notas 2 2 3 3 2 4" xfId="17771"/>
    <cellStyle name="Notas 2 2 3 3 2 4 2" xfId="17772"/>
    <cellStyle name="Notas 2 2 3 3 2 4 2 2" xfId="17773"/>
    <cellStyle name="Notas 2 2 3 3 2 4 2 3" xfId="17774"/>
    <cellStyle name="Notas 2 2 3 3 2 4 2 4" xfId="17775"/>
    <cellStyle name="Notas 2 2 3 3 2 4 3" xfId="17776"/>
    <cellStyle name="Notas 2 2 3 3 2 4 3 2" xfId="17777"/>
    <cellStyle name="Notas 2 2 3 3 2 4 3 3" xfId="17778"/>
    <cellStyle name="Notas 2 2 3 3 2 4 3 4" xfId="17779"/>
    <cellStyle name="Notas 2 2 3 3 2 4 4" xfId="17780"/>
    <cellStyle name="Notas 2 2 3 3 2 4 4 2" xfId="17781"/>
    <cellStyle name="Notas 2 2 3 3 2 4 4 3" xfId="17782"/>
    <cellStyle name="Notas 2 2 3 3 2 4 4 4" xfId="17783"/>
    <cellStyle name="Notas 2 2 3 3 2 4 5" xfId="17784"/>
    <cellStyle name="Notas 2 2 3 3 2 4 6" xfId="17785"/>
    <cellStyle name="Notas 2 2 3 3 2 4 7" xfId="17786"/>
    <cellStyle name="Notas 2 2 3 3 2 4 8" xfId="17787"/>
    <cellStyle name="Notas 2 2 3 3 2 5" xfId="17788"/>
    <cellStyle name="Notas 2 2 3 3 2 5 2" xfId="17789"/>
    <cellStyle name="Notas 2 2 3 3 2 5 2 2" xfId="17790"/>
    <cellStyle name="Notas 2 2 3 3 2 5 2 3" xfId="17791"/>
    <cellStyle name="Notas 2 2 3 3 2 5 2 4" xfId="17792"/>
    <cellStyle name="Notas 2 2 3 3 2 5 3" xfId="17793"/>
    <cellStyle name="Notas 2 2 3 3 2 5 3 2" xfId="17794"/>
    <cellStyle name="Notas 2 2 3 3 2 5 3 3" xfId="17795"/>
    <cellStyle name="Notas 2 2 3 3 2 5 3 4" xfId="17796"/>
    <cellStyle name="Notas 2 2 3 3 2 5 4" xfId="17797"/>
    <cellStyle name="Notas 2 2 3 3 2 5 4 2" xfId="17798"/>
    <cellStyle name="Notas 2 2 3 3 2 5 4 3" xfId="17799"/>
    <cellStyle name="Notas 2 2 3 3 2 5 4 4" xfId="17800"/>
    <cellStyle name="Notas 2 2 3 3 2 5 5" xfId="17801"/>
    <cellStyle name="Notas 2 2 3 3 2 5 6" xfId="17802"/>
    <cellStyle name="Notas 2 2 3 3 2 5 7" xfId="17803"/>
    <cellStyle name="Notas 2 2 3 3 2 5 8" xfId="17804"/>
    <cellStyle name="Notas 2 2 3 3 2 6" xfId="17805"/>
    <cellStyle name="Notas 2 2 3 3 2 6 2" xfId="17806"/>
    <cellStyle name="Notas 2 2 3 3 2 6 3" xfId="17807"/>
    <cellStyle name="Notas 2 2 3 3 2 6 4" xfId="17808"/>
    <cellStyle name="Notas 2 2 3 3 2 7" xfId="17809"/>
    <cellStyle name="Notas 2 2 3 3 2 7 2" xfId="17810"/>
    <cellStyle name="Notas 2 2 3 3 2 7 3" xfId="17811"/>
    <cellStyle name="Notas 2 2 3 3 2 7 4" xfId="17812"/>
    <cellStyle name="Notas 2 2 3 3 2 8" xfId="17813"/>
    <cellStyle name="Notas 2 2 3 3 2 9" xfId="17814"/>
    <cellStyle name="Notas 2 2 3 3 3" xfId="17815"/>
    <cellStyle name="Notas 2 2 3 3 3 2" xfId="17816"/>
    <cellStyle name="Notas 2 2 3 3 3 2 2" xfId="17817"/>
    <cellStyle name="Notas 2 2 3 3 3 2 3" xfId="17818"/>
    <cellStyle name="Notas 2 2 3 3 3 2 4" xfId="17819"/>
    <cellStyle name="Notas 2 2 3 3 3 3" xfId="17820"/>
    <cellStyle name="Notas 2 2 3 3 3 3 2" xfId="17821"/>
    <cellStyle name="Notas 2 2 3 3 3 3 3" xfId="17822"/>
    <cellStyle name="Notas 2 2 3 3 3 3 4" xfId="17823"/>
    <cellStyle name="Notas 2 2 3 3 3 4" xfId="17824"/>
    <cellStyle name="Notas 2 2 3 3 3 4 2" xfId="17825"/>
    <cellStyle name="Notas 2 2 3 3 3 4 3" xfId="17826"/>
    <cellStyle name="Notas 2 2 3 3 3 4 4" xfId="17827"/>
    <cellStyle name="Notas 2 2 3 3 3 5" xfId="17828"/>
    <cellStyle name="Notas 2 2 3 3 3 6" xfId="17829"/>
    <cellStyle name="Notas 2 2 3 3 3 7" xfId="17830"/>
    <cellStyle name="Notas 2 2 3 3 3 8" xfId="17831"/>
    <cellStyle name="Notas 2 2 3 3 4" xfId="17832"/>
    <cellStyle name="Notas 2 2 3 3 4 2" xfId="17833"/>
    <cellStyle name="Notas 2 2 3 3 4 2 2" xfId="17834"/>
    <cellStyle name="Notas 2 2 3 3 4 2 3" xfId="17835"/>
    <cellStyle name="Notas 2 2 3 3 4 2 4" xfId="17836"/>
    <cellStyle name="Notas 2 2 3 3 4 3" xfId="17837"/>
    <cellStyle name="Notas 2 2 3 3 4 3 2" xfId="17838"/>
    <cellStyle name="Notas 2 2 3 3 4 3 3" xfId="17839"/>
    <cellStyle name="Notas 2 2 3 3 4 3 4" xfId="17840"/>
    <cellStyle name="Notas 2 2 3 3 4 4" xfId="17841"/>
    <cellStyle name="Notas 2 2 3 3 4 4 2" xfId="17842"/>
    <cellStyle name="Notas 2 2 3 3 4 4 3" xfId="17843"/>
    <cellStyle name="Notas 2 2 3 3 4 4 4" xfId="17844"/>
    <cellStyle name="Notas 2 2 3 3 4 5" xfId="17845"/>
    <cellStyle name="Notas 2 2 3 3 4 6" xfId="17846"/>
    <cellStyle name="Notas 2 2 3 3 4 7" xfId="17847"/>
    <cellStyle name="Notas 2 2 3 3 4 8" xfId="17848"/>
    <cellStyle name="Notas 2 2 3 3 5" xfId="17849"/>
    <cellStyle name="Notas 2 2 3 3 5 2" xfId="17850"/>
    <cellStyle name="Notas 2 2 3 3 5 2 2" xfId="17851"/>
    <cellStyle name="Notas 2 2 3 3 5 2 3" xfId="17852"/>
    <cellStyle name="Notas 2 2 3 3 5 2 4" xfId="17853"/>
    <cellStyle name="Notas 2 2 3 3 5 3" xfId="17854"/>
    <cellStyle name="Notas 2 2 3 3 5 3 2" xfId="17855"/>
    <cellStyle name="Notas 2 2 3 3 5 3 3" xfId="17856"/>
    <cellStyle name="Notas 2 2 3 3 5 3 4" xfId="17857"/>
    <cellStyle name="Notas 2 2 3 3 5 4" xfId="17858"/>
    <cellStyle name="Notas 2 2 3 3 5 4 2" xfId="17859"/>
    <cellStyle name="Notas 2 2 3 3 5 4 3" xfId="17860"/>
    <cellStyle name="Notas 2 2 3 3 5 4 4" xfId="17861"/>
    <cellStyle name="Notas 2 2 3 3 5 5" xfId="17862"/>
    <cellStyle name="Notas 2 2 3 3 5 6" xfId="17863"/>
    <cellStyle name="Notas 2 2 3 3 5 7" xfId="17864"/>
    <cellStyle name="Notas 2 2 3 3 5 8" xfId="17865"/>
    <cellStyle name="Notas 2 2 3 3 6" xfId="17866"/>
    <cellStyle name="Notas 2 2 3 3 6 2" xfId="17867"/>
    <cellStyle name="Notas 2 2 3 3 6 2 2" xfId="17868"/>
    <cellStyle name="Notas 2 2 3 3 6 2 3" xfId="17869"/>
    <cellStyle name="Notas 2 2 3 3 6 2 4" xfId="17870"/>
    <cellStyle name="Notas 2 2 3 3 6 3" xfId="17871"/>
    <cellStyle name="Notas 2 2 3 3 6 3 2" xfId="17872"/>
    <cellStyle name="Notas 2 2 3 3 6 3 3" xfId="17873"/>
    <cellStyle name="Notas 2 2 3 3 6 3 4" xfId="17874"/>
    <cellStyle name="Notas 2 2 3 3 6 4" xfId="17875"/>
    <cellStyle name="Notas 2 2 3 3 6 4 2" xfId="17876"/>
    <cellStyle name="Notas 2 2 3 3 6 4 3" xfId="17877"/>
    <cellStyle name="Notas 2 2 3 3 6 4 4" xfId="17878"/>
    <cellStyle name="Notas 2 2 3 3 6 5" xfId="17879"/>
    <cellStyle name="Notas 2 2 3 3 6 6" xfId="17880"/>
    <cellStyle name="Notas 2 2 3 3 6 7" xfId="17881"/>
    <cellStyle name="Notas 2 2 3 3 6 8" xfId="17882"/>
    <cellStyle name="Notas 2 2 3 3 7" xfId="17883"/>
    <cellStyle name="Notas 2 2 3 3 7 2" xfId="17884"/>
    <cellStyle name="Notas 2 2 3 3 7 2 2" xfId="17885"/>
    <cellStyle name="Notas 2 2 3 3 7 2 3" xfId="17886"/>
    <cellStyle name="Notas 2 2 3 3 7 2 4" xfId="17887"/>
    <cellStyle name="Notas 2 2 3 3 7 3" xfId="17888"/>
    <cellStyle name="Notas 2 2 3 3 7 3 2" xfId="17889"/>
    <cellStyle name="Notas 2 2 3 3 7 3 3" xfId="17890"/>
    <cellStyle name="Notas 2 2 3 3 7 3 4" xfId="17891"/>
    <cellStyle name="Notas 2 2 3 3 7 4" xfId="17892"/>
    <cellStyle name="Notas 2 2 3 3 7 4 2" xfId="17893"/>
    <cellStyle name="Notas 2 2 3 3 7 4 3" xfId="17894"/>
    <cellStyle name="Notas 2 2 3 3 7 4 4" xfId="17895"/>
    <cellStyle name="Notas 2 2 3 3 7 5" xfId="17896"/>
    <cellStyle name="Notas 2 2 3 3 7 6" xfId="17897"/>
    <cellStyle name="Notas 2 2 3 3 7 7" xfId="17898"/>
    <cellStyle name="Notas 2 2 3 3 7 8" xfId="17899"/>
    <cellStyle name="Notas 2 2 3 3 8" xfId="17900"/>
    <cellStyle name="Notas 2 2 3 3 8 2" xfId="17901"/>
    <cellStyle name="Notas 2 2 3 3 8 3" xfId="17902"/>
    <cellStyle name="Notas 2 2 3 3 8 4" xfId="17903"/>
    <cellStyle name="Notas 2 2 3 3 9" xfId="17904"/>
    <cellStyle name="Notas 2 2 3 3 9 2" xfId="17905"/>
    <cellStyle name="Notas 2 2 3 3 9 3" xfId="17906"/>
    <cellStyle name="Notas 2 2 3 3 9 4" xfId="17907"/>
    <cellStyle name="Notas 2 2 3 4" xfId="17908"/>
    <cellStyle name="Notas 2 2 3 4 2" xfId="17909"/>
    <cellStyle name="Notas 2 2 3 4 2 2" xfId="17910"/>
    <cellStyle name="Notas 2 2 3 4 2 2 2" xfId="17911"/>
    <cellStyle name="Notas 2 2 3 4 2 2 3" xfId="17912"/>
    <cellStyle name="Notas 2 2 3 4 2 2 4" xfId="17913"/>
    <cellStyle name="Notas 2 2 3 4 2 3" xfId="17914"/>
    <cellStyle name="Notas 2 2 3 4 2 3 2" xfId="17915"/>
    <cellStyle name="Notas 2 2 3 4 2 3 3" xfId="17916"/>
    <cellStyle name="Notas 2 2 3 4 2 3 4" xfId="17917"/>
    <cellStyle name="Notas 2 2 3 4 2 4" xfId="17918"/>
    <cellStyle name="Notas 2 2 3 4 2 4 2" xfId="17919"/>
    <cellStyle name="Notas 2 2 3 4 2 4 3" xfId="17920"/>
    <cellStyle name="Notas 2 2 3 4 2 4 4" xfId="17921"/>
    <cellStyle name="Notas 2 2 3 4 2 5" xfId="17922"/>
    <cellStyle name="Notas 2 2 3 4 2 6" xfId="17923"/>
    <cellStyle name="Notas 2 2 3 4 2 7" xfId="17924"/>
    <cellStyle name="Notas 2 2 3 4 2 8" xfId="17925"/>
    <cellStyle name="Notas 2 2 3 4 3" xfId="17926"/>
    <cellStyle name="Notas 2 2 3 4 3 2" xfId="17927"/>
    <cellStyle name="Notas 2 2 3 4 3 2 2" xfId="17928"/>
    <cellStyle name="Notas 2 2 3 4 3 2 3" xfId="17929"/>
    <cellStyle name="Notas 2 2 3 4 3 2 4" xfId="17930"/>
    <cellStyle name="Notas 2 2 3 4 3 3" xfId="17931"/>
    <cellStyle name="Notas 2 2 3 4 3 3 2" xfId="17932"/>
    <cellStyle name="Notas 2 2 3 4 3 3 3" xfId="17933"/>
    <cellStyle name="Notas 2 2 3 4 3 3 4" xfId="17934"/>
    <cellStyle name="Notas 2 2 3 4 3 4" xfId="17935"/>
    <cellStyle name="Notas 2 2 3 4 3 4 2" xfId="17936"/>
    <cellStyle name="Notas 2 2 3 4 3 4 3" xfId="17937"/>
    <cellStyle name="Notas 2 2 3 4 3 4 4" xfId="17938"/>
    <cellStyle name="Notas 2 2 3 4 3 5" xfId="17939"/>
    <cellStyle name="Notas 2 2 3 4 3 6" xfId="17940"/>
    <cellStyle name="Notas 2 2 3 4 3 7" xfId="17941"/>
    <cellStyle name="Notas 2 2 3 4 3 8" xfId="17942"/>
    <cellStyle name="Notas 2 2 3 4 4" xfId="17943"/>
    <cellStyle name="Notas 2 2 3 4 4 2" xfId="17944"/>
    <cellStyle name="Notas 2 2 3 4 4 2 2" xfId="17945"/>
    <cellStyle name="Notas 2 2 3 4 4 2 3" xfId="17946"/>
    <cellStyle name="Notas 2 2 3 4 4 2 4" xfId="17947"/>
    <cellStyle name="Notas 2 2 3 4 4 3" xfId="17948"/>
    <cellStyle name="Notas 2 2 3 4 4 3 2" xfId="17949"/>
    <cellStyle name="Notas 2 2 3 4 4 3 3" xfId="17950"/>
    <cellStyle name="Notas 2 2 3 4 4 3 4" xfId="17951"/>
    <cellStyle name="Notas 2 2 3 4 4 4" xfId="17952"/>
    <cellStyle name="Notas 2 2 3 4 4 4 2" xfId="17953"/>
    <cellStyle name="Notas 2 2 3 4 4 4 3" xfId="17954"/>
    <cellStyle name="Notas 2 2 3 4 4 4 4" xfId="17955"/>
    <cellStyle name="Notas 2 2 3 4 4 5" xfId="17956"/>
    <cellStyle name="Notas 2 2 3 4 4 6" xfId="17957"/>
    <cellStyle name="Notas 2 2 3 4 4 7" xfId="17958"/>
    <cellStyle name="Notas 2 2 3 4 4 8" xfId="17959"/>
    <cellStyle name="Notas 2 2 3 4 5" xfId="17960"/>
    <cellStyle name="Notas 2 2 3 4 5 2" xfId="17961"/>
    <cellStyle name="Notas 2 2 3 4 5 2 2" xfId="17962"/>
    <cellStyle name="Notas 2 2 3 4 5 2 3" xfId="17963"/>
    <cellStyle name="Notas 2 2 3 4 5 2 4" xfId="17964"/>
    <cellStyle name="Notas 2 2 3 4 5 3" xfId="17965"/>
    <cellStyle name="Notas 2 2 3 4 5 3 2" xfId="17966"/>
    <cellStyle name="Notas 2 2 3 4 5 3 3" xfId="17967"/>
    <cellStyle name="Notas 2 2 3 4 5 3 4" xfId="17968"/>
    <cellStyle name="Notas 2 2 3 4 5 4" xfId="17969"/>
    <cellStyle name="Notas 2 2 3 4 5 4 2" xfId="17970"/>
    <cellStyle name="Notas 2 2 3 4 5 4 3" xfId="17971"/>
    <cellStyle name="Notas 2 2 3 4 5 4 4" xfId="17972"/>
    <cellStyle name="Notas 2 2 3 4 5 5" xfId="17973"/>
    <cellStyle name="Notas 2 2 3 4 5 6" xfId="17974"/>
    <cellStyle name="Notas 2 2 3 4 5 7" xfId="17975"/>
    <cellStyle name="Notas 2 2 3 4 5 8" xfId="17976"/>
    <cellStyle name="Notas 2 2 3 4 6" xfId="17977"/>
    <cellStyle name="Notas 2 2 3 4 6 2" xfId="17978"/>
    <cellStyle name="Notas 2 2 3 4 6 3" xfId="17979"/>
    <cellStyle name="Notas 2 2 3 4 6 4" xfId="17980"/>
    <cellStyle name="Notas 2 2 3 4 7" xfId="17981"/>
    <cellStyle name="Notas 2 2 3 4 7 2" xfId="17982"/>
    <cellStyle name="Notas 2 2 3 4 7 3" xfId="17983"/>
    <cellStyle name="Notas 2 2 3 4 7 4" xfId="17984"/>
    <cellStyle name="Notas 2 2 3 4 8" xfId="17985"/>
    <cellStyle name="Notas 2 2 3 4 9" xfId="17986"/>
    <cellStyle name="Notas 2 2 3 5" xfId="17987"/>
    <cellStyle name="Notas 2 2 3 5 2" xfId="17988"/>
    <cellStyle name="Notas 2 2 3 5 2 2" xfId="17989"/>
    <cellStyle name="Notas 2 2 3 5 2 3" xfId="17990"/>
    <cellStyle name="Notas 2 2 3 5 2 4" xfId="17991"/>
    <cellStyle name="Notas 2 2 3 5 3" xfId="17992"/>
    <cellStyle name="Notas 2 2 3 5 3 2" xfId="17993"/>
    <cellStyle name="Notas 2 2 3 5 3 3" xfId="17994"/>
    <cellStyle name="Notas 2 2 3 5 3 4" xfId="17995"/>
    <cellStyle name="Notas 2 2 3 5 4" xfId="17996"/>
    <cellStyle name="Notas 2 2 3 5 4 2" xfId="17997"/>
    <cellStyle name="Notas 2 2 3 5 4 3" xfId="17998"/>
    <cellStyle name="Notas 2 2 3 5 4 4" xfId="17999"/>
    <cellStyle name="Notas 2 2 3 5 5" xfId="18000"/>
    <cellStyle name="Notas 2 2 3 5 6" xfId="18001"/>
    <cellStyle name="Notas 2 2 3 5 7" xfId="18002"/>
    <cellStyle name="Notas 2 2 3 5 8" xfId="18003"/>
    <cellStyle name="Notas 2 2 3 6" xfId="18004"/>
    <cellStyle name="Notas 2 2 3 6 2" xfId="18005"/>
    <cellStyle name="Notas 2 2 3 6 2 2" xfId="18006"/>
    <cellStyle name="Notas 2 2 3 6 2 3" xfId="18007"/>
    <cellStyle name="Notas 2 2 3 6 2 4" xfId="18008"/>
    <cellStyle name="Notas 2 2 3 6 3" xfId="18009"/>
    <cellStyle name="Notas 2 2 3 6 3 2" xfId="18010"/>
    <cellStyle name="Notas 2 2 3 6 3 3" xfId="18011"/>
    <cellStyle name="Notas 2 2 3 6 3 4" xfId="18012"/>
    <cellStyle name="Notas 2 2 3 6 4" xfId="18013"/>
    <cellStyle name="Notas 2 2 3 6 4 2" xfId="18014"/>
    <cellStyle name="Notas 2 2 3 6 4 3" xfId="18015"/>
    <cellStyle name="Notas 2 2 3 6 4 4" xfId="18016"/>
    <cellStyle name="Notas 2 2 3 6 5" xfId="18017"/>
    <cellStyle name="Notas 2 2 3 6 6" xfId="18018"/>
    <cellStyle name="Notas 2 2 3 6 7" xfId="18019"/>
    <cellStyle name="Notas 2 2 3 6 8" xfId="18020"/>
    <cellStyle name="Notas 2 2 3 7" xfId="18021"/>
    <cellStyle name="Notas 2 2 3 7 2" xfId="18022"/>
    <cellStyle name="Notas 2 2 3 7 2 2" xfId="18023"/>
    <cellStyle name="Notas 2 2 3 7 2 3" xfId="18024"/>
    <cellStyle name="Notas 2 2 3 7 2 4" xfId="18025"/>
    <cellStyle name="Notas 2 2 3 7 3" xfId="18026"/>
    <cellStyle name="Notas 2 2 3 7 3 2" xfId="18027"/>
    <cellStyle name="Notas 2 2 3 7 3 3" xfId="18028"/>
    <cellStyle name="Notas 2 2 3 7 3 4" xfId="18029"/>
    <cellStyle name="Notas 2 2 3 7 4" xfId="18030"/>
    <cellStyle name="Notas 2 2 3 7 4 2" xfId="18031"/>
    <cellStyle name="Notas 2 2 3 7 4 3" xfId="18032"/>
    <cellStyle name="Notas 2 2 3 7 4 4" xfId="18033"/>
    <cellStyle name="Notas 2 2 3 7 5" xfId="18034"/>
    <cellStyle name="Notas 2 2 3 7 6" xfId="18035"/>
    <cellStyle name="Notas 2 2 3 7 7" xfId="18036"/>
    <cellStyle name="Notas 2 2 3 7 8" xfId="18037"/>
    <cellStyle name="Notas 2 2 3 8" xfId="18038"/>
    <cellStyle name="Notas 2 2 3 8 2" xfId="18039"/>
    <cellStyle name="Notas 2 2 3 8 2 2" xfId="18040"/>
    <cellStyle name="Notas 2 2 3 8 2 3" xfId="18041"/>
    <cellStyle name="Notas 2 2 3 8 2 4" xfId="18042"/>
    <cellStyle name="Notas 2 2 3 8 3" xfId="18043"/>
    <cellStyle name="Notas 2 2 3 8 3 2" xfId="18044"/>
    <cellStyle name="Notas 2 2 3 8 3 3" xfId="18045"/>
    <cellStyle name="Notas 2 2 3 8 3 4" xfId="18046"/>
    <cellStyle name="Notas 2 2 3 8 4" xfId="18047"/>
    <cellStyle name="Notas 2 2 3 8 4 2" xfId="18048"/>
    <cellStyle name="Notas 2 2 3 8 4 3" xfId="18049"/>
    <cellStyle name="Notas 2 2 3 8 4 4" xfId="18050"/>
    <cellStyle name="Notas 2 2 3 8 5" xfId="18051"/>
    <cellStyle name="Notas 2 2 3 8 6" xfId="18052"/>
    <cellStyle name="Notas 2 2 3 8 7" xfId="18053"/>
    <cellStyle name="Notas 2 2 3 8 8" xfId="18054"/>
    <cellStyle name="Notas 2 2 3 9" xfId="18055"/>
    <cellStyle name="Notas 2 2 3 9 2" xfId="18056"/>
    <cellStyle name="Notas 2 2 3 9 2 2" xfId="18057"/>
    <cellStyle name="Notas 2 2 3 9 2 3" xfId="18058"/>
    <cellStyle name="Notas 2 2 3 9 2 4" xfId="18059"/>
    <cellStyle name="Notas 2 2 3 9 3" xfId="18060"/>
    <cellStyle name="Notas 2 2 3 9 3 2" xfId="18061"/>
    <cellStyle name="Notas 2 2 3 9 3 3" xfId="18062"/>
    <cellStyle name="Notas 2 2 3 9 3 4" xfId="18063"/>
    <cellStyle name="Notas 2 2 3 9 4" xfId="18064"/>
    <cellStyle name="Notas 2 2 3 9 4 2" xfId="18065"/>
    <cellStyle name="Notas 2 2 3 9 4 3" xfId="18066"/>
    <cellStyle name="Notas 2 2 3 9 4 4" xfId="18067"/>
    <cellStyle name="Notas 2 2 3 9 5" xfId="18068"/>
    <cellStyle name="Notas 2 2 3 9 6" xfId="18069"/>
    <cellStyle name="Notas 2 2 3 9 7" xfId="18070"/>
    <cellStyle name="Notas 2 2 3 9 8" xfId="18071"/>
    <cellStyle name="Notas 2 2 4" xfId="18072"/>
    <cellStyle name="Notas 2 2 4 10" xfId="18073"/>
    <cellStyle name="Notas 2 2 4 10 2" xfId="18074"/>
    <cellStyle name="Notas 2 2 4 10 3" xfId="18075"/>
    <cellStyle name="Notas 2 2 4 10 4" xfId="18076"/>
    <cellStyle name="Notas 2 2 4 11" xfId="18077"/>
    <cellStyle name="Notas 2 2 4 12" xfId="18078"/>
    <cellStyle name="Notas 2 2 4 2" xfId="18079"/>
    <cellStyle name="Notas 2 2 4 2 10" xfId="18080"/>
    <cellStyle name="Notas 2 2 4 2 11" xfId="18081"/>
    <cellStyle name="Notas 2 2 4 2 2" xfId="18082"/>
    <cellStyle name="Notas 2 2 4 2 2 2" xfId="18083"/>
    <cellStyle name="Notas 2 2 4 2 2 2 2" xfId="18084"/>
    <cellStyle name="Notas 2 2 4 2 2 2 2 2" xfId="18085"/>
    <cellStyle name="Notas 2 2 4 2 2 2 2 3" xfId="18086"/>
    <cellStyle name="Notas 2 2 4 2 2 2 2 4" xfId="18087"/>
    <cellStyle name="Notas 2 2 4 2 2 2 3" xfId="18088"/>
    <cellStyle name="Notas 2 2 4 2 2 2 3 2" xfId="18089"/>
    <cellStyle name="Notas 2 2 4 2 2 2 3 3" xfId="18090"/>
    <cellStyle name="Notas 2 2 4 2 2 2 3 4" xfId="18091"/>
    <cellStyle name="Notas 2 2 4 2 2 2 4" xfId="18092"/>
    <cellStyle name="Notas 2 2 4 2 2 2 4 2" xfId="18093"/>
    <cellStyle name="Notas 2 2 4 2 2 2 4 3" xfId="18094"/>
    <cellStyle name="Notas 2 2 4 2 2 2 4 4" xfId="18095"/>
    <cellStyle name="Notas 2 2 4 2 2 2 5" xfId="18096"/>
    <cellStyle name="Notas 2 2 4 2 2 2 6" xfId="18097"/>
    <cellStyle name="Notas 2 2 4 2 2 2 7" xfId="18098"/>
    <cellStyle name="Notas 2 2 4 2 2 2 8" xfId="18099"/>
    <cellStyle name="Notas 2 2 4 2 2 3" xfId="18100"/>
    <cellStyle name="Notas 2 2 4 2 2 3 2" xfId="18101"/>
    <cellStyle name="Notas 2 2 4 2 2 3 2 2" xfId="18102"/>
    <cellStyle name="Notas 2 2 4 2 2 3 2 3" xfId="18103"/>
    <cellStyle name="Notas 2 2 4 2 2 3 2 4" xfId="18104"/>
    <cellStyle name="Notas 2 2 4 2 2 3 3" xfId="18105"/>
    <cellStyle name="Notas 2 2 4 2 2 3 3 2" xfId="18106"/>
    <cellStyle name="Notas 2 2 4 2 2 3 3 3" xfId="18107"/>
    <cellStyle name="Notas 2 2 4 2 2 3 3 4" xfId="18108"/>
    <cellStyle name="Notas 2 2 4 2 2 3 4" xfId="18109"/>
    <cellStyle name="Notas 2 2 4 2 2 3 4 2" xfId="18110"/>
    <cellStyle name="Notas 2 2 4 2 2 3 4 3" xfId="18111"/>
    <cellStyle name="Notas 2 2 4 2 2 3 4 4" xfId="18112"/>
    <cellStyle name="Notas 2 2 4 2 2 3 5" xfId="18113"/>
    <cellStyle name="Notas 2 2 4 2 2 3 6" xfId="18114"/>
    <cellStyle name="Notas 2 2 4 2 2 3 7" xfId="18115"/>
    <cellStyle name="Notas 2 2 4 2 2 3 8" xfId="18116"/>
    <cellStyle name="Notas 2 2 4 2 2 4" xfId="18117"/>
    <cellStyle name="Notas 2 2 4 2 2 4 2" xfId="18118"/>
    <cellStyle name="Notas 2 2 4 2 2 4 2 2" xfId="18119"/>
    <cellStyle name="Notas 2 2 4 2 2 4 2 3" xfId="18120"/>
    <cellStyle name="Notas 2 2 4 2 2 4 2 4" xfId="18121"/>
    <cellStyle name="Notas 2 2 4 2 2 4 3" xfId="18122"/>
    <cellStyle name="Notas 2 2 4 2 2 4 3 2" xfId="18123"/>
    <cellStyle name="Notas 2 2 4 2 2 4 3 3" xfId="18124"/>
    <cellStyle name="Notas 2 2 4 2 2 4 3 4" xfId="18125"/>
    <cellStyle name="Notas 2 2 4 2 2 4 4" xfId="18126"/>
    <cellStyle name="Notas 2 2 4 2 2 4 4 2" xfId="18127"/>
    <cellStyle name="Notas 2 2 4 2 2 4 4 3" xfId="18128"/>
    <cellStyle name="Notas 2 2 4 2 2 4 4 4" xfId="18129"/>
    <cellStyle name="Notas 2 2 4 2 2 4 5" xfId="18130"/>
    <cellStyle name="Notas 2 2 4 2 2 4 6" xfId="18131"/>
    <cellStyle name="Notas 2 2 4 2 2 4 7" xfId="18132"/>
    <cellStyle name="Notas 2 2 4 2 2 4 8" xfId="18133"/>
    <cellStyle name="Notas 2 2 4 2 2 5" xfId="18134"/>
    <cellStyle name="Notas 2 2 4 2 2 5 2" xfId="18135"/>
    <cellStyle name="Notas 2 2 4 2 2 5 2 2" xfId="18136"/>
    <cellStyle name="Notas 2 2 4 2 2 5 2 3" xfId="18137"/>
    <cellStyle name="Notas 2 2 4 2 2 5 2 4" xfId="18138"/>
    <cellStyle name="Notas 2 2 4 2 2 5 3" xfId="18139"/>
    <cellStyle name="Notas 2 2 4 2 2 5 3 2" xfId="18140"/>
    <cellStyle name="Notas 2 2 4 2 2 5 3 3" xfId="18141"/>
    <cellStyle name="Notas 2 2 4 2 2 5 3 4" xfId="18142"/>
    <cellStyle name="Notas 2 2 4 2 2 5 4" xfId="18143"/>
    <cellStyle name="Notas 2 2 4 2 2 5 4 2" xfId="18144"/>
    <cellStyle name="Notas 2 2 4 2 2 5 4 3" xfId="18145"/>
    <cellStyle name="Notas 2 2 4 2 2 5 4 4" xfId="18146"/>
    <cellStyle name="Notas 2 2 4 2 2 5 5" xfId="18147"/>
    <cellStyle name="Notas 2 2 4 2 2 5 6" xfId="18148"/>
    <cellStyle name="Notas 2 2 4 2 2 5 7" xfId="18149"/>
    <cellStyle name="Notas 2 2 4 2 2 5 8" xfId="18150"/>
    <cellStyle name="Notas 2 2 4 2 2 6" xfId="18151"/>
    <cellStyle name="Notas 2 2 4 2 2 6 2" xfId="18152"/>
    <cellStyle name="Notas 2 2 4 2 2 6 3" xfId="18153"/>
    <cellStyle name="Notas 2 2 4 2 2 6 4" xfId="18154"/>
    <cellStyle name="Notas 2 2 4 2 2 7" xfId="18155"/>
    <cellStyle name="Notas 2 2 4 2 2 7 2" xfId="18156"/>
    <cellStyle name="Notas 2 2 4 2 2 7 3" xfId="18157"/>
    <cellStyle name="Notas 2 2 4 2 2 7 4" xfId="18158"/>
    <cellStyle name="Notas 2 2 4 2 2 8" xfId="18159"/>
    <cellStyle name="Notas 2 2 4 2 2 9" xfId="18160"/>
    <cellStyle name="Notas 2 2 4 2 3" xfId="18161"/>
    <cellStyle name="Notas 2 2 4 2 3 2" xfId="18162"/>
    <cellStyle name="Notas 2 2 4 2 3 2 2" xfId="18163"/>
    <cellStyle name="Notas 2 2 4 2 3 2 3" xfId="18164"/>
    <cellStyle name="Notas 2 2 4 2 3 2 4" xfId="18165"/>
    <cellStyle name="Notas 2 2 4 2 3 3" xfId="18166"/>
    <cellStyle name="Notas 2 2 4 2 3 3 2" xfId="18167"/>
    <cellStyle name="Notas 2 2 4 2 3 3 3" xfId="18168"/>
    <cellStyle name="Notas 2 2 4 2 3 3 4" xfId="18169"/>
    <cellStyle name="Notas 2 2 4 2 3 4" xfId="18170"/>
    <cellStyle name="Notas 2 2 4 2 3 4 2" xfId="18171"/>
    <cellStyle name="Notas 2 2 4 2 3 4 3" xfId="18172"/>
    <cellStyle name="Notas 2 2 4 2 3 4 4" xfId="18173"/>
    <cellStyle name="Notas 2 2 4 2 3 5" xfId="18174"/>
    <cellStyle name="Notas 2 2 4 2 3 6" xfId="18175"/>
    <cellStyle name="Notas 2 2 4 2 3 7" xfId="18176"/>
    <cellStyle name="Notas 2 2 4 2 3 8" xfId="18177"/>
    <cellStyle name="Notas 2 2 4 2 4" xfId="18178"/>
    <cellStyle name="Notas 2 2 4 2 4 2" xfId="18179"/>
    <cellStyle name="Notas 2 2 4 2 4 2 2" xfId="18180"/>
    <cellStyle name="Notas 2 2 4 2 4 2 3" xfId="18181"/>
    <cellStyle name="Notas 2 2 4 2 4 2 4" xfId="18182"/>
    <cellStyle name="Notas 2 2 4 2 4 3" xfId="18183"/>
    <cellStyle name="Notas 2 2 4 2 4 3 2" xfId="18184"/>
    <cellStyle name="Notas 2 2 4 2 4 3 3" xfId="18185"/>
    <cellStyle name="Notas 2 2 4 2 4 3 4" xfId="18186"/>
    <cellStyle name="Notas 2 2 4 2 4 4" xfId="18187"/>
    <cellStyle name="Notas 2 2 4 2 4 4 2" xfId="18188"/>
    <cellStyle name="Notas 2 2 4 2 4 4 3" xfId="18189"/>
    <cellStyle name="Notas 2 2 4 2 4 4 4" xfId="18190"/>
    <cellStyle name="Notas 2 2 4 2 4 5" xfId="18191"/>
    <cellStyle name="Notas 2 2 4 2 4 6" xfId="18192"/>
    <cellStyle name="Notas 2 2 4 2 4 7" xfId="18193"/>
    <cellStyle name="Notas 2 2 4 2 4 8" xfId="18194"/>
    <cellStyle name="Notas 2 2 4 2 5" xfId="18195"/>
    <cellStyle name="Notas 2 2 4 2 5 2" xfId="18196"/>
    <cellStyle name="Notas 2 2 4 2 5 2 2" xfId="18197"/>
    <cellStyle name="Notas 2 2 4 2 5 2 3" xfId="18198"/>
    <cellStyle name="Notas 2 2 4 2 5 2 4" xfId="18199"/>
    <cellStyle name="Notas 2 2 4 2 5 3" xfId="18200"/>
    <cellStyle name="Notas 2 2 4 2 5 3 2" xfId="18201"/>
    <cellStyle name="Notas 2 2 4 2 5 3 3" xfId="18202"/>
    <cellStyle name="Notas 2 2 4 2 5 3 4" xfId="18203"/>
    <cellStyle name="Notas 2 2 4 2 5 4" xfId="18204"/>
    <cellStyle name="Notas 2 2 4 2 5 4 2" xfId="18205"/>
    <cellStyle name="Notas 2 2 4 2 5 4 3" xfId="18206"/>
    <cellStyle name="Notas 2 2 4 2 5 4 4" xfId="18207"/>
    <cellStyle name="Notas 2 2 4 2 5 5" xfId="18208"/>
    <cellStyle name="Notas 2 2 4 2 5 6" xfId="18209"/>
    <cellStyle name="Notas 2 2 4 2 5 7" xfId="18210"/>
    <cellStyle name="Notas 2 2 4 2 5 8" xfId="18211"/>
    <cellStyle name="Notas 2 2 4 2 6" xfId="18212"/>
    <cellStyle name="Notas 2 2 4 2 6 2" xfId="18213"/>
    <cellStyle name="Notas 2 2 4 2 6 2 2" xfId="18214"/>
    <cellStyle name="Notas 2 2 4 2 6 2 3" xfId="18215"/>
    <cellStyle name="Notas 2 2 4 2 6 2 4" xfId="18216"/>
    <cellStyle name="Notas 2 2 4 2 6 3" xfId="18217"/>
    <cellStyle name="Notas 2 2 4 2 6 3 2" xfId="18218"/>
    <cellStyle name="Notas 2 2 4 2 6 3 3" xfId="18219"/>
    <cellStyle name="Notas 2 2 4 2 6 3 4" xfId="18220"/>
    <cellStyle name="Notas 2 2 4 2 6 4" xfId="18221"/>
    <cellStyle name="Notas 2 2 4 2 6 4 2" xfId="18222"/>
    <cellStyle name="Notas 2 2 4 2 6 4 3" xfId="18223"/>
    <cellStyle name="Notas 2 2 4 2 6 4 4" xfId="18224"/>
    <cellStyle name="Notas 2 2 4 2 6 5" xfId="18225"/>
    <cellStyle name="Notas 2 2 4 2 6 6" xfId="18226"/>
    <cellStyle name="Notas 2 2 4 2 6 7" xfId="18227"/>
    <cellStyle name="Notas 2 2 4 2 6 8" xfId="18228"/>
    <cellStyle name="Notas 2 2 4 2 7" xfId="18229"/>
    <cellStyle name="Notas 2 2 4 2 7 2" xfId="18230"/>
    <cellStyle name="Notas 2 2 4 2 7 2 2" xfId="18231"/>
    <cellStyle name="Notas 2 2 4 2 7 2 3" xfId="18232"/>
    <cellStyle name="Notas 2 2 4 2 7 2 4" xfId="18233"/>
    <cellStyle name="Notas 2 2 4 2 7 3" xfId="18234"/>
    <cellStyle name="Notas 2 2 4 2 7 3 2" xfId="18235"/>
    <cellStyle name="Notas 2 2 4 2 7 3 3" xfId="18236"/>
    <cellStyle name="Notas 2 2 4 2 7 3 4" xfId="18237"/>
    <cellStyle name="Notas 2 2 4 2 7 4" xfId="18238"/>
    <cellStyle name="Notas 2 2 4 2 7 4 2" xfId="18239"/>
    <cellStyle name="Notas 2 2 4 2 7 4 3" xfId="18240"/>
    <cellStyle name="Notas 2 2 4 2 7 4 4" xfId="18241"/>
    <cellStyle name="Notas 2 2 4 2 7 5" xfId="18242"/>
    <cellStyle name="Notas 2 2 4 2 7 6" xfId="18243"/>
    <cellStyle name="Notas 2 2 4 2 7 7" xfId="18244"/>
    <cellStyle name="Notas 2 2 4 2 7 8" xfId="18245"/>
    <cellStyle name="Notas 2 2 4 2 8" xfId="18246"/>
    <cellStyle name="Notas 2 2 4 2 8 2" xfId="18247"/>
    <cellStyle name="Notas 2 2 4 2 8 3" xfId="18248"/>
    <cellStyle name="Notas 2 2 4 2 8 4" xfId="18249"/>
    <cellStyle name="Notas 2 2 4 2 9" xfId="18250"/>
    <cellStyle name="Notas 2 2 4 2 9 2" xfId="18251"/>
    <cellStyle name="Notas 2 2 4 2 9 3" xfId="18252"/>
    <cellStyle name="Notas 2 2 4 2 9 4" xfId="18253"/>
    <cellStyle name="Notas 2 2 4 3" xfId="18254"/>
    <cellStyle name="Notas 2 2 4 3 2" xfId="18255"/>
    <cellStyle name="Notas 2 2 4 3 2 2" xfId="18256"/>
    <cellStyle name="Notas 2 2 4 3 2 2 2" xfId="18257"/>
    <cellStyle name="Notas 2 2 4 3 2 2 3" xfId="18258"/>
    <cellStyle name="Notas 2 2 4 3 2 2 4" xfId="18259"/>
    <cellStyle name="Notas 2 2 4 3 2 3" xfId="18260"/>
    <cellStyle name="Notas 2 2 4 3 2 3 2" xfId="18261"/>
    <cellStyle name="Notas 2 2 4 3 2 3 3" xfId="18262"/>
    <cellStyle name="Notas 2 2 4 3 2 3 4" xfId="18263"/>
    <cellStyle name="Notas 2 2 4 3 2 4" xfId="18264"/>
    <cellStyle name="Notas 2 2 4 3 2 4 2" xfId="18265"/>
    <cellStyle name="Notas 2 2 4 3 2 4 3" xfId="18266"/>
    <cellStyle name="Notas 2 2 4 3 2 4 4" xfId="18267"/>
    <cellStyle name="Notas 2 2 4 3 2 5" xfId="18268"/>
    <cellStyle name="Notas 2 2 4 3 2 6" xfId="18269"/>
    <cellStyle name="Notas 2 2 4 3 2 7" xfId="18270"/>
    <cellStyle name="Notas 2 2 4 3 2 8" xfId="18271"/>
    <cellStyle name="Notas 2 2 4 3 3" xfId="18272"/>
    <cellStyle name="Notas 2 2 4 3 3 2" xfId="18273"/>
    <cellStyle name="Notas 2 2 4 3 3 2 2" xfId="18274"/>
    <cellStyle name="Notas 2 2 4 3 3 2 3" xfId="18275"/>
    <cellStyle name="Notas 2 2 4 3 3 2 4" xfId="18276"/>
    <cellStyle name="Notas 2 2 4 3 3 3" xfId="18277"/>
    <cellStyle name="Notas 2 2 4 3 3 3 2" xfId="18278"/>
    <cellStyle name="Notas 2 2 4 3 3 3 3" xfId="18279"/>
    <cellStyle name="Notas 2 2 4 3 3 3 4" xfId="18280"/>
    <cellStyle name="Notas 2 2 4 3 3 4" xfId="18281"/>
    <cellStyle name="Notas 2 2 4 3 3 4 2" xfId="18282"/>
    <cellStyle name="Notas 2 2 4 3 3 4 3" xfId="18283"/>
    <cellStyle name="Notas 2 2 4 3 3 4 4" xfId="18284"/>
    <cellStyle name="Notas 2 2 4 3 3 5" xfId="18285"/>
    <cellStyle name="Notas 2 2 4 3 3 6" xfId="18286"/>
    <cellStyle name="Notas 2 2 4 3 3 7" xfId="18287"/>
    <cellStyle name="Notas 2 2 4 3 3 8" xfId="18288"/>
    <cellStyle name="Notas 2 2 4 3 4" xfId="18289"/>
    <cellStyle name="Notas 2 2 4 3 4 2" xfId="18290"/>
    <cellStyle name="Notas 2 2 4 3 4 2 2" xfId="18291"/>
    <cellStyle name="Notas 2 2 4 3 4 2 3" xfId="18292"/>
    <cellStyle name="Notas 2 2 4 3 4 2 4" xfId="18293"/>
    <cellStyle name="Notas 2 2 4 3 4 3" xfId="18294"/>
    <cellStyle name="Notas 2 2 4 3 4 3 2" xfId="18295"/>
    <cellStyle name="Notas 2 2 4 3 4 3 3" xfId="18296"/>
    <cellStyle name="Notas 2 2 4 3 4 3 4" xfId="18297"/>
    <cellStyle name="Notas 2 2 4 3 4 4" xfId="18298"/>
    <cellStyle name="Notas 2 2 4 3 4 4 2" xfId="18299"/>
    <cellStyle name="Notas 2 2 4 3 4 4 3" xfId="18300"/>
    <cellStyle name="Notas 2 2 4 3 4 4 4" xfId="18301"/>
    <cellStyle name="Notas 2 2 4 3 4 5" xfId="18302"/>
    <cellStyle name="Notas 2 2 4 3 4 6" xfId="18303"/>
    <cellStyle name="Notas 2 2 4 3 4 7" xfId="18304"/>
    <cellStyle name="Notas 2 2 4 3 4 8" xfId="18305"/>
    <cellStyle name="Notas 2 2 4 3 5" xfId="18306"/>
    <cellStyle name="Notas 2 2 4 3 5 2" xfId="18307"/>
    <cellStyle name="Notas 2 2 4 3 5 2 2" xfId="18308"/>
    <cellStyle name="Notas 2 2 4 3 5 2 3" xfId="18309"/>
    <cellStyle name="Notas 2 2 4 3 5 2 4" xfId="18310"/>
    <cellStyle name="Notas 2 2 4 3 5 3" xfId="18311"/>
    <cellStyle name="Notas 2 2 4 3 5 3 2" xfId="18312"/>
    <cellStyle name="Notas 2 2 4 3 5 3 3" xfId="18313"/>
    <cellStyle name="Notas 2 2 4 3 5 3 4" xfId="18314"/>
    <cellStyle name="Notas 2 2 4 3 5 4" xfId="18315"/>
    <cellStyle name="Notas 2 2 4 3 5 4 2" xfId="18316"/>
    <cellStyle name="Notas 2 2 4 3 5 4 3" xfId="18317"/>
    <cellStyle name="Notas 2 2 4 3 5 4 4" xfId="18318"/>
    <cellStyle name="Notas 2 2 4 3 5 5" xfId="18319"/>
    <cellStyle name="Notas 2 2 4 3 5 6" xfId="18320"/>
    <cellStyle name="Notas 2 2 4 3 5 7" xfId="18321"/>
    <cellStyle name="Notas 2 2 4 3 5 8" xfId="18322"/>
    <cellStyle name="Notas 2 2 4 3 6" xfId="18323"/>
    <cellStyle name="Notas 2 2 4 3 6 2" xfId="18324"/>
    <cellStyle name="Notas 2 2 4 3 6 3" xfId="18325"/>
    <cellStyle name="Notas 2 2 4 3 6 4" xfId="18326"/>
    <cellStyle name="Notas 2 2 4 3 7" xfId="18327"/>
    <cellStyle name="Notas 2 2 4 3 7 2" xfId="18328"/>
    <cellStyle name="Notas 2 2 4 3 7 3" xfId="18329"/>
    <cellStyle name="Notas 2 2 4 3 7 4" xfId="18330"/>
    <cellStyle name="Notas 2 2 4 3 8" xfId="18331"/>
    <cellStyle name="Notas 2 2 4 3 9" xfId="18332"/>
    <cellStyle name="Notas 2 2 4 4" xfId="18333"/>
    <cellStyle name="Notas 2 2 4 4 2" xfId="18334"/>
    <cellStyle name="Notas 2 2 4 4 2 2" xfId="18335"/>
    <cellStyle name="Notas 2 2 4 4 2 3" xfId="18336"/>
    <cellStyle name="Notas 2 2 4 4 2 4" xfId="18337"/>
    <cellStyle name="Notas 2 2 4 4 3" xfId="18338"/>
    <cellStyle name="Notas 2 2 4 4 3 2" xfId="18339"/>
    <cellStyle name="Notas 2 2 4 4 3 3" xfId="18340"/>
    <cellStyle name="Notas 2 2 4 4 3 4" xfId="18341"/>
    <cellStyle name="Notas 2 2 4 4 4" xfId="18342"/>
    <cellStyle name="Notas 2 2 4 4 4 2" xfId="18343"/>
    <cellStyle name="Notas 2 2 4 4 4 3" xfId="18344"/>
    <cellStyle name="Notas 2 2 4 4 4 4" xfId="18345"/>
    <cellStyle name="Notas 2 2 4 4 5" xfId="18346"/>
    <cellStyle name="Notas 2 2 4 4 6" xfId="18347"/>
    <cellStyle name="Notas 2 2 4 4 7" xfId="18348"/>
    <cellStyle name="Notas 2 2 4 4 8" xfId="18349"/>
    <cellStyle name="Notas 2 2 4 5" xfId="18350"/>
    <cellStyle name="Notas 2 2 4 5 2" xfId="18351"/>
    <cellStyle name="Notas 2 2 4 5 2 2" xfId="18352"/>
    <cellStyle name="Notas 2 2 4 5 2 3" xfId="18353"/>
    <cellStyle name="Notas 2 2 4 5 2 4" xfId="18354"/>
    <cellStyle name="Notas 2 2 4 5 3" xfId="18355"/>
    <cellStyle name="Notas 2 2 4 5 3 2" xfId="18356"/>
    <cellStyle name="Notas 2 2 4 5 3 3" xfId="18357"/>
    <cellStyle name="Notas 2 2 4 5 3 4" xfId="18358"/>
    <cellStyle name="Notas 2 2 4 5 4" xfId="18359"/>
    <cellStyle name="Notas 2 2 4 5 4 2" xfId="18360"/>
    <cellStyle name="Notas 2 2 4 5 4 3" xfId="18361"/>
    <cellStyle name="Notas 2 2 4 5 4 4" xfId="18362"/>
    <cellStyle name="Notas 2 2 4 5 5" xfId="18363"/>
    <cellStyle name="Notas 2 2 4 5 6" xfId="18364"/>
    <cellStyle name="Notas 2 2 4 5 7" xfId="18365"/>
    <cellStyle name="Notas 2 2 4 5 8" xfId="18366"/>
    <cellStyle name="Notas 2 2 4 6" xfId="18367"/>
    <cellStyle name="Notas 2 2 4 6 2" xfId="18368"/>
    <cellStyle name="Notas 2 2 4 6 2 2" xfId="18369"/>
    <cellStyle name="Notas 2 2 4 6 2 3" xfId="18370"/>
    <cellStyle name="Notas 2 2 4 6 2 4" xfId="18371"/>
    <cellStyle name="Notas 2 2 4 6 3" xfId="18372"/>
    <cellStyle name="Notas 2 2 4 6 3 2" xfId="18373"/>
    <cellStyle name="Notas 2 2 4 6 3 3" xfId="18374"/>
    <cellStyle name="Notas 2 2 4 6 3 4" xfId="18375"/>
    <cellStyle name="Notas 2 2 4 6 4" xfId="18376"/>
    <cellStyle name="Notas 2 2 4 6 4 2" xfId="18377"/>
    <cellStyle name="Notas 2 2 4 6 4 3" xfId="18378"/>
    <cellStyle name="Notas 2 2 4 6 4 4" xfId="18379"/>
    <cellStyle name="Notas 2 2 4 6 5" xfId="18380"/>
    <cellStyle name="Notas 2 2 4 6 6" xfId="18381"/>
    <cellStyle name="Notas 2 2 4 6 7" xfId="18382"/>
    <cellStyle name="Notas 2 2 4 6 8" xfId="18383"/>
    <cellStyle name="Notas 2 2 4 7" xfId="18384"/>
    <cellStyle name="Notas 2 2 4 7 2" xfId="18385"/>
    <cellStyle name="Notas 2 2 4 7 2 2" xfId="18386"/>
    <cellStyle name="Notas 2 2 4 7 2 3" xfId="18387"/>
    <cellStyle name="Notas 2 2 4 7 2 4" xfId="18388"/>
    <cellStyle name="Notas 2 2 4 7 3" xfId="18389"/>
    <cellStyle name="Notas 2 2 4 7 3 2" xfId="18390"/>
    <cellStyle name="Notas 2 2 4 7 3 3" xfId="18391"/>
    <cellStyle name="Notas 2 2 4 7 3 4" xfId="18392"/>
    <cellStyle name="Notas 2 2 4 7 4" xfId="18393"/>
    <cellStyle name="Notas 2 2 4 7 4 2" xfId="18394"/>
    <cellStyle name="Notas 2 2 4 7 4 3" xfId="18395"/>
    <cellStyle name="Notas 2 2 4 7 4 4" xfId="18396"/>
    <cellStyle name="Notas 2 2 4 7 5" xfId="18397"/>
    <cellStyle name="Notas 2 2 4 7 6" xfId="18398"/>
    <cellStyle name="Notas 2 2 4 7 7" xfId="18399"/>
    <cellStyle name="Notas 2 2 4 7 8" xfId="18400"/>
    <cellStyle name="Notas 2 2 4 8" xfId="18401"/>
    <cellStyle name="Notas 2 2 4 8 2" xfId="18402"/>
    <cellStyle name="Notas 2 2 4 8 2 2" xfId="18403"/>
    <cellStyle name="Notas 2 2 4 8 2 3" xfId="18404"/>
    <cellStyle name="Notas 2 2 4 8 2 4" xfId="18405"/>
    <cellStyle name="Notas 2 2 4 8 3" xfId="18406"/>
    <cellStyle name="Notas 2 2 4 8 3 2" xfId="18407"/>
    <cellStyle name="Notas 2 2 4 8 3 3" xfId="18408"/>
    <cellStyle name="Notas 2 2 4 8 3 4" xfId="18409"/>
    <cellStyle name="Notas 2 2 4 8 4" xfId="18410"/>
    <cellStyle name="Notas 2 2 4 8 4 2" xfId="18411"/>
    <cellStyle name="Notas 2 2 4 8 4 3" xfId="18412"/>
    <cellStyle name="Notas 2 2 4 8 4 4" xfId="18413"/>
    <cellStyle name="Notas 2 2 4 8 5" xfId="18414"/>
    <cellStyle name="Notas 2 2 4 8 6" xfId="18415"/>
    <cellStyle name="Notas 2 2 4 8 7" xfId="18416"/>
    <cellStyle name="Notas 2 2 4 8 8" xfId="18417"/>
    <cellStyle name="Notas 2 2 4 9" xfId="18418"/>
    <cellStyle name="Notas 2 2 4 9 2" xfId="18419"/>
    <cellStyle name="Notas 2 2 4 9 3" xfId="18420"/>
    <cellStyle name="Notas 2 2 4 9 4" xfId="18421"/>
    <cellStyle name="Notas 2 2 5" xfId="18422"/>
    <cellStyle name="Notas 2 2 5 10" xfId="18423"/>
    <cellStyle name="Notas 2 2 5 11" xfId="18424"/>
    <cellStyle name="Notas 2 2 5 2" xfId="18425"/>
    <cellStyle name="Notas 2 2 5 2 2" xfId="18426"/>
    <cellStyle name="Notas 2 2 5 2 2 2" xfId="18427"/>
    <cellStyle name="Notas 2 2 5 2 2 2 2" xfId="18428"/>
    <cellStyle name="Notas 2 2 5 2 2 2 3" xfId="18429"/>
    <cellStyle name="Notas 2 2 5 2 2 2 4" xfId="18430"/>
    <cellStyle name="Notas 2 2 5 2 2 3" xfId="18431"/>
    <cellStyle name="Notas 2 2 5 2 2 3 2" xfId="18432"/>
    <cellStyle name="Notas 2 2 5 2 2 3 3" xfId="18433"/>
    <cellStyle name="Notas 2 2 5 2 2 3 4" xfId="18434"/>
    <cellStyle name="Notas 2 2 5 2 2 4" xfId="18435"/>
    <cellStyle name="Notas 2 2 5 2 2 4 2" xfId="18436"/>
    <cellStyle name="Notas 2 2 5 2 2 4 3" xfId="18437"/>
    <cellStyle name="Notas 2 2 5 2 2 4 4" xfId="18438"/>
    <cellStyle name="Notas 2 2 5 2 2 5" xfId="18439"/>
    <cellStyle name="Notas 2 2 5 2 2 6" xfId="18440"/>
    <cellStyle name="Notas 2 2 5 2 2 7" xfId="18441"/>
    <cellStyle name="Notas 2 2 5 2 2 8" xfId="18442"/>
    <cellStyle name="Notas 2 2 5 2 3" xfId="18443"/>
    <cellStyle name="Notas 2 2 5 2 3 2" xfId="18444"/>
    <cellStyle name="Notas 2 2 5 2 3 2 2" xfId="18445"/>
    <cellStyle name="Notas 2 2 5 2 3 2 3" xfId="18446"/>
    <cellStyle name="Notas 2 2 5 2 3 2 4" xfId="18447"/>
    <cellStyle name="Notas 2 2 5 2 3 3" xfId="18448"/>
    <cellStyle name="Notas 2 2 5 2 3 3 2" xfId="18449"/>
    <cellStyle name="Notas 2 2 5 2 3 3 3" xfId="18450"/>
    <cellStyle name="Notas 2 2 5 2 3 3 4" xfId="18451"/>
    <cellStyle name="Notas 2 2 5 2 3 4" xfId="18452"/>
    <cellStyle name="Notas 2 2 5 2 3 4 2" xfId="18453"/>
    <cellStyle name="Notas 2 2 5 2 3 4 3" xfId="18454"/>
    <cellStyle name="Notas 2 2 5 2 3 4 4" xfId="18455"/>
    <cellStyle name="Notas 2 2 5 2 3 5" xfId="18456"/>
    <cellStyle name="Notas 2 2 5 2 3 6" xfId="18457"/>
    <cellStyle name="Notas 2 2 5 2 3 7" xfId="18458"/>
    <cellStyle name="Notas 2 2 5 2 3 8" xfId="18459"/>
    <cellStyle name="Notas 2 2 5 2 4" xfId="18460"/>
    <cellStyle name="Notas 2 2 5 2 4 2" xfId="18461"/>
    <cellStyle name="Notas 2 2 5 2 4 2 2" xfId="18462"/>
    <cellStyle name="Notas 2 2 5 2 4 2 3" xfId="18463"/>
    <cellStyle name="Notas 2 2 5 2 4 2 4" xfId="18464"/>
    <cellStyle name="Notas 2 2 5 2 4 3" xfId="18465"/>
    <cellStyle name="Notas 2 2 5 2 4 3 2" xfId="18466"/>
    <cellStyle name="Notas 2 2 5 2 4 3 3" xfId="18467"/>
    <cellStyle name="Notas 2 2 5 2 4 3 4" xfId="18468"/>
    <cellStyle name="Notas 2 2 5 2 4 4" xfId="18469"/>
    <cellStyle name="Notas 2 2 5 2 4 4 2" xfId="18470"/>
    <cellStyle name="Notas 2 2 5 2 4 4 3" xfId="18471"/>
    <cellStyle name="Notas 2 2 5 2 4 4 4" xfId="18472"/>
    <cellStyle name="Notas 2 2 5 2 4 5" xfId="18473"/>
    <cellStyle name="Notas 2 2 5 2 4 6" xfId="18474"/>
    <cellStyle name="Notas 2 2 5 2 4 7" xfId="18475"/>
    <cellStyle name="Notas 2 2 5 2 4 8" xfId="18476"/>
    <cellStyle name="Notas 2 2 5 2 5" xfId="18477"/>
    <cellStyle name="Notas 2 2 5 2 5 2" xfId="18478"/>
    <cellStyle name="Notas 2 2 5 2 5 2 2" xfId="18479"/>
    <cellStyle name="Notas 2 2 5 2 5 2 3" xfId="18480"/>
    <cellStyle name="Notas 2 2 5 2 5 2 4" xfId="18481"/>
    <cellStyle name="Notas 2 2 5 2 5 3" xfId="18482"/>
    <cellStyle name="Notas 2 2 5 2 5 3 2" xfId="18483"/>
    <cellStyle name="Notas 2 2 5 2 5 3 3" xfId="18484"/>
    <cellStyle name="Notas 2 2 5 2 5 3 4" xfId="18485"/>
    <cellStyle name="Notas 2 2 5 2 5 4" xfId="18486"/>
    <cellStyle name="Notas 2 2 5 2 5 4 2" xfId="18487"/>
    <cellStyle name="Notas 2 2 5 2 5 4 3" xfId="18488"/>
    <cellStyle name="Notas 2 2 5 2 5 4 4" xfId="18489"/>
    <cellStyle name="Notas 2 2 5 2 5 5" xfId="18490"/>
    <cellStyle name="Notas 2 2 5 2 5 6" xfId="18491"/>
    <cellStyle name="Notas 2 2 5 2 5 7" xfId="18492"/>
    <cellStyle name="Notas 2 2 5 2 5 8" xfId="18493"/>
    <cellStyle name="Notas 2 2 5 2 6" xfId="18494"/>
    <cellStyle name="Notas 2 2 5 2 6 2" xfId="18495"/>
    <cellStyle name="Notas 2 2 5 2 6 3" xfId="18496"/>
    <cellStyle name="Notas 2 2 5 2 6 4" xfId="18497"/>
    <cellStyle name="Notas 2 2 5 2 7" xfId="18498"/>
    <cellStyle name="Notas 2 2 5 2 7 2" xfId="18499"/>
    <cellStyle name="Notas 2 2 5 2 7 3" xfId="18500"/>
    <cellStyle name="Notas 2 2 5 2 7 4" xfId="18501"/>
    <cellStyle name="Notas 2 2 5 2 8" xfId="18502"/>
    <cellStyle name="Notas 2 2 5 2 9" xfId="18503"/>
    <cellStyle name="Notas 2 2 5 3" xfId="18504"/>
    <cellStyle name="Notas 2 2 5 3 2" xfId="18505"/>
    <cellStyle name="Notas 2 2 5 3 2 2" xfId="18506"/>
    <cellStyle name="Notas 2 2 5 3 2 3" xfId="18507"/>
    <cellStyle name="Notas 2 2 5 3 2 4" xfId="18508"/>
    <cellStyle name="Notas 2 2 5 3 3" xfId="18509"/>
    <cellStyle name="Notas 2 2 5 3 3 2" xfId="18510"/>
    <cellStyle name="Notas 2 2 5 3 3 3" xfId="18511"/>
    <cellStyle name="Notas 2 2 5 3 3 4" xfId="18512"/>
    <cellStyle name="Notas 2 2 5 3 4" xfId="18513"/>
    <cellStyle name="Notas 2 2 5 3 4 2" xfId="18514"/>
    <cellStyle name="Notas 2 2 5 3 4 3" xfId="18515"/>
    <cellStyle name="Notas 2 2 5 3 4 4" xfId="18516"/>
    <cellStyle name="Notas 2 2 5 3 5" xfId="18517"/>
    <cellStyle name="Notas 2 2 5 3 6" xfId="18518"/>
    <cellStyle name="Notas 2 2 5 3 7" xfId="18519"/>
    <cellStyle name="Notas 2 2 5 3 8" xfId="18520"/>
    <cellStyle name="Notas 2 2 5 4" xfId="18521"/>
    <cellStyle name="Notas 2 2 5 4 2" xfId="18522"/>
    <cellStyle name="Notas 2 2 5 4 2 2" xfId="18523"/>
    <cellStyle name="Notas 2 2 5 4 2 3" xfId="18524"/>
    <cellStyle name="Notas 2 2 5 4 2 4" xfId="18525"/>
    <cellStyle name="Notas 2 2 5 4 3" xfId="18526"/>
    <cellStyle name="Notas 2 2 5 4 3 2" xfId="18527"/>
    <cellStyle name="Notas 2 2 5 4 3 3" xfId="18528"/>
    <cellStyle name="Notas 2 2 5 4 3 4" xfId="18529"/>
    <cellStyle name="Notas 2 2 5 4 4" xfId="18530"/>
    <cellStyle name="Notas 2 2 5 4 4 2" xfId="18531"/>
    <cellStyle name="Notas 2 2 5 4 4 3" xfId="18532"/>
    <cellStyle name="Notas 2 2 5 4 4 4" xfId="18533"/>
    <cellStyle name="Notas 2 2 5 4 5" xfId="18534"/>
    <cellStyle name="Notas 2 2 5 4 6" xfId="18535"/>
    <cellStyle name="Notas 2 2 5 4 7" xfId="18536"/>
    <cellStyle name="Notas 2 2 5 4 8" xfId="18537"/>
    <cellStyle name="Notas 2 2 5 5" xfId="18538"/>
    <cellStyle name="Notas 2 2 5 5 2" xfId="18539"/>
    <cellStyle name="Notas 2 2 5 5 2 2" xfId="18540"/>
    <cellStyle name="Notas 2 2 5 5 2 3" xfId="18541"/>
    <cellStyle name="Notas 2 2 5 5 2 4" xfId="18542"/>
    <cellStyle name="Notas 2 2 5 5 3" xfId="18543"/>
    <cellStyle name="Notas 2 2 5 5 3 2" xfId="18544"/>
    <cellStyle name="Notas 2 2 5 5 3 3" xfId="18545"/>
    <cellStyle name="Notas 2 2 5 5 3 4" xfId="18546"/>
    <cellStyle name="Notas 2 2 5 5 4" xfId="18547"/>
    <cellStyle name="Notas 2 2 5 5 4 2" xfId="18548"/>
    <cellStyle name="Notas 2 2 5 5 4 3" xfId="18549"/>
    <cellStyle name="Notas 2 2 5 5 4 4" xfId="18550"/>
    <cellStyle name="Notas 2 2 5 5 5" xfId="18551"/>
    <cellStyle name="Notas 2 2 5 5 6" xfId="18552"/>
    <cellStyle name="Notas 2 2 5 5 7" xfId="18553"/>
    <cellStyle name="Notas 2 2 5 5 8" xfId="18554"/>
    <cellStyle name="Notas 2 2 5 6" xfId="18555"/>
    <cellStyle name="Notas 2 2 5 6 2" xfId="18556"/>
    <cellStyle name="Notas 2 2 5 6 2 2" xfId="18557"/>
    <cellStyle name="Notas 2 2 5 6 2 3" xfId="18558"/>
    <cellStyle name="Notas 2 2 5 6 2 4" xfId="18559"/>
    <cellStyle name="Notas 2 2 5 6 3" xfId="18560"/>
    <cellStyle name="Notas 2 2 5 6 3 2" xfId="18561"/>
    <cellStyle name="Notas 2 2 5 6 3 3" xfId="18562"/>
    <cellStyle name="Notas 2 2 5 6 3 4" xfId="18563"/>
    <cellStyle name="Notas 2 2 5 6 4" xfId="18564"/>
    <cellStyle name="Notas 2 2 5 6 4 2" xfId="18565"/>
    <cellStyle name="Notas 2 2 5 6 4 3" xfId="18566"/>
    <cellStyle name="Notas 2 2 5 6 4 4" xfId="18567"/>
    <cellStyle name="Notas 2 2 5 6 5" xfId="18568"/>
    <cellStyle name="Notas 2 2 5 6 6" xfId="18569"/>
    <cellStyle name="Notas 2 2 5 6 7" xfId="18570"/>
    <cellStyle name="Notas 2 2 5 6 8" xfId="18571"/>
    <cellStyle name="Notas 2 2 5 7" xfId="18572"/>
    <cellStyle name="Notas 2 2 5 7 2" xfId="18573"/>
    <cellStyle name="Notas 2 2 5 7 2 2" xfId="18574"/>
    <cellStyle name="Notas 2 2 5 7 2 3" xfId="18575"/>
    <cellStyle name="Notas 2 2 5 7 2 4" xfId="18576"/>
    <cellStyle name="Notas 2 2 5 7 3" xfId="18577"/>
    <cellStyle name="Notas 2 2 5 7 3 2" xfId="18578"/>
    <cellStyle name="Notas 2 2 5 7 3 3" xfId="18579"/>
    <cellStyle name="Notas 2 2 5 7 3 4" xfId="18580"/>
    <cellStyle name="Notas 2 2 5 7 4" xfId="18581"/>
    <cellStyle name="Notas 2 2 5 7 4 2" xfId="18582"/>
    <cellStyle name="Notas 2 2 5 7 4 3" xfId="18583"/>
    <cellStyle name="Notas 2 2 5 7 4 4" xfId="18584"/>
    <cellStyle name="Notas 2 2 5 7 5" xfId="18585"/>
    <cellStyle name="Notas 2 2 5 7 6" xfId="18586"/>
    <cellStyle name="Notas 2 2 5 7 7" xfId="18587"/>
    <cellStyle name="Notas 2 2 5 7 8" xfId="18588"/>
    <cellStyle name="Notas 2 2 5 8" xfId="18589"/>
    <cellStyle name="Notas 2 2 5 8 2" xfId="18590"/>
    <cellStyle name="Notas 2 2 5 8 3" xfId="18591"/>
    <cellStyle name="Notas 2 2 5 8 4" xfId="18592"/>
    <cellStyle name="Notas 2 2 5 9" xfId="18593"/>
    <cellStyle name="Notas 2 2 5 9 2" xfId="18594"/>
    <cellStyle name="Notas 2 2 5 9 3" xfId="18595"/>
    <cellStyle name="Notas 2 2 5 9 4" xfId="18596"/>
    <cellStyle name="Notas 2 2 6" xfId="18597"/>
    <cellStyle name="Notas 2 2 6 2" xfId="18598"/>
    <cellStyle name="Notas 2 2 6 2 2" xfId="18599"/>
    <cellStyle name="Notas 2 2 6 2 2 2" xfId="18600"/>
    <cellStyle name="Notas 2 2 6 2 2 3" xfId="18601"/>
    <cellStyle name="Notas 2 2 6 2 2 4" xfId="18602"/>
    <cellStyle name="Notas 2 2 6 2 3" xfId="18603"/>
    <cellStyle name="Notas 2 2 6 2 3 2" xfId="18604"/>
    <cellStyle name="Notas 2 2 6 2 3 3" xfId="18605"/>
    <cellStyle name="Notas 2 2 6 2 3 4" xfId="18606"/>
    <cellStyle name="Notas 2 2 6 2 4" xfId="18607"/>
    <cellStyle name="Notas 2 2 6 2 4 2" xfId="18608"/>
    <cellStyle name="Notas 2 2 6 2 4 3" xfId="18609"/>
    <cellStyle name="Notas 2 2 6 2 4 4" xfId="18610"/>
    <cellStyle name="Notas 2 2 6 2 5" xfId="18611"/>
    <cellStyle name="Notas 2 2 6 2 6" xfId="18612"/>
    <cellStyle name="Notas 2 2 6 2 7" xfId="18613"/>
    <cellStyle name="Notas 2 2 6 2 8" xfId="18614"/>
    <cellStyle name="Notas 2 2 6 3" xfId="18615"/>
    <cellStyle name="Notas 2 2 6 3 2" xfId="18616"/>
    <cellStyle name="Notas 2 2 6 3 2 2" xfId="18617"/>
    <cellStyle name="Notas 2 2 6 3 2 3" xfId="18618"/>
    <cellStyle name="Notas 2 2 6 3 2 4" xfId="18619"/>
    <cellStyle name="Notas 2 2 6 3 3" xfId="18620"/>
    <cellStyle name="Notas 2 2 6 3 3 2" xfId="18621"/>
    <cellStyle name="Notas 2 2 6 3 3 3" xfId="18622"/>
    <cellStyle name="Notas 2 2 6 3 3 4" xfId="18623"/>
    <cellStyle name="Notas 2 2 6 3 4" xfId="18624"/>
    <cellStyle name="Notas 2 2 6 3 4 2" xfId="18625"/>
    <cellStyle name="Notas 2 2 6 3 4 3" xfId="18626"/>
    <cellStyle name="Notas 2 2 6 3 4 4" xfId="18627"/>
    <cellStyle name="Notas 2 2 6 3 5" xfId="18628"/>
    <cellStyle name="Notas 2 2 6 3 6" xfId="18629"/>
    <cellStyle name="Notas 2 2 6 3 7" xfId="18630"/>
    <cellStyle name="Notas 2 2 6 3 8" xfId="18631"/>
    <cellStyle name="Notas 2 2 6 4" xfId="18632"/>
    <cellStyle name="Notas 2 2 6 4 2" xfId="18633"/>
    <cellStyle name="Notas 2 2 6 4 2 2" xfId="18634"/>
    <cellStyle name="Notas 2 2 6 4 2 3" xfId="18635"/>
    <cellStyle name="Notas 2 2 6 4 2 4" xfId="18636"/>
    <cellStyle name="Notas 2 2 6 4 3" xfId="18637"/>
    <cellStyle name="Notas 2 2 6 4 3 2" xfId="18638"/>
    <cellStyle name="Notas 2 2 6 4 3 3" xfId="18639"/>
    <cellStyle name="Notas 2 2 6 4 3 4" xfId="18640"/>
    <cellStyle name="Notas 2 2 6 4 4" xfId="18641"/>
    <cellStyle name="Notas 2 2 6 4 4 2" xfId="18642"/>
    <cellStyle name="Notas 2 2 6 4 4 3" xfId="18643"/>
    <cellStyle name="Notas 2 2 6 4 4 4" xfId="18644"/>
    <cellStyle name="Notas 2 2 6 4 5" xfId="18645"/>
    <cellStyle name="Notas 2 2 6 4 6" xfId="18646"/>
    <cellStyle name="Notas 2 2 6 4 7" xfId="18647"/>
    <cellStyle name="Notas 2 2 6 4 8" xfId="18648"/>
    <cellStyle name="Notas 2 2 6 5" xfId="18649"/>
    <cellStyle name="Notas 2 2 6 5 2" xfId="18650"/>
    <cellStyle name="Notas 2 2 6 5 2 2" xfId="18651"/>
    <cellStyle name="Notas 2 2 6 5 2 3" xfId="18652"/>
    <cellStyle name="Notas 2 2 6 5 2 4" xfId="18653"/>
    <cellStyle name="Notas 2 2 6 5 3" xfId="18654"/>
    <cellStyle name="Notas 2 2 6 5 3 2" xfId="18655"/>
    <cellStyle name="Notas 2 2 6 5 3 3" xfId="18656"/>
    <cellStyle name="Notas 2 2 6 5 3 4" xfId="18657"/>
    <cellStyle name="Notas 2 2 6 5 4" xfId="18658"/>
    <cellStyle name="Notas 2 2 6 5 4 2" xfId="18659"/>
    <cellStyle name="Notas 2 2 6 5 4 3" xfId="18660"/>
    <cellStyle name="Notas 2 2 6 5 4 4" xfId="18661"/>
    <cellStyle name="Notas 2 2 6 5 5" xfId="18662"/>
    <cellStyle name="Notas 2 2 6 5 6" xfId="18663"/>
    <cellStyle name="Notas 2 2 6 5 7" xfId="18664"/>
    <cellStyle name="Notas 2 2 6 5 8" xfId="18665"/>
    <cellStyle name="Notas 2 2 6 6" xfId="18666"/>
    <cellStyle name="Notas 2 2 6 6 2" xfId="18667"/>
    <cellStyle name="Notas 2 2 6 6 3" xfId="18668"/>
    <cellStyle name="Notas 2 2 6 6 4" xfId="18669"/>
    <cellStyle name="Notas 2 2 6 7" xfId="18670"/>
    <cellStyle name="Notas 2 2 6 7 2" xfId="18671"/>
    <cellStyle name="Notas 2 2 6 7 3" xfId="18672"/>
    <cellStyle name="Notas 2 2 6 7 4" xfId="18673"/>
    <cellStyle name="Notas 2 2 6 8" xfId="18674"/>
    <cellStyle name="Notas 2 2 6 9" xfId="18675"/>
    <cellStyle name="Notas 2 2 7" xfId="18676"/>
    <cellStyle name="Notas 2 2 7 2" xfId="18677"/>
    <cellStyle name="Notas 2 2 7 2 2" xfId="18678"/>
    <cellStyle name="Notas 2 2 7 2 3" xfId="18679"/>
    <cellStyle name="Notas 2 2 7 2 4" xfId="18680"/>
    <cellStyle name="Notas 2 2 7 3" xfId="18681"/>
    <cellStyle name="Notas 2 2 7 3 2" xfId="18682"/>
    <cellStyle name="Notas 2 2 7 3 3" xfId="18683"/>
    <cellStyle name="Notas 2 2 7 3 4" xfId="18684"/>
    <cellStyle name="Notas 2 2 7 4" xfId="18685"/>
    <cellStyle name="Notas 2 2 7 4 2" xfId="18686"/>
    <cellStyle name="Notas 2 2 7 4 3" xfId="18687"/>
    <cellStyle name="Notas 2 2 7 4 4" xfId="18688"/>
    <cellStyle name="Notas 2 2 7 5" xfId="18689"/>
    <cellStyle name="Notas 2 2 7 6" xfId="18690"/>
    <cellStyle name="Notas 2 2 7 7" xfId="18691"/>
    <cellStyle name="Notas 2 2 7 8" xfId="18692"/>
    <cellStyle name="Notas 2 2 8" xfId="18693"/>
    <cellStyle name="Notas 2 2 8 2" xfId="18694"/>
    <cellStyle name="Notas 2 2 8 2 2" xfId="18695"/>
    <cellStyle name="Notas 2 2 8 2 3" xfId="18696"/>
    <cellStyle name="Notas 2 2 8 2 4" xfId="18697"/>
    <cellStyle name="Notas 2 2 8 3" xfId="18698"/>
    <cellStyle name="Notas 2 2 8 3 2" xfId="18699"/>
    <cellStyle name="Notas 2 2 8 3 3" xfId="18700"/>
    <cellStyle name="Notas 2 2 8 3 4" xfId="18701"/>
    <cellStyle name="Notas 2 2 8 4" xfId="18702"/>
    <cellStyle name="Notas 2 2 8 4 2" xfId="18703"/>
    <cellStyle name="Notas 2 2 8 4 3" xfId="18704"/>
    <cellStyle name="Notas 2 2 8 4 4" xfId="18705"/>
    <cellStyle name="Notas 2 2 8 5" xfId="18706"/>
    <cellStyle name="Notas 2 2 8 6" xfId="18707"/>
    <cellStyle name="Notas 2 2 8 7" xfId="18708"/>
    <cellStyle name="Notas 2 2 8 8" xfId="18709"/>
    <cellStyle name="Notas 2 2 9" xfId="18710"/>
    <cellStyle name="Notas 2 2 9 2" xfId="18711"/>
    <cellStyle name="Notas 2 2 9 2 2" xfId="18712"/>
    <cellStyle name="Notas 2 2 9 2 3" xfId="18713"/>
    <cellStyle name="Notas 2 2 9 2 4" xfId="18714"/>
    <cellStyle name="Notas 2 2 9 3" xfId="18715"/>
    <cellStyle name="Notas 2 2 9 3 2" xfId="18716"/>
    <cellStyle name="Notas 2 2 9 3 3" xfId="18717"/>
    <cellStyle name="Notas 2 2 9 3 4" xfId="18718"/>
    <cellStyle name="Notas 2 2 9 4" xfId="18719"/>
    <cellStyle name="Notas 2 2 9 4 2" xfId="18720"/>
    <cellStyle name="Notas 2 2 9 4 3" xfId="18721"/>
    <cellStyle name="Notas 2 2 9 4 4" xfId="18722"/>
    <cellStyle name="Notas 2 2 9 5" xfId="18723"/>
    <cellStyle name="Notas 2 2 9 6" xfId="18724"/>
    <cellStyle name="Notas 2 2 9 7" xfId="18725"/>
    <cellStyle name="Notas 2 2 9 8" xfId="18726"/>
    <cellStyle name="Notas 2 3" xfId="18727"/>
    <cellStyle name="Notas 2 3 10" xfId="18728"/>
    <cellStyle name="Notas 2 3 10 2" xfId="18729"/>
    <cellStyle name="Notas 2 3 10 2 2" xfId="18730"/>
    <cellStyle name="Notas 2 3 10 2 3" xfId="18731"/>
    <cellStyle name="Notas 2 3 10 2 4" xfId="18732"/>
    <cellStyle name="Notas 2 3 10 3" xfId="18733"/>
    <cellStyle name="Notas 2 3 10 3 2" xfId="18734"/>
    <cellStyle name="Notas 2 3 10 3 3" xfId="18735"/>
    <cellStyle name="Notas 2 3 10 3 4" xfId="18736"/>
    <cellStyle name="Notas 2 3 10 4" xfId="18737"/>
    <cellStyle name="Notas 2 3 10 4 2" xfId="18738"/>
    <cellStyle name="Notas 2 3 10 4 3" xfId="18739"/>
    <cellStyle name="Notas 2 3 10 4 4" xfId="18740"/>
    <cellStyle name="Notas 2 3 10 5" xfId="18741"/>
    <cellStyle name="Notas 2 3 10 6" xfId="18742"/>
    <cellStyle name="Notas 2 3 10 7" xfId="18743"/>
    <cellStyle name="Notas 2 3 10 8" xfId="18744"/>
    <cellStyle name="Notas 2 3 11" xfId="18745"/>
    <cellStyle name="Notas 2 3 11 2" xfId="18746"/>
    <cellStyle name="Notas 2 3 11 3" xfId="18747"/>
    <cellStyle name="Notas 2 3 11 4" xfId="18748"/>
    <cellStyle name="Notas 2 3 12" xfId="18749"/>
    <cellStyle name="Notas 2 3 12 2" xfId="18750"/>
    <cellStyle name="Notas 2 3 12 3" xfId="18751"/>
    <cellStyle name="Notas 2 3 12 4" xfId="18752"/>
    <cellStyle name="Notas 2 3 13" xfId="18753"/>
    <cellStyle name="Notas 2 3 14" xfId="18754"/>
    <cellStyle name="Notas 2 3 2" xfId="18755"/>
    <cellStyle name="Notas 2 3 2 10" xfId="18756"/>
    <cellStyle name="Notas 2 3 2 10 2" xfId="18757"/>
    <cellStyle name="Notas 2 3 2 10 3" xfId="18758"/>
    <cellStyle name="Notas 2 3 2 10 4" xfId="18759"/>
    <cellStyle name="Notas 2 3 2 11" xfId="18760"/>
    <cellStyle name="Notas 2 3 2 11 2" xfId="18761"/>
    <cellStyle name="Notas 2 3 2 11 3" xfId="18762"/>
    <cellStyle name="Notas 2 3 2 11 4" xfId="18763"/>
    <cellStyle name="Notas 2 3 2 12" xfId="18764"/>
    <cellStyle name="Notas 2 3 2 13" xfId="18765"/>
    <cellStyle name="Notas 2 3 2 2" xfId="18766"/>
    <cellStyle name="Notas 2 3 2 2 10" xfId="18767"/>
    <cellStyle name="Notas 2 3 2 2 10 2" xfId="18768"/>
    <cellStyle name="Notas 2 3 2 2 10 3" xfId="18769"/>
    <cellStyle name="Notas 2 3 2 2 10 4" xfId="18770"/>
    <cellStyle name="Notas 2 3 2 2 11" xfId="18771"/>
    <cellStyle name="Notas 2 3 2 2 12" xfId="18772"/>
    <cellStyle name="Notas 2 3 2 2 2" xfId="18773"/>
    <cellStyle name="Notas 2 3 2 2 2 10" xfId="18774"/>
    <cellStyle name="Notas 2 3 2 2 2 11" xfId="18775"/>
    <cellStyle name="Notas 2 3 2 2 2 2" xfId="18776"/>
    <cellStyle name="Notas 2 3 2 2 2 2 2" xfId="18777"/>
    <cellStyle name="Notas 2 3 2 2 2 2 2 2" xfId="18778"/>
    <cellStyle name="Notas 2 3 2 2 2 2 2 2 2" xfId="18779"/>
    <cellStyle name="Notas 2 3 2 2 2 2 2 2 3" xfId="18780"/>
    <cellStyle name="Notas 2 3 2 2 2 2 2 2 4" xfId="18781"/>
    <cellStyle name="Notas 2 3 2 2 2 2 2 3" xfId="18782"/>
    <cellStyle name="Notas 2 3 2 2 2 2 2 3 2" xfId="18783"/>
    <cellStyle name="Notas 2 3 2 2 2 2 2 3 3" xfId="18784"/>
    <cellStyle name="Notas 2 3 2 2 2 2 2 3 4" xfId="18785"/>
    <cellStyle name="Notas 2 3 2 2 2 2 2 4" xfId="18786"/>
    <cellStyle name="Notas 2 3 2 2 2 2 2 4 2" xfId="18787"/>
    <cellStyle name="Notas 2 3 2 2 2 2 2 4 3" xfId="18788"/>
    <cellStyle name="Notas 2 3 2 2 2 2 2 4 4" xfId="18789"/>
    <cellStyle name="Notas 2 3 2 2 2 2 2 5" xfId="18790"/>
    <cellStyle name="Notas 2 3 2 2 2 2 2 6" xfId="18791"/>
    <cellStyle name="Notas 2 3 2 2 2 2 2 7" xfId="18792"/>
    <cellStyle name="Notas 2 3 2 2 2 2 2 8" xfId="18793"/>
    <cellStyle name="Notas 2 3 2 2 2 2 3" xfId="18794"/>
    <cellStyle name="Notas 2 3 2 2 2 2 3 2" xfId="18795"/>
    <cellStyle name="Notas 2 3 2 2 2 2 3 2 2" xfId="18796"/>
    <cellStyle name="Notas 2 3 2 2 2 2 3 2 3" xfId="18797"/>
    <cellStyle name="Notas 2 3 2 2 2 2 3 2 4" xfId="18798"/>
    <cellStyle name="Notas 2 3 2 2 2 2 3 3" xfId="18799"/>
    <cellStyle name="Notas 2 3 2 2 2 2 3 3 2" xfId="18800"/>
    <cellStyle name="Notas 2 3 2 2 2 2 3 3 3" xfId="18801"/>
    <cellStyle name="Notas 2 3 2 2 2 2 3 3 4" xfId="18802"/>
    <cellStyle name="Notas 2 3 2 2 2 2 3 4" xfId="18803"/>
    <cellStyle name="Notas 2 3 2 2 2 2 3 4 2" xfId="18804"/>
    <cellStyle name="Notas 2 3 2 2 2 2 3 4 3" xfId="18805"/>
    <cellStyle name="Notas 2 3 2 2 2 2 3 4 4" xfId="18806"/>
    <cellStyle name="Notas 2 3 2 2 2 2 3 5" xfId="18807"/>
    <cellStyle name="Notas 2 3 2 2 2 2 3 6" xfId="18808"/>
    <cellStyle name="Notas 2 3 2 2 2 2 3 7" xfId="18809"/>
    <cellStyle name="Notas 2 3 2 2 2 2 3 8" xfId="18810"/>
    <cellStyle name="Notas 2 3 2 2 2 2 4" xfId="18811"/>
    <cellStyle name="Notas 2 3 2 2 2 2 4 2" xfId="18812"/>
    <cellStyle name="Notas 2 3 2 2 2 2 4 2 2" xfId="18813"/>
    <cellStyle name="Notas 2 3 2 2 2 2 4 2 3" xfId="18814"/>
    <cellStyle name="Notas 2 3 2 2 2 2 4 2 4" xfId="18815"/>
    <cellStyle name="Notas 2 3 2 2 2 2 4 3" xfId="18816"/>
    <cellStyle name="Notas 2 3 2 2 2 2 4 3 2" xfId="18817"/>
    <cellStyle name="Notas 2 3 2 2 2 2 4 3 3" xfId="18818"/>
    <cellStyle name="Notas 2 3 2 2 2 2 4 3 4" xfId="18819"/>
    <cellStyle name="Notas 2 3 2 2 2 2 4 4" xfId="18820"/>
    <cellStyle name="Notas 2 3 2 2 2 2 4 4 2" xfId="18821"/>
    <cellStyle name="Notas 2 3 2 2 2 2 4 4 3" xfId="18822"/>
    <cellStyle name="Notas 2 3 2 2 2 2 4 4 4" xfId="18823"/>
    <cellStyle name="Notas 2 3 2 2 2 2 4 5" xfId="18824"/>
    <cellStyle name="Notas 2 3 2 2 2 2 4 6" xfId="18825"/>
    <cellStyle name="Notas 2 3 2 2 2 2 4 7" xfId="18826"/>
    <cellStyle name="Notas 2 3 2 2 2 2 4 8" xfId="18827"/>
    <cellStyle name="Notas 2 3 2 2 2 2 5" xfId="18828"/>
    <cellStyle name="Notas 2 3 2 2 2 2 5 2" xfId="18829"/>
    <cellStyle name="Notas 2 3 2 2 2 2 5 2 2" xfId="18830"/>
    <cellStyle name="Notas 2 3 2 2 2 2 5 2 3" xfId="18831"/>
    <cellStyle name="Notas 2 3 2 2 2 2 5 2 4" xfId="18832"/>
    <cellStyle name="Notas 2 3 2 2 2 2 5 3" xfId="18833"/>
    <cellStyle name="Notas 2 3 2 2 2 2 5 3 2" xfId="18834"/>
    <cellStyle name="Notas 2 3 2 2 2 2 5 3 3" xfId="18835"/>
    <cellStyle name="Notas 2 3 2 2 2 2 5 3 4" xfId="18836"/>
    <cellStyle name="Notas 2 3 2 2 2 2 5 4" xfId="18837"/>
    <cellStyle name="Notas 2 3 2 2 2 2 5 4 2" xfId="18838"/>
    <cellStyle name="Notas 2 3 2 2 2 2 5 4 3" xfId="18839"/>
    <cellStyle name="Notas 2 3 2 2 2 2 5 4 4" xfId="18840"/>
    <cellStyle name="Notas 2 3 2 2 2 2 5 5" xfId="18841"/>
    <cellStyle name="Notas 2 3 2 2 2 2 5 6" xfId="18842"/>
    <cellStyle name="Notas 2 3 2 2 2 2 5 7" xfId="18843"/>
    <cellStyle name="Notas 2 3 2 2 2 2 5 8" xfId="18844"/>
    <cellStyle name="Notas 2 3 2 2 2 2 6" xfId="18845"/>
    <cellStyle name="Notas 2 3 2 2 2 2 6 2" xfId="18846"/>
    <cellStyle name="Notas 2 3 2 2 2 2 6 3" xfId="18847"/>
    <cellStyle name="Notas 2 3 2 2 2 2 6 4" xfId="18848"/>
    <cellStyle name="Notas 2 3 2 2 2 2 7" xfId="18849"/>
    <cellStyle name="Notas 2 3 2 2 2 2 7 2" xfId="18850"/>
    <cellStyle name="Notas 2 3 2 2 2 2 7 3" xfId="18851"/>
    <cellStyle name="Notas 2 3 2 2 2 2 7 4" xfId="18852"/>
    <cellStyle name="Notas 2 3 2 2 2 2 8" xfId="18853"/>
    <cellStyle name="Notas 2 3 2 2 2 2 9" xfId="18854"/>
    <cellStyle name="Notas 2 3 2 2 2 3" xfId="18855"/>
    <cellStyle name="Notas 2 3 2 2 2 3 2" xfId="18856"/>
    <cellStyle name="Notas 2 3 2 2 2 3 2 2" xfId="18857"/>
    <cellStyle name="Notas 2 3 2 2 2 3 2 3" xfId="18858"/>
    <cellStyle name="Notas 2 3 2 2 2 3 2 4" xfId="18859"/>
    <cellStyle name="Notas 2 3 2 2 2 3 3" xfId="18860"/>
    <cellStyle name="Notas 2 3 2 2 2 3 3 2" xfId="18861"/>
    <cellStyle name="Notas 2 3 2 2 2 3 3 3" xfId="18862"/>
    <cellStyle name="Notas 2 3 2 2 2 3 3 4" xfId="18863"/>
    <cellStyle name="Notas 2 3 2 2 2 3 4" xfId="18864"/>
    <cellStyle name="Notas 2 3 2 2 2 3 4 2" xfId="18865"/>
    <cellStyle name="Notas 2 3 2 2 2 3 4 3" xfId="18866"/>
    <cellStyle name="Notas 2 3 2 2 2 3 4 4" xfId="18867"/>
    <cellStyle name="Notas 2 3 2 2 2 3 5" xfId="18868"/>
    <cellStyle name="Notas 2 3 2 2 2 3 6" xfId="18869"/>
    <cellStyle name="Notas 2 3 2 2 2 3 7" xfId="18870"/>
    <cellStyle name="Notas 2 3 2 2 2 3 8" xfId="18871"/>
    <cellStyle name="Notas 2 3 2 2 2 4" xfId="18872"/>
    <cellStyle name="Notas 2 3 2 2 2 4 2" xfId="18873"/>
    <cellStyle name="Notas 2 3 2 2 2 4 2 2" xfId="18874"/>
    <cellStyle name="Notas 2 3 2 2 2 4 2 3" xfId="18875"/>
    <cellStyle name="Notas 2 3 2 2 2 4 2 4" xfId="18876"/>
    <cellStyle name="Notas 2 3 2 2 2 4 3" xfId="18877"/>
    <cellStyle name="Notas 2 3 2 2 2 4 3 2" xfId="18878"/>
    <cellStyle name="Notas 2 3 2 2 2 4 3 3" xfId="18879"/>
    <cellStyle name="Notas 2 3 2 2 2 4 3 4" xfId="18880"/>
    <cellStyle name="Notas 2 3 2 2 2 4 4" xfId="18881"/>
    <cellStyle name="Notas 2 3 2 2 2 4 4 2" xfId="18882"/>
    <cellStyle name="Notas 2 3 2 2 2 4 4 3" xfId="18883"/>
    <cellStyle name="Notas 2 3 2 2 2 4 4 4" xfId="18884"/>
    <cellStyle name="Notas 2 3 2 2 2 4 5" xfId="18885"/>
    <cellStyle name="Notas 2 3 2 2 2 4 6" xfId="18886"/>
    <cellStyle name="Notas 2 3 2 2 2 4 7" xfId="18887"/>
    <cellStyle name="Notas 2 3 2 2 2 4 8" xfId="18888"/>
    <cellStyle name="Notas 2 3 2 2 2 5" xfId="18889"/>
    <cellStyle name="Notas 2 3 2 2 2 5 2" xfId="18890"/>
    <cellStyle name="Notas 2 3 2 2 2 5 2 2" xfId="18891"/>
    <cellStyle name="Notas 2 3 2 2 2 5 2 3" xfId="18892"/>
    <cellStyle name="Notas 2 3 2 2 2 5 2 4" xfId="18893"/>
    <cellStyle name="Notas 2 3 2 2 2 5 3" xfId="18894"/>
    <cellStyle name="Notas 2 3 2 2 2 5 3 2" xfId="18895"/>
    <cellStyle name="Notas 2 3 2 2 2 5 3 3" xfId="18896"/>
    <cellStyle name="Notas 2 3 2 2 2 5 3 4" xfId="18897"/>
    <cellStyle name="Notas 2 3 2 2 2 5 4" xfId="18898"/>
    <cellStyle name="Notas 2 3 2 2 2 5 4 2" xfId="18899"/>
    <cellStyle name="Notas 2 3 2 2 2 5 4 3" xfId="18900"/>
    <cellStyle name="Notas 2 3 2 2 2 5 4 4" xfId="18901"/>
    <cellStyle name="Notas 2 3 2 2 2 5 5" xfId="18902"/>
    <cellStyle name="Notas 2 3 2 2 2 5 6" xfId="18903"/>
    <cellStyle name="Notas 2 3 2 2 2 5 7" xfId="18904"/>
    <cellStyle name="Notas 2 3 2 2 2 5 8" xfId="18905"/>
    <cellStyle name="Notas 2 3 2 2 2 6" xfId="18906"/>
    <cellStyle name="Notas 2 3 2 2 2 6 2" xfId="18907"/>
    <cellStyle name="Notas 2 3 2 2 2 6 2 2" xfId="18908"/>
    <cellStyle name="Notas 2 3 2 2 2 6 2 3" xfId="18909"/>
    <cellStyle name="Notas 2 3 2 2 2 6 2 4" xfId="18910"/>
    <cellStyle name="Notas 2 3 2 2 2 6 3" xfId="18911"/>
    <cellStyle name="Notas 2 3 2 2 2 6 3 2" xfId="18912"/>
    <cellStyle name="Notas 2 3 2 2 2 6 3 3" xfId="18913"/>
    <cellStyle name="Notas 2 3 2 2 2 6 3 4" xfId="18914"/>
    <cellStyle name="Notas 2 3 2 2 2 6 4" xfId="18915"/>
    <cellStyle name="Notas 2 3 2 2 2 6 4 2" xfId="18916"/>
    <cellStyle name="Notas 2 3 2 2 2 6 4 3" xfId="18917"/>
    <cellStyle name="Notas 2 3 2 2 2 6 4 4" xfId="18918"/>
    <cellStyle name="Notas 2 3 2 2 2 6 5" xfId="18919"/>
    <cellStyle name="Notas 2 3 2 2 2 6 6" xfId="18920"/>
    <cellStyle name="Notas 2 3 2 2 2 6 7" xfId="18921"/>
    <cellStyle name="Notas 2 3 2 2 2 6 8" xfId="18922"/>
    <cellStyle name="Notas 2 3 2 2 2 7" xfId="18923"/>
    <cellStyle name="Notas 2 3 2 2 2 7 2" xfId="18924"/>
    <cellStyle name="Notas 2 3 2 2 2 7 2 2" xfId="18925"/>
    <cellStyle name="Notas 2 3 2 2 2 7 2 3" xfId="18926"/>
    <cellStyle name="Notas 2 3 2 2 2 7 2 4" xfId="18927"/>
    <cellStyle name="Notas 2 3 2 2 2 7 3" xfId="18928"/>
    <cellStyle name="Notas 2 3 2 2 2 7 3 2" xfId="18929"/>
    <cellStyle name="Notas 2 3 2 2 2 7 3 3" xfId="18930"/>
    <cellStyle name="Notas 2 3 2 2 2 7 3 4" xfId="18931"/>
    <cellStyle name="Notas 2 3 2 2 2 7 4" xfId="18932"/>
    <cellStyle name="Notas 2 3 2 2 2 7 4 2" xfId="18933"/>
    <cellStyle name="Notas 2 3 2 2 2 7 4 3" xfId="18934"/>
    <cellStyle name="Notas 2 3 2 2 2 7 4 4" xfId="18935"/>
    <cellStyle name="Notas 2 3 2 2 2 7 5" xfId="18936"/>
    <cellStyle name="Notas 2 3 2 2 2 7 6" xfId="18937"/>
    <cellStyle name="Notas 2 3 2 2 2 7 7" xfId="18938"/>
    <cellStyle name="Notas 2 3 2 2 2 7 8" xfId="18939"/>
    <cellStyle name="Notas 2 3 2 2 2 8" xfId="18940"/>
    <cellStyle name="Notas 2 3 2 2 2 8 2" xfId="18941"/>
    <cellStyle name="Notas 2 3 2 2 2 8 3" xfId="18942"/>
    <cellStyle name="Notas 2 3 2 2 2 8 4" xfId="18943"/>
    <cellStyle name="Notas 2 3 2 2 2 9" xfId="18944"/>
    <cellStyle name="Notas 2 3 2 2 2 9 2" xfId="18945"/>
    <cellStyle name="Notas 2 3 2 2 2 9 3" xfId="18946"/>
    <cellStyle name="Notas 2 3 2 2 2 9 4" xfId="18947"/>
    <cellStyle name="Notas 2 3 2 2 3" xfId="18948"/>
    <cellStyle name="Notas 2 3 2 2 3 2" xfId="18949"/>
    <cellStyle name="Notas 2 3 2 2 3 2 2" xfId="18950"/>
    <cellStyle name="Notas 2 3 2 2 3 2 2 2" xfId="18951"/>
    <cellStyle name="Notas 2 3 2 2 3 2 2 3" xfId="18952"/>
    <cellStyle name="Notas 2 3 2 2 3 2 2 4" xfId="18953"/>
    <cellStyle name="Notas 2 3 2 2 3 2 3" xfId="18954"/>
    <cellStyle name="Notas 2 3 2 2 3 2 3 2" xfId="18955"/>
    <cellStyle name="Notas 2 3 2 2 3 2 3 3" xfId="18956"/>
    <cellStyle name="Notas 2 3 2 2 3 2 3 4" xfId="18957"/>
    <cellStyle name="Notas 2 3 2 2 3 2 4" xfId="18958"/>
    <cellStyle name="Notas 2 3 2 2 3 2 4 2" xfId="18959"/>
    <cellStyle name="Notas 2 3 2 2 3 2 4 3" xfId="18960"/>
    <cellStyle name="Notas 2 3 2 2 3 2 4 4" xfId="18961"/>
    <cellStyle name="Notas 2 3 2 2 3 2 5" xfId="18962"/>
    <cellStyle name="Notas 2 3 2 2 3 2 6" xfId="18963"/>
    <cellStyle name="Notas 2 3 2 2 3 2 7" xfId="18964"/>
    <cellStyle name="Notas 2 3 2 2 3 2 8" xfId="18965"/>
    <cellStyle name="Notas 2 3 2 2 3 3" xfId="18966"/>
    <cellStyle name="Notas 2 3 2 2 3 3 2" xfId="18967"/>
    <cellStyle name="Notas 2 3 2 2 3 3 2 2" xfId="18968"/>
    <cellStyle name="Notas 2 3 2 2 3 3 2 3" xfId="18969"/>
    <cellStyle name="Notas 2 3 2 2 3 3 2 4" xfId="18970"/>
    <cellStyle name="Notas 2 3 2 2 3 3 3" xfId="18971"/>
    <cellStyle name="Notas 2 3 2 2 3 3 3 2" xfId="18972"/>
    <cellStyle name="Notas 2 3 2 2 3 3 3 3" xfId="18973"/>
    <cellStyle name="Notas 2 3 2 2 3 3 3 4" xfId="18974"/>
    <cellStyle name="Notas 2 3 2 2 3 3 4" xfId="18975"/>
    <cellStyle name="Notas 2 3 2 2 3 3 4 2" xfId="18976"/>
    <cellStyle name="Notas 2 3 2 2 3 3 4 3" xfId="18977"/>
    <cellStyle name="Notas 2 3 2 2 3 3 4 4" xfId="18978"/>
    <cellStyle name="Notas 2 3 2 2 3 3 5" xfId="18979"/>
    <cellStyle name="Notas 2 3 2 2 3 3 6" xfId="18980"/>
    <cellStyle name="Notas 2 3 2 2 3 3 7" xfId="18981"/>
    <cellStyle name="Notas 2 3 2 2 3 3 8" xfId="18982"/>
    <cellStyle name="Notas 2 3 2 2 3 4" xfId="18983"/>
    <cellStyle name="Notas 2 3 2 2 3 4 2" xfId="18984"/>
    <cellStyle name="Notas 2 3 2 2 3 4 2 2" xfId="18985"/>
    <cellStyle name="Notas 2 3 2 2 3 4 2 3" xfId="18986"/>
    <cellStyle name="Notas 2 3 2 2 3 4 2 4" xfId="18987"/>
    <cellStyle name="Notas 2 3 2 2 3 4 3" xfId="18988"/>
    <cellStyle name="Notas 2 3 2 2 3 4 3 2" xfId="18989"/>
    <cellStyle name="Notas 2 3 2 2 3 4 3 3" xfId="18990"/>
    <cellStyle name="Notas 2 3 2 2 3 4 3 4" xfId="18991"/>
    <cellStyle name="Notas 2 3 2 2 3 4 4" xfId="18992"/>
    <cellStyle name="Notas 2 3 2 2 3 4 4 2" xfId="18993"/>
    <cellStyle name="Notas 2 3 2 2 3 4 4 3" xfId="18994"/>
    <cellStyle name="Notas 2 3 2 2 3 4 4 4" xfId="18995"/>
    <cellStyle name="Notas 2 3 2 2 3 4 5" xfId="18996"/>
    <cellStyle name="Notas 2 3 2 2 3 4 6" xfId="18997"/>
    <cellStyle name="Notas 2 3 2 2 3 4 7" xfId="18998"/>
    <cellStyle name="Notas 2 3 2 2 3 4 8" xfId="18999"/>
    <cellStyle name="Notas 2 3 2 2 3 5" xfId="19000"/>
    <cellStyle name="Notas 2 3 2 2 3 5 2" xfId="19001"/>
    <cellStyle name="Notas 2 3 2 2 3 5 2 2" xfId="19002"/>
    <cellStyle name="Notas 2 3 2 2 3 5 2 3" xfId="19003"/>
    <cellStyle name="Notas 2 3 2 2 3 5 2 4" xfId="19004"/>
    <cellStyle name="Notas 2 3 2 2 3 5 3" xfId="19005"/>
    <cellStyle name="Notas 2 3 2 2 3 5 3 2" xfId="19006"/>
    <cellStyle name="Notas 2 3 2 2 3 5 3 3" xfId="19007"/>
    <cellStyle name="Notas 2 3 2 2 3 5 3 4" xfId="19008"/>
    <cellStyle name="Notas 2 3 2 2 3 5 4" xfId="19009"/>
    <cellStyle name="Notas 2 3 2 2 3 5 4 2" xfId="19010"/>
    <cellStyle name="Notas 2 3 2 2 3 5 4 3" xfId="19011"/>
    <cellStyle name="Notas 2 3 2 2 3 5 4 4" xfId="19012"/>
    <cellStyle name="Notas 2 3 2 2 3 5 5" xfId="19013"/>
    <cellStyle name="Notas 2 3 2 2 3 5 6" xfId="19014"/>
    <cellStyle name="Notas 2 3 2 2 3 5 7" xfId="19015"/>
    <cellStyle name="Notas 2 3 2 2 3 5 8" xfId="19016"/>
    <cellStyle name="Notas 2 3 2 2 3 6" xfId="19017"/>
    <cellStyle name="Notas 2 3 2 2 3 6 2" xfId="19018"/>
    <cellStyle name="Notas 2 3 2 2 3 6 3" xfId="19019"/>
    <cellStyle name="Notas 2 3 2 2 3 6 4" xfId="19020"/>
    <cellStyle name="Notas 2 3 2 2 3 7" xfId="19021"/>
    <cellStyle name="Notas 2 3 2 2 3 7 2" xfId="19022"/>
    <cellStyle name="Notas 2 3 2 2 3 7 3" xfId="19023"/>
    <cellStyle name="Notas 2 3 2 2 3 7 4" xfId="19024"/>
    <cellStyle name="Notas 2 3 2 2 3 8" xfId="19025"/>
    <cellStyle name="Notas 2 3 2 2 3 9" xfId="19026"/>
    <cellStyle name="Notas 2 3 2 2 4" xfId="19027"/>
    <cellStyle name="Notas 2 3 2 2 4 2" xfId="19028"/>
    <cellStyle name="Notas 2 3 2 2 4 2 2" xfId="19029"/>
    <cellStyle name="Notas 2 3 2 2 4 2 3" xfId="19030"/>
    <cellStyle name="Notas 2 3 2 2 4 2 4" xfId="19031"/>
    <cellStyle name="Notas 2 3 2 2 4 3" xfId="19032"/>
    <cellStyle name="Notas 2 3 2 2 4 3 2" xfId="19033"/>
    <cellStyle name="Notas 2 3 2 2 4 3 3" xfId="19034"/>
    <cellStyle name="Notas 2 3 2 2 4 3 4" xfId="19035"/>
    <cellStyle name="Notas 2 3 2 2 4 4" xfId="19036"/>
    <cellStyle name="Notas 2 3 2 2 4 4 2" xfId="19037"/>
    <cellStyle name="Notas 2 3 2 2 4 4 3" xfId="19038"/>
    <cellStyle name="Notas 2 3 2 2 4 4 4" xfId="19039"/>
    <cellStyle name="Notas 2 3 2 2 4 5" xfId="19040"/>
    <cellStyle name="Notas 2 3 2 2 4 6" xfId="19041"/>
    <cellStyle name="Notas 2 3 2 2 4 7" xfId="19042"/>
    <cellStyle name="Notas 2 3 2 2 4 8" xfId="19043"/>
    <cellStyle name="Notas 2 3 2 2 5" xfId="19044"/>
    <cellStyle name="Notas 2 3 2 2 5 2" xfId="19045"/>
    <cellStyle name="Notas 2 3 2 2 5 2 2" xfId="19046"/>
    <cellStyle name="Notas 2 3 2 2 5 2 3" xfId="19047"/>
    <cellStyle name="Notas 2 3 2 2 5 2 4" xfId="19048"/>
    <cellStyle name="Notas 2 3 2 2 5 3" xfId="19049"/>
    <cellStyle name="Notas 2 3 2 2 5 3 2" xfId="19050"/>
    <cellStyle name="Notas 2 3 2 2 5 3 3" xfId="19051"/>
    <cellStyle name="Notas 2 3 2 2 5 3 4" xfId="19052"/>
    <cellStyle name="Notas 2 3 2 2 5 4" xfId="19053"/>
    <cellStyle name="Notas 2 3 2 2 5 4 2" xfId="19054"/>
    <cellStyle name="Notas 2 3 2 2 5 4 3" xfId="19055"/>
    <cellStyle name="Notas 2 3 2 2 5 4 4" xfId="19056"/>
    <cellStyle name="Notas 2 3 2 2 5 5" xfId="19057"/>
    <cellStyle name="Notas 2 3 2 2 5 6" xfId="19058"/>
    <cellStyle name="Notas 2 3 2 2 5 7" xfId="19059"/>
    <cellStyle name="Notas 2 3 2 2 5 8" xfId="19060"/>
    <cellStyle name="Notas 2 3 2 2 6" xfId="19061"/>
    <cellStyle name="Notas 2 3 2 2 6 2" xfId="19062"/>
    <cellStyle name="Notas 2 3 2 2 6 2 2" xfId="19063"/>
    <cellStyle name="Notas 2 3 2 2 6 2 3" xfId="19064"/>
    <cellStyle name="Notas 2 3 2 2 6 2 4" xfId="19065"/>
    <cellStyle name="Notas 2 3 2 2 6 3" xfId="19066"/>
    <cellStyle name="Notas 2 3 2 2 6 3 2" xfId="19067"/>
    <cellStyle name="Notas 2 3 2 2 6 3 3" xfId="19068"/>
    <cellStyle name="Notas 2 3 2 2 6 3 4" xfId="19069"/>
    <cellStyle name="Notas 2 3 2 2 6 4" xfId="19070"/>
    <cellStyle name="Notas 2 3 2 2 6 4 2" xfId="19071"/>
    <cellStyle name="Notas 2 3 2 2 6 4 3" xfId="19072"/>
    <cellStyle name="Notas 2 3 2 2 6 4 4" xfId="19073"/>
    <cellStyle name="Notas 2 3 2 2 6 5" xfId="19074"/>
    <cellStyle name="Notas 2 3 2 2 6 6" xfId="19075"/>
    <cellStyle name="Notas 2 3 2 2 6 7" xfId="19076"/>
    <cellStyle name="Notas 2 3 2 2 6 8" xfId="19077"/>
    <cellStyle name="Notas 2 3 2 2 7" xfId="19078"/>
    <cellStyle name="Notas 2 3 2 2 7 2" xfId="19079"/>
    <cellStyle name="Notas 2 3 2 2 7 2 2" xfId="19080"/>
    <cellStyle name="Notas 2 3 2 2 7 2 3" xfId="19081"/>
    <cellStyle name="Notas 2 3 2 2 7 2 4" xfId="19082"/>
    <cellStyle name="Notas 2 3 2 2 7 3" xfId="19083"/>
    <cellStyle name="Notas 2 3 2 2 7 3 2" xfId="19084"/>
    <cellStyle name="Notas 2 3 2 2 7 3 3" xfId="19085"/>
    <cellStyle name="Notas 2 3 2 2 7 3 4" xfId="19086"/>
    <cellStyle name="Notas 2 3 2 2 7 4" xfId="19087"/>
    <cellStyle name="Notas 2 3 2 2 7 4 2" xfId="19088"/>
    <cellStyle name="Notas 2 3 2 2 7 4 3" xfId="19089"/>
    <cellStyle name="Notas 2 3 2 2 7 4 4" xfId="19090"/>
    <cellStyle name="Notas 2 3 2 2 7 5" xfId="19091"/>
    <cellStyle name="Notas 2 3 2 2 7 6" xfId="19092"/>
    <cellStyle name="Notas 2 3 2 2 7 7" xfId="19093"/>
    <cellStyle name="Notas 2 3 2 2 7 8" xfId="19094"/>
    <cellStyle name="Notas 2 3 2 2 8" xfId="19095"/>
    <cellStyle name="Notas 2 3 2 2 8 2" xfId="19096"/>
    <cellStyle name="Notas 2 3 2 2 8 2 2" xfId="19097"/>
    <cellStyle name="Notas 2 3 2 2 8 2 3" xfId="19098"/>
    <cellStyle name="Notas 2 3 2 2 8 2 4" xfId="19099"/>
    <cellStyle name="Notas 2 3 2 2 8 3" xfId="19100"/>
    <cellStyle name="Notas 2 3 2 2 8 3 2" xfId="19101"/>
    <cellStyle name="Notas 2 3 2 2 8 3 3" xfId="19102"/>
    <cellStyle name="Notas 2 3 2 2 8 3 4" xfId="19103"/>
    <cellStyle name="Notas 2 3 2 2 8 4" xfId="19104"/>
    <cellStyle name="Notas 2 3 2 2 8 4 2" xfId="19105"/>
    <cellStyle name="Notas 2 3 2 2 8 4 3" xfId="19106"/>
    <cellStyle name="Notas 2 3 2 2 8 4 4" xfId="19107"/>
    <cellStyle name="Notas 2 3 2 2 8 5" xfId="19108"/>
    <cellStyle name="Notas 2 3 2 2 8 6" xfId="19109"/>
    <cellStyle name="Notas 2 3 2 2 8 7" xfId="19110"/>
    <cellStyle name="Notas 2 3 2 2 8 8" xfId="19111"/>
    <cellStyle name="Notas 2 3 2 2 9" xfId="19112"/>
    <cellStyle name="Notas 2 3 2 2 9 2" xfId="19113"/>
    <cellStyle name="Notas 2 3 2 2 9 3" xfId="19114"/>
    <cellStyle name="Notas 2 3 2 2 9 4" xfId="19115"/>
    <cellStyle name="Notas 2 3 2 3" xfId="19116"/>
    <cellStyle name="Notas 2 3 2 3 10" xfId="19117"/>
    <cellStyle name="Notas 2 3 2 3 11" xfId="19118"/>
    <cellStyle name="Notas 2 3 2 3 2" xfId="19119"/>
    <cellStyle name="Notas 2 3 2 3 2 2" xfId="19120"/>
    <cellStyle name="Notas 2 3 2 3 2 2 2" xfId="19121"/>
    <cellStyle name="Notas 2 3 2 3 2 2 2 2" xfId="19122"/>
    <cellStyle name="Notas 2 3 2 3 2 2 2 3" xfId="19123"/>
    <cellStyle name="Notas 2 3 2 3 2 2 2 4" xfId="19124"/>
    <cellStyle name="Notas 2 3 2 3 2 2 3" xfId="19125"/>
    <cellStyle name="Notas 2 3 2 3 2 2 3 2" xfId="19126"/>
    <cellStyle name="Notas 2 3 2 3 2 2 3 3" xfId="19127"/>
    <cellStyle name="Notas 2 3 2 3 2 2 3 4" xfId="19128"/>
    <cellStyle name="Notas 2 3 2 3 2 2 4" xfId="19129"/>
    <cellStyle name="Notas 2 3 2 3 2 2 4 2" xfId="19130"/>
    <cellStyle name="Notas 2 3 2 3 2 2 4 3" xfId="19131"/>
    <cellStyle name="Notas 2 3 2 3 2 2 4 4" xfId="19132"/>
    <cellStyle name="Notas 2 3 2 3 2 2 5" xfId="19133"/>
    <cellStyle name="Notas 2 3 2 3 2 2 6" xfId="19134"/>
    <cellStyle name="Notas 2 3 2 3 2 2 7" xfId="19135"/>
    <cellStyle name="Notas 2 3 2 3 2 2 8" xfId="19136"/>
    <cellStyle name="Notas 2 3 2 3 2 3" xfId="19137"/>
    <cellStyle name="Notas 2 3 2 3 2 3 2" xfId="19138"/>
    <cellStyle name="Notas 2 3 2 3 2 3 2 2" xfId="19139"/>
    <cellStyle name="Notas 2 3 2 3 2 3 2 3" xfId="19140"/>
    <cellStyle name="Notas 2 3 2 3 2 3 2 4" xfId="19141"/>
    <cellStyle name="Notas 2 3 2 3 2 3 3" xfId="19142"/>
    <cellStyle name="Notas 2 3 2 3 2 3 3 2" xfId="19143"/>
    <cellStyle name="Notas 2 3 2 3 2 3 3 3" xfId="19144"/>
    <cellStyle name="Notas 2 3 2 3 2 3 3 4" xfId="19145"/>
    <cellStyle name="Notas 2 3 2 3 2 3 4" xfId="19146"/>
    <cellStyle name="Notas 2 3 2 3 2 3 4 2" xfId="19147"/>
    <cellStyle name="Notas 2 3 2 3 2 3 4 3" xfId="19148"/>
    <cellStyle name="Notas 2 3 2 3 2 3 4 4" xfId="19149"/>
    <cellStyle name="Notas 2 3 2 3 2 3 5" xfId="19150"/>
    <cellStyle name="Notas 2 3 2 3 2 3 6" xfId="19151"/>
    <cellStyle name="Notas 2 3 2 3 2 3 7" xfId="19152"/>
    <cellStyle name="Notas 2 3 2 3 2 3 8" xfId="19153"/>
    <cellStyle name="Notas 2 3 2 3 2 4" xfId="19154"/>
    <cellStyle name="Notas 2 3 2 3 2 4 2" xfId="19155"/>
    <cellStyle name="Notas 2 3 2 3 2 4 2 2" xfId="19156"/>
    <cellStyle name="Notas 2 3 2 3 2 4 2 3" xfId="19157"/>
    <cellStyle name="Notas 2 3 2 3 2 4 2 4" xfId="19158"/>
    <cellStyle name="Notas 2 3 2 3 2 4 3" xfId="19159"/>
    <cellStyle name="Notas 2 3 2 3 2 4 3 2" xfId="19160"/>
    <cellStyle name="Notas 2 3 2 3 2 4 3 3" xfId="19161"/>
    <cellStyle name="Notas 2 3 2 3 2 4 3 4" xfId="19162"/>
    <cellStyle name="Notas 2 3 2 3 2 4 4" xfId="19163"/>
    <cellStyle name="Notas 2 3 2 3 2 4 4 2" xfId="19164"/>
    <cellStyle name="Notas 2 3 2 3 2 4 4 3" xfId="19165"/>
    <cellStyle name="Notas 2 3 2 3 2 4 4 4" xfId="19166"/>
    <cellStyle name="Notas 2 3 2 3 2 4 5" xfId="19167"/>
    <cellStyle name="Notas 2 3 2 3 2 4 6" xfId="19168"/>
    <cellStyle name="Notas 2 3 2 3 2 4 7" xfId="19169"/>
    <cellStyle name="Notas 2 3 2 3 2 4 8" xfId="19170"/>
    <cellStyle name="Notas 2 3 2 3 2 5" xfId="19171"/>
    <cellStyle name="Notas 2 3 2 3 2 5 2" xfId="19172"/>
    <cellStyle name="Notas 2 3 2 3 2 5 2 2" xfId="19173"/>
    <cellStyle name="Notas 2 3 2 3 2 5 2 3" xfId="19174"/>
    <cellStyle name="Notas 2 3 2 3 2 5 2 4" xfId="19175"/>
    <cellStyle name="Notas 2 3 2 3 2 5 3" xfId="19176"/>
    <cellStyle name="Notas 2 3 2 3 2 5 3 2" xfId="19177"/>
    <cellStyle name="Notas 2 3 2 3 2 5 3 3" xfId="19178"/>
    <cellStyle name="Notas 2 3 2 3 2 5 3 4" xfId="19179"/>
    <cellStyle name="Notas 2 3 2 3 2 5 4" xfId="19180"/>
    <cellStyle name="Notas 2 3 2 3 2 5 4 2" xfId="19181"/>
    <cellStyle name="Notas 2 3 2 3 2 5 4 3" xfId="19182"/>
    <cellStyle name="Notas 2 3 2 3 2 5 4 4" xfId="19183"/>
    <cellStyle name="Notas 2 3 2 3 2 5 5" xfId="19184"/>
    <cellStyle name="Notas 2 3 2 3 2 5 6" xfId="19185"/>
    <cellStyle name="Notas 2 3 2 3 2 5 7" xfId="19186"/>
    <cellStyle name="Notas 2 3 2 3 2 5 8" xfId="19187"/>
    <cellStyle name="Notas 2 3 2 3 2 6" xfId="19188"/>
    <cellStyle name="Notas 2 3 2 3 2 6 2" xfId="19189"/>
    <cellStyle name="Notas 2 3 2 3 2 6 3" xfId="19190"/>
    <cellStyle name="Notas 2 3 2 3 2 6 4" xfId="19191"/>
    <cellStyle name="Notas 2 3 2 3 2 7" xfId="19192"/>
    <cellStyle name="Notas 2 3 2 3 2 7 2" xfId="19193"/>
    <cellStyle name="Notas 2 3 2 3 2 7 3" xfId="19194"/>
    <cellStyle name="Notas 2 3 2 3 2 7 4" xfId="19195"/>
    <cellStyle name="Notas 2 3 2 3 2 8" xfId="19196"/>
    <cellStyle name="Notas 2 3 2 3 2 9" xfId="19197"/>
    <cellStyle name="Notas 2 3 2 3 3" xfId="19198"/>
    <cellStyle name="Notas 2 3 2 3 3 2" xfId="19199"/>
    <cellStyle name="Notas 2 3 2 3 3 2 2" xfId="19200"/>
    <cellStyle name="Notas 2 3 2 3 3 2 3" xfId="19201"/>
    <cellStyle name="Notas 2 3 2 3 3 2 4" xfId="19202"/>
    <cellStyle name="Notas 2 3 2 3 3 3" xfId="19203"/>
    <cellStyle name="Notas 2 3 2 3 3 3 2" xfId="19204"/>
    <cellStyle name="Notas 2 3 2 3 3 3 3" xfId="19205"/>
    <cellStyle name="Notas 2 3 2 3 3 3 4" xfId="19206"/>
    <cellStyle name="Notas 2 3 2 3 3 4" xfId="19207"/>
    <cellStyle name="Notas 2 3 2 3 3 4 2" xfId="19208"/>
    <cellStyle name="Notas 2 3 2 3 3 4 3" xfId="19209"/>
    <cellStyle name="Notas 2 3 2 3 3 4 4" xfId="19210"/>
    <cellStyle name="Notas 2 3 2 3 3 5" xfId="19211"/>
    <cellStyle name="Notas 2 3 2 3 3 6" xfId="19212"/>
    <cellStyle name="Notas 2 3 2 3 3 7" xfId="19213"/>
    <cellStyle name="Notas 2 3 2 3 3 8" xfId="19214"/>
    <cellStyle name="Notas 2 3 2 3 4" xfId="19215"/>
    <cellStyle name="Notas 2 3 2 3 4 2" xfId="19216"/>
    <cellStyle name="Notas 2 3 2 3 4 2 2" xfId="19217"/>
    <cellStyle name="Notas 2 3 2 3 4 2 3" xfId="19218"/>
    <cellStyle name="Notas 2 3 2 3 4 2 4" xfId="19219"/>
    <cellStyle name="Notas 2 3 2 3 4 3" xfId="19220"/>
    <cellStyle name="Notas 2 3 2 3 4 3 2" xfId="19221"/>
    <cellStyle name="Notas 2 3 2 3 4 3 3" xfId="19222"/>
    <cellStyle name="Notas 2 3 2 3 4 3 4" xfId="19223"/>
    <cellStyle name="Notas 2 3 2 3 4 4" xfId="19224"/>
    <cellStyle name="Notas 2 3 2 3 4 4 2" xfId="19225"/>
    <cellStyle name="Notas 2 3 2 3 4 4 3" xfId="19226"/>
    <cellStyle name="Notas 2 3 2 3 4 4 4" xfId="19227"/>
    <cellStyle name="Notas 2 3 2 3 4 5" xfId="19228"/>
    <cellStyle name="Notas 2 3 2 3 4 6" xfId="19229"/>
    <cellStyle name="Notas 2 3 2 3 4 7" xfId="19230"/>
    <cellStyle name="Notas 2 3 2 3 4 8" xfId="19231"/>
    <cellStyle name="Notas 2 3 2 3 5" xfId="19232"/>
    <cellStyle name="Notas 2 3 2 3 5 2" xfId="19233"/>
    <cellStyle name="Notas 2 3 2 3 5 2 2" xfId="19234"/>
    <cellStyle name="Notas 2 3 2 3 5 2 3" xfId="19235"/>
    <cellStyle name="Notas 2 3 2 3 5 2 4" xfId="19236"/>
    <cellStyle name="Notas 2 3 2 3 5 3" xfId="19237"/>
    <cellStyle name="Notas 2 3 2 3 5 3 2" xfId="19238"/>
    <cellStyle name="Notas 2 3 2 3 5 3 3" xfId="19239"/>
    <cellStyle name="Notas 2 3 2 3 5 3 4" xfId="19240"/>
    <cellStyle name="Notas 2 3 2 3 5 4" xfId="19241"/>
    <cellStyle name="Notas 2 3 2 3 5 4 2" xfId="19242"/>
    <cellStyle name="Notas 2 3 2 3 5 4 3" xfId="19243"/>
    <cellStyle name="Notas 2 3 2 3 5 4 4" xfId="19244"/>
    <cellStyle name="Notas 2 3 2 3 5 5" xfId="19245"/>
    <cellStyle name="Notas 2 3 2 3 5 6" xfId="19246"/>
    <cellStyle name="Notas 2 3 2 3 5 7" xfId="19247"/>
    <cellStyle name="Notas 2 3 2 3 5 8" xfId="19248"/>
    <cellStyle name="Notas 2 3 2 3 6" xfId="19249"/>
    <cellStyle name="Notas 2 3 2 3 6 2" xfId="19250"/>
    <cellStyle name="Notas 2 3 2 3 6 2 2" xfId="19251"/>
    <cellStyle name="Notas 2 3 2 3 6 2 3" xfId="19252"/>
    <cellStyle name="Notas 2 3 2 3 6 2 4" xfId="19253"/>
    <cellStyle name="Notas 2 3 2 3 6 3" xfId="19254"/>
    <cellStyle name="Notas 2 3 2 3 6 3 2" xfId="19255"/>
    <cellStyle name="Notas 2 3 2 3 6 3 3" xfId="19256"/>
    <cellStyle name="Notas 2 3 2 3 6 3 4" xfId="19257"/>
    <cellStyle name="Notas 2 3 2 3 6 4" xfId="19258"/>
    <cellStyle name="Notas 2 3 2 3 6 4 2" xfId="19259"/>
    <cellStyle name="Notas 2 3 2 3 6 4 3" xfId="19260"/>
    <cellStyle name="Notas 2 3 2 3 6 4 4" xfId="19261"/>
    <cellStyle name="Notas 2 3 2 3 6 5" xfId="19262"/>
    <cellStyle name="Notas 2 3 2 3 6 6" xfId="19263"/>
    <cellStyle name="Notas 2 3 2 3 6 7" xfId="19264"/>
    <cellStyle name="Notas 2 3 2 3 6 8" xfId="19265"/>
    <cellStyle name="Notas 2 3 2 3 7" xfId="19266"/>
    <cellStyle name="Notas 2 3 2 3 7 2" xfId="19267"/>
    <cellStyle name="Notas 2 3 2 3 7 2 2" xfId="19268"/>
    <cellStyle name="Notas 2 3 2 3 7 2 3" xfId="19269"/>
    <cellStyle name="Notas 2 3 2 3 7 2 4" xfId="19270"/>
    <cellStyle name="Notas 2 3 2 3 7 3" xfId="19271"/>
    <cellStyle name="Notas 2 3 2 3 7 3 2" xfId="19272"/>
    <cellStyle name="Notas 2 3 2 3 7 3 3" xfId="19273"/>
    <cellStyle name="Notas 2 3 2 3 7 3 4" xfId="19274"/>
    <cellStyle name="Notas 2 3 2 3 7 4" xfId="19275"/>
    <cellStyle name="Notas 2 3 2 3 7 4 2" xfId="19276"/>
    <cellStyle name="Notas 2 3 2 3 7 4 3" xfId="19277"/>
    <cellStyle name="Notas 2 3 2 3 7 4 4" xfId="19278"/>
    <cellStyle name="Notas 2 3 2 3 7 5" xfId="19279"/>
    <cellStyle name="Notas 2 3 2 3 7 6" xfId="19280"/>
    <cellStyle name="Notas 2 3 2 3 7 7" xfId="19281"/>
    <cellStyle name="Notas 2 3 2 3 7 8" xfId="19282"/>
    <cellStyle name="Notas 2 3 2 3 8" xfId="19283"/>
    <cellStyle name="Notas 2 3 2 3 8 2" xfId="19284"/>
    <cellStyle name="Notas 2 3 2 3 8 3" xfId="19285"/>
    <cellStyle name="Notas 2 3 2 3 8 4" xfId="19286"/>
    <cellStyle name="Notas 2 3 2 3 9" xfId="19287"/>
    <cellStyle name="Notas 2 3 2 3 9 2" xfId="19288"/>
    <cellStyle name="Notas 2 3 2 3 9 3" xfId="19289"/>
    <cellStyle name="Notas 2 3 2 3 9 4" xfId="19290"/>
    <cellStyle name="Notas 2 3 2 4" xfId="19291"/>
    <cellStyle name="Notas 2 3 2 4 2" xfId="19292"/>
    <cellStyle name="Notas 2 3 2 4 2 2" xfId="19293"/>
    <cellStyle name="Notas 2 3 2 4 2 2 2" xfId="19294"/>
    <cellStyle name="Notas 2 3 2 4 2 2 3" xfId="19295"/>
    <cellStyle name="Notas 2 3 2 4 2 2 4" xfId="19296"/>
    <cellStyle name="Notas 2 3 2 4 2 3" xfId="19297"/>
    <cellStyle name="Notas 2 3 2 4 2 3 2" xfId="19298"/>
    <cellStyle name="Notas 2 3 2 4 2 3 3" xfId="19299"/>
    <cellStyle name="Notas 2 3 2 4 2 3 4" xfId="19300"/>
    <cellStyle name="Notas 2 3 2 4 2 4" xfId="19301"/>
    <cellStyle name="Notas 2 3 2 4 2 4 2" xfId="19302"/>
    <cellStyle name="Notas 2 3 2 4 2 4 3" xfId="19303"/>
    <cellStyle name="Notas 2 3 2 4 2 4 4" xfId="19304"/>
    <cellStyle name="Notas 2 3 2 4 2 5" xfId="19305"/>
    <cellStyle name="Notas 2 3 2 4 2 6" xfId="19306"/>
    <cellStyle name="Notas 2 3 2 4 2 7" xfId="19307"/>
    <cellStyle name="Notas 2 3 2 4 2 8" xfId="19308"/>
    <cellStyle name="Notas 2 3 2 4 3" xfId="19309"/>
    <cellStyle name="Notas 2 3 2 4 3 2" xfId="19310"/>
    <cellStyle name="Notas 2 3 2 4 3 2 2" xfId="19311"/>
    <cellStyle name="Notas 2 3 2 4 3 2 3" xfId="19312"/>
    <cellStyle name="Notas 2 3 2 4 3 2 4" xfId="19313"/>
    <cellStyle name="Notas 2 3 2 4 3 3" xfId="19314"/>
    <cellStyle name="Notas 2 3 2 4 3 3 2" xfId="19315"/>
    <cellStyle name="Notas 2 3 2 4 3 3 3" xfId="19316"/>
    <cellStyle name="Notas 2 3 2 4 3 3 4" xfId="19317"/>
    <cellStyle name="Notas 2 3 2 4 3 4" xfId="19318"/>
    <cellStyle name="Notas 2 3 2 4 3 4 2" xfId="19319"/>
    <cellStyle name="Notas 2 3 2 4 3 4 3" xfId="19320"/>
    <cellStyle name="Notas 2 3 2 4 3 4 4" xfId="19321"/>
    <cellStyle name="Notas 2 3 2 4 3 5" xfId="19322"/>
    <cellStyle name="Notas 2 3 2 4 3 6" xfId="19323"/>
    <cellStyle name="Notas 2 3 2 4 3 7" xfId="19324"/>
    <cellStyle name="Notas 2 3 2 4 3 8" xfId="19325"/>
    <cellStyle name="Notas 2 3 2 4 4" xfId="19326"/>
    <cellStyle name="Notas 2 3 2 4 4 2" xfId="19327"/>
    <cellStyle name="Notas 2 3 2 4 4 2 2" xfId="19328"/>
    <cellStyle name="Notas 2 3 2 4 4 2 3" xfId="19329"/>
    <cellStyle name="Notas 2 3 2 4 4 2 4" xfId="19330"/>
    <cellStyle name="Notas 2 3 2 4 4 3" xfId="19331"/>
    <cellStyle name="Notas 2 3 2 4 4 3 2" xfId="19332"/>
    <cellStyle name="Notas 2 3 2 4 4 3 3" xfId="19333"/>
    <cellStyle name="Notas 2 3 2 4 4 3 4" xfId="19334"/>
    <cellStyle name="Notas 2 3 2 4 4 4" xfId="19335"/>
    <cellStyle name="Notas 2 3 2 4 4 4 2" xfId="19336"/>
    <cellStyle name="Notas 2 3 2 4 4 4 3" xfId="19337"/>
    <cellStyle name="Notas 2 3 2 4 4 4 4" xfId="19338"/>
    <cellStyle name="Notas 2 3 2 4 4 5" xfId="19339"/>
    <cellStyle name="Notas 2 3 2 4 4 6" xfId="19340"/>
    <cellStyle name="Notas 2 3 2 4 4 7" xfId="19341"/>
    <cellStyle name="Notas 2 3 2 4 4 8" xfId="19342"/>
    <cellStyle name="Notas 2 3 2 4 5" xfId="19343"/>
    <cellStyle name="Notas 2 3 2 4 5 2" xfId="19344"/>
    <cellStyle name="Notas 2 3 2 4 5 2 2" xfId="19345"/>
    <cellStyle name="Notas 2 3 2 4 5 2 3" xfId="19346"/>
    <cellStyle name="Notas 2 3 2 4 5 2 4" xfId="19347"/>
    <cellStyle name="Notas 2 3 2 4 5 3" xfId="19348"/>
    <cellStyle name="Notas 2 3 2 4 5 3 2" xfId="19349"/>
    <cellStyle name="Notas 2 3 2 4 5 3 3" xfId="19350"/>
    <cellStyle name="Notas 2 3 2 4 5 3 4" xfId="19351"/>
    <cellStyle name="Notas 2 3 2 4 5 4" xfId="19352"/>
    <cellStyle name="Notas 2 3 2 4 5 4 2" xfId="19353"/>
    <cellStyle name="Notas 2 3 2 4 5 4 3" xfId="19354"/>
    <cellStyle name="Notas 2 3 2 4 5 4 4" xfId="19355"/>
    <cellStyle name="Notas 2 3 2 4 5 5" xfId="19356"/>
    <cellStyle name="Notas 2 3 2 4 5 6" xfId="19357"/>
    <cellStyle name="Notas 2 3 2 4 5 7" xfId="19358"/>
    <cellStyle name="Notas 2 3 2 4 5 8" xfId="19359"/>
    <cellStyle name="Notas 2 3 2 4 6" xfId="19360"/>
    <cellStyle name="Notas 2 3 2 4 6 2" xfId="19361"/>
    <cellStyle name="Notas 2 3 2 4 6 3" xfId="19362"/>
    <cellStyle name="Notas 2 3 2 4 6 4" xfId="19363"/>
    <cellStyle name="Notas 2 3 2 4 7" xfId="19364"/>
    <cellStyle name="Notas 2 3 2 4 7 2" xfId="19365"/>
    <cellStyle name="Notas 2 3 2 4 7 3" xfId="19366"/>
    <cellStyle name="Notas 2 3 2 4 7 4" xfId="19367"/>
    <cellStyle name="Notas 2 3 2 4 8" xfId="19368"/>
    <cellStyle name="Notas 2 3 2 4 9" xfId="19369"/>
    <cellStyle name="Notas 2 3 2 5" xfId="19370"/>
    <cellStyle name="Notas 2 3 2 5 2" xfId="19371"/>
    <cellStyle name="Notas 2 3 2 5 2 2" xfId="19372"/>
    <cellStyle name="Notas 2 3 2 5 2 3" xfId="19373"/>
    <cellStyle name="Notas 2 3 2 5 2 4" xfId="19374"/>
    <cellStyle name="Notas 2 3 2 5 3" xfId="19375"/>
    <cellStyle name="Notas 2 3 2 5 3 2" xfId="19376"/>
    <cellStyle name="Notas 2 3 2 5 3 3" xfId="19377"/>
    <cellStyle name="Notas 2 3 2 5 3 4" xfId="19378"/>
    <cellStyle name="Notas 2 3 2 5 4" xfId="19379"/>
    <cellStyle name="Notas 2 3 2 5 4 2" xfId="19380"/>
    <cellStyle name="Notas 2 3 2 5 4 3" xfId="19381"/>
    <cellStyle name="Notas 2 3 2 5 4 4" xfId="19382"/>
    <cellStyle name="Notas 2 3 2 5 5" xfId="19383"/>
    <cellStyle name="Notas 2 3 2 5 6" xfId="19384"/>
    <cellStyle name="Notas 2 3 2 5 7" xfId="19385"/>
    <cellStyle name="Notas 2 3 2 5 8" xfId="19386"/>
    <cellStyle name="Notas 2 3 2 6" xfId="19387"/>
    <cellStyle name="Notas 2 3 2 6 2" xfId="19388"/>
    <cellStyle name="Notas 2 3 2 6 2 2" xfId="19389"/>
    <cellStyle name="Notas 2 3 2 6 2 3" xfId="19390"/>
    <cellStyle name="Notas 2 3 2 6 2 4" xfId="19391"/>
    <cellStyle name="Notas 2 3 2 6 3" xfId="19392"/>
    <cellStyle name="Notas 2 3 2 6 3 2" xfId="19393"/>
    <cellStyle name="Notas 2 3 2 6 3 3" xfId="19394"/>
    <cellStyle name="Notas 2 3 2 6 3 4" xfId="19395"/>
    <cellStyle name="Notas 2 3 2 6 4" xfId="19396"/>
    <cellStyle name="Notas 2 3 2 6 4 2" xfId="19397"/>
    <cellStyle name="Notas 2 3 2 6 4 3" xfId="19398"/>
    <cellStyle name="Notas 2 3 2 6 4 4" xfId="19399"/>
    <cellStyle name="Notas 2 3 2 6 5" xfId="19400"/>
    <cellStyle name="Notas 2 3 2 6 6" xfId="19401"/>
    <cellStyle name="Notas 2 3 2 6 7" xfId="19402"/>
    <cellStyle name="Notas 2 3 2 6 8" xfId="19403"/>
    <cellStyle name="Notas 2 3 2 7" xfId="19404"/>
    <cellStyle name="Notas 2 3 2 7 2" xfId="19405"/>
    <cellStyle name="Notas 2 3 2 7 2 2" xfId="19406"/>
    <cellStyle name="Notas 2 3 2 7 2 3" xfId="19407"/>
    <cellStyle name="Notas 2 3 2 7 2 4" xfId="19408"/>
    <cellStyle name="Notas 2 3 2 7 3" xfId="19409"/>
    <cellStyle name="Notas 2 3 2 7 3 2" xfId="19410"/>
    <cellStyle name="Notas 2 3 2 7 3 3" xfId="19411"/>
    <cellStyle name="Notas 2 3 2 7 3 4" xfId="19412"/>
    <cellStyle name="Notas 2 3 2 7 4" xfId="19413"/>
    <cellStyle name="Notas 2 3 2 7 4 2" xfId="19414"/>
    <cellStyle name="Notas 2 3 2 7 4 3" xfId="19415"/>
    <cellStyle name="Notas 2 3 2 7 4 4" xfId="19416"/>
    <cellStyle name="Notas 2 3 2 7 5" xfId="19417"/>
    <cellStyle name="Notas 2 3 2 7 6" xfId="19418"/>
    <cellStyle name="Notas 2 3 2 7 7" xfId="19419"/>
    <cellStyle name="Notas 2 3 2 7 8" xfId="19420"/>
    <cellStyle name="Notas 2 3 2 8" xfId="19421"/>
    <cellStyle name="Notas 2 3 2 8 2" xfId="19422"/>
    <cellStyle name="Notas 2 3 2 8 2 2" xfId="19423"/>
    <cellStyle name="Notas 2 3 2 8 2 3" xfId="19424"/>
    <cellStyle name="Notas 2 3 2 8 2 4" xfId="19425"/>
    <cellStyle name="Notas 2 3 2 8 3" xfId="19426"/>
    <cellStyle name="Notas 2 3 2 8 3 2" xfId="19427"/>
    <cellStyle name="Notas 2 3 2 8 3 3" xfId="19428"/>
    <cellStyle name="Notas 2 3 2 8 3 4" xfId="19429"/>
    <cellStyle name="Notas 2 3 2 8 4" xfId="19430"/>
    <cellStyle name="Notas 2 3 2 8 4 2" xfId="19431"/>
    <cellStyle name="Notas 2 3 2 8 4 3" xfId="19432"/>
    <cellStyle name="Notas 2 3 2 8 4 4" xfId="19433"/>
    <cellStyle name="Notas 2 3 2 8 5" xfId="19434"/>
    <cellStyle name="Notas 2 3 2 8 6" xfId="19435"/>
    <cellStyle name="Notas 2 3 2 8 7" xfId="19436"/>
    <cellStyle name="Notas 2 3 2 8 8" xfId="19437"/>
    <cellStyle name="Notas 2 3 2 9" xfId="19438"/>
    <cellStyle name="Notas 2 3 2 9 2" xfId="19439"/>
    <cellStyle name="Notas 2 3 2 9 2 2" xfId="19440"/>
    <cellStyle name="Notas 2 3 2 9 2 3" xfId="19441"/>
    <cellStyle name="Notas 2 3 2 9 2 4" xfId="19442"/>
    <cellStyle name="Notas 2 3 2 9 3" xfId="19443"/>
    <cellStyle name="Notas 2 3 2 9 3 2" xfId="19444"/>
    <cellStyle name="Notas 2 3 2 9 3 3" xfId="19445"/>
    <cellStyle name="Notas 2 3 2 9 3 4" xfId="19446"/>
    <cellStyle name="Notas 2 3 2 9 4" xfId="19447"/>
    <cellStyle name="Notas 2 3 2 9 4 2" xfId="19448"/>
    <cellStyle name="Notas 2 3 2 9 4 3" xfId="19449"/>
    <cellStyle name="Notas 2 3 2 9 4 4" xfId="19450"/>
    <cellStyle name="Notas 2 3 2 9 5" xfId="19451"/>
    <cellStyle name="Notas 2 3 2 9 6" xfId="19452"/>
    <cellStyle name="Notas 2 3 2 9 7" xfId="19453"/>
    <cellStyle name="Notas 2 3 2 9 8" xfId="19454"/>
    <cellStyle name="Notas 2 3 3" xfId="19455"/>
    <cellStyle name="Notas 2 3 3 10" xfId="19456"/>
    <cellStyle name="Notas 2 3 3 10 2" xfId="19457"/>
    <cellStyle name="Notas 2 3 3 10 3" xfId="19458"/>
    <cellStyle name="Notas 2 3 3 10 4" xfId="19459"/>
    <cellStyle name="Notas 2 3 3 11" xfId="19460"/>
    <cellStyle name="Notas 2 3 3 12" xfId="19461"/>
    <cellStyle name="Notas 2 3 3 2" xfId="19462"/>
    <cellStyle name="Notas 2 3 3 2 10" xfId="19463"/>
    <cellStyle name="Notas 2 3 3 2 11" xfId="19464"/>
    <cellStyle name="Notas 2 3 3 2 2" xfId="19465"/>
    <cellStyle name="Notas 2 3 3 2 2 2" xfId="19466"/>
    <cellStyle name="Notas 2 3 3 2 2 2 2" xfId="19467"/>
    <cellStyle name="Notas 2 3 3 2 2 2 2 2" xfId="19468"/>
    <cellStyle name="Notas 2 3 3 2 2 2 2 3" xfId="19469"/>
    <cellStyle name="Notas 2 3 3 2 2 2 2 4" xfId="19470"/>
    <cellStyle name="Notas 2 3 3 2 2 2 3" xfId="19471"/>
    <cellStyle name="Notas 2 3 3 2 2 2 3 2" xfId="19472"/>
    <cellStyle name="Notas 2 3 3 2 2 2 3 3" xfId="19473"/>
    <cellStyle name="Notas 2 3 3 2 2 2 3 4" xfId="19474"/>
    <cellStyle name="Notas 2 3 3 2 2 2 4" xfId="19475"/>
    <cellStyle name="Notas 2 3 3 2 2 2 4 2" xfId="19476"/>
    <cellStyle name="Notas 2 3 3 2 2 2 4 3" xfId="19477"/>
    <cellStyle name="Notas 2 3 3 2 2 2 4 4" xfId="19478"/>
    <cellStyle name="Notas 2 3 3 2 2 2 5" xfId="19479"/>
    <cellStyle name="Notas 2 3 3 2 2 2 6" xfId="19480"/>
    <cellStyle name="Notas 2 3 3 2 2 2 7" xfId="19481"/>
    <cellStyle name="Notas 2 3 3 2 2 2 8" xfId="19482"/>
    <cellStyle name="Notas 2 3 3 2 2 3" xfId="19483"/>
    <cellStyle name="Notas 2 3 3 2 2 3 2" xfId="19484"/>
    <cellStyle name="Notas 2 3 3 2 2 3 2 2" xfId="19485"/>
    <cellStyle name="Notas 2 3 3 2 2 3 2 3" xfId="19486"/>
    <cellStyle name="Notas 2 3 3 2 2 3 2 4" xfId="19487"/>
    <cellStyle name="Notas 2 3 3 2 2 3 3" xfId="19488"/>
    <cellStyle name="Notas 2 3 3 2 2 3 3 2" xfId="19489"/>
    <cellStyle name="Notas 2 3 3 2 2 3 3 3" xfId="19490"/>
    <cellStyle name="Notas 2 3 3 2 2 3 3 4" xfId="19491"/>
    <cellStyle name="Notas 2 3 3 2 2 3 4" xfId="19492"/>
    <cellStyle name="Notas 2 3 3 2 2 3 4 2" xfId="19493"/>
    <cellStyle name="Notas 2 3 3 2 2 3 4 3" xfId="19494"/>
    <cellStyle name="Notas 2 3 3 2 2 3 4 4" xfId="19495"/>
    <cellStyle name="Notas 2 3 3 2 2 3 5" xfId="19496"/>
    <cellStyle name="Notas 2 3 3 2 2 3 6" xfId="19497"/>
    <cellStyle name="Notas 2 3 3 2 2 3 7" xfId="19498"/>
    <cellStyle name="Notas 2 3 3 2 2 3 8" xfId="19499"/>
    <cellStyle name="Notas 2 3 3 2 2 4" xfId="19500"/>
    <cellStyle name="Notas 2 3 3 2 2 4 2" xfId="19501"/>
    <cellStyle name="Notas 2 3 3 2 2 4 2 2" xfId="19502"/>
    <cellStyle name="Notas 2 3 3 2 2 4 2 3" xfId="19503"/>
    <cellStyle name="Notas 2 3 3 2 2 4 2 4" xfId="19504"/>
    <cellStyle name="Notas 2 3 3 2 2 4 3" xfId="19505"/>
    <cellStyle name="Notas 2 3 3 2 2 4 3 2" xfId="19506"/>
    <cellStyle name="Notas 2 3 3 2 2 4 3 3" xfId="19507"/>
    <cellStyle name="Notas 2 3 3 2 2 4 3 4" xfId="19508"/>
    <cellStyle name="Notas 2 3 3 2 2 4 4" xfId="19509"/>
    <cellStyle name="Notas 2 3 3 2 2 4 4 2" xfId="19510"/>
    <cellStyle name="Notas 2 3 3 2 2 4 4 3" xfId="19511"/>
    <cellStyle name="Notas 2 3 3 2 2 4 4 4" xfId="19512"/>
    <cellStyle name="Notas 2 3 3 2 2 4 5" xfId="19513"/>
    <cellStyle name="Notas 2 3 3 2 2 4 6" xfId="19514"/>
    <cellStyle name="Notas 2 3 3 2 2 4 7" xfId="19515"/>
    <cellStyle name="Notas 2 3 3 2 2 4 8" xfId="19516"/>
    <cellStyle name="Notas 2 3 3 2 2 5" xfId="19517"/>
    <cellStyle name="Notas 2 3 3 2 2 5 2" xfId="19518"/>
    <cellStyle name="Notas 2 3 3 2 2 5 2 2" xfId="19519"/>
    <cellStyle name="Notas 2 3 3 2 2 5 2 3" xfId="19520"/>
    <cellStyle name="Notas 2 3 3 2 2 5 2 4" xfId="19521"/>
    <cellStyle name="Notas 2 3 3 2 2 5 3" xfId="19522"/>
    <cellStyle name="Notas 2 3 3 2 2 5 3 2" xfId="19523"/>
    <cellStyle name="Notas 2 3 3 2 2 5 3 3" xfId="19524"/>
    <cellStyle name="Notas 2 3 3 2 2 5 3 4" xfId="19525"/>
    <cellStyle name="Notas 2 3 3 2 2 5 4" xfId="19526"/>
    <cellStyle name="Notas 2 3 3 2 2 5 4 2" xfId="19527"/>
    <cellStyle name="Notas 2 3 3 2 2 5 4 3" xfId="19528"/>
    <cellStyle name="Notas 2 3 3 2 2 5 4 4" xfId="19529"/>
    <cellStyle name="Notas 2 3 3 2 2 5 5" xfId="19530"/>
    <cellStyle name="Notas 2 3 3 2 2 5 6" xfId="19531"/>
    <cellStyle name="Notas 2 3 3 2 2 5 7" xfId="19532"/>
    <cellStyle name="Notas 2 3 3 2 2 5 8" xfId="19533"/>
    <cellStyle name="Notas 2 3 3 2 2 6" xfId="19534"/>
    <cellStyle name="Notas 2 3 3 2 2 6 2" xfId="19535"/>
    <cellStyle name="Notas 2 3 3 2 2 6 3" xfId="19536"/>
    <cellStyle name="Notas 2 3 3 2 2 6 4" xfId="19537"/>
    <cellStyle name="Notas 2 3 3 2 2 7" xfId="19538"/>
    <cellStyle name="Notas 2 3 3 2 2 7 2" xfId="19539"/>
    <cellStyle name="Notas 2 3 3 2 2 7 3" xfId="19540"/>
    <cellStyle name="Notas 2 3 3 2 2 7 4" xfId="19541"/>
    <cellStyle name="Notas 2 3 3 2 2 8" xfId="19542"/>
    <cellStyle name="Notas 2 3 3 2 2 9" xfId="19543"/>
    <cellStyle name="Notas 2 3 3 2 3" xfId="19544"/>
    <cellStyle name="Notas 2 3 3 2 3 2" xfId="19545"/>
    <cellStyle name="Notas 2 3 3 2 3 2 2" xfId="19546"/>
    <cellStyle name="Notas 2 3 3 2 3 2 3" xfId="19547"/>
    <cellStyle name="Notas 2 3 3 2 3 2 4" xfId="19548"/>
    <cellStyle name="Notas 2 3 3 2 3 3" xfId="19549"/>
    <cellStyle name="Notas 2 3 3 2 3 3 2" xfId="19550"/>
    <cellStyle name="Notas 2 3 3 2 3 3 3" xfId="19551"/>
    <cellStyle name="Notas 2 3 3 2 3 3 4" xfId="19552"/>
    <cellStyle name="Notas 2 3 3 2 3 4" xfId="19553"/>
    <cellStyle name="Notas 2 3 3 2 3 4 2" xfId="19554"/>
    <cellStyle name="Notas 2 3 3 2 3 4 3" xfId="19555"/>
    <cellStyle name="Notas 2 3 3 2 3 4 4" xfId="19556"/>
    <cellStyle name="Notas 2 3 3 2 3 5" xfId="19557"/>
    <cellStyle name="Notas 2 3 3 2 3 6" xfId="19558"/>
    <cellStyle name="Notas 2 3 3 2 3 7" xfId="19559"/>
    <cellStyle name="Notas 2 3 3 2 3 8" xfId="19560"/>
    <cellStyle name="Notas 2 3 3 2 4" xfId="19561"/>
    <cellStyle name="Notas 2 3 3 2 4 2" xfId="19562"/>
    <cellStyle name="Notas 2 3 3 2 4 2 2" xfId="19563"/>
    <cellStyle name="Notas 2 3 3 2 4 2 3" xfId="19564"/>
    <cellStyle name="Notas 2 3 3 2 4 2 4" xfId="19565"/>
    <cellStyle name="Notas 2 3 3 2 4 3" xfId="19566"/>
    <cellStyle name="Notas 2 3 3 2 4 3 2" xfId="19567"/>
    <cellStyle name="Notas 2 3 3 2 4 3 3" xfId="19568"/>
    <cellStyle name="Notas 2 3 3 2 4 3 4" xfId="19569"/>
    <cellStyle name="Notas 2 3 3 2 4 4" xfId="19570"/>
    <cellStyle name="Notas 2 3 3 2 4 4 2" xfId="19571"/>
    <cellStyle name="Notas 2 3 3 2 4 4 3" xfId="19572"/>
    <cellStyle name="Notas 2 3 3 2 4 4 4" xfId="19573"/>
    <cellStyle name="Notas 2 3 3 2 4 5" xfId="19574"/>
    <cellStyle name="Notas 2 3 3 2 4 6" xfId="19575"/>
    <cellStyle name="Notas 2 3 3 2 4 7" xfId="19576"/>
    <cellStyle name="Notas 2 3 3 2 4 8" xfId="19577"/>
    <cellStyle name="Notas 2 3 3 2 5" xfId="19578"/>
    <cellStyle name="Notas 2 3 3 2 5 2" xfId="19579"/>
    <cellStyle name="Notas 2 3 3 2 5 2 2" xfId="19580"/>
    <cellStyle name="Notas 2 3 3 2 5 2 3" xfId="19581"/>
    <cellStyle name="Notas 2 3 3 2 5 2 4" xfId="19582"/>
    <cellStyle name="Notas 2 3 3 2 5 3" xfId="19583"/>
    <cellStyle name="Notas 2 3 3 2 5 3 2" xfId="19584"/>
    <cellStyle name="Notas 2 3 3 2 5 3 3" xfId="19585"/>
    <cellStyle name="Notas 2 3 3 2 5 3 4" xfId="19586"/>
    <cellStyle name="Notas 2 3 3 2 5 4" xfId="19587"/>
    <cellStyle name="Notas 2 3 3 2 5 4 2" xfId="19588"/>
    <cellStyle name="Notas 2 3 3 2 5 4 3" xfId="19589"/>
    <cellStyle name="Notas 2 3 3 2 5 4 4" xfId="19590"/>
    <cellStyle name="Notas 2 3 3 2 5 5" xfId="19591"/>
    <cellStyle name="Notas 2 3 3 2 5 6" xfId="19592"/>
    <cellStyle name="Notas 2 3 3 2 5 7" xfId="19593"/>
    <cellStyle name="Notas 2 3 3 2 5 8" xfId="19594"/>
    <cellStyle name="Notas 2 3 3 2 6" xfId="19595"/>
    <cellStyle name="Notas 2 3 3 2 6 2" xfId="19596"/>
    <cellStyle name="Notas 2 3 3 2 6 2 2" xfId="19597"/>
    <cellStyle name="Notas 2 3 3 2 6 2 3" xfId="19598"/>
    <cellStyle name="Notas 2 3 3 2 6 2 4" xfId="19599"/>
    <cellStyle name="Notas 2 3 3 2 6 3" xfId="19600"/>
    <cellStyle name="Notas 2 3 3 2 6 3 2" xfId="19601"/>
    <cellStyle name="Notas 2 3 3 2 6 3 3" xfId="19602"/>
    <cellStyle name="Notas 2 3 3 2 6 3 4" xfId="19603"/>
    <cellStyle name="Notas 2 3 3 2 6 4" xfId="19604"/>
    <cellStyle name="Notas 2 3 3 2 6 4 2" xfId="19605"/>
    <cellStyle name="Notas 2 3 3 2 6 4 3" xfId="19606"/>
    <cellStyle name="Notas 2 3 3 2 6 4 4" xfId="19607"/>
    <cellStyle name="Notas 2 3 3 2 6 5" xfId="19608"/>
    <cellStyle name="Notas 2 3 3 2 6 6" xfId="19609"/>
    <cellStyle name="Notas 2 3 3 2 6 7" xfId="19610"/>
    <cellStyle name="Notas 2 3 3 2 6 8" xfId="19611"/>
    <cellStyle name="Notas 2 3 3 2 7" xfId="19612"/>
    <cellStyle name="Notas 2 3 3 2 7 2" xfId="19613"/>
    <cellStyle name="Notas 2 3 3 2 7 2 2" xfId="19614"/>
    <cellStyle name="Notas 2 3 3 2 7 2 3" xfId="19615"/>
    <cellStyle name="Notas 2 3 3 2 7 2 4" xfId="19616"/>
    <cellStyle name="Notas 2 3 3 2 7 3" xfId="19617"/>
    <cellStyle name="Notas 2 3 3 2 7 3 2" xfId="19618"/>
    <cellStyle name="Notas 2 3 3 2 7 3 3" xfId="19619"/>
    <cellStyle name="Notas 2 3 3 2 7 3 4" xfId="19620"/>
    <cellStyle name="Notas 2 3 3 2 7 4" xfId="19621"/>
    <cellStyle name="Notas 2 3 3 2 7 4 2" xfId="19622"/>
    <cellStyle name="Notas 2 3 3 2 7 4 3" xfId="19623"/>
    <cellStyle name="Notas 2 3 3 2 7 4 4" xfId="19624"/>
    <cellStyle name="Notas 2 3 3 2 7 5" xfId="19625"/>
    <cellStyle name="Notas 2 3 3 2 7 6" xfId="19626"/>
    <cellStyle name="Notas 2 3 3 2 7 7" xfId="19627"/>
    <cellStyle name="Notas 2 3 3 2 7 8" xfId="19628"/>
    <cellStyle name="Notas 2 3 3 2 8" xfId="19629"/>
    <cellStyle name="Notas 2 3 3 2 8 2" xfId="19630"/>
    <cellStyle name="Notas 2 3 3 2 8 3" xfId="19631"/>
    <cellStyle name="Notas 2 3 3 2 8 4" xfId="19632"/>
    <cellStyle name="Notas 2 3 3 2 9" xfId="19633"/>
    <cellStyle name="Notas 2 3 3 2 9 2" xfId="19634"/>
    <cellStyle name="Notas 2 3 3 2 9 3" xfId="19635"/>
    <cellStyle name="Notas 2 3 3 2 9 4" xfId="19636"/>
    <cellStyle name="Notas 2 3 3 3" xfId="19637"/>
    <cellStyle name="Notas 2 3 3 3 2" xfId="19638"/>
    <cellStyle name="Notas 2 3 3 3 2 2" xfId="19639"/>
    <cellStyle name="Notas 2 3 3 3 2 2 2" xfId="19640"/>
    <cellStyle name="Notas 2 3 3 3 2 2 3" xfId="19641"/>
    <cellStyle name="Notas 2 3 3 3 2 2 4" xfId="19642"/>
    <cellStyle name="Notas 2 3 3 3 2 3" xfId="19643"/>
    <cellStyle name="Notas 2 3 3 3 2 3 2" xfId="19644"/>
    <cellStyle name="Notas 2 3 3 3 2 3 3" xfId="19645"/>
    <cellStyle name="Notas 2 3 3 3 2 3 4" xfId="19646"/>
    <cellStyle name="Notas 2 3 3 3 2 4" xfId="19647"/>
    <cellStyle name="Notas 2 3 3 3 2 4 2" xfId="19648"/>
    <cellStyle name="Notas 2 3 3 3 2 4 3" xfId="19649"/>
    <cellStyle name="Notas 2 3 3 3 2 4 4" xfId="19650"/>
    <cellStyle name="Notas 2 3 3 3 2 5" xfId="19651"/>
    <cellStyle name="Notas 2 3 3 3 2 6" xfId="19652"/>
    <cellStyle name="Notas 2 3 3 3 2 7" xfId="19653"/>
    <cellStyle name="Notas 2 3 3 3 2 8" xfId="19654"/>
    <cellStyle name="Notas 2 3 3 3 3" xfId="19655"/>
    <cellStyle name="Notas 2 3 3 3 3 2" xfId="19656"/>
    <cellStyle name="Notas 2 3 3 3 3 2 2" xfId="19657"/>
    <cellStyle name="Notas 2 3 3 3 3 2 3" xfId="19658"/>
    <cellStyle name="Notas 2 3 3 3 3 2 4" xfId="19659"/>
    <cellStyle name="Notas 2 3 3 3 3 3" xfId="19660"/>
    <cellStyle name="Notas 2 3 3 3 3 3 2" xfId="19661"/>
    <cellStyle name="Notas 2 3 3 3 3 3 3" xfId="19662"/>
    <cellStyle name="Notas 2 3 3 3 3 3 4" xfId="19663"/>
    <cellStyle name="Notas 2 3 3 3 3 4" xfId="19664"/>
    <cellStyle name="Notas 2 3 3 3 3 4 2" xfId="19665"/>
    <cellStyle name="Notas 2 3 3 3 3 4 3" xfId="19666"/>
    <cellStyle name="Notas 2 3 3 3 3 4 4" xfId="19667"/>
    <cellStyle name="Notas 2 3 3 3 3 5" xfId="19668"/>
    <cellStyle name="Notas 2 3 3 3 3 6" xfId="19669"/>
    <cellStyle name="Notas 2 3 3 3 3 7" xfId="19670"/>
    <cellStyle name="Notas 2 3 3 3 3 8" xfId="19671"/>
    <cellStyle name="Notas 2 3 3 3 4" xfId="19672"/>
    <cellStyle name="Notas 2 3 3 3 4 2" xfId="19673"/>
    <cellStyle name="Notas 2 3 3 3 4 2 2" xfId="19674"/>
    <cellStyle name="Notas 2 3 3 3 4 2 3" xfId="19675"/>
    <cellStyle name="Notas 2 3 3 3 4 2 4" xfId="19676"/>
    <cellStyle name="Notas 2 3 3 3 4 3" xfId="19677"/>
    <cellStyle name="Notas 2 3 3 3 4 3 2" xfId="19678"/>
    <cellStyle name="Notas 2 3 3 3 4 3 3" xfId="19679"/>
    <cellStyle name="Notas 2 3 3 3 4 3 4" xfId="19680"/>
    <cellStyle name="Notas 2 3 3 3 4 4" xfId="19681"/>
    <cellStyle name="Notas 2 3 3 3 4 4 2" xfId="19682"/>
    <cellStyle name="Notas 2 3 3 3 4 4 3" xfId="19683"/>
    <cellStyle name="Notas 2 3 3 3 4 4 4" xfId="19684"/>
    <cellStyle name="Notas 2 3 3 3 4 5" xfId="19685"/>
    <cellStyle name="Notas 2 3 3 3 4 6" xfId="19686"/>
    <cellStyle name="Notas 2 3 3 3 4 7" xfId="19687"/>
    <cellStyle name="Notas 2 3 3 3 4 8" xfId="19688"/>
    <cellStyle name="Notas 2 3 3 3 5" xfId="19689"/>
    <cellStyle name="Notas 2 3 3 3 5 2" xfId="19690"/>
    <cellStyle name="Notas 2 3 3 3 5 2 2" xfId="19691"/>
    <cellStyle name="Notas 2 3 3 3 5 2 3" xfId="19692"/>
    <cellStyle name="Notas 2 3 3 3 5 2 4" xfId="19693"/>
    <cellStyle name="Notas 2 3 3 3 5 3" xfId="19694"/>
    <cellStyle name="Notas 2 3 3 3 5 3 2" xfId="19695"/>
    <cellStyle name="Notas 2 3 3 3 5 3 3" xfId="19696"/>
    <cellStyle name="Notas 2 3 3 3 5 3 4" xfId="19697"/>
    <cellStyle name="Notas 2 3 3 3 5 4" xfId="19698"/>
    <cellStyle name="Notas 2 3 3 3 5 4 2" xfId="19699"/>
    <cellStyle name="Notas 2 3 3 3 5 4 3" xfId="19700"/>
    <cellStyle name="Notas 2 3 3 3 5 4 4" xfId="19701"/>
    <cellStyle name="Notas 2 3 3 3 5 5" xfId="19702"/>
    <cellStyle name="Notas 2 3 3 3 5 6" xfId="19703"/>
    <cellStyle name="Notas 2 3 3 3 5 7" xfId="19704"/>
    <cellStyle name="Notas 2 3 3 3 5 8" xfId="19705"/>
    <cellStyle name="Notas 2 3 3 3 6" xfId="19706"/>
    <cellStyle name="Notas 2 3 3 3 6 2" xfId="19707"/>
    <cellStyle name="Notas 2 3 3 3 6 3" xfId="19708"/>
    <cellStyle name="Notas 2 3 3 3 6 4" xfId="19709"/>
    <cellStyle name="Notas 2 3 3 3 7" xfId="19710"/>
    <cellStyle name="Notas 2 3 3 3 7 2" xfId="19711"/>
    <cellStyle name="Notas 2 3 3 3 7 3" xfId="19712"/>
    <cellStyle name="Notas 2 3 3 3 7 4" xfId="19713"/>
    <cellStyle name="Notas 2 3 3 3 8" xfId="19714"/>
    <cellStyle name="Notas 2 3 3 3 9" xfId="19715"/>
    <cellStyle name="Notas 2 3 3 4" xfId="19716"/>
    <cellStyle name="Notas 2 3 3 4 2" xfId="19717"/>
    <cellStyle name="Notas 2 3 3 4 2 2" xfId="19718"/>
    <cellStyle name="Notas 2 3 3 4 2 3" xfId="19719"/>
    <cellStyle name="Notas 2 3 3 4 2 4" xfId="19720"/>
    <cellStyle name="Notas 2 3 3 4 3" xfId="19721"/>
    <cellStyle name="Notas 2 3 3 4 3 2" xfId="19722"/>
    <cellStyle name="Notas 2 3 3 4 3 3" xfId="19723"/>
    <cellStyle name="Notas 2 3 3 4 3 4" xfId="19724"/>
    <cellStyle name="Notas 2 3 3 4 4" xfId="19725"/>
    <cellStyle name="Notas 2 3 3 4 4 2" xfId="19726"/>
    <cellStyle name="Notas 2 3 3 4 4 3" xfId="19727"/>
    <cellStyle name="Notas 2 3 3 4 4 4" xfId="19728"/>
    <cellStyle name="Notas 2 3 3 4 5" xfId="19729"/>
    <cellStyle name="Notas 2 3 3 4 6" xfId="19730"/>
    <cellStyle name="Notas 2 3 3 4 7" xfId="19731"/>
    <cellStyle name="Notas 2 3 3 4 8" xfId="19732"/>
    <cellStyle name="Notas 2 3 3 5" xfId="19733"/>
    <cellStyle name="Notas 2 3 3 5 2" xfId="19734"/>
    <cellStyle name="Notas 2 3 3 5 2 2" xfId="19735"/>
    <cellStyle name="Notas 2 3 3 5 2 3" xfId="19736"/>
    <cellStyle name="Notas 2 3 3 5 2 4" xfId="19737"/>
    <cellStyle name="Notas 2 3 3 5 3" xfId="19738"/>
    <cellStyle name="Notas 2 3 3 5 3 2" xfId="19739"/>
    <cellStyle name="Notas 2 3 3 5 3 3" xfId="19740"/>
    <cellStyle name="Notas 2 3 3 5 3 4" xfId="19741"/>
    <cellStyle name="Notas 2 3 3 5 4" xfId="19742"/>
    <cellStyle name="Notas 2 3 3 5 4 2" xfId="19743"/>
    <cellStyle name="Notas 2 3 3 5 4 3" xfId="19744"/>
    <cellStyle name="Notas 2 3 3 5 4 4" xfId="19745"/>
    <cellStyle name="Notas 2 3 3 5 5" xfId="19746"/>
    <cellStyle name="Notas 2 3 3 5 6" xfId="19747"/>
    <cellStyle name="Notas 2 3 3 5 7" xfId="19748"/>
    <cellStyle name="Notas 2 3 3 5 8" xfId="19749"/>
    <cellStyle name="Notas 2 3 3 6" xfId="19750"/>
    <cellStyle name="Notas 2 3 3 6 2" xfId="19751"/>
    <cellStyle name="Notas 2 3 3 6 2 2" xfId="19752"/>
    <cellStyle name="Notas 2 3 3 6 2 3" xfId="19753"/>
    <cellStyle name="Notas 2 3 3 6 2 4" xfId="19754"/>
    <cellStyle name="Notas 2 3 3 6 3" xfId="19755"/>
    <cellStyle name="Notas 2 3 3 6 3 2" xfId="19756"/>
    <cellStyle name="Notas 2 3 3 6 3 3" xfId="19757"/>
    <cellStyle name="Notas 2 3 3 6 3 4" xfId="19758"/>
    <cellStyle name="Notas 2 3 3 6 4" xfId="19759"/>
    <cellStyle name="Notas 2 3 3 6 4 2" xfId="19760"/>
    <cellStyle name="Notas 2 3 3 6 4 3" xfId="19761"/>
    <cellStyle name="Notas 2 3 3 6 4 4" xfId="19762"/>
    <cellStyle name="Notas 2 3 3 6 5" xfId="19763"/>
    <cellStyle name="Notas 2 3 3 6 6" xfId="19764"/>
    <cellStyle name="Notas 2 3 3 6 7" xfId="19765"/>
    <cellStyle name="Notas 2 3 3 6 8" xfId="19766"/>
    <cellStyle name="Notas 2 3 3 7" xfId="19767"/>
    <cellStyle name="Notas 2 3 3 7 2" xfId="19768"/>
    <cellStyle name="Notas 2 3 3 7 2 2" xfId="19769"/>
    <cellStyle name="Notas 2 3 3 7 2 3" xfId="19770"/>
    <cellStyle name="Notas 2 3 3 7 2 4" xfId="19771"/>
    <cellStyle name="Notas 2 3 3 7 3" xfId="19772"/>
    <cellStyle name="Notas 2 3 3 7 3 2" xfId="19773"/>
    <cellStyle name="Notas 2 3 3 7 3 3" xfId="19774"/>
    <cellStyle name="Notas 2 3 3 7 3 4" xfId="19775"/>
    <cellStyle name="Notas 2 3 3 7 4" xfId="19776"/>
    <cellStyle name="Notas 2 3 3 7 4 2" xfId="19777"/>
    <cellStyle name="Notas 2 3 3 7 4 3" xfId="19778"/>
    <cellStyle name="Notas 2 3 3 7 4 4" xfId="19779"/>
    <cellStyle name="Notas 2 3 3 7 5" xfId="19780"/>
    <cellStyle name="Notas 2 3 3 7 6" xfId="19781"/>
    <cellStyle name="Notas 2 3 3 7 7" xfId="19782"/>
    <cellStyle name="Notas 2 3 3 7 8" xfId="19783"/>
    <cellStyle name="Notas 2 3 3 8" xfId="19784"/>
    <cellStyle name="Notas 2 3 3 8 2" xfId="19785"/>
    <cellStyle name="Notas 2 3 3 8 2 2" xfId="19786"/>
    <cellStyle name="Notas 2 3 3 8 2 3" xfId="19787"/>
    <cellStyle name="Notas 2 3 3 8 2 4" xfId="19788"/>
    <cellStyle name="Notas 2 3 3 8 3" xfId="19789"/>
    <cellStyle name="Notas 2 3 3 8 3 2" xfId="19790"/>
    <cellStyle name="Notas 2 3 3 8 3 3" xfId="19791"/>
    <cellStyle name="Notas 2 3 3 8 3 4" xfId="19792"/>
    <cellStyle name="Notas 2 3 3 8 4" xfId="19793"/>
    <cellStyle name="Notas 2 3 3 8 4 2" xfId="19794"/>
    <cellStyle name="Notas 2 3 3 8 4 3" xfId="19795"/>
    <cellStyle name="Notas 2 3 3 8 4 4" xfId="19796"/>
    <cellStyle name="Notas 2 3 3 8 5" xfId="19797"/>
    <cellStyle name="Notas 2 3 3 8 6" xfId="19798"/>
    <cellStyle name="Notas 2 3 3 8 7" xfId="19799"/>
    <cellStyle name="Notas 2 3 3 8 8" xfId="19800"/>
    <cellStyle name="Notas 2 3 3 9" xfId="19801"/>
    <cellStyle name="Notas 2 3 3 9 2" xfId="19802"/>
    <cellStyle name="Notas 2 3 3 9 3" xfId="19803"/>
    <cellStyle name="Notas 2 3 3 9 4" xfId="19804"/>
    <cellStyle name="Notas 2 3 4" xfId="19805"/>
    <cellStyle name="Notas 2 3 4 10" xfId="19806"/>
    <cellStyle name="Notas 2 3 4 11" xfId="19807"/>
    <cellStyle name="Notas 2 3 4 2" xfId="19808"/>
    <cellStyle name="Notas 2 3 4 2 2" xfId="19809"/>
    <cellStyle name="Notas 2 3 4 2 2 2" xfId="19810"/>
    <cellStyle name="Notas 2 3 4 2 2 2 2" xfId="19811"/>
    <cellStyle name="Notas 2 3 4 2 2 2 3" xfId="19812"/>
    <cellStyle name="Notas 2 3 4 2 2 2 4" xfId="19813"/>
    <cellStyle name="Notas 2 3 4 2 2 3" xfId="19814"/>
    <cellStyle name="Notas 2 3 4 2 2 3 2" xfId="19815"/>
    <cellStyle name="Notas 2 3 4 2 2 3 3" xfId="19816"/>
    <cellStyle name="Notas 2 3 4 2 2 3 4" xfId="19817"/>
    <cellStyle name="Notas 2 3 4 2 2 4" xfId="19818"/>
    <cellStyle name="Notas 2 3 4 2 2 4 2" xfId="19819"/>
    <cellStyle name="Notas 2 3 4 2 2 4 3" xfId="19820"/>
    <cellStyle name="Notas 2 3 4 2 2 4 4" xfId="19821"/>
    <cellStyle name="Notas 2 3 4 2 2 5" xfId="19822"/>
    <cellStyle name="Notas 2 3 4 2 2 6" xfId="19823"/>
    <cellStyle name="Notas 2 3 4 2 2 7" xfId="19824"/>
    <cellStyle name="Notas 2 3 4 2 2 8" xfId="19825"/>
    <cellStyle name="Notas 2 3 4 2 3" xfId="19826"/>
    <cellStyle name="Notas 2 3 4 2 3 2" xfId="19827"/>
    <cellStyle name="Notas 2 3 4 2 3 2 2" xfId="19828"/>
    <cellStyle name="Notas 2 3 4 2 3 2 3" xfId="19829"/>
    <cellStyle name="Notas 2 3 4 2 3 2 4" xfId="19830"/>
    <cellStyle name="Notas 2 3 4 2 3 3" xfId="19831"/>
    <cellStyle name="Notas 2 3 4 2 3 3 2" xfId="19832"/>
    <cellStyle name="Notas 2 3 4 2 3 3 3" xfId="19833"/>
    <cellStyle name="Notas 2 3 4 2 3 3 4" xfId="19834"/>
    <cellStyle name="Notas 2 3 4 2 3 4" xfId="19835"/>
    <cellStyle name="Notas 2 3 4 2 3 4 2" xfId="19836"/>
    <cellStyle name="Notas 2 3 4 2 3 4 3" xfId="19837"/>
    <cellStyle name="Notas 2 3 4 2 3 4 4" xfId="19838"/>
    <cellStyle name="Notas 2 3 4 2 3 5" xfId="19839"/>
    <cellStyle name="Notas 2 3 4 2 3 6" xfId="19840"/>
    <cellStyle name="Notas 2 3 4 2 3 7" xfId="19841"/>
    <cellStyle name="Notas 2 3 4 2 3 8" xfId="19842"/>
    <cellStyle name="Notas 2 3 4 2 4" xfId="19843"/>
    <cellStyle name="Notas 2 3 4 2 4 2" xfId="19844"/>
    <cellStyle name="Notas 2 3 4 2 4 2 2" xfId="19845"/>
    <cellStyle name="Notas 2 3 4 2 4 2 3" xfId="19846"/>
    <cellStyle name="Notas 2 3 4 2 4 2 4" xfId="19847"/>
    <cellStyle name="Notas 2 3 4 2 4 3" xfId="19848"/>
    <cellStyle name="Notas 2 3 4 2 4 3 2" xfId="19849"/>
    <cellStyle name="Notas 2 3 4 2 4 3 3" xfId="19850"/>
    <cellStyle name="Notas 2 3 4 2 4 3 4" xfId="19851"/>
    <cellStyle name="Notas 2 3 4 2 4 4" xfId="19852"/>
    <cellStyle name="Notas 2 3 4 2 4 4 2" xfId="19853"/>
    <cellStyle name="Notas 2 3 4 2 4 4 3" xfId="19854"/>
    <cellStyle name="Notas 2 3 4 2 4 4 4" xfId="19855"/>
    <cellStyle name="Notas 2 3 4 2 4 5" xfId="19856"/>
    <cellStyle name="Notas 2 3 4 2 4 6" xfId="19857"/>
    <cellStyle name="Notas 2 3 4 2 4 7" xfId="19858"/>
    <cellStyle name="Notas 2 3 4 2 4 8" xfId="19859"/>
    <cellStyle name="Notas 2 3 4 2 5" xfId="19860"/>
    <cellStyle name="Notas 2 3 4 2 5 2" xfId="19861"/>
    <cellStyle name="Notas 2 3 4 2 5 2 2" xfId="19862"/>
    <cellStyle name="Notas 2 3 4 2 5 2 3" xfId="19863"/>
    <cellStyle name="Notas 2 3 4 2 5 2 4" xfId="19864"/>
    <cellStyle name="Notas 2 3 4 2 5 3" xfId="19865"/>
    <cellStyle name="Notas 2 3 4 2 5 3 2" xfId="19866"/>
    <cellStyle name="Notas 2 3 4 2 5 3 3" xfId="19867"/>
    <cellStyle name="Notas 2 3 4 2 5 3 4" xfId="19868"/>
    <cellStyle name="Notas 2 3 4 2 5 4" xfId="19869"/>
    <cellStyle name="Notas 2 3 4 2 5 4 2" xfId="19870"/>
    <cellStyle name="Notas 2 3 4 2 5 4 3" xfId="19871"/>
    <cellStyle name="Notas 2 3 4 2 5 4 4" xfId="19872"/>
    <cellStyle name="Notas 2 3 4 2 5 5" xfId="19873"/>
    <cellStyle name="Notas 2 3 4 2 5 6" xfId="19874"/>
    <cellStyle name="Notas 2 3 4 2 5 7" xfId="19875"/>
    <cellStyle name="Notas 2 3 4 2 5 8" xfId="19876"/>
    <cellStyle name="Notas 2 3 4 2 6" xfId="19877"/>
    <cellStyle name="Notas 2 3 4 2 6 2" xfId="19878"/>
    <cellStyle name="Notas 2 3 4 2 6 3" xfId="19879"/>
    <cellStyle name="Notas 2 3 4 2 6 4" xfId="19880"/>
    <cellStyle name="Notas 2 3 4 2 7" xfId="19881"/>
    <cellStyle name="Notas 2 3 4 2 7 2" xfId="19882"/>
    <cellStyle name="Notas 2 3 4 2 7 3" xfId="19883"/>
    <cellStyle name="Notas 2 3 4 2 7 4" xfId="19884"/>
    <cellStyle name="Notas 2 3 4 2 8" xfId="19885"/>
    <cellStyle name="Notas 2 3 4 2 9" xfId="19886"/>
    <cellStyle name="Notas 2 3 4 3" xfId="19887"/>
    <cellStyle name="Notas 2 3 4 3 2" xfId="19888"/>
    <cellStyle name="Notas 2 3 4 3 2 2" xfId="19889"/>
    <cellStyle name="Notas 2 3 4 3 2 3" xfId="19890"/>
    <cellStyle name="Notas 2 3 4 3 2 4" xfId="19891"/>
    <cellStyle name="Notas 2 3 4 3 3" xfId="19892"/>
    <cellStyle name="Notas 2 3 4 3 3 2" xfId="19893"/>
    <cellStyle name="Notas 2 3 4 3 3 3" xfId="19894"/>
    <cellStyle name="Notas 2 3 4 3 3 4" xfId="19895"/>
    <cellStyle name="Notas 2 3 4 3 4" xfId="19896"/>
    <cellStyle name="Notas 2 3 4 3 4 2" xfId="19897"/>
    <cellStyle name="Notas 2 3 4 3 4 3" xfId="19898"/>
    <cellStyle name="Notas 2 3 4 3 4 4" xfId="19899"/>
    <cellStyle name="Notas 2 3 4 3 5" xfId="19900"/>
    <cellStyle name="Notas 2 3 4 3 6" xfId="19901"/>
    <cellStyle name="Notas 2 3 4 3 7" xfId="19902"/>
    <cellStyle name="Notas 2 3 4 3 8" xfId="19903"/>
    <cellStyle name="Notas 2 3 4 4" xfId="19904"/>
    <cellStyle name="Notas 2 3 4 4 2" xfId="19905"/>
    <cellStyle name="Notas 2 3 4 4 2 2" xfId="19906"/>
    <cellStyle name="Notas 2 3 4 4 2 3" xfId="19907"/>
    <cellStyle name="Notas 2 3 4 4 2 4" xfId="19908"/>
    <cellStyle name="Notas 2 3 4 4 3" xfId="19909"/>
    <cellStyle name="Notas 2 3 4 4 3 2" xfId="19910"/>
    <cellStyle name="Notas 2 3 4 4 3 3" xfId="19911"/>
    <cellStyle name="Notas 2 3 4 4 3 4" xfId="19912"/>
    <cellStyle name="Notas 2 3 4 4 4" xfId="19913"/>
    <cellStyle name="Notas 2 3 4 4 4 2" xfId="19914"/>
    <cellStyle name="Notas 2 3 4 4 4 3" xfId="19915"/>
    <cellStyle name="Notas 2 3 4 4 4 4" xfId="19916"/>
    <cellStyle name="Notas 2 3 4 4 5" xfId="19917"/>
    <cellStyle name="Notas 2 3 4 4 6" xfId="19918"/>
    <cellStyle name="Notas 2 3 4 4 7" xfId="19919"/>
    <cellStyle name="Notas 2 3 4 4 8" xfId="19920"/>
    <cellStyle name="Notas 2 3 4 5" xfId="19921"/>
    <cellStyle name="Notas 2 3 4 5 2" xfId="19922"/>
    <cellStyle name="Notas 2 3 4 5 2 2" xfId="19923"/>
    <cellStyle name="Notas 2 3 4 5 2 3" xfId="19924"/>
    <cellStyle name="Notas 2 3 4 5 2 4" xfId="19925"/>
    <cellStyle name="Notas 2 3 4 5 3" xfId="19926"/>
    <cellStyle name="Notas 2 3 4 5 3 2" xfId="19927"/>
    <cellStyle name="Notas 2 3 4 5 3 3" xfId="19928"/>
    <cellStyle name="Notas 2 3 4 5 3 4" xfId="19929"/>
    <cellStyle name="Notas 2 3 4 5 4" xfId="19930"/>
    <cellStyle name="Notas 2 3 4 5 4 2" xfId="19931"/>
    <cellStyle name="Notas 2 3 4 5 4 3" xfId="19932"/>
    <cellStyle name="Notas 2 3 4 5 4 4" xfId="19933"/>
    <cellStyle name="Notas 2 3 4 5 5" xfId="19934"/>
    <cellStyle name="Notas 2 3 4 5 6" xfId="19935"/>
    <cellStyle name="Notas 2 3 4 5 7" xfId="19936"/>
    <cellStyle name="Notas 2 3 4 5 8" xfId="19937"/>
    <cellStyle name="Notas 2 3 4 6" xfId="19938"/>
    <cellStyle name="Notas 2 3 4 6 2" xfId="19939"/>
    <cellStyle name="Notas 2 3 4 6 2 2" xfId="19940"/>
    <cellStyle name="Notas 2 3 4 6 2 3" xfId="19941"/>
    <cellStyle name="Notas 2 3 4 6 2 4" xfId="19942"/>
    <cellStyle name="Notas 2 3 4 6 3" xfId="19943"/>
    <cellStyle name="Notas 2 3 4 6 3 2" xfId="19944"/>
    <cellStyle name="Notas 2 3 4 6 3 3" xfId="19945"/>
    <cellStyle name="Notas 2 3 4 6 3 4" xfId="19946"/>
    <cellStyle name="Notas 2 3 4 6 4" xfId="19947"/>
    <cellStyle name="Notas 2 3 4 6 4 2" xfId="19948"/>
    <cellStyle name="Notas 2 3 4 6 4 3" xfId="19949"/>
    <cellStyle name="Notas 2 3 4 6 4 4" xfId="19950"/>
    <cellStyle name="Notas 2 3 4 6 5" xfId="19951"/>
    <cellStyle name="Notas 2 3 4 6 6" xfId="19952"/>
    <cellStyle name="Notas 2 3 4 6 7" xfId="19953"/>
    <cellStyle name="Notas 2 3 4 6 8" xfId="19954"/>
    <cellStyle name="Notas 2 3 4 7" xfId="19955"/>
    <cellStyle name="Notas 2 3 4 7 2" xfId="19956"/>
    <cellStyle name="Notas 2 3 4 7 2 2" xfId="19957"/>
    <cellStyle name="Notas 2 3 4 7 2 3" xfId="19958"/>
    <cellStyle name="Notas 2 3 4 7 2 4" xfId="19959"/>
    <cellStyle name="Notas 2 3 4 7 3" xfId="19960"/>
    <cellStyle name="Notas 2 3 4 7 3 2" xfId="19961"/>
    <cellStyle name="Notas 2 3 4 7 3 3" xfId="19962"/>
    <cellStyle name="Notas 2 3 4 7 3 4" xfId="19963"/>
    <cellStyle name="Notas 2 3 4 7 4" xfId="19964"/>
    <cellStyle name="Notas 2 3 4 7 4 2" xfId="19965"/>
    <cellStyle name="Notas 2 3 4 7 4 3" xfId="19966"/>
    <cellStyle name="Notas 2 3 4 7 4 4" xfId="19967"/>
    <cellStyle name="Notas 2 3 4 7 5" xfId="19968"/>
    <cellStyle name="Notas 2 3 4 7 6" xfId="19969"/>
    <cellStyle name="Notas 2 3 4 7 7" xfId="19970"/>
    <cellStyle name="Notas 2 3 4 7 8" xfId="19971"/>
    <cellStyle name="Notas 2 3 4 8" xfId="19972"/>
    <cellStyle name="Notas 2 3 4 8 2" xfId="19973"/>
    <cellStyle name="Notas 2 3 4 8 3" xfId="19974"/>
    <cellStyle name="Notas 2 3 4 8 4" xfId="19975"/>
    <cellStyle name="Notas 2 3 4 9" xfId="19976"/>
    <cellStyle name="Notas 2 3 4 9 2" xfId="19977"/>
    <cellStyle name="Notas 2 3 4 9 3" xfId="19978"/>
    <cellStyle name="Notas 2 3 4 9 4" xfId="19979"/>
    <cellStyle name="Notas 2 3 5" xfId="19980"/>
    <cellStyle name="Notas 2 3 5 2" xfId="19981"/>
    <cellStyle name="Notas 2 3 5 2 2" xfId="19982"/>
    <cellStyle name="Notas 2 3 5 2 2 2" xfId="19983"/>
    <cellStyle name="Notas 2 3 5 2 2 3" xfId="19984"/>
    <cellStyle name="Notas 2 3 5 2 2 4" xfId="19985"/>
    <cellStyle name="Notas 2 3 5 2 3" xfId="19986"/>
    <cellStyle name="Notas 2 3 5 2 3 2" xfId="19987"/>
    <cellStyle name="Notas 2 3 5 2 3 3" xfId="19988"/>
    <cellStyle name="Notas 2 3 5 2 3 4" xfId="19989"/>
    <cellStyle name="Notas 2 3 5 2 4" xfId="19990"/>
    <cellStyle name="Notas 2 3 5 2 4 2" xfId="19991"/>
    <cellStyle name="Notas 2 3 5 2 4 3" xfId="19992"/>
    <cellStyle name="Notas 2 3 5 2 4 4" xfId="19993"/>
    <cellStyle name="Notas 2 3 5 2 5" xfId="19994"/>
    <cellStyle name="Notas 2 3 5 2 6" xfId="19995"/>
    <cellStyle name="Notas 2 3 5 2 7" xfId="19996"/>
    <cellStyle name="Notas 2 3 5 2 8" xfId="19997"/>
    <cellStyle name="Notas 2 3 5 3" xfId="19998"/>
    <cellStyle name="Notas 2 3 5 3 2" xfId="19999"/>
    <cellStyle name="Notas 2 3 5 3 2 2" xfId="20000"/>
    <cellStyle name="Notas 2 3 5 3 2 3" xfId="20001"/>
    <cellStyle name="Notas 2 3 5 3 2 4" xfId="20002"/>
    <cellStyle name="Notas 2 3 5 3 3" xfId="20003"/>
    <cellStyle name="Notas 2 3 5 3 3 2" xfId="20004"/>
    <cellStyle name="Notas 2 3 5 3 3 3" xfId="20005"/>
    <cellStyle name="Notas 2 3 5 3 3 4" xfId="20006"/>
    <cellStyle name="Notas 2 3 5 3 4" xfId="20007"/>
    <cellStyle name="Notas 2 3 5 3 4 2" xfId="20008"/>
    <cellStyle name="Notas 2 3 5 3 4 3" xfId="20009"/>
    <cellStyle name="Notas 2 3 5 3 4 4" xfId="20010"/>
    <cellStyle name="Notas 2 3 5 3 5" xfId="20011"/>
    <cellStyle name="Notas 2 3 5 3 6" xfId="20012"/>
    <cellStyle name="Notas 2 3 5 3 7" xfId="20013"/>
    <cellStyle name="Notas 2 3 5 3 8" xfId="20014"/>
    <cellStyle name="Notas 2 3 5 4" xfId="20015"/>
    <cellStyle name="Notas 2 3 5 4 2" xfId="20016"/>
    <cellStyle name="Notas 2 3 5 4 2 2" xfId="20017"/>
    <cellStyle name="Notas 2 3 5 4 2 3" xfId="20018"/>
    <cellStyle name="Notas 2 3 5 4 2 4" xfId="20019"/>
    <cellStyle name="Notas 2 3 5 4 3" xfId="20020"/>
    <cellStyle name="Notas 2 3 5 4 3 2" xfId="20021"/>
    <cellStyle name="Notas 2 3 5 4 3 3" xfId="20022"/>
    <cellStyle name="Notas 2 3 5 4 3 4" xfId="20023"/>
    <cellStyle name="Notas 2 3 5 4 4" xfId="20024"/>
    <cellStyle name="Notas 2 3 5 4 4 2" xfId="20025"/>
    <cellStyle name="Notas 2 3 5 4 4 3" xfId="20026"/>
    <cellStyle name="Notas 2 3 5 4 4 4" xfId="20027"/>
    <cellStyle name="Notas 2 3 5 4 5" xfId="20028"/>
    <cellStyle name="Notas 2 3 5 4 6" xfId="20029"/>
    <cellStyle name="Notas 2 3 5 4 7" xfId="20030"/>
    <cellStyle name="Notas 2 3 5 4 8" xfId="20031"/>
    <cellStyle name="Notas 2 3 5 5" xfId="20032"/>
    <cellStyle name="Notas 2 3 5 5 2" xfId="20033"/>
    <cellStyle name="Notas 2 3 5 5 2 2" xfId="20034"/>
    <cellStyle name="Notas 2 3 5 5 2 3" xfId="20035"/>
    <cellStyle name="Notas 2 3 5 5 2 4" xfId="20036"/>
    <cellStyle name="Notas 2 3 5 5 3" xfId="20037"/>
    <cellStyle name="Notas 2 3 5 5 3 2" xfId="20038"/>
    <cellStyle name="Notas 2 3 5 5 3 3" xfId="20039"/>
    <cellStyle name="Notas 2 3 5 5 3 4" xfId="20040"/>
    <cellStyle name="Notas 2 3 5 5 4" xfId="20041"/>
    <cellStyle name="Notas 2 3 5 5 4 2" xfId="20042"/>
    <cellStyle name="Notas 2 3 5 5 4 3" xfId="20043"/>
    <cellStyle name="Notas 2 3 5 5 4 4" xfId="20044"/>
    <cellStyle name="Notas 2 3 5 5 5" xfId="20045"/>
    <cellStyle name="Notas 2 3 5 5 6" xfId="20046"/>
    <cellStyle name="Notas 2 3 5 5 7" xfId="20047"/>
    <cellStyle name="Notas 2 3 5 5 8" xfId="20048"/>
    <cellStyle name="Notas 2 3 5 6" xfId="20049"/>
    <cellStyle name="Notas 2 3 5 6 2" xfId="20050"/>
    <cellStyle name="Notas 2 3 5 6 3" xfId="20051"/>
    <cellStyle name="Notas 2 3 5 6 4" xfId="20052"/>
    <cellStyle name="Notas 2 3 5 7" xfId="20053"/>
    <cellStyle name="Notas 2 3 5 7 2" xfId="20054"/>
    <cellStyle name="Notas 2 3 5 7 3" xfId="20055"/>
    <cellStyle name="Notas 2 3 5 7 4" xfId="20056"/>
    <cellStyle name="Notas 2 3 5 8" xfId="20057"/>
    <cellStyle name="Notas 2 3 5 9" xfId="20058"/>
    <cellStyle name="Notas 2 3 6" xfId="20059"/>
    <cellStyle name="Notas 2 3 6 2" xfId="20060"/>
    <cellStyle name="Notas 2 3 6 2 2" xfId="20061"/>
    <cellStyle name="Notas 2 3 6 2 3" xfId="20062"/>
    <cellStyle name="Notas 2 3 6 2 4" xfId="20063"/>
    <cellStyle name="Notas 2 3 6 3" xfId="20064"/>
    <cellStyle name="Notas 2 3 6 3 2" xfId="20065"/>
    <cellStyle name="Notas 2 3 6 3 3" xfId="20066"/>
    <cellStyle name="Notas 2 3 6 3 4" xfId="20067"/>
    <cellStyle name="Notas 2 3 6 4" xfId="20068"/>
    <cellStyle name="Notas 2 3 6 4 2" xfId="20069"/>
    <cellStyle name="Notas 2 3 6 4 3" xfId="20070"/>
    <cellStyle name="Notas 2 3 6 4 4" xfId="20071"/>
    <cellStyle name="Notas 2 3 6 5" xfId="20072"/>
    <cellStyle name="Notas 2 3 6 6" xfId="20073"/>
    <cellStyle name="Notas 2 3 6 7" xfId="20074"/>
    <cellStyle name="Notas 2 3 6 8" xfId="20075"/>
    <cellStyle name="Notas 2 3 7" xfId="20076"/>
    <cellStyle name="Notas 2 3 7 2" xfId="20077"/>
    <cellStyle name="Notas 2 3 7 2 2" xfId="20078"/>
    <cellStyle name="Notas 2 3 7 2 3" xfId="20079"/>
    <cellStyle name="Notas 2 3 7 2 4" xfId="20080"/>
    <cellStyle name="Notas 2 3 7 3" xfId="20081"/>
    <cellStyle name="Notas 2 3 7 3 2" xfId="20082"/>
    <cellStyle name="Notas 2 3 7 3 3" xfId="20083"/>
    <cellStyle name="Notas 2 3 7 3 4" xfId="20084"/>
    <cellStyle name="Notas 2 3 7 4" xfId="20085"/>
    <cellStyle name="Notas 2 3 7 4 2" xfId="20086"/>
    <cellStyle name="Notas 2 3 7 4 3" xfId="20087"/>
    <cellStyle name="Notas 2 3 7 4 4" xfId="20088"/>
    <cellStyle name="Notas 2 3 7 5" xfId="20089"/>
    <cellStyle name="Notas 2 3 7 6" xfId="20090"/>
    <cellStyle name="Notas 2 3 7 7" xfId="20091"/>
    <cellStyle name="Notas 2 3 7 8" xfId="20092"/>
    <cellStyle name="Notas 2 3 8" xfId="20093"/>
    <cellStyle name="Notas 2 3 8 2" xfId="20094"/>
    <cellStyle name="Notas 2 3 8 2 2" xfId="20095"/>
    <cellStyle name="Notas 2 3 8 2 3" xfId="20096"/>
    <cellStyle name="Notas 2 3 8 2 4" xfId="20097"/>
    <cellStyle name="Notas 2 3 8 3" xfId="20098"/>
    <cellStyle name="Notas 2 3 8 3 2" xfId="20099"/>
    <cellStyle name="Notas 2 3 8 3 3" xfId="20100"/>
    <cellStyle name="Notas 2 3 8 3 4" xfId="20101"/>
    <cellStyle name="Notas 2 3 8 4" xfId="20102"/>
    <cellStyle name="Notas 2 3 8 4 2" xfId="20103"/>
    <cellStyle name="Notas 2 3 8 4 3" xfId="20104"/>
    <cellStyle name="Notas 2 3 8 4 4" xfId="20105"/>
    <cellStyle name="Notas 2 3 8 5" xfId="20106"/>
    <cellStyle name="Notas 2 3 8 6" xfId="20107"/>
    <cellStyle name="Notas 2 3 8 7" xfId="20108"/>
    <cellStyle name="Notas 2 3 8 8" xfId="20109"/>
    <cellStyle name="Notas 2 3 9" xfId="20110"/>
    <cellStyle name="Notas 2 3 9 2" xfId="20111"/>
    <cellStyle name="Notas 2 3 9 2 2" xfId="20112"/>
    <cellStyle name="Notas 2 3 9 2 3" xfId="20113"/>
    <cellStyle name="Notas 2 3 9 2 4" xfId="20114"/>
    <cellStyle name="Notas 2 3 9 3" xfId="20115"/>
    <cellStyle name="Notas 2 3 9 3 2" xfId="20116"/>
    <cellStyle name="Notas 2 3 9 3 3" xfId="20117"/>
    <cellStyle name="Notas 2 3 9 3 4" xfId="20118"/>
    <cellStyle name="Notas 2 3 9 4" xfId="20119"/>
    <cellStyle name="Notas 2 3 9 4 2" xfId="20120"/>
    <cellStyle name="Notas 2 3 9 4 3" xfId="20121"/>
    <cellStyle name="Notas 2 3 9 4 4" xfId="20122"/>
    <cellStyle name="Notas 2 3 9 5" xfId="20123"/>
    <cellStyle name="Notas 2 3 9 6" xfId="20124"/>
    <cellStyle name="Notas 2 3 9 7" xfId="20125"/>
    <cellStyle name="Notas 2 3 9 8" xfId="20126"/>
    <cellStyle name="Notas 2 4" xfId="20127"/>
    <cellStyle name="Notas 2 4 10" xfId="20128"/>
    <cellStyle name="Notas 2 4 10 2" xfId="20129"/>
    <cellStyle name="Notas 2 4 10 3" xfId="20130"/>
    <cellStyle name="Notas 2 4 10 4" xfId="20131"/>
    <cellStyle name="Notas 2 4 11" xfId="20132"/>
    <cellStyle name="Notas 2 4 11 2" xfId="20133"/>
    <cellStyle name="Notas 2 4 11 3" xfId="20134"/>
    <cellStyle name="Notas 2 4 11 4" xfId="20135"/>
    <cellStyle name="Notas 2 4 12" xfId="20136"/>
    <cellStyle name="Notas 2 4 13" xfId="20137"/>
    <cellStyle name="Notas 2 4 2" xfId="20138"/>
    <cellStyle name="Notas 2 4 2 10" xfId="20139"/>
    <cellStyle name="Notas 2 4 2 10 2" xfId="20140"/>
    <cellStyle name="Notas 2 4 2 10 3" xfId="20141"/>
    <cellStyle name="Notas 2 4 2 10 4" xfId="20142"/>
    <cellStyle name="Notas 2 4 2 11" xfId="20143"/>
    <cellStyle name="Notas 2 4 2 12" xfId="20144"/>
    <cellStyle name="Notas 2 4 2 2" xfId="20145"/>
    <cellStyle name="Notas 2 4 2 2 10" xfId="20146"/>
    <cellStyle name="Notas 2 4 2 2 11" xfId="20147"/>
    <cellStyle name="Notas 2 4 2 2 2" xfId="20148"/>
    <cellStyle name="Notas 2 4 2 2 2 2" xfId="20149"/>
    <cellStyle name="Notas 2 4 2 2 2 2 2" xfId="20150"/>
    <cellStyle name="Notas 2 4 2 2 2 2 2 2" xfId="20151"/>
    <cellStyle name="Notas 2 4 2 2 2 2 2 3" xfId="20152"/>
    <cellStyle name="Notas 2 4 2 2 2 2 2 4" xfId="20153"/>
    <cellStyle name="Notas 2 4 2 2 2 2 3" xfId="20154"/>
    <cellStyle name="Notas 2 4 2 2 2 2 3 2" xfId="20155"/>
    <cellStyle name="Notas 2 4 2 2 2 2 3 3" xfId="20156"/>
    <cellStyle name="Notas 2 4 2 2 2 2 3 4" xfId="20157"/>
    <cellStyle name="Notas 2 4 2 2 2 2 4" xfId="20158"/>
    <cellStyle name="Notas 2 4 2 2 2 2 4 2" xfId="20159"/>
    <cellStyle name="Notas 2 4 2 2 2 2 4 3" xfId="20160"/>
    <cellStyle name="Notas 2 4 2 2 2 2 4 4" xfId="20161"/>
    <cellStyle name="Notas 2 4 2 2 2 2 5" xfId="20162"/>
    <cellStyle name="Notas 2 4 2 2 2 2 6" xfId="20163"/>
    <cellStyle name="Notas 2 4 2 2 2 2 7" xfId="20164"/>
    <cellStyle name="Notas 2 4 2 2 2 2 8" xfId="20165"/>
    <cellStyle name="Notas 2 4 2 2 2 3" xfId="20166"/>
    <cellStyle name="Notas 2 4 2 2 2 3 2" xfId="20167"/>
    <cellStyle name="Notas 2 4 2 2 2 3 2 2" xfId="20168"/>
    <cellStyle name="Notas 2 4 2 2 2 3 2 3" xfId="20169"/>
    <cellStyle name="Notas 2 4 2 2 2 3 2 4" xfId="20170"/>
    <cellStyle name="Notas 2 4 2 2 2 3 3" xfId="20171"/>
    <cellStyle name="Notas 2 4 2 2 2 3 3 2" xfId="20172"/>
    <cellStyle name="Notas 2 4 2 2 2 3 3 3" xfId="20173"/>
    <cellStyle name="Notas 2 4 2 2 2 3 3 4" xfId="20174"/>
    <cellStyle name="Notas 2 4 2 2 2 3 4" xfId="20175"/>
    <cellStyle name="Notas 2 4 2 2 2 3 4 2" xfId="20176"/>
    <cellStyle name="Notas 2 4 2 2 2 3 4 3" xfId="20177"/>
    <cellStyle name="Notas 2 4 2 2 2 3 4 4" xfId="20178"/>
    <cellStyle name="Notas 2 4 2 2 2 3 5" xfId="20179"/>
    <cellStyle name="Notas 2 4 2 2 2 3 6" xfId="20180"/>
    <cellStyle name="Notas 2 4 2 2 2 3 7" xfId="20181"/>
    <cellStyle name="Notas 2 4 2 2 2 3 8" xfId="20182"/>
    <cellStyle name="Notas 2 4 2 2 2 4" xfId="20183"/>
    <cellStyle name="Notas 2 4 2 2 2 4 2" xfId="20184"/>
    <cellStyle name="Notas 2 4 2 2 2 4 2 2" xfId="20185"/>
    <cellStyle name="Notas 2 4 2 2 2 4 2 3" xfId="20186"/>
    <cellStyle name="Notas 2 4 2 2 2 4 2 4" xfId="20187"/>
    <cellStyle name="Notas 2 4 2 2 2 4 3" xfId="20188"/>
    <cellStyle name="Notas 2 4 2 2 2 4 3 2" xfId="20189"/>
    <cellStyle name="Notas 2 4 2 2 2 4 3 3" xfId="20190"/>
    <cellStyle name="Notas 2 4 2 2 2 4 3 4" xfId="20191"/>
    <cellStyle name="Notas 2 4 2 2 2 4 4" xfId="20192"/>
    <cellStyle name="Notas 2 4 2 2 2 4 4 2" xfId="20193"/>
    <cellStyle name="Notas 2 4 2 2 2 4 4 3" xfId="20194"/>
    <cellStyle name="Notas 2 4 2 2 2 4 4 4" xfId="20195"/>
    <cellStyle name="Notas 2 4 2 2 2 4 5" xfId="20196"/>
    <cellStyle name="Notas 2 4 2 2 2 4 6" xfId="20197"/>
    <cellStyle name="Notas 2 4 2 2 2 4 7" xfId="20198"/>
    <cellStyle name="Notas 2 4 2 2 2 4 8" xfId="20199"/>
    <cellStyle name="Notas 2 4 2 2 2 5" xfId="20200"/>
    <cellStyle name="Notas 2 4 2 2 2 5 2" xfId="20201"/>
    <cellStyle name="Notas 2 4 2 2 2 5 2 2" xfId="20202"/>
    <cellStyle name="Notas 2 4 2 2 2 5 2 3" xfId="20203"/>
    <cellStyle name="Notas 2 4 2 2 2 5 2 4" xfId="20204"/>
    <cellStyle name="Notas 2 4 2 2 2 5 3" xfId="20205"/>
    <cellStyle name="Notas 2 4 2 2 2 5 3 2" xfId="20206"/>
    <cellStyle name="Notas 2 4 2 2 2 5 3 3" xfId="20207"/>
    <cellStyle name="Notas 2 4 2 2 2 5 3 4" xfId="20208"/>
    <cellStyle name="Notas 2 4 2 2 2 5 4" xfId="20209"/>
    <cellStyle name="Notas 2 4 2 2 2 5 4 2" xfId="20210"/>
    <cellStyle name="Notas 2 4 2 2 2 5 4 3" xfId="20211"/>
    <cellStyle name="Notas 2 4 2 2 2 5 4 4" xfId="20212"/>
    <cellStyle name="Notas 2 4 2 2 2 5 5" xfId="20213"/>
    <cellStyle name="Notas 2 4 2 2 2 5 6" xfId="20214"/>
    <cellStyle name="Notas 2 4 2 2 2 5 7" xfId="20215"/>
    <cellStyle name="Notas 2 4 2 2 2 5 8" xfId="20216"/>
    <cellStyle name="Notas 2 4 2 2 2 6" xfId="20217"/>
    <cellStyle name="Notas 2 4 2 2 2 6 2" xfId="20218"/>
    <cellStyle name="Notas 2 4 2 2 2 6 3" xfId="20219"/>
    <cellStyle name="Notas 2 4 2 2 2 6 4" xfId="20220"/>
    <cellStyle name="Notas 2 4 2 2 2 7" xfId="20221"/>
    <cellStyle name="Notas 2 4 2 2 2 7 2" xfId="20222"/>
    <cellStyle name="Notas 2 4 2 2 2 7 3" xfId="20223"/>
    <cellStyle name="Notas 2 4 2 2 2 7 4" xfId="20224"/>
    <cellStyle name="Notas 2 4 2 2 2 8" xfId="20225"/>
    <cellStyle name="Notas 2 4 2 2 2 9" xfId="20226"/>
    <cellStyle name="Notas 2 4 2 2 3" xfId="20227"/>
    <cellStyle name="Notas 2 4 2 2 3 2" xfId="20228"/>
    <cellStyle name="Notas 2 4 2 2 3 2 2" xfId="20229"/>
    <cellStyle name="Notas 2 4 2 2 3 2 3" xfId="20230"/>
    <cellStyle name="Notas 2 4 2 2 3 2 4" xfId="20231"/>
    <cellStyle name="Notas 2 4 2 2 3 3" xfId="20232"/>
    <cellStyle name="Notas 2 4 2 2 3 3 2" xfId="20233"/>
    <cellStyle name="Notas 2 4 2 2 3 3 3" xfId="20234"/>
    <cellStyle name="Notas 2 4 2 2 3 3 4" xfId="20235"/>
    <cellStyle name="Notas 2 4 2 2 3 4" xfId="20236"/>
    <cellStyle name="Notas 2 4 2 2 3 4 2" xfId="20237"/>
    <cellStyle name="Notas 2 4 2 2 3 4 3" xfId="20238"/>
    <cellStyle name="Notas 2 4 2 2 3 4 4" xfId="20239"/>
    <cellStyle name="Notas 2 4 2 2 3 5" xfId="20240"/>
    <cellStyle name="Notas 2 4 2 2 3 6" xfId="20241"/>
    <cellStyle name="Notas 2 4 2 2 3 7" xfId="20242"/>
    <cellStyle name="Notas 2 4 2 2 3 8" xfId="20243"/>
    <cellStyle name="Notas 2 4 2 2 4" xfId="20244"/>
    <cellStyle name="Notas 2 4 2 2 4 2" xfId="20245"/>
    <cellStyle name="Notas 2 4 2 2 4 2 2" xfId="20246"/>
    <cellStyle name="Notas 2 4 2 2 4 2 3" xfId="20247"/>
    <cellStyle name="Notas 2 4 2 2 4 2 4" xfId="20248"/>
    <cellStyle name="Notas 2 4 2 2 4 3" xfId="20249"/>
    <cellStyle name="Notas 2 4 2 2 4 3 2" xfId="20250"/>
    <cellStyle name="Notas 2 4 2 2 4 3 3" xfId="20251"/>
    <cellStyle name="Notas 2 4 2 2 4 3 4" xfId="20252"/>
    <cellStyle name="Notas 2 4 2 2 4 4" xfId="20253"/>
    <cellStyle name="Notas 2 4 2 2 4 4 2" xfId="20254"/>
    <cellStyle name="Notas 2 4 2 2 4 4 3" xfId="20255"/>
    <cellStyle name="Notas 2 4 2 2 4 4 4" xfId="20256"/>
    <cellStyle name="Notas 2 4 2 2 4 5" xfId="20257"/>
    <cellStyle name="Notas 2 4 2 2 4 6" xfId="20258"/>
    <cellStyle name="Notas 2 4 2 2 4 7" xfId="20259"/>
    <cellStyle name="Notas 2 4 2 2 4 8" xfId="20260"/>
    <cellStyle name="Notas 2 4 2 2 5" xfId="20261"/>
    <cellStyle name="Notas 2 4 2 2 5 2" xfId="20262"/>
    <cellStyle name="Notas 2 4 2 2 5 2 2" xfId="20263"/>
    <cellStyle name="Notas 2 4 2 2 5 2 3" xfId="20264"/>
    <cellStyle name="Notas 2 4 2 2 5 2 4" xfId="20265"/>
    <cellStyle name="Notas 2 4 2 2 5 3" xfId="20266"/>
    <cellStyle name="Notas 2 4 2 2 5 3 2" xfId="20267"/>
    <cellStyle name="Notas 2 4 2 2 5 3 3" xfId="20268"/>
    <cellStyle name="Notas 2 4 2 2 5 3 4" xfId="20269"/>
    <cellStyle name="Notas 2 4 2 2 5 4" xfId="20270"/>
    <cellStyle name="Notas 2 4 2 2 5 4 2" xfId="20271"/>
    <cellStyle name="Notas 2 4 2 2 5 4 3" xfId="20272"/>
    <cellStyle name="Notas 2 4 2 2 5 4 4" xfId="20273"/>
    <cellStyle name="Notas 2 4 2 2 5 5" xfId="20274"/>
    <cellStyle name="Notas 2 4 2 2 5 6" xfId="20275"/>
    <cellStyle name="Notas 2 4 2 2 5 7" xfId="20276"/>
    <cellStyle name="Notas 2 4 2 2 5 8" xfId="20277"/>
    <cellStyle name="Notas 2 4 2 2 6" xfId="20278"/>
    <cellStyle name="Notas 2 4 2 2 6 2" xfId="20279"/>
    <cellStyle name="Notas 2 4 2 2 6 2 2" xfId="20280"/>
    <cellStyle name="Notas 2 4 2 2 6 2 3" xfId="20281"/>
    <cellStyle name="Notas 2 4 2 2 6 2 4" xfId="20282"/>
    <cellStyle name="Notas 2 4 2 2 6 3" xfId="20283"/>
    <cellStyle name="Notas 2 4 2 2 6 3 2" xfId="20284"/>
    <cellStyle name="Notas 2 4 2 2 6 3 3" xfId="20285"/>
    <cellStyle name="Notas 2 4 2 2 6 3 4" xfId="20286"/>
    <cellStyle name="Notas 2 4 2 2 6 4" xfId="20287"/>
    <cellStyle name="Notas 2 4 2 2 6 4 2" xfId="20288"/>
    <cellStyle name="Notas 2 4 2 2 6 4 3" xfId="20289"/>
    <cellStyle name="Notas 2 4 2 2 6 4 4" xfId="20290"/>
    <cellStyle name="Notas 2 4 2 2 6 5" xfId="20291"/>
    <cellStyle name="Notas 2 4 2 2 6 6" xfId="20292"/>
    <cellStyle name="Notas 2 4 2 2 6 7" xfId="20293"/>
    <cellStyle name="Notas 2 4 2 2 6 8" xfId="20294"/>
    <cellStyle name="Notas 2 4 2 2 7" xfId="20295"/>
    <cellStyle name="Notas 2 4 2 2 7 2" xfId="20296"/>
    <cellStyle name="Notas 2 4 2 2 7 2 2" xfId="20297"/>
    <cellStyle name="Notas 2 4 2 2 7 2 3" xfId="20298"/>
    <cellStyle name="Notas 2 4 2 2 7 2 4" xfId="20299"/>
    <cellStyle name="Notas 2 4 2 2 7 3" xfId="20300"/>
    <cellStyle name="Notas 2 4 2 2 7 3 2" xfId="20301"/>
    <cellStyle name="Notas 2 4 2 2 7 3 3" xfId="20302"/>
    <cellStyle name="Notas 2 4 2 2 7 3 4" xfId="20303"/>
    <cellStyle name="Notas 2 4 2 2 7 4" xfId="20304"/>
    <cellStyle name="Notas 2 4 2 2 7 4 2" xfId="20305"/>
    <cellStyle name="Notas 2 4 2 2 7 4 3" xfId="20306"/>
    <cellStyle name="Notas 2 4 2 2 7 4 4" xfId="20307"/>
    <cellStyle name="Notas 2 4 2 2 7 5" xfId="20308"/>
    <cellStyle name="Notas 2 4 2 2 7 6" xfId="20309"/>
    <cellStyle name="Notas 2 4 2 2 7 7" xfId="20310"/>
    <cellStyle name="Notas 2 4 2 2 7 8" xfId="20311"/>
    <cellStyle name="Notas 2 4 2 2 8" xfId="20312"/>
    <cellStyle name="Notas 2 4 2 2 8 2" xfId="20313"/>
    <cellStyle name="Notas 2 4 2 2 8 3" xfId="20314"/>
    <cellStyle name="Notas 2 4 2 2 8 4" xfId="20315"/>
    <cellStyle name="Notas 2 4 2 2 9" xfId="20316"/>
    <cellStyle name="Notas 2 4 2 2 9 2" xfId="20317"/>
    <cellStyle name="Notas 2 4 2 2 9 3" xfId="20318"/>
    <cellStyle name="Notas 2 4 2 2 9 4" xfId="20319"/>
    <cellStyle name="Notas 2 4 2 3" xfId="20320"/>
    <cellStyle name="Notas 2 4 2 3 2" xfId="20321"/>
    <cellStyle name="Notas 2 4 2 3 2 2" xfId="20322"/>
    <cellStyle name="Notas 2 4 2 3 2 2 2" xfId="20323"/>
    <cellStyle name="Notas 2 4 2 3 2 2 3" xfId="20324"/>
    <cellStyle name="Notas 2 4 2 3 2 2 4" xfId="20325"/>
    <cellStyle name="Notas 2 4 2 3 2 3" xfId="20326"/>
    <cellStyle name="Notas 2 4 2 3 2 3 2" xfId="20327"/>
    <cellStyle name="Notas 2 4 2 3 2 3 3" xfId="20328"/>
    <cellStyle name="Notas 2 4 2 3 2 3 4" xfId="20329"/>
    <cellStyle name="Notas 2 4 2 3 2 4" xfId="20330"/>
    <cellStyle name="Notas 2 4 2 3 2 4 2" xfId="20331"/>
    <cellStyle name="Notas 2 4 2 3 2 4 3" xfId="20332"/>
    <cellStyle name="Notas 2 4 2 3 2 4 4" xfId="20333"/>
    <cellStyle name="Notas 2 4 2 3 2 5" xfId="20334"/>
    <cellStyle name="Notas 2 4 2 3 2 6" xfId="20335"/>
    <cellStyle name="Notas 2 4 2 3 2 7" xfId="20336"/>
    <cellStyle name="Notas 2 4 2 3 2 8" xfId="20337"/>
    <cellStyle name="Notas 2 4 2 3 3" xfId="20338"/>
    <cellStyle name="Notas 2 4 2 3 3 2" xfId="20339"/>
    <cellStyle name="Notas 2 4 2 3 3 2 2" xfId="20340"/>
    <cellStyle name="Notas 2 4 2 3 3 2 3" xfId="20341"/>
    <cellStyle name="Notas 2 4 2 3 3 2 4" xfId="20342"/>
    <cellStyle name="Notas 2 4 2 3 3 3" xfId="20343"/>
    <cellStyle name="Notas 2 4 2 3 3 3 2" xfId="20344"/>
    <cellStyle name="Notas 2 4 2 3 3 3 3" xfId="20345"/>
    <cellStyle name="Notas 2 4 2 3 3 3 4" xfId="20346"/>
    <cellStyle name="Notas 2 4 2 3 3 4" xfId="20347"/>
    <cellStyle name="Notas 2 4 2 3 3 4 2" xfId="20348"/>
    <cellStyle name="Notas 2 4 2 3 3 4 3" xfId="20349"/>
    <cellStyle name="Notas 2 4 2 3 3 4 4" xfId="20350"/>
    <cellStyle name="Notas 2 4 2 3 3 5" xfId="20351"/>
    <cellStyle name="Notas 2 4 2 3 3 6" xfId="20352"/>
    <cellStyle name="Notas 2 4 2 3 3 7" xfId="20353"/>
    <cellStyle name="Notas 2 4 2 3 3 8" xfId="20354"/>
    <cellStyle name="Notas 2 4 2 3 4" xfId="20355"/>
    <cellStyle name="Notas 2 4 2 3 4 2" xfId="20356"/>
    <cellStyle name="Notas 2 4 2 3 4 2 2" xfId="20357"/>
    <cellStyle name="Notas 2 4 2 3 4 2 3" xfId="20358"/>
    <cellStyle name="Notas 2 4 2 3 4 2 4" xfId="20359"/>
    <cellStyle name="Notas 2 4 2 3 4 3" xfId="20360"/>
    <cellStyle name="Notas 2 4 2 3 4 3 2" xfId="20361"/>
    <cellStyle name="Notas 2 4 2 3 4 3 3" xfId="20362"/>
    <cellStyle name="Notas 2 4 2 3 4 3 4" xfId="20363"/>
    <cellStyle name="Notas 2 4 2 3 4 4" xfId="20364"/>
    <cellStyle name="Notas 2 4 2 3 4 4 2" xfId="20365"/>
    <cellStyle name="Notas 2 4 2 3 4 4 3" xfId="20366"/>
    <cellStyle name="Notas 2 4 2 3 4 4 4" xfId="20367"/>
    <cellStyle name="Notas 2 4 2 3 4 5" xfId="20368"/>
    <cellStyle name="Notas 2 4 2 3 4 6" xfId="20369"/>
    <cellStyle name="Notas 2 4 2 3 4 7" xfId="20370"/>
    <cellStyle name="Notas 2 4 2 3 4 8" xfId="20371"/>
    <cellStyle name="Notas 2 4 2 3 5" xfId="20372"/>
    <cellStyle name="Notas 2 4 2 3 5 2" xfId="20373"/>
    <cellStyle name="Notas 2 4 2 3 5 2 2" xfId="20374"/>
    <cellStyle name="Notas 2 4 2 3 5 2 3" xfId="20375"/>
    <cellStyle name="Notas 2 4 2 3 5 2 4" xfId="20376"/>
    <cellStyle name="Notas 2 4 2 3 5 3" xfId="20377"/>
    <cellStyle name="Notas 2 4 2 3 5 3 2" xfId="20378"/>
    <cellStyle name="Notas 2 4 2 3 5 3 3" xfId="20379"/>
    <cellStyle name="Notas 2 4 2 3 5 3 4" xfId="20380"/>
    <cellStyle name="Notas 2 4 2 3 5 4" xfId="20381"/>
    <cellStyle name="Notas 2 4 2 3 5 4 2" xfId="20382"/>
    <cellStyle name="Notas 2 4 2 3 5 4 3" xfId="20383"/>
    <cellStyle name="Notas 2 4 2 3 5 4 4" xfId="20384"/>
    <cellStyle name="Notas 2 4 2 3 5 5" xfId="20385"/>
    <cellStyle name="Notas 2 4 2 3 5 6" xfId="20386"/>
    <cellStyle name="Notas 2 4 2 3 5 7" xfId="20387"/>
    <cellStyle name="Notas 2 4 2 3 5 8" xfId="20388"/>
    <cellStyle name="Notas 2 4 2 3 6" xfId="20389"/>
    <cellStyle name="Notas 2 4 2 3 6 2" xfId="20390"/>
    <cellStyle name="Notas 2 4 2 3 6 3" xfId="20391"/>
    <cellStyle name="Notas 2 4 2 3 6 4" xfId="20392"/>
    <cellStyle name="Notas 2 4 2 3 7" xfId="20393"/>
    <cellStyle name="Notas 2 4 2 3 7 2" xfId="20394"/>
    <cellStyle name="Notas 2 4 2 3 7 3" xfId="20395"/>
    <cellStyle name="Notas 2 4 2 3 7 4" xfId="20396"/>
    <cellStyle name="Notas 2 4 2 3 8" xfId="20397"/>
    <cellStyle name="Notas 2 4 2 3 9" xfId="20398"/>
    <cellStyle name="Notas 2 4 2 4" xfId="20399"/>
    <cellStyle name="Notas 2 4 2 4 2" xfId="20400"/>
    <cellStyle name="Notas 2 4 2 4 2 2" xfId="20401"/>
    <cellStyle name="Notas 2 4 2 4 2 3" xfId="20402"/>
    <cellStyle name="Notas 2 4 2 4 2 4" xfId="20403"/>
    <cellStyle name="Notas 2 4 2 4 3" xfId="20404"/>
    <cellStyle name="Notas 2 4 2 4 3 2" xfId="20405"/>
    <cellStyle name="Notas 2 4 2 4 3 3" xfId="20406"/>
    <cellStyle name="Notas 2 4 2 4 3 4" xfId="20407"/>
    <cellStyle name="Notas 2 4 2 4 4" xfId="20408"/>
    <cellStyle name="Notas 2 4 2 4 4 2" xfId="20409"/>
    <cellStyle name="Notas 2 4 2 4 4 3" xfId="20410"/>
    <cellStyle name="Notas 2 4 2 4 4 4" xfId="20411"/>
    <cellStyle name="Notas 2 4 2 4 5" xfId="20412"/>
    <cellStyle name="Notas 2 4 2 4 6" xfId="20413"/>
    <cellStyle name="Notas 2 4 2 4 7" xfId="20414"/>
    <cellStyle name="Notas 2 4 2 4 8" xfId="20415"/>
    <cellStyle name="Notas 2 4 2 5" xfId="20416"/>
    <cellStyle name="Notas 2 4 2 5 2" xfId="20417"/>
    <cellStyle name="Notas 2 4 2 5 2 2" xfId="20418"/>
    <cellStyle name="Notas 2 4 2 5 2 3" xfId="20419"/>
    <cellStyle name="Notas 2 4 2 5 2 4" xfId="20420"/>
    <cellStyle name="Notas 2 4 2 5 3" xfId="20421"/>
    <cellStyle name="Notas 2 4 2 5 3 2" xfId="20422"/>
    <cellStyle name="Notas 2 4 2 5 3 3" xfId="20423"/>
    <cellStyle name="Notas 2 4 2 5 3 4" xfId="20424"/>
    <cellStyle name="Notas 2 4 2 5 4" xfId="20425"/>
    <cellStyle name="Notas 2 4 2 5 4 2" xfId="20426"/>
    <cellStyle name="Notas 2 4 2 5 4 3" xfId="20427"/>
    <cellStyle name="Notas 2 4 2 5 4 4" xfId="20428"/>
    <cellStyle name="Notas 2 4 2 5 5" xfId="20429"/>
    <cellStyle name="Notas 2 4 2 5 6" xfId="20430"/>
    <cellStyle name="Notas 2 4 2 5 7" xfId="20431"/>
    <cellStyle name="Notas 2 4 2 5 8" xfId="20432"/>
    <cellStyle name="Notas 2 4 2 6" xfId="20433"/>
    <cellStyle name="Notas 2 4 2 6 2" xfId="20434"/>
    <cellStyle name="Notas 2 4 2 6 2 2" xfId="20435"/>
    <cellStyle name="Notas 2 4 2 6 2 3" xfId="20436"/>
    <cellStyle name="Notas 2 4 2 6 2 4" xfId="20437"/>
    <cellStyle name="Notas 2 4 2 6 3" xfId="20438"/>
    <cellStyle name="Notas 2 4 2 6 3 2" xfId="20439"/>
    <cellStyle name="Notas 2 4 2 6 3 3" xfId="20440"/>
    <cellStyle name="Notas 2 4 2 6 3 4" xfId="20441"/>
    <cellStyle name="Notas 2 4 2 6 4" xfId="20442"/>
    <cellStyle name="Notas 2 4 2 6 4 2" xfId="20443"/>
    <cellStyle name="Notas 2 4 2 6 4 3" xfId="20444"/>
    <cellStyle name="Notas 2 4 2 6 4 4" xfId="20445"/>
    <cellStyle name="Notas 2 4 2 6 5" xfId="20446"/>
    <cellStyle name="Notas 2 4 2 6 6" xfId="20447"/>
    <cellStyle name="Notas 2 4 2 6 7" xfId="20448"/>
    <cellStyle name="Notas 2 4 2 6 8" xfId="20449"/>
    <cellStyle name="Notas 2 4 2 7" xfId="20450"/>
    <cellStyle name="Notas 2 4 2 7 2" xfId="20451"/>
    <cellStyle name="Notas 2 4 2 7 2 2" xfId="20452"/>
    <cellStyle name="Notas 2 4 2 7 2 3" xfId="20453"/>
    <cellStyle name="Notas 2 4 2 7 2 4" xfId="20454"/>
    <cellStyle name="Notas 2 4 2 7 3" xfId="20455"/>
    <cellStyle name="Notas 2 4 2 7 3 2" xfId="20456"/>
    <cellStyle name="Notas 2 4 2 7 3 3" xfId="20457"/>
    <cellStyle name="Notas 2 4 2 7 3 4" xfId="20458"/>
    <cellStyle name="Notas 2 4 2 7 4" xfId="20459"/>
    <cellStyle name="Notas 2 4 2 7 4 2" xfId="20460"/>
    <cellStyle name="Notas 2 4 2 7 4 3" xfId="20461"/>
    <cellStyle name="Notas 2 4 2 7 4 4" xfId="20462"/>
    <cellStyle name="Notas 2 4 2 7 5" xfId="20463"/>
    <cellStyle name="Notas 2 4 2 7 6" xfId="20464"/>
    <cellStyle name="Notas 2 4 2 7 7" xfId="20465"/>
    <cellStyle name="Notas 2 4 2 7 8" xfId="20466"/>
    <cellStyle name="Notas 2 4 2 8" xfId="20467"/>
    <cellStyle name="Notas 2 4 2 8 2" xfId="20468"/>
    <cellStyle name="Notas 2 4 2 8 2 2" xfId="20469"/>
    <cellStyle name="Notas 2 4 2 8 2 3" xfId="20470"/>
    <cellStyle name="Notas 2 4 2 8 2 4" xfId="20471"/>
    <cellStyle name="Notas 2 4 2 8 3" xfId="20472"/>
    <cellStyle name="Notas 2 4 2 8 3 2" xfId="20473"/>
    <cellStyle name="Notas 2 4 2 8 3 3" xfId="20474"/>
    <cellStyle name="Notas 2 4 2 8 3 4" xfId="20475"/>
    <cellStyle name="Notas 2 4 2 8 4" xfId="20476"/>
    <cellStyle name="Notas 2 4 2 8 4 2" xfId="20477"/>
    <cellStyle name="Notas 2 4 2 8 4 3" xfId="20478"/>
    <cellStyle name="Notas 2 4 2 8 4 4" xfId="20479"/>
    <cellStyle name="Notas 2 4 2 8 5" xfId="20480"/>
    <cellStyle name="Notas 2 4 2 8 6" xfId="20481"/>
    <cellStyle name="Notas 2 4 2 8 7" xfId="20482"/>
    <cellStyle name="Notas 2 4 2 8 8" xfId="20483"/>
    <cellStyle name="Notas 2 4 2 9" xfId="20484"/>
    <cellStyle name="Notas 2 4 2 9 2" xfId="20485"/>
    <cellStyle name="Notas 2 4 2 9 3" xfId="20486"/>
    <cellStyle name="Notas 2 4 2 9 4" xfId="20487"/>
    <cellStyle name="Notas 2 4 3" xfId="20488"/>
    <cellStyle name="Notas 2 4 3 10" xfId="20489"/>
    <cellStyle name="Notas 2 4 3 11" xfId="20490"/>
    <cellStyle name="Notas 2 4 3 2" xfId="20491"/>
    <cellStyle name="Notas 2 4 3 2 2" xfId="20492"/>
    <cellStyle name="Notas 2 4 3 2 2 2" xfId="20493"/>
    <cellStyle name="Notas 2 4 3 2 2 2 2" xfId="20494"/>
    <cellStyle name="Notas 2 4 3 2 2 2 3" xfId="20495"/>
    <cellStyle name="Notas 2 4 3 2 2 2 4" xfId="20496"/>
    <cellStyle name="Notas 2 4 3 2 2 3" xfId="20497"/>
    <cellStyle name="Notas 2 4 3 2 2 3 2" xfId="20498"/>
    <cellStyle name="Notas 2 4 3 2 2 3 3" xfId="20499"/>
    <cellStyle name="Notas 2 4 3 2 2 3 4" xfId="20500"/>
    <cellStyle name="Notas 2 4 3 2 2 4" xfId="20501"/>
    <cellStyle name="Notas 2 4 3 2 2 4 2" xfId="20502"/>
    <cellStyle name="Notas 2 4 3 2 2 4 3" xfId="20503"/>
    <cellStyle name="Notas 2 4 3 2 2 4 4" xfId="20504"/>
    <cellStyle name="Notas 2 4 3 2 2 5" xfId="20505"/>
    <cellStyle name="Notas 2 4 3 2 2 6" xfId="20506"/>
    <cellStyle name="Notas 2 4 3 2 2 7" xfId="20507"/>
    <cellStyle name="Notas 2 4 3 2 2 8" xfId="20508"/>
    <cellStyle name="Notas 2 4 3 2 3" xfId="20509"/>
    <cellStyle name="Notas 2 4 3 2 3 2" xfId="20510"/>
    <cellStyle name="Notas 2 4 3 2 3 2 2" xfId="20511"/>
    <cellStyle name="Notas 2 4 3 2 3 2 3" xfId="20512"/>
    <cellStyle name="Notas 2 4 3 2 3 2 4" xfId="20513"/>
    <cellStyle name="Notas 2 4 3 2 3 3" xfId="20514"/>
    <cellStyle name="Notas 2 4 3 2 3 3 2" xfId="20515"/>
    <cellStyle name="Notas 2 4 3 2 3 3 3" xfId="20516"/>
    <cellStyle name="Notas 2 4 3 2 3 3 4" xfId="20517"/>
    <cellStyle name="Notas 2 4 3 2 3 4" xfId="20518"/>
    <cellStyle name="Notas 2 4 3 2 3 4 2" xfId="20519"/>
    <cellStyle name="Notas 2 4 3 2 3 4 3" xfId="20520"/>
    <cellStyle name="Notas 2 4 3 2 3 4 4" xfId="20521"/>
    <cellStyle name="Notas 2 4 3 2 3 5" xfId="20522"/>
    <cellStyle name="Notas 2 4 3 2 3 6" xfId="20523"/>
    <cellStyle name="Notas 2 4 3 2 3 7" xfId="20524"/>
    <cellStyle name="Notas 2 4 3 2 3 8" xfId="20525"/>
    <cellStyle name="Notas 2 4 3 2 4" xfId="20526"/>
    <cellStyle name="Notas 2 4 3 2 4 2" xfId="20527"/>
    <cellStyle name="Notas 2 4 3 2 4 2 2" xfId="20528"/>
    <cellStyle name="Notas 2 4 3 2 4 2 3" xfId="20529"/>
    <cellStyle name="Notas 2 4 3 2 4 2 4" xfId="20530"/>
    <cellStyle name="Notas 2 4 3 2 4 3" xfId="20531"/>
    <cellStyle name="Notas 2 4 3 2 4 3 2" xfId="20532"/>
    <cellStyle name="Notas 2 4 3 2 4 3 3" xfId="20533"/>
    <cellStyle name="Notas 2 4 3 2 4 3 4" xfId="20534"/>
    <cellStyle name="Notas 2 4 3 2 4 4" xfId="20535"/>
    <cellStyle name="Notas 2 4 3 2 4 4 2" xfId="20536"/>
    <cellStyle name="Notas 2 4 3 2 4 4 3" xfId="20537"/>
    <cellStyle name="Notas 2 4 3 2 4 4 4" xfId="20538"/>
    <cellStyle name="Notas 2 4 3 2 4 5" xfId="20539"/>
    <cellStyle name="Notas 2 4 3 2 4 6" xfId="20540"/>
    <cellStyle name="Notas 2 4 3 2 4 7" xfId="20541"/>
    <cellStyle name="Notas 2 4 3 2 4 8" xfId="20542"/>
    <cellStyle name="Notas 2 4 3 2 5" xfId="20543"/>
    <cellStyle name="Notas 2 4 3 2 5 2" xfId="20544"/>
    <cellStyle name="Notas 2 4 3 2 5 2 2" xfId="20545"/>
    <cellStyle name="Notas 2 4 3 2 5 2 3" xfId="20546"/>
    <cellStyle name="Notas 2 4 3 2 5 2 4" xfId="20547"/>
    <cellStyle name="Notas 2 4 3 2 5 3" xfId="20548"/>
    <cellStyle name="Notas 2 4 3 2 5 3 2" xfId="20549"/>
    <cellStyle name="Notas 2 4 3 2 5 3 3" xfId="20550"/>
    <cellStyle name="Notas 2 4 3 2 5 3 4" xfId="20551"/>
    <cellStyle name="Notas 2 4 3 2 5 4" xfId="20552"/>
    <cellStyle name="Notas 2 4 3 2 5 4 2" xfId="20553"/>
    <cellStyle name="Notas 2 4 3 2 5 4 3" xfId="20554"/>
    <cellStyle name="Notas 2 4 3 2 5 4 4" xfId="20555"/>
    <cellStyle name="Notas 2 4 3 2 5 5" xfId="20556"/>
    <cellStyle name="Notas 2 4 3 2 5 6" xfId="20557"/>
    <cellStyle name="Notas 2 4 3 2 5 7" xfId="20558"/>
    <cellStyle name="Notas 2 4 3 2 5 8" xfId="20559"/>
    <cellStyle name="Notas 2 4 3 2 6" xfId="20560"/>
    <cellStyle name="Notas 2 4 3 2 6 2" xfId="20561"/>
    <cellStyle name="Notas 2 4 3 2 6 3" xfId="20562"/>
    <cellStyle name="Notas 2 4 3 2 6 4" xfId="20563"/>
    <cellStyle name="Notas 2 4 3 2 7" xfId="20564"/>
    <cellStyle name="Notas 2 4 3 2 7 2" xfId="20565"/>
    <cellStyle name="Notas 2 4 3 2 7 3" xfId="20566"/>
    <cellStyle name="Notas 2 4 3 2 7 4" xfId="20567"/>
    <cellStyle name="Notas 2 4 3 2 8" xfId="20568"/>
    <cellStyle name="Notas 2 4 3 2 9" xfId="20569"/>
    <cellStyle name="Notas 2 4 3 3" xfId="20570"/>
    <cellStyle name="Notas 2 4 3 3 2" xfId="20571"/>
    <cellStyle name="Notas 2 4 3 3 2 2" xfId="20572"/>
    <cellStyle name="Notas 2 4 3 3 2 3" xfId="20573"/>
    <cellStyle name="Notas 2 4 3 3 2 4" xfId="20574"/>
    <cellStyle name="Notas 2 4 3 3 3" xfId="20575"/>
    <cellStyle name="Notas 2 4 3 3 3 2" xfId="20576"/>
    <cellStyle name="Notas 2 4 3 3 3 3" xfId="20577"/>
    <cellStyle name="Notas 2 4 3 3 3 4" xfId="20578"/>
    <cellStyle name="Notas 2 4 3 3 4" xfId="20579"/>
    <cellStyle name="Notas 2 4 3 3 4 2" xfId="20580"/>
    <cellStyle name="Notas 2 4 3 3 4 3" xfId="20581"/>
    <cellStyle name="Notas 2 4 3 3 4 4" xfId="20582"/>
    <cellStyle name="Notas 2 4 3 3 5" xfId="20583"/>
    <cellStyle name="Notas 2 4 3 3 6" xfId="20584"/>
    <cellStyle name="Notas 2 4 3 3 7" xfId="20585"/>
    <cellStyle name="Notas 2 4 3 3 8" xfId="20586"/>
    <cellStyle name="Notas 2 4 3 4" xfId="20587"/>
    <cellStyle name="Notas 2 4 3 4 2" xfId="20588"/>
    <cellStyle name="Notas 2 4 3 4 2 2" xfId="20589"/>
    <cellStyle name="Notas 2 4 3 4 2 3" xfId="20590"/>
    <cellStyle name="Notas 2 4 3 4 2 4" xfId="20591"/>
    <cellStyle name="Notas 2 4 3 4 3" xfId="20592"/>
    <cellStyle name="Notas 2 4 3 4 3 2" xfId="20593"/>
    <cellStyle name="Notas 2 4 3 4 3 3" xfId="20594"/>
    <cellStyle name="Notas 2 4 3 4 3 4" xfId="20595"/>
    <cellStyle name="Notas 2 4 3 4 4" xfId="20596"/>
    <cellStyle name="Notas 2 4 3 4 4 2" xfId="20597"/>
    <cellStyle name="Notas 2 4 3 4 4 3" xfId="20598"/>
    <cellStyle name="Notas 2 4 3 4 4 4" xfId="20599"/>
    <cellStyle name="Notas 2 4 3 4 5" xfId="20600"/>
    <cellStyle name="Notas 2 4 3 4 6" xfId="20601"/>
    <cellStyle name="Notas 2 4 3 4 7" xfId="20602"/>
    <cellStyle name="Notas 2 4 3 4 8" xfId="20603"/>
    <cellStyle name="Notas 2 4 3 5" xfId="20604"/>
    <cellStyle name="Notas 2 4 3 5 2" xfId="20605"/>
    <cellStyle name="Notas 2 4 3 5 2 2" xfId="20606"/>
    <cellStyle name="Notas 2 4 3 5 2 3" xfId="20607"/>
    <cellStyle name="Notas 2 4 3 5 2 4" xfId="20608"/>
    <cellStyle name="Notas 2 4 3 5 3" xfId="20609"/>
    <cellStyle name="Notas 2 4 3 5 3 2" xfId="20610"/>
    <cellStyle name="Notas 2 4 3 5 3 3" xfId="20611"/>
    <cellStyle name="Notas 2 4 3 5 3 4" xfId="20612"/>
    <cellStyle name="Notas 2 4 3 5 4" xfId="20613"/>
    <cellStyle name="Notas 2 4 3 5 4 2" xfId="20614"/>
    <cellStyle name="Notas 2 4 3 5 4 3" xfId="20615"/>
    <cellStyle name="Notas 2 4 3 5 4 4" xfId="20616"/>
    <cellStyle name="Notas 2 4 3 5 5" xfId="20617"/>
    <cellStyle name="Notas 2 4 3 5 6" xfId="20618"/>
    <cellStyle name="Notas 2 4 3 5 7" xfId="20619"/>
    <cellStyle name="Notas 2 4 3 5 8" xfId="20620"/>
    <cellStyle name="Notas 2 4 3 6" xfId="20621"/>
    <cellStyle name="Notas 2 4 3 6 2" xfId="20622"/>
    <cellStyle name="Notas 2 4 3 6 2 2" xfId="20623"/>
    <cellStyle name="Notas 2 4 3 6 2 3" xfId="20624"/>
    <cellStyle name="Notas 2 4 3 6 2 4" xfId="20625"/>
    <cellStyle name="Notas 2 4 3 6 3" xfId="20626"/>
    <cellStyle name="Notas 2 4 3 6 3 2" xfId="20627"/>
    <cellStyle name="Notas 2 4 3 6 3 3" xfId="20628"/>
    <cellStyle name="Notas 2 4 3 6 3 4" xfId="20629"/>
    <cellStyle name="Notas 2 4 3 6 4" xfId="20630"/>
    <cellStyle name="Notas 2 4 3 6 4 2" xfId="20631"/>
    <cellStyle name="Notas 2 4 3 6 4 3" xfId="20632"/>
    <cellStyle name="Notas 2 4 3 6 4 4" xfId="20633"/>
    <cellStyle name="Notas 2 4 3 6 5" xfId="20634"/>
    <cellStyle name="Notas 2 4 3 6 6" xfId="20635"/>
    <cellStyle name="Notas 2 4 3 6 7" xfId="20636"/>
    <cellStyle name="Notas 2 4 3 6 8" xfId="20637"/>
    <cellStyle name="Notas 2 4 3 7" xfId="20638"/>
    <cellStyle name="Notas 2 4 3 7 2" xfId="20639"/>
    <cellStyle name="Notas 2 4 3 7 2 2" xfId="20640"/>
    <cellStyle name="Notas 2 4 3 7 2 3" xfId="20641"/>
    <cellStyle name="Notas 2 4 3 7 2 4" xfId="20642"/>
    <cellStyle name="Notas 2 4 3 7 3" xfId="20643"/>
    <cellStyle name="Notas 2 4 3 7 3 2" xfId="20644"/>
    <cellStyle name="Notas 2 4 3 7 3 3" xfId="20645"/>
    <cellStyle name="Notas 2 4 3 7 3 4" xfId="20646"/>
    <cellStyle name="Notas 2 4 3 7 4" xfId="20647"/>
    <cellStyle name="Notas 2 4 3 7 4 2" xfId="20648"/>
    <cellStyle name="Notas 2 4 3 7 4 3" xfId="20649"/>
    <cellStyle name="Notas 2 4 3 7 4 4" xfId="20650"/>
    <cellStyle name="Notas 2 4 3 7 5" xfId="20651"/>
    <cellStyle name="Notas 2 4 3 7 6" xfId="20652"/>
    <cellStyle name="Notas 2 4 3 7 7" xfId="20653"/>
    <cellStyle name="Notas 2 4 3 7 8" xfId="20654"/>
    <cellStyle name="Notas 2 4 3 8" xfId="20655"/>
    <cellStyle name="Notas 2 4 3 8 2" xfId="20656"/>
    <cellStyle name="Notas 2 4 3 8 3" xfId="20657"/>
    <cellStyle name="Notas 2 4 3 8 4" xfId="20658"/>
    <cellStyle name="Notas 2 4 3 9" xfId="20659"/>
    <cellStyle name="Notas 2 4 3 9 2" xfId="20660"/>
    <cellStyle name="Notas 2 4 3 9 3" xfId="20661"/>
    <cellStyle name="Notas 2 4 3 9 4" xfId="20662"/>
    <cellStyle name="Notas 2 4 4" xfId="20663"/>
    <cellStyle name="Notas 2 4 4 2" xfId="20664"/>
    <cellStyle name="Notas 2 4 4 2 2" xfId="20665"/>
    <cellStyle name="Notas 2 4 4 2 2 2" xfId="20666"/>
    <cellStyle name="Notas 2 4 4 2 2 3" xfId="20667"/>
    <cellStyle name="Notas 2 4 4 2 2 4" xfId="20668"/>
    <cellStyle name="Notas 2 4 4 2 3" xfId="20669"/>
    <cellStyle name="Notas 2 4 4 2 3 2" xfId="20670"/>
    <cellStyle name="Notas 2 4 4 2 3 3" xfId="20671"/>
    <cellStyle name="Notas 2 4 4 2 3 4" xfId="20672"/>
    <cellStyle name="Notas 2 4 4 2 4" xfId="20673"/>
    <cellStyle name="Notas 2 4 4 2 4 2" xfId="20674"/>
    <cellStyle name="Notas 2 4 4 2 4 3" xfId="20675"/>
    <cellStyle name="Notas 2 4 4 2 4 4" xfId="20676"/>
    <cellStyle name="Notas 2 4 4 2 5" xfId="20677"/>
    <cellStyle name="Notas 2 4 4 2 6" xfId="20678"/>
    <cellStyle name="Notas 2 4 4 2 7" xfId="20679"/>
    <cellStyle name="Notas 2 4 4 2 8" xfId="20680"/>
    <cellStyle name="Notas 2 4 4 3" xfId="20681"/>
    <cellStyle name="Notas 2 4 4 3 2" xfId="20682"/>
    <cellStyle name="Notas 2 4 4 3 2 2" xfId="20683"/>
    <cellStyle name="Notas 2 4 4 3 2 3" xfId="20684"/>
    <cellStyle name="Notas 2 4 4 3 2 4" xfId="20685"/>
    <cellStyle name="Notas 2 4 4 3 3" xfId="20686"/>
    <cellStyle name="Notas 2 4 4 3 3 2" xfId="20687"/>
    <cellStyle name="Notas 2 4 4 3 3 3" xfId="20688"/>
    <cellStyle name="Notas 2 4 4 3 3 4" xfId="20689"/>
    <cellStyle name="Notas 2 4 4 3 4" xfId="20690"/>
    <cellStyle name="Notas 2 4 4 3 4 2" xfId="20691"/>
    <cellStyle name="Notas 2 4 4 3 4 3" xfId="20692"/>
    <cellStyle name="Notas 2 4 4 3 4 4" xfId="20693"/>
    <cellStyle name="Notas 2 4 4 3 5" xfId="20694"/>
    <cellStyle name="Notas 2 4 4 3 6" xfId="20695"/>
    <cellStyle name="Notas 2 4 4 3 7" xfId="20696"/>
    <cellStyle name="Notas 2 4 4 3 8" xfId="20697"/>
    <cellStyle name="Notas 2 4 4 4" xfId="20698"/>
    <cellStyle name="Notas 2 4 4 4 2" xfId="20699"/>
    <cellStyle name="Notas 2 4 4 4 2 2" xfId="20700"/>
    <cellStyle name="Notas 2 4 4 4 2 3" xfId="20701"/>
    <cellStyle name="Notas 2 4 4 4 2 4" xfId="20702"/>
    <cellStyle name="Notas 2 4 4 4 3" xfId="20703"/>
    <cellStyle name="Notas 2 4 4 4 3 2" xfId="20704"/>
    <cellStyle name="Notas 2 4 4 4 3 3" xfId="20705"/>
    <cellStyle name="Notas 2 4 4 4 3 4" xfId="20706"/>
    <cellStyle name="Notas 2 4 4 4 4" xfId="20707"/>
    <cellStyle name="Notas 2 4 4 4 4 2" xfId="20708"/>
    <cellStyle name="Notas 2 4 4 4 4 3" xfId="20709"/>
    <cellStyle name="Notas 2 4 4 4 4 4" xfId="20710"/>
    <cellStyle name="Notas 2 4 4 4 5" xfId="20711"/>
    <cellStyle name="Notas 2 4 4 4 6" xfId="20712"/>
    <cellStyle name="Notas 2 4 4 4 7" xfId="20713"/>
    <cellStyle name="Notas 2 4 4 4 8" xfId="20714"/>
    <cellStyle name="Notas 2 4 4 5" xfId="20715"/>
    <cellStyle name="Notas 2 4 4 5 2" xfId="20716"/>
    <cellStyle name="Notas 2 4 4 5 2 2" xfId="20717"/>
    <cellStyle name="Notas 2 4 4 5 2 3" xfId="20718"/>
    <cellStyle name="Notas 2 4 4 5 2 4" xfId="20719"/>
    <cellStyle name="Notas 2 4 4 5 3" xfId="20720"/>
    <cellStyle name="Notas 2 4 4 5 3 2" xfId="20721"/>
    <cellStyle name="Notas 2 4 4 5 3 3" xfId="20722"/>
    <cellStyle name="Notas 2 4 4 5 3 4" xfId="20723"/>
    <cellStyle name="Notas 2 4 4 5 4" xfId="20724"/>
    <cellStyle name="Notas 2 4 4 5 4 2" xfId="20725"/>
    <cellStyle name="Notas 2 4 4 5 4 3" xfId="20726"/>
    <cellStyle name="Notas 2 4 4 5 4 4" xfId="20727"/>
    <cellStyle name="Notas 2 4 4 5 5" xfId="20728"/>
    <cellStyle name="Notas 2 4 4 5 6" xfId="20729"/>
    <cellStyle name="Notas 2 4 4 5 7" xfId="20730"/>
    <cellStyle name="Notas 2 4 4 5 8" xfId="20731"/>
    <cellStyle name="Notas 2 4 4 6" xfId="20732"/>
    <cellStyle name="Notas 2 4 4 6 2" xfId="20733"/>
    <cellStyle name="Notas 2 4 4 6 3" xfId="20734"/>
    <cellStyle name="Notas 2 4 4 6 4" xfId="20735"/>
    <cellStyle name="Notas 2 4 4 7" xfId="20736"/>
    <cellStyle name="Notas 2 4 4 7 2" xfId="20737"/>
    <cellStyle name="Notas 2 4 4 7 3" xfId="20738"/>
    <cellStyle name="Notas 2 4 4 7 4" xfId="20739"/>
    <cellStyle name="Notas 2 4 4 8" xfId="20740"/>
    <cellStyle name="Notas 2 4 4 9" xfId="20741"/>
    <cellStyle name="Notas 2 4 5" xfId="20742"/>
    <cellStyle name="Notas 2 4 5 2" xfId="20743"/>
    <cellStyle name="Notas 2 4 5 2 2" xfId="20744"/>
    <cellStyle name="Notas 2 4 5 2 3" xfId="20745"/>
    <cellStyle name="Notas 2 4 5 2 4" xfId="20746"/>
    <cellStyle name="Notas 2 4 5 3" xfId="20747"/>
    <cellStyle name="Notas 2 4 5 3 2" xfId="20748"/>
    <cellStyle name="Notas 2 4 5 3 3" xfId="20749"/>
    <cellStyle name="Notas 2 4 5 3 4" xfId="20750"/>
    <cellStyle name="Notas 2 4 5 4" xfId="20751"/>
    <cellStyle name="Notas 2 4 5 4 2" xfId="20752"/>
    <cellStyle name="Notas 2 4 5 4 3" xfId="20753"/>
    <cellStyle name="Notas 2 4 5 4 4" xfId="20754"/>
    <cellStyle name="Notas 2 4 5 5" xfId="20755"/>
    <cellStyle name="Notas 2 4 5 6" xfId="20756"/>
    <cellStyle name="Notas 2 4 5 7" xfId="20757"/>
    <cellStyle name="Notas 2 4 5 8" xfId="20758"/>
    <cellStyle name="Notas 2 4 6" xfId="20759"/>
    <cellStyle name="Notas 2 4 6 2" xfId="20760"/>
    <cellStyle name="Notas 2 4 6 2 2" xfId="20761"/>
    <cellStyle name="Notas 2 4 6 2 3" xfId="20762"/>
    <cellStyle name="Notas 2 4 6 2 4" xfId="20763"/>
    <cellStyle name="Notas 2 4 6 3" xfId="20764"/>
    <cellStyle name="Notas 2 4 6 3 2" xfId="20765"/>
    <cellStyle name="Notas 2 4 6 3 3" xfId="20766"/>
    <cellStyle name="Notas 2 4 6 3 4" xfId="20767"/>
    <cellStyle name="Notas 2 4 6 4" xfId="20768"/>
    <cellStyle name="Notas 2 4 6 4 2" xfId="20769"/>
    <cellStyle name="Notas 2 4 6 4 3" xfId="20770"/>
    <cellStyle name="Notas 2 4 6 4 4" xfId="20771"/>
    <cellStyle name="Notas 2 4 6 5" xfId="20772"/>
    <cellStyle name="Notas 2 4 6 6" xfId="20773"/>
    <cellStyle name="Notas 2 4 6 7" xfId="20774"/>
    <cellStyle name="Notas 2 4 6 8" xfId="20775"/>
    <cellStyle name="Notas 2 4 7" xfId="20776"/>
    <cellStyle name="Notas 2 4 7 2" xfId="20777"/>
    <cellStyle name="Notas 2 4 7 2 2" xfId="20778"/>
    <cellStyle name="Notas 2 4 7 2 3" xfId="20779"/>
    <cellStyle name="Notas 2 4 7 2 4" xfId="20780"/>
    <cellStyle name="Notas 2 4 7 3" xfId="20781"/>
    <cellStyle name="Notas 2 4 7 3 2" xfId="20782"/>
    <cellStyle name="Notas 2 4 7 3 3" xfId="20783"/>
    <cellStyle name="Notas 2 4 7 3 4" xfId="20784"/>
    <cellStyle name="Notas 2 4 7 4" xfId="20785"/>
    <cellStyle name="Notas 2 4 7 4 2" xfId="20786"/>
    <cellStyle name="Notas 2 4 7 4 3" xfId="20787"/>
    <cellStyle name="Notas 2 4 7 4 4" xfId="20788"/>
    <cellStyle name="Notas 2 4 7 5" xfId="20789"/>
    <cellStyle name="Notas 2 4 7 6" xfId="20790"/>
    <cellStyle name="Notas 2 4 7 7" xfId="20791"/>
    <cellStyle name="Notas 2 4 7 8" xfId="20792"/>
    <cellStyle name="Notas 2 4 8" xfId="20793"/>
    <cellStyle name="Notas 2 4 8 2" xfId="20794"/>
    <cellStyle name="Notas 2 4 8 2 2" xfId="20795"/>
    <cellStyle name="Notas 2 4 8 2 3" xfId="20796"/>
    <cellStyle name="Notas 2 4 8 2 4" xfId="20797"/>
    <cellStyle name="Notas 2 4 8 3" xfId="20798"/>
    <cellStyle name="Notas 2 4 8 3 2" xfId="20799"/>
    <cellStyle name="Notas 2 4 8 3 3" xfId="20800"/>
    <cellStyle name="Notas 2 4 8 3 4" xfId="20801"/>
    <cellStyle name="Notas 2 4 8 4" xfId="20802"/>
    <cellStyle name="Notas 2 4 8 4 2" xfId="20803"/>
    <cellStyle name="Notas 2 4 8 4 3" xfId="20804"/>
    <cellStyle name="Notas 2 4 8 4 4" xfId="20805"/>
    <cellStyle name="Notas 2 4 8 5" xfId="20806"/>
    <cellStyle name="Notas 2 4 8 6" xfId="20807"/>
    <cellStyle name="Notas 2 4 8 7" xfId="20808"/>
    <cellStyle name="Notas 2 4 8 8" xfId="20809"/>
    <cellStyle name="Notas 2 4 9" xfId="20810"/>
    <cellStyle name="Notas 2 4 9 2" xfId="20811"/>
    <cellStyle name="Notas 2 4 9 2 2" xfId="20812"/>
    <cellStyle name="Notas 2 4 9 2 3" xfId="20813"/>
    <cellStyle name="Notas 2 4 9 2 4" xfId="20814"/>
    <cellStyle name="Notas 2 4 9 3" xfId="20815"/>
    <cellStyle name="Notas 2 4 9 3 2" xfId="20816"/>
    <cellStyle name="Notas 2 4 9 3 3" xfId="20817"/>
    <cellStyle name="Notas 2 4 9 3 4" xfId="20818"/>
    <cellStyle name="Notas 2 4 9 4" xfId="20819"/>
    <cellStyle name="Notas 2 4 9 4 2" xfId="20820"/>
    <cellStyle name="Notas 2 4 9 4 3" xfId="20821"/>
    <cellStyle name="Notas 2 4 9 4 4" xfId="20822"/>
    <cellStyle name="Notas 2 4 9 5" xfId="20823"/>
    <cellStyle name="Notas 2 4 9 6" xfId="20824"/>
    <cellStyle name="Notas 2 4 9 7" xfId="20825"/>
    <cellStyle name="Notas 2 4 9 8" xfId="20826"/>
    <cellStyle name="Notas 2 5" xfId="20827"/>
    <cellStyle name="Notas 2 5 10" xfId="20828"/>
    <cellStyle name="Notas 2 5 10 2" xfId="20829"/>
    <cellStyle name="Notas 2 5 10 3" xfId="20830"/>
    <cellStyle name="Notas 2 5 10 4" xfId="20831"/>
    <cellStyle name="Notas 2 5 11" xfId="20832"/>
    <cellStyle name="Notas 2 5 12" xfId="20833"/>
    <cellStyle name="Notas 2 5 2" xfId="20834"/>
    <cellStyle name="Notas 2 5 2 10" xfId="20835"/>
    <cellStyle name="Notas 2 5 2 11" xfId="20836"/>
    <cellStyle name="Notas 2 5 2 2" xfId="20837"/>
    <cellStyle name="Notas 2 5 2 2 2" xfId="20838"/>
    <cellStyle name="Notas 2 5 2 2 2 2" xfId="20839"/>
    <cellStyle name="Notas 2 5 2 2 2 2 2" xfId="20840"/>
    <cellStyle name="Notas 2 5 2 2 2 2 3" xfId="20841"/>
    <cellStyle name="Notas 2 5 2 2 2 2 4" xfId="20842"/>
    <cellStyle name="Notas 2 5 2 2 2 3" xfId="20843"/>
    <cellStyle name="Notas 2 5 2 2 2 3 2" xfId="20844"/>
    <cellStyle name="Notas 2 5 2 2 2 3 3" xfId="20845"/>
    <cellStyle name="Notas 2 5 2 2 2 3 4" xfId="20846"/>
    <cellStyle name="Notas 2 5 2 2 2 4" xfId="20847"/>
    <cellStyle name="Notas 2 5 2 2 2 4 2" xfId="20848"/>
    <cellStyle name="Notas 2 5 2 2 2 4 3" xfId="20849"/>
    <cellStyle name="Notas 2 5 2 2 2 4 4" xfId="20850"/>
    <cellStyle name="Notas 2 5 2 2 2 5" xfId="20851"/>
    <cellStyle name="Notas 2 5 2 2 2 6" xfId="20852"/>
    <cellStyle name="Notas 2 5 2 2 2 7" xfId="20853"/>
    <cellStyle name="Notas 2 5 2 2 2 8" xfId="20854"/>
    <cellStyle name="Notas 2 5 2 2 3" xfId="20855"/>
    <cellStyle name="Notas 2 5 2 2 3 2" xfId="20856"/>
    <cellStyle name="Notas 2 5 2 2 3 2 2" xfId="20857"/>
    <cellStyle name="Notas 2 5 2 2 3 2 3" xfId="20858"/>
    <cellStyle name="Notas 2 5 2 2 3 2 4" xfId="20859"/>
    <cellStyle name="Notas 2 5 2 2 3 3" xfId="20860"/>
    <cellStyle name="Notas 2 5 2 2 3 3 2" xfId="20861"/>
    <cellStyle name="Notas 2 5 2 2 3 3 3" xfId="20862"/>
    <cellStyle name="Notas 2 5 2 2 3 3 4" xfId="20863"/>
    <cellStyle name="Notas 2 5 2 2 3 4" xfId="20864"/>
    <cellStyle name="Notas 2 5 2 2 3 4 2" xfId="20865"/>
    <cellStyle name="Notas 2 5 2 2 3 4 3" xfId="20866"/>
    <cellStyle name="Notas 2 5 2 2 3 4 4" xfId="20867"/>
    <cellStyle name="Notas 2 5 2 2 3 5" xfId="20868"/>
    <cellStyle name="Notas 2 5 2 2 3 6" xfId="20869"/>
    <cellStyle name="Notas 2 5 2 2 3 7" xfId="20870"/>
    <cellStyle name="Notas 2 5 2 2 3 8" xfId="20871"/>
    <cellStyle name="Notas 2 5 2 2 4" xfId="20872"/>
    <cellStyle name="Notas 2 5 2 2 4 2" xfId="20873"/>
    <cellStyle name="Notas 2 5 2 2 4 2 2" xfId="20874"/>
    <cellStyle name="Notas 2 5 2 2 4 2 3" xfId="20875"/>
    <cellStyle name="Notas 2 5 2 2 4 2 4" xfId="20876"/>
    <cellStyle name="Notas 2 5 2 2 4 3" xfId="20877"/>
    <cellStyle name="Notas 2 5 2 2 4 3 2" xfId="20878"/>
    <cellStyle name="Notas 2 5 2 2 4 3 3" xfId="20879"/>
    <cellStyle name="Notas 2 5 2 2 4 3 4" xfId="20880"/>
    <cellStyle name="Notas 2 5 2 2 4 4" xfId="20881"/>
    <cellStyle name="Notas 2 5 2 2 4 4 2" xfId="20882"/>
    <cellStyle name="Notas 2 5 2 2 4 4 3" xfId="20883"/>
    <cellStyle name="Notas 2 5 2 2 4 4 4" xfId="20884"/>
    <cellStyle name="Notas 2 5 2 2 4 5" xfId="20885"/>
    <cellStyle name="Notas 2 5 2 2 4 6" xfId="20886"/>
    <cellStyle name="Notas 2 5 2 2 4 7" xfId="20887"/>
    <cellStyle name="Notas 2 5 2 2 4 8" xfId="20888"/>
    <cellStyle name="Notas 2 5 2 2 5" xfId="20889"/>
    <cellStyle name="Notas 2 5 2 2 5 2" xfId="20890"/>
    <cellStyle name="Notas 2 5 2 2 5 2 2" xfId="20891"/>
    <cellStyle name="Notas 2 5 2 2 5 2 3" xfId="20892"/>
    <cellStyle name="Notas 2 5 2 2 5 2 4" xfId="20893"/>
    <cellStyle name="Notas 2 5 2 2 5 3" xfId="20894"/>
    <cellStyle name="Notas 2 5 2 2 5 3 2" xfId="20895"/>
    <cellStyle name="Notas 2 5 2 2 5 3 3" xfId="20896"/>
    <cellStyle name="Notas 2 5 2 2 5 3 4" xfId="20897"/>
    <cellStyle name="Notas 2 5 2 2 5 4" xfId="20898"/>
    <cellStyle name="Notas 2 5 2 2 5 4 2" xfId="20899"/>
    <cellStyle name="Notas 2 5 2 2 5 4 3" xfId="20900"/>
    <cellStyle name="Notas 2 5 2 2 5 4 4" xfId="20901"/>
    <cellStyle name="Notas 2 5 2 2 5 5" xfId="20902"/>
    <cellStyle name="Notas 2 5 2 2 5 6" xfId="20903"/>
    <cellStyle name="Notas 2 5 2 2 5 7" xfId="20904"/>
    <cellStyle name="Notas 2 5 2 2 5 8" xfId="20905"/>
    <cellStyle name="Notas 2 5 2 2 6" xfId="20906"/>
    <cellStyle name="Notas 2 5 2 2 6 2" xfId="20907"/>
    <cellStyle name="Notas 2 5 2 2 6 3" xfId="20908"/>
    <cellStyle name="Notas 2 5 2 2 6 4" xfId="20909"/>
    <cellStyle name="Notas 2 5 2 2 7" xfId="20910"/>
    <cellStyle name="Notas 2 5 2 2 7 2" xfId="20911"/>
    <cellStyle name="Notas 2 5 2 2 7 3" xfId="20912"/>
    <cellStyle name="Notas 2 5 2 2 7 4" xfId="20913"/>
    <cellStyle name="Notas 2 5 2 2 8" xfId="20914"/>
    <cellStyle name="Notas 2 5 2 2 9" xfId="20915"/>
    <cellStyle name="Notas 2 5 2 3" xfId="20916"/>
    <cellStyle name="Notas 2 5 2 3 2" xfId="20917"/>
    <cellStyle name="Notas 2 5 2 3 2 2" xfId="20918"/>
    <cellStyle name="Notas 2 5 2 3 2 3" xfId="20919"/>
    <cellStyle name="Notas 2 5 2 3 2 4" xfId="20920"/>
    <cellStyle name="Notas 2 5 2 3 3" xfId="20921"/>
    <cellStyle name="Notas 2 5 2 3 3 2" xfId="20922"/>
    <cellStyle name="Notas 2 5 2 3 3 3" xfId="20923"/>
    <cellStyle name="Notas 2 5 2 3 3 4" xfId="20924"/>
    <cellStyle name="Notas 2 5 2 3 4" xfId="20925"/>
    <cellStyle name="Notas 2 5 2 3 4 2" xfId="20926"/>
    <cellStyle name="Notas 2 5 2 3 4 3" xfId="20927"/>
    <cellStyle name="Notas 2 5 2 3 4 4" xfId="20928"/>
    <cellStyle name="Notas 2 5 2 3 5" xfId="20929"/>
    <cellStyle name="Notas 2 5 2 3 6" xfId="20930"/>
    <cellStyle name="Notas 2 5 2 3 7" xfId="20931"/>
    <cellStyle name="Notas 2 5 2 3 8" xfId="20932"/>
    <cellStyle name="Notas 2 5 2 4" xfId="20933"/>
    <cellStyle name="Notas 2 5 2 4 2" xfId="20934"/>
    <cellStyle name="Notas 2 5 2 4 2 2" xfId="20935"/>
    <cellStyle name="Notas 2 5 2 4 2 3" xfId="20936"/>
    <cellStyle name="Notas 2 5 2 4 2 4" xfId="20937"/>
    <cellStyle name="Notas 2 5 2 4 3" xfId="20938"/>
    <cellStyle name="Notas 2 5 2 4 3 2" xfId="20939"/>
    <cellStyle name="Notas 2 5 2 4 3 3" xfId="20940"/>
    <cellStyle name="Notas 2 5 2 4 3 4" xfId="20941"/>
    <cellStyle name="Notas 2 5 2 4 4" xfId="20942"/>
    <cellStyle name="Notas 2 5 2 4 4 2" xfId="20943"/>
    <cellStyle name="Notas 2 5 2 4 4 3" xfId="20944"/>
    <cellStyle name="Notas 2 5 2 4 4 4" xfId="20945"/>
    <cellStyle name="Notas 2 5 2 4 5" xfId="20946"/>
    <cellStyle name="Notas 2 5 2 4 6" xfId="20947"/>
    <cellStyle name="Notas 2 5 2 4 7" xfId="20948"/>
    <cellStyle name="Notas 2 5 2 4 8" xfId="20949"/>
    <cellStyle name="Notas 2 5 2 5" xfId="20950"/>
    <cellStyle name="Notas 2 5 2 5 2" xfId="20951"/>
    <cellStyle name="Notas 2 5 2 5 2 2" xfId="20952"/>
    <cellStyle name="Notas 2 5 2 5 2 3" xfId="20953"/>
    <cellStyle name="Notas 2 5 2 5 2 4" xfId="20954"/>
    <cellStyle name="Notas 2 5 2 5 3" xfId="20955"/>
    <cellStyle name="Notas 2 5 2 5 3 2" xfId="20956"/>
    <cellStyle name="Notas 2 5 2 5 3 3" xfId="20957"/>
    <cellStyle name="Notas 2 5 2 5 3 4" xfId="20958"/>
    <cellStyle name="Notas 2 5 2 5 4" xfId="20959"/>
    <cellStyle name="Notas 2 5 2 5 4 2" xfId="20960"/>
    <cellStyle name="Notas 2 5 2 5 4 3" xfId="20961"/>
    <cellStyle name="Notas 2 5 2 5 4 4" xfId="20962"/>
    <cellStyle name="Notas 2 5 2 5 5" xfId="20963"/>
    <cellStyle name="Notas 2 5 2 5 6" xfId="20964"/>
    <cellStyle name="Notas 2 5 2 5 7" xfId="20965"/>
    <cellStyle name="Notas 2 5 2 5 8" xfId="20966"/>
    <cellStyle name="Notas 2 5 2 6" xfId="20967"/>
    <cellStyle name="Notas 2 5 2 6 2" xfId="20968"/>
    <cellStyle name="Notas 2 5 2 6 2 2" xfId="20969"/>
    <cellStyle name="Notas 2 5 2 6 2 3" xfId="20970"/>
    <cellStyle name="Notas 2 5 2 6 2 4" xfId="20971"/>
    <cellStyle name="Notas 2 5 2 6 3" xfId="20972"/>
    <cellStyle name="Notas 2 5 2 6 3 2" xfId="20973"/>
    <cellStyle name="Notas 2 5 2 6 3 3" xfId="20974"/>
    <cellStyle name="Notas 2 5 2 6 3 4" xfId="20975"/>
    <cellStyle name="Notas 2 5 2 6 4" xfId="20976"/>
    <cellStyle name="Notas 2 5 2 6 4 2" xfId="20977"/>
    <cellStyle name="Notas 2 5 2 6 4 3" xfId="20978"/>
    <cellStyle name="Notas 2 5 2 6 4 4" xfId="20979"/>
    <cellStyle name="Notas 2 5 2 6 5" xfId="20980"/>
    <cellStyle name="Notas 2 5 2 6 6" xfId="20981"/>
    <cellStyle name="Notas 2 5 2 6 7" xfId="20982"/>
    <cellStyle name="Notas 2 5 2 6 8" xfId="20983"/>
    <cellStyle name="Notas 2 5 2 7" xfId="20984"/>
    <cellStyle name="Notas 2 5 2 7 2" xfId="20985"/>
    <cellStyle name="Notas 2 5 2 7 2 2" xfId="20986"/>
    <cellStyle name="Notas 2 5 2 7 2 3" xfId="20987"/>
    <cellStyle name="Notas 2 5 2 7 2 4" xfId="20988"/>
    <cellStyle name="Notas 2 5 2 7 3" xfId="20989"/>
    <cellStyle name="Notas 2 5 2 7 3 2" xfId="20990"/>
    <cellStyle name="Notas 2 5 2 7 3 3" xfId="20991"/>
    <cellStyle name="Notas 2 5 2 7 3 4" xfId="20992"/>
    <cellStyle name="Notas 2 5 2 7 4" xfId="20993"/>
    <cellStyle name="Notas 2 5 2 7 4 2" xfId="20994"/>
    <cellStyle name="Notas 2 5 2 7 4 3" xfId="20995"/>
    <cellStyle name="Notas 2 5 2 7 4 4" xfId="20996"/>
    <cellStyle name="Notas 2 5 2 7 5" xfId="20997"/>
    <cellStyle name="Notas 2 5 2 7 6" xfId="20998"/>
    <cellStyle name="Notas 2 5 2 7 7" xfId="20999"/>
    <cellStyle name="Notas 2 5 2 7 8" xfId="21000"/>
    <cellStyle name="Notas 2 5 2 8" xfId="21001"/>
    <cellStyle name="Notas 2 5 2 8 2" xfId="21002"/>
    <cellStyle name="Notas 2 5 2 8 3" xfId="21003"/>
    <cellStyle name="Notas 2 5 2 8 4" xfId="21004"/>
    <cellStyle name="Notas 2 5 2 9" xfId="21005"/>
    <cellStyle name="Notas 2 5 2 9 2" xfId="21006"/>
    <cellStyle name="Notas 2 5 2 9 3" xfId="21007"/>
    <cellStyle name="Notas 2 5 2 9 4" xfId="21008"/>
    <cellStyle name="Notas 2 5 3" xfId="21009"/>
    <cellStyle name="Notas 2 5 3 2" xfId="21010"/>
    <cellStyle name="Notas 2 5 3 2 2" xfId="21011"/>
    <cellStyle name="Notas 2 5 3 2 2 2" xfId="21012"/>
    <cellStyle name="Notas 2 5 3 2 2 3" xfId="21013"/>
    <cellStyle name="Notas 2 5 3 2 2 4" xfId="21014"/>
    <cellStyle name="Notas 2 5 3 2 3" xfId="21015"/>
    <cellStyle name="Notas 2 5 3 2 3 2" xfId="21016"/>
    <cellStyle name="Notas 2 5 3 2 3 3" xfId="21017"/>
    <cellStyle name="Notas 2 5 3 2 3 4" xfId="21018"/>
    <cellStyle name="Notas 2 5 3 2 4" xfId="21019"/>
    <cellStyle name="Notas 2 5 3 2 4 2" xfId="21020"/>
    <cellStyle name="Notas 2 5 3 2 4 3" xfId="21021"/>
    <cellStyle name="Notas 2 5 3 2 4 4" xfId="21022"/>
    <cellStyle name="Notas 2 5 3 2 5" xfId="21023"/>
    <cellStyle name="Notas 2 5 3 2 6" xfId="21024"/>
    <cellStyle name="Notas 2 5 3 2 7" xfId="21025"/>
    <cellStyle name="Notas 2 5 3 2 8" xfId="21026"/>
    <cellStyle name="Notas 2 5 3 3" xfId="21027"/>
    <cellStyle name="Notas 2 5 3 3 2" xfId="21028"/>
    <cellStyle name="Notas 2 5 3 3 2 2" xfId="21029"/>
    <cellStyle name="Notas 2 5 3 3 2 3" xfId="21030"/>
    <cellStyle name="Notas 2 5 3 3 2 4" xfId="21031"/>
    <cellStyle name="Notas 2 5 3 3 3" xfId="21032"/>
    <cellStyle name="Notas 2 5 3 3 3 2" xfId="21033"/>
    <cellStyle name="Notas 2 5 3 3 3 3" xfId="21034"/>
    <cellStyle name="Notas 2 5 3 3 3 4" xfId="21035"/>
    <cellStyle name="Notas 2 5 3 3 4" xfId="21036"/>
    <cellStyle name="Notas 2 5 3 3 4 2" xfId="21037"/>
    <cellStyle name="Notas 2 5 3 3 4 3" xfId="21038"/>
    <cellStyle name="Notas 2 5 3 3 4 4" xfId="21039"/>
    <cellStyle name="Notas 2 5 3 3 5" xfId="21040"/>
    <cellStyle name="Notas 2 5 3 3 6" xfId="21041"/>
    <cellStyle name="Notas 2 5 3 3 7" xfId="21042"/>
    <cellStyle name="Notas 2 5 3 3 8" xfId="21043"/>
    <cellStyle name="Notas 2 5 3 4" xfId="21044"/>
    <cellStyle name="Notas 2 5 3 4 2" xfId="21045"/>
    <cellStyle name="Notas 2 5 3 4 2 2" xfId="21046"/>
    <cellStyle name="Notas 2 5 3 4 2 3" xfId="21047"/>
    <cellStyle name="Notas 2 5 3 4 2 4" xfId="21048"/>
    <cellStyle name="Notas 2 5 3 4 3" xfId="21049"/>
    <cellStyle name="Notas 2 5 3 4 3 2" xfId="21050"/>
    <cellStyle name="Notas 2 5 3 4 3 3" xfId="21051"/>
    <cellStyle name="Notas 2 5 3 4 3 4" xfId="21052"/>
    <cellStyle name="Notas 2 5 3 4 4" xfId="21053"/>
    <cellStyle name="Notas 2 5 3 4 4 2" xfId="21054"/>
    <cellStyle name="Notas 2 5 3 4 4 3" xfId="21055"/>
    <cellStyle name="Notas 2 5 3 4 4 4" xfId="21056"/>
    <cellStyle name="Notas 2 5 3 4 5" xfId="21057"/>
    <cellStyle name="Notas 2 5 3 4 6" xfId="21058"/>
    <cellStyle name="Notas 2 5 3 4 7" xfId="21059"/>
    <cellStyle name="Notas 2 5 3 4 8" xfId="21060"/>
    <cellStyle name="Notas 2 5 3 5" xfId="21061"/>
    <cellStyle name="Notas 2 5 3 5 2" xfId="21062"/>
    <cellStyle name="Notas 2 5 3 5 2 2" xfId="21063"/>
    <cellStyle name="Notas 2 5 3 5 2 3" xfId="21064"/>
    <cellStyle name="Notas 2 5 3 5 2 4" xfId="21065"/>
    <cellStyle name="Notas 2 5 3 5 3" xfId="21066"/>
    <cellStyle name="Notas 2 5 3 5 3 2" xfId="21067"/>
    <cellStyle name="Notas 2 5 3 5 3 3" xfId="21068"/>
    <cellStyle name="Notas 2 5 3 5 3 4" xfId="21069"/>
    <cellStyle name="Notas 2 5 3 5 4" xfId="21070"/>
    <cellStyle name="Notas 2 5 3 5 4 2" xfId="21071"/>
    <cellStyle name="Notas 2 5 3 5 4 3" xfId="21072"/>
    <cellStyle name="Notas 2 5 3 5 4 4" xfId="21073"/>
    <cellStyle name="Notas 2 5 3 5 5" xfId="21074"/>
    <cellStyle name="Notas 2 5 3 5 6" xfId="21075"/>
    <cellStyle name="Notas 2 5 3 5 7" xfId="21076"/>
    <cellStyle name="Notas 2 5 3 5 8" xfId="21077"/>
    <cellStyle name="Notas 2 5 3 6" xfId="21078"/>
    <cellStyle name="Notas 2 5 3 6 2" xfId="21079"/>
    <cellStyle name="Notas 2 5 3 6 3" xfId="21080"/>
    <cellStyle name="Notas 2 5 3 6 4" xfId="21081"/>
    <cellStyle name="Notas 2 5 3 7" xfId="21082"/>
    <cellStyle name="Notas 2 5 3 7 2" xfId="21083"/>
    <cellStyle name="Notas 2 5 3 7 3" xfId="21084"/>
    <cellStyle name="Notas 2 5 3 7 4" xfId="21085"/>
    <cellStyle name="Notas 2 5 3 8" xfId="21086"/>
    <cellStyle name="Notas 2 5 3 9" xfId="21087"/>
    <cellStyle name="Notas 2 5 4" xfId="21088"/>
    <cellStyle name="Notas 2 5 4 2" xfId="21089"/>
    <cellStyle name="Notas 2 5 4 2 2" xfId="21090"/>
    <cellStyle name="Notas 2 5 4 2 3" xfId="21091"/>
    <cellStyle name="Notas 2 5 4 2 4" xfId="21092"/>
    <cellStyle name="Notas 2 5 4 3" xfId="21093"/>
    <cellStyle name="Notas 2 5 4 3 2" xfId="21094"/>
    <cellStyle name="Notas 2 5 4 3 3" xfId="21095"/>
    <cellStyle name="Notas 2 5 4 3 4" xfId="21096"/>
    <cellStyle name="Notas 2 5 4 4" xfId="21097"/>
    <cellStyle name="Notas 2 5 4 4 2" xfId="21098"/>
    <cellStyle name="Notas 2 5 4 4 3" xfId="21099"/>
    <cellStyle name="Notas 2 5 4 4 4" xfId="21100"/>
    <cellStyle name="Notas 2 5 4 5" xfId="21101"/>
    <cellStyle name="Notas 2 5 4 6" xfId="21102"/>
    <cellStyle name="Notas 2 5 4 7" xfId="21103"/>
    <cellStyle name="Notas 2 5 4 8" xfId="21104"/>
    <cellStyle name="Notas 2 5 5" xfId="21105"/>
    <cellStyle name="Notas 2 5 5 2" xfId="21106"/>
    <cellStyle name="Notas 2 5 5 2 2" xfId="21107"/>
    <cellStyle name="Notas 2 5 5 2 3" xfId="21108"/>
    <cellStyle name="Notas 2 5 5 2 4" xfId="21109"/>
    <cellStyle name="Notas 2 5 5 3" xfId="21110"/>
    <cellStyle name="Notas 2 5 5 3 2" xfId="21111"/>
    <cellStyle name="Notas 2 5 5 3 3" xfId="21112"/>
    <cellStyle name="Notas 2 5 5 3 4" xfId="21113"/>
    <cellStyle name="Notas 2 5 5 4" xfId="21114"/>
    <cellStyle name="Notas 2 5 5 4 2" xfId="21115"/>
    <cellStyle name="Notas 2 5 5 4 3" xfId="21116"/>
    <cellStyle name="Notas 2 5 5 4 4" xfId="21117"/>
    <cellStyle name="Notas 2 5 5 5" xfId="21118"/>
    <cellStyle name="Notas 2 5 5 6" xfId="21119"/>
    <cellStyle name="Notas 2 5 5 7" xfId="21120"/>
    <cellStyle name="Notas 2 5 5 8" xfId="21121"/>
    <cellStyle name="Notas 2 5 6" xfId="21122"/>
    <cellStyle name="Notas 2 5 6 2" xfId="21123"/>
    <cellStyle name="Notas 2 5 6 2 2" xfId="21124"/>
    <cellStyle name="Notas 2 5 6 2 3" xfId="21125"/>
    <cellStyle name="Notas 2 5 6 2 4" xfId="21126"/>
    <cellStyle name="Notas 2 5 6 3" xfId="21127"/>
    <cellStyle name="Notas 2 5 6 3 2" xfId="21128"/>
    <cellStyle name="Notas 2 5 6 3 3" xfId="21129"/>
    <cellStyle name="Notas 2 5 6 3 4" xfId="21130"/>
    <cellStyle name="Notas 2 5 6 4" xfId="21131"/>
    <cellStyle name="Notas 2 5 6 4 2" xfId="21132"/>
    <cellStyle name="Notas 2 5 6 4 3" xfId="21133"/>
    <cellStyle name="Notas 2 5 6 4 4" xfId="21134"/>
    <cellStyle name="Notas 2 5 6 5" xfId="21135"/>
    <cellStyle name="Notas 2 5 6 6" xfId="21136"/>
    <cellStyle name="Notas 2 5 6 7" xfId="21137"/>
    <cellStyle name="Notas 2 5 6 8" xfId="21138"/>
    <cellStyle name="Notas 2 5 7" xfId="21139"/>
    <cellStyle name="Notas 2 5 7 2" xfId="21140"/>
    <cellStyle name="Notas 2 5 7 2 2" xfId="21141"/>
    <cellStyle name="Notas 2 5 7 2 3" xfId="21142"/>
    <cellStyle name="Notas 2 5 7 2 4" xfId="21143"/>
    <cellStyle name="Notas 2 5 7 3" xfId="21144"/>
    <cellStyle name="Notas 2 5 7 3 2" xfId="21145"/>
    <cellStyle name="Notas 2 5 7 3 3" xfId="21146"/>
    <cellStyle name="Notas 2 5 7 3 4" xfId="21147"/>
    <cellStyle name="Notas 2 5 7 4" xfId="21148"/>
    <cellStyle name="Notas 2 5 7 4 2" xfId="21149"/>
    <cellStyle name="Notas 2 5 7 4 3" xfId="21150"/>
    <cellStyle name="Notas 2 5 7 4 4" xfId="21151"/>
    <cellStyle name="Notas 2 5 7 5" xfId="21152"/>
    <cellStyle name="Notas 2 5 7 6" xfId="21153"/>
    <cellStyle name="Notas 2 5 7 7" xfId="21154"/>
    <cellStyle name="Notas 2 5 7 8" xfId="21155"/>
    <cellStyle name="Notas 2 5 8" xfId="21156"/>
    <cellStyle name="Notas 2 5 8 2" xfId="21157"/>
    <cellStyle name="Notas 2 5 8 2 2" xfId="21158"/>
    <cellStyle name="Notas 2 5 8 2 3" xfId="21159"/>
    <cellStyle name="Notas 2 5 8 2 4" xfId="21160"/>
    <cellStyle name="Notas 2 5 8 3" xfId="21161"/>
    <cellStyle name="Notas 2 5 8 3 2" xfId="21162"/>
    <cellStyle name="Notas 2 5 8 3 3" xfId="21163"/>
    <cellStyle name="Notas 2 5 8 3 4" xfId="21164"/>
    <cellStyle name="Notas 2 5 8 4" xfId="21165"/>
    <cellStyle name="Notas 2 5 8 4 2" xfId="21166"/>
    <cellStyle name="Notas 2 5 8 4 3" xfId="21167"/>
    <cellStyle name="Notas 2 5 8 4 4" xfId="21168"/>
    <cellStyle name="Notas 2 5 8 5" xfId="21169"/>
    <cellStyle name="Notas 2 5 8 6" xfId="21170"/>
    <cellStyle name="Notas 2 5 8 7" xfId="21171"/>
    <cellStyle name="Notas 2 5 8 8" xfId="21172"/>
    <cellStyle name="Notas 2 5 9" xfId="21173"/>
    <cellStyle name="Notas 2 5 9 2" xfId="21174"/>
    <cellStyle name="Notas 2 5 9 3" xfId="21175"/>
    <cellStyle name="Notas 2 5 9 4" xfId="21176"/>
    <cellStyle name="Notas 2 6" xfId="21177"/>
    <cellStyle name="Notas 2 6 10" xfId="21178"/>
    <cellStyle name="Notas 2 6 11" xfId="21179"/>
    <cellStyle name="Notas 2 6 2" xfId="21180"/>
    <cellStyle name="Notas 2 6 2 2" xfId="21181"/>
    <cellStyle name="Notas 2 6 2 2 2" xfId="21182"/>
    <cellStyle name="Notas 2 6 2 2 2 2" xfId="21183"/>
    <cellStyle name="Notas 2 6 2 2 2 3" xfId="21184"/>
    <cellStyle name="Notas 2 6 2 2 2 4" xfId="21185"/>
    <cellStyle name="Notas 2 6 2 2 3" xfId="21186"/>
    <cellStyle name="Notas 2 6 2 2 3 2" xfId="21187"/>
    <cellStyle name="Notas 2 6 2 2 3 3" xfId="21188"/>
    <cellStyle name="Notas 2 6 2 2 3 4" xfId="21189"/>
    <cellStyle name="Notas 2 6 2 2 4" xfId="21190"/>
    <cellStyle name="Notas 2 6 2 2 4 2" xfId="21191"/>
    <cellStyle name="Notas 2 6 2 2 4 3" xfId="21192"/>
    <cellStyle name="Notas 2 6 2 2 4 4" xfId="21193"/>
    <cellStyle name="Notas 2 6 2 2 5" xfId="21194"/>
    <cellStyle name="Notas 2 6 2 2 6" xfId="21195"/>
    <cellStyle name="Notas 2 6 2 2 7" xfId="21196"/>
    <cellStyle name="Notas 2 6 2 2 8" xfId="21197"/>
    <cellStyle name="Notas 2 6 2 3" xfId="21198"/>
    <cellStyle name="Notas 2 6 2 3 2" xfId="21199"/>
    <cellStyle name="Notas 2 6 2 3 2 2" xfId="21200"/>
    <cellStyle name="Notas 2 6 2 3 2 3" xfId="21201"/>
    <cellStyle name="Notas 2 6 2 3 2 4" xfId="21202"/>
    <cellStyle name="Notas 2 6 2 3 3" xfId="21203"/>
    <cellStyle name="Notas 2 6 2 3 3 2" xfId="21204"/>
    <cellStyle name="Notas 2 6 2 3 3 3" xfId="21205"/>
    <cellStyle name="Notas 2 6 2 3 3 4" xfId="21206"/>
    <cellStyle name="Notas 2 6 2 3 4" xfId="21207"/>
    <cellStyle name="Notas 2 6 2 3 4 2" xfId="21208"/>
    <cellStyle name="Notas 2 6 2 3 4 3" xfId="21209"/>
    <cellStyle name="Notas 2 6 2 3 4 4" xfId="21210"/>
    <cellStyle name="Notas 2 6 2 3 5" xfId="21211"/>
    <cellStyle name="Notas 2 6 2 3 6" xfId="21212"/>
    <cellStyle name="Notas 2 6 2 3 7" xfId="21213"/>
    <cellStyle name="Notas 2 6 2 3 8" xfId="21214"/>
    <cellStyle name="Notas 2 6 2 4" xfId="21215"/>
    <cellStyle name="Notas 2 6 2 4 2" xfId="21216"/>
    <cellStyle name="Notas 2 6 2 4 2 2" xfId="21217"/>
    <cellStyle name="Notas 2 6 2 4 2 3" xfId="21218"/>
    <cellStyle name="Notas 2 6 2 4 2 4" xfId="21219"/>
    <cellStyle name="Notas 2 6 2 4 3" xfId="21220"/>
    <cellStyle name="Notas 2 6 2 4 3 2" xfId="21221"/>
    <cellStyle name="Notas 2 6 2 4 3 3" xfId="21222"/>
    <cellStyle name="Notas 2 6 2 4 3 4" xfId="21223"/>
    <cellStyle name="Notas 2 6 2 4 4" xfId="21224"/>
    <cellStyle name="Notas 2 6 2 4 4 2" xfId="21225"/>
    <cellStyle name="Notas 2 6 2 4 4 3" xfId="21226"/>
    <cellStyle name="Notas 2 6 2 4 4 4" xfId="21227"/>
    <cellStyle name="Notas 2 6 2 4 5" xfId="21228"/>
    <cellStyle name="Notas 2 6 2 4 6" xfId="21229"/>
    <cellStyle name="Notas 2 6 2 4 7" xfId="21230"/>
    <cellStyle name="Notas 2 6 2 4 8" xfId="21231"/>
    <cellStyle name="Notas 2 6 2 5" xfId="21232"/>
    <cellStyle name="Notas 2 6 2 5 2" xfId="21233"/>
    <cellStyle name="Notas 2 6 2 5 2 2" xfId="21234"/>
    <cellStyle name="Notas 2 6 2 5 2 3" xfId="21235"/>
    <cellStyle name="Notas 2 6 2 5 2 4" xfId="21236"/>
    <cellStyle name="Notas 2 6 2 5 3" xfId="21237"/>
    <cellStyle name="Notas 2 6 2 5 3 2" xfId="21238"/>
    <cellStyle name="Notas 2 6 2 5 3 3" xfId="21239"/>
    <cellStyle name="Notas 2 6 2 5 3 4" xfId="21240"/>
    <cellStyle name="Notas 2 6 2 5 4" xfId="21241"/>
    <cellStyle name="Notas 2 6 2 5 4 2" xfId="21242"/>
    <cellStyle name="Notas 2 6 2 5 4 3" xfId="21243"/>
    <cellStyle name="Notas 2 6 2 5 4 4" xfId="21244"/>
    <cellStyle name="Notas 2 6 2 5 5" xfId="21245"/>
    <cellStyle name="Notas 2 6 2 5 6" xfId="21246"/>
    <cellStyle name="Notas 2 6 2 5 7" xfId="21247"/>
    <cellStyle name="Notas 2 6 2 5 8" xfId="21248"/>
    <cellStyle name="Notas 2 6 2 6" xfId="21249"/>
    <cellStyle name="Notas 2 6 2 6 2" xfId="21250"/>
    <cellStyle name="Notas 2 6 2 6 3" xfId="21251"/>
    <cellStyle name="Notas 2 6 2 6 4" xfId="21252"/>
    <cellStyle name="Notas 2 6 2 7" xfId="21253"/>
    <cellStyle name="Notas 2 6 2 7 2" xfId="21254"/>
    <cellStyle name="Notas 2 6 2 7 3" xfId="21255"/>
    <cellStyle name="Notas 2 6 2 7 4" xfId="21256"/>
    <cellStyle name="Notas 2 6 2 8" xfId="21257"/>
    <cellStyle name="Notas 2 6 2 9" xfId="21258"/>
    <cellStyle name="Notas 2 6 3" xfId="21259"/>
    <cellStyle name="Notas 2 6 3 2" xfId="21260"/>
    <cellStyle name="Notas 2 6 3 2 2" xfId="21261"/>
    <cellStyle name="Notas 2 6 3 2 3" xfId="21262"/>
    <cellStyle name="Notas 2 6 3 2 4" xfId="21263"/>
    <cellStyle name="Notas 2 6 3 3" xfId="21264"/>
    <cellStyle name="Notas 2 6 3 3 2" xfId="21265"/>
    <cellStyle name="Notas 2 6 3 3 3" xfId="21266"/>
    <cellStyle name="Notas 2 6 3 3 4" xfId="21267"/>
    <cellStyle name="Notas 2 6 3 4" xfId="21268"/>
    <cellStyle name="Notas 2 6 3 4 2" xfId="21269"/>
    <cellStyle name="Notas 2 6 3 4 3" xfId="21270"/>
    <cellStyle name="Notas 2 6 3 4 4" xfId="21271"/>
    <cellStyle name="Notas 2 6 3 5" xfId="21272"/>
    <cellStyle name="Notas 2 6 3 6" xfId="21273"/>
    <cellStyle name="Notas 2 6 3 7" xfId="21274"/>
    <cellStyle name="Notas 2 6 3 8" xfId="21275"/>
    <cellStyle name="Notas 2 6 4" xfId="21276"/>
    <cellStyle name="Notas 2 6 4 2" xfId="21277"/>
    <cellStyle name="Notas 2 6 4 2 2" xfId="21278"/>
    <cellStyle name="Notas 2 6 4 2 3" xfId="21279"/>
    <cellStyle name="Notas 2 6 4 2 4" xfId="21280"/>
    <cellStyle name="Notas 2 6 4 3" xfId="21281"/>
    <cellStyle name="Notas 2 6 4 3 2" xfId="21282"/>
    <cellStyle name="Notas 2 6 4 3 3" xfId="21283"/>
    <cellStyle name="Notas 2 6 4 3 4" xfId="21284"/>
    <cellStyle name="Notas 2 6 4 4" xfId="21285"/>
    <cellStyle name="Notas 2 6 4 4 2" xfId="21286"/>
    <cellStyle name="Notas 2 6 4 4 3" xfId="21287"/>
    <cellStyle name="Notas 2 6 4 4 4" xfId="21288"/>
    <cellStyle name="Notas 2 6 4 5" xfId="21289"/>
    <cellStyle name="Notas 2 6 4 6" xfId="21290"/>
    <cellStyle name="Notas 2 6 4 7" xfId="21291"/>
    <cellStyle name="Notas 2 6 4 8" xfId="21292"/>
    <cellStyle name="Notas 2 6 5" xfId="21293"/>
    <cellStyle name="Notas 2 6 5 2" xfId="21294"/>
    <cellStyle name="Notas 2 6 5 2 2" xfId="21295"/>
    <cellStyle name="Notas 2 6 5 2 3" xfId="21296"/>
    <cellStyle name="Notas 2 6 5 2 4" xfId="21297"/>
    <cellStyle name="Notas 2 6 5 3" xfId="21298"/>
    <cellStyle name="Notas 2 6 5 3 2" xfId="21299"/>
    <cellStyle name="Notas 2 6 5 3 3" xfId="21300"/>
    <cellStyle name="Notas 2 6 5 3 4" xfId="21301"/>
    <cellStyle name="Notas 2 6 5 4" xfId="21302"/>
    <cellStyle name="Notas 2 6 5 4 2" xfId="21303"/>
    <cellStyle name="Notas 2 6 5 4 3" xfId="21304"/>
    <cellStyle name="Notas 2 6 5 4 4" xfId="21305"/>
    <cellStyle name="Notas 2 6 5 5" xfId="21306"/>
    <cellStyle name="Notas 2 6 5 6" xfId="21307"/>
    <cellStyle name="Notas 2 6 5 7" xfId="21308"/>
    <cellStyle name="Notas 2 6 5 8" xfId="21309"/>
    <cellStyle name="Notas 2 6 6" xfId="21310"/>
    <cellStyle name="Notas 2 6 6 2" xfId="21311"/>
    <cellStyle name="Notas 2 6 6 2 2" xfId="21312"/>
    <cellStyle name="Notas 2 6 6 2 3" xfId="21313"/>
    <cellStyle name="Notas 2 6 6 2 4" xfId="21314"/>
    <cellStyle name="Notas 2 6 6 3" xfId="21315"/>
    <cellStyle name="Notas 2 6 6 3 2" xfId="21316"/>
    <cellStyle name="Notas 2 6 6 3 3" xfId="21317"/>
    <cellStyle name="Notas 2 6 6 3 4" xfId="21318"/>
    <cellStyle name="Notas 2 6 6 4" xfId="21319"/>
    <cellStyle name="Notas 2 6 6 4 2" xfId="21320"/>
    <cellStyle name="Notas 2 6 6 4 3" xfId="21321"/>
    <cellStyle name="Notas 2 6 6 4 4" xfId="21322"/>
    <cellStyle name="Notas 2 6 6 5" xfId="21323"/>
    <cellStyle name="Notas 2 6 6 6" xfId="21324"/>
    <cellStyle name="Notas 2 6 6 7" xfId="21325"/>
    <cellStyle name="Notas 2 6 6 8" xfId="21326"/>
    <cellStyle name="Notas 2 6 7" xfId="21327"/>
    <cellStyle name="Notas 2 6 7 2" xfId="21328"/>
    <cellStyle name="Notas 2 6 7 2 2" xfId="21329"/>
    <cellStyle name="Notas 2 6 7 2 3" xfId="21330"/>
    <cellStyle name="Notas 2 6 7 2 4" xfId="21331"/>
    <cellStyle name="Notas 2 6 7 3" xfId="21332"/>
    <cellStyle name="Notas 2 6 7 3 2" xfId="21333"/>
    <cellStyle name="Notas 2 6 7 3 3" xfId="21334"/>
    <cellStyle name="Notas 2 6 7 3 4" xfId="21335"/>
    <cellStyle name="Notas 2 6 7 4" xfId="21336"/>
    <cellStyle name="Notas 2 6 7 4 2" xfId="21337"/>
    <cellStyle name="Notas 2 6 7 4 3" xfId="21338"/>
    <cellStyle name="Notas 2 6 7 4 4" xfId="21339"/>
    <cellStyle name="Notas 2 6 7 5" xfId="21340"/>
    <cellStyle name="Notas 2 6 7 6" xfId="21341"/>
    <cellStyle name="Notas 2 6 7 7" xfId="21342"/>
    <cellStyle name="Notas 2 6 7 8" xfId="21343"/>
    <cellStyle name="Notas 2 6 8" xfId="21344"/>
    <cellStyle name="Notas 2 6 8 2" xfId="21345"/>
    <cellStyle name="Notas 2 6 8 3" xfId="21346"/>
    <cellStyle name="Notas 2 6 8 4" xfId="21347"/>
    <cellStyle name="Notas 2 6 9" xfId="21348"/>
    <cellStyle name="Notas 2 6 9 2" xfId="21349"/>
    <cellStyle name="Notas 2 6 9 3" xfId="21350"/>
    <cellStyle name="Notas 2 6 9 4" xfId="21351"/>
    <cellStyle name="Notas 2 7" xfId="21352"/>
    <cellStyle name="Notas 2 7 10" xfId="21353"/>
    <cellStyle name="Notas 2 7 11" xfId="21354"/>
    <cellStyle name="Notas 2 7 12" xfId="21355"/>
    <cellStyle name="Notas 2 7 2" xfId="21356"/>
    <cellStyle name="Notas 2 7 2 2" xfId="21357"/>
    <cellStyle name="Notas 2 7 2 2 2" xfId="21358"/>
    <cellStyle name="Notas 2 7 2 2 3" xfId="21359"/>
    <cellStyle name="Notas 2 7 2 2 4" xfId="21360"/>
    <cellStyle name="Notas 2 7 2 3" xfId="21361"/>
    <cellStyle name="Notas 2 7 2 3 2" xfId="21362"/>
    <cellStyle name="Notas 2 7 2 3 3" xfId="21363"/>
    <cellStyle name="Notas 2 7 2 3 4" xfId="21364"/>
    <cellStyle name="Notas 2 7 2 4" xfId="21365"/>
    <cellStyle name="Notas 2 7 2 4 2" xfId="21366"/>
    <cellStyle name="Notas 2 7 2 4 3" xfId="21367"/>
    <cellStyle name="Notas 2 7 2 4 4" xfId="21368"/>
    <cellStyle name="Notas 2 7 2 5" xfId="21369"/>
    <cellStyle name="Notas 2 7 2 6" xfId="21370"/>
    <cellStyle name="Notas 2 7 2 7" xfId="21371"/>
    <cellStyle name="Notas 2 7 2 8" xfId="21372"/>
    <cellStyle name="Notas 2 7 3" xfId="21373"/>
    <cellStyle name="Notas 2 7 3 2" xfId="21374"/>
    <cellStyle name="Notas 2 7 3 2 2" xfId="21375"/>
    <cellStyle name="Notas 2 7 3 2 3" xfId="21376"/>
    <cellStyle name="Notas 2 7 3 2 4" xfId="21377"/>
    <cellStyle name="Notas 2 7 3 3" xfId="21378"/>
    <cellStyle name="Notas 2 7 3 3 2" xfId="21379"/>
    <cellStyle name="Notas 2 7 3 3 3" xfId="21380"/>
    <cellStyle name="Notas 2 7 3 3 4" xfId="21381"/>
    <cellStyle name="Notas 2 7 3 4" xfId="21382"/>
    <cellStyle name="Notas 2 7 3 4 2" xfId="21383"/>
    <cellStyle name="Notas 2 7 3 4 3" xfId="21384"/>
    <cellStyle name="Notas 2 7 3 4 4" xfId="21385"/>
    <cellStyle name="Notas 2 7 3 5" xfId="21386"/>
    <cellStyle name="Notas 2 7 3 6" xfId="21387"/>
    <cellStyle name="Notas 2 7 3 7" xfId="21388"/>
    <cellStyle name="Notas 2 7 3 8" xfId="21389"/>
    <cellStyle name="Notas 2 7 4" xfId="21390"/>
    <cellStyle name="Notas 2 7 4 2" xfId="21391"/>
    <cellStyle name="Notas 2 7 4 2 2" xfId="21392"/>
    <cellStyle name="Notas 2 7 4 2 3" xfId="21393"/>
    <cellStyle name="Notas 2 7 4 2 4" xfId="21394"/>
    <cellStyle name="Notas 2 7 4 3" xfId="21395"/>
    <cellStyle name="Notas 2 7 4 3 2" xfId="21396"/>
    <cellStyle name="Notas 2 7 4 3 3" xfId="21397"/>
    <cellStyle name="Notas 2 7 4 3 4" xfId="21398"/>
    <cellStyle name="Notas 2 7 4 4" xfId="21399"/>
    <cellStyle name="Notas 2 7 4 4 2" xfId="21400"/>
    <cellStyle name="Notas 2 7 4 4 3" xfId="21401"/>
    <cellStyle name="Notas 2 7 4 4 4" xfId="21402"/>
    <cellStyle name="Notas 2 7 4 5" xfId="21403"/>
    <cellStyle name="Notas 2 7 4 6" xfId="21404"/>
    <cellStyle name="Notas 2 7 4 7" xfId="21405"/>
    <cellStyle name="Notas 2 7 4 8" xfId="21406"/>
    <cellStyle name="Notas 2 7 5" xfId="21407"/>
    <cellStyle name="Notas 2 7 5 2" xfId="21408"/>
    <cellStyle name="Notas 2 7 5 2 2" xfId="21409"/>
    <cellStyle name="Notas 2 7 5 2 3" xfId="21410"/>
    <cellStyle name="Notas 2 7 5 2 4" xfId="21411"/>
    <cellStyle name="Notas 2 7 5 3" xfId="21412"/>
    <cellStyle name="Notas 2 7 5 3 2" xfId="21413"/>
    <cellStyle name="Notas 2 7 5 3 3" xfId="21414"/>
    <cellStyle name="Notas 2 7 5 3 4" xfId="21415"/>
    <cellStyle name="Notas 2 7 5 4" xfId="21416"/>
    <cellStyle name="Notas 2 7 5 4 2" xfId="21417"/>
    <cellStyle name="Notas 2 7 5 4 3" xfId="21418"/>
    <cellStyle name="Notas 2 7 5 4 4" xfId="21419"/>
    <cellStyle name="Notas 2 7 5 5" xfId="21420"/>
    <cellStyle name="Notas 2 7 5 6" xfId="21421"/>
    <cellStyle name="Notas 2 7 5 7" xfId="21422"/>
    <cellStyle name="Notas 2 7 5 8" xfId="21423"/>
    <cellStyle name="Notas 2 7 6" xfId="21424"/>
    <cellStyle name="Notas 2 7 6 2" xfId="21425"/>
    <cellStyle name="Notas 2 7 6 3" xfId="21426"/>
    <cellStyle name="Notas 2 7 6 4" xfId="21427"/>
    <cellStyle name="Notas 2 7 7" xfId="21428"/>
    <cellStyle name="Notas 2 7 7 2" xfId="21429"/>
    <cellStyle name="Notas 2 7 7 3" xfId="21430"/>
    <cellStyle name="Notas 2 7 7 4" xfId="21431"/>
    <cellStyle name="Notas 2 7 8" xfId="21432"/>
    <cellStyle name="Notas 2 7 8 2" xfId="21433"/>
    <cellStyle name="Notas 2 7 8 3" xfId="21434"/>
    <cellStyle name="Notas 2 7 8 4" xfId="21435"/>
    <cellStyle name="Notas 2 7 9" xfId="21436"/>
    <cellStyle name="Notas 2 8" xfId="21437"/>
    <cellStyle name="Notas 2 8 2" xfId="21438"/>
    <cellStyle name="Notas 2 8 2 2" xfId="21439"/>
    <cellStyle name="Notas 2 8 2 3" xfId="21440"/>
    <cellStyle name="Notas 2 8 2 4" xfId="21441"/>
    <cellStyle name="Notas 2 8 3" xfId="21442"/>
    <cellStyle name="Notas 2 8 3 2" xfId="21443"/>
    <cellStyle name="Notas 2 8 3 3" xfId="21444"/>
    <cellStyle name="Notas 2 8 3 4" xfId="21445"/>
    <cellStyle name="Notas 2 8 4" xfId="21446"/>
    <cellStyle name="Notas 2 8 4 2" xfId="21447"/>
    <cellStyle name="Notas 2 8 4 3" xfId="21448"/>
    <cellStyle name="Notas 2 8 4 4" xfId="21449"/>
    <cellStyle name="Notas 2 8 5" xfId="21450"/>
    <cellStyle name="Notas 2 8 6" xfId="21451"/>
    <cellStyle name="Notas 2 8 7" xfId="21452"/>
    <cellStyle name="Notas 2 8 8" xfId="21453"/>
    <cellStyle name="Notas 2 9" xfId="21454"/>
    <cellStyle name="Notas 2 9 2" xfId="21455"/>
    <cellStyle name="Notas 2 9 2 2" xfId="21456"/>
    <cellStyle name="Notas 2 9 2 3" xfId="21457"/>
    <cellStyle name="Notas 2 9 2 4" xfId="21458"/>
    <cellStyle name="Notas 2 9 3" xfId="21459"/>
    <cellStyle name="Notas 2 9 3 2" xfId="21460"/>
    <cellStyle name="Notas 2 9 3 3" xfId="21461"/>
    <cellStyle name="Notas 2 9 3 4" xfId="21462"/>
    <cellStyle name="Notas 2 9 4" xfId="21463"/>
    <cellStyle name="Notas 2 9 4 2" xfId="21464"/>
    <cellStyle name="Notas 2 9 4 3" xfId="21465"/>
    <cellStyle name="Notas 2 9 4 4" xfId="21466"/>
    <cellStyle name="Notas 2 9 5" xfId="21467"/>
    <cellStyle name="Notas 2 9 6" xfId="21468"/>
    <cellStyle name="Notas 2 9 7" xfId="21469"/>
    <cellStyle name="Notas 2 9 8" xfId="21470"/>
    <cellStyle name="Notas 3" xfId="21471"/>
    <cellStyle name="Notas 3 10" xfId="21472"/>
    <cellStyle name="Notas 3 10 2" xfId="21473"/>
    <cellStyle name="Notas 3 10 2 2" xfId="21474"/>
    <cellStyle name="Notas 3 10 2 3" xfId="21475"/>
    <cellStyle name="Notas 3 10 2 4" xfId="21476"/>
    <cellStyle name="Notas 3 10 3" xfId="21477"/>
    <cellStyle name="Notas 3 10 3 2" xfId="21478"/>
    <cellStyle name="Notas 3 10 3 3" xfId="21479"/>
    <cellStyle name="Notas 3 10 3 4" xfId="21480"/>
    <cellStyle name="Notas 3 10 4" xfId="21481"/>
    <cellStyle name="Notas 3 10 4 2" xfId="21482"/>
    <cellStyle name="Notas 3 10 4 3" xfId="21483"/>
    <cellStyle name="Notas 3 10 4 4" xfId="21484"/>
    <cellStyle name="Notas 3 10 5" xfId="21485"/>
    <cellStyle name="Notas 3 10 6" xfId="21486"/>
    <cellStyle name="Notas 3 10 7" xfId="21487"/>
    <cellStyle name="Notas 3 10 8" xfId="21488"/>
    <cellStyle name="Notas 3 11" xfId="21489"/>
    <cellStyle name="Notas 3 11 2" xfId="21490"/>
    <cellStyle name="Notas 3 11 3" xfId="21491"/>
    <cellStyle name="Notas 3 11 4" xfId="21492"/>
    <cellStyle name="Notas 3 12" xfId="21493"/>
    <cellStyle name="Notas 3 12 2" xfId="21494"/>
    <cellStyle name="Notas 3 12 3" xfId="21495"/>
    <cellStyle name="Notas 3 12 4" xfId="21496"/>
    <cellStyle name="Notas 3 13" xfId="21497"/>
    <cellStyle name="Notas 3 14" xfId="21498"/>
    <cellStyle name="Notas 3 2" xfId="21499"/>
    <cellStyle name="Notas 3 2 10" xfId="21500"/>
    <cellStyle name="Notas 3 2 10 2" xfId="21501"/>
    <cellStyle name="Notas 3 2 10 3" xfId="21502"/>
    <cellStyle name="Notas 3 2 10 4" xfId="21503"/>
    <cellStyle name="Notas 3 2 11" xfId="21504"/>
    <cellStyle name="Notas 3 2 11 2" xfId="21505"/>
    <cellStyle name="Notas 3 2 11 3" xfId="21506"/>
    <cellStyle name="Notas 3 2 11 4" xfId="21507"/>
    <cellStyle name="Notas 3 2 12" xfId="21508"/>
    <cellStyle name="Notas 3 2 13" xfId="21509"/>
    <cellStyle name="Notas 3 2 2" xfId="21510"/>
    <cellStyle name="Notas 3 2 2 10" xfId="21511"/>
    <cellStyle name="Notas 3 2 2 11" xfId="21512"/>
    <cellStyle name="Notas 3 2 2 2" xfId="21513"/>
    <cellStyle name="Notas 3 2 2 2 2" xfId="21514"/>
    <cellStyle name="Notas 3 2 2 2 2 2" xfId="21515"/>
    <cellStyle name="Notas 3 2 2 2 2 2 2" xfId="21516"/>
    <cellStyle name="Notas 3 2 2 2 2 2 3" xfId="21517"/>
    <cellStyle name="Notas 3 2 2 2 2 2 4" xfId="21518"/>
    <cellStyle name="Notas 3 2 2 2 2 3" xfId="21519"/>
    <cellStyle name="Notas 3 2 2 2 2 3 2" xfId="21520"/>
    <cellStyle name="Notas 3 2 2 2 2 3 3" xfId="21521"/>
    <cellStyle name="Notas 3 2 2 2 2 3 4" xfId="21522"/>
    <cellStyle name="Notas 3 2 2 2 2 4" xfId="21523"/>
    <cellStyle name="Notas 3 2 2 2 2 4 2" xfId="21524"/>
    <cellStyle name="Notas 3 2 2 2 2 4 3" xfId="21525"/>
    <cellStyle name="Notas 3 2 2 2 2 4 4" xfId="21526"/>
    <cellStyle name="Notas 3 2 2 2 2 5" xfId="21527"/>
    <cellStyle name="Notas 3 2 2 2 2 6" xfId="21528"/>
    <cellStyle name="Notas 3 2 2 2 2 7" xfId="21529"/>
    <cellStyle name="Notas 3 2 2 2 2 8" xfId="21530"/>
    <cellStyle name="Notas 3 2 2 2 3" xfId="21531"/>
    <cellStyle name="Notas 3 2 2 2 3 2" xfId="21532"/>
    <cellStyle name="Notas 3 2 2 2 3 2 2" xfId="21533"/>
    <cellStyle name="Notas 3 2 2 2 3 2 3" xfId="21534"/>
    <cellStyle name="Notas 3 2 2 2 3 2 4" xfId="21535"/>
    <cellStyle name="Notas 3 2 2 2 3 3" xfId="21536"/>
    <cellStyle name="Notas 3 2 2 2 3 3 2" xfId="21537"/>
    <cellStyle name="Notas 3 2 2 2 3 3 3" xfId="21538"/>
    <cellStyle name="Notas 3 2 2 2 3 3 4" xfId="21539"/>
    <cellStyle name="Notas 3 2 2 2 3 4" xfId="21540"/>
    <cellStyle name="Notas 3 2 2 2 3 4 2" xfId="21541"/>
    <cellStyle name="Notas 3 2 2 2 3 4 3" xfId="21542"/>
    <cellStyle name="Notas 3 2 2 2 3 4 4" xfId="21543"/>
    <cellStyle name="Notas 3 2 2 2 3 5" xfId="21544"/>
    <cellStyle name="Notas 3 2 2 2 3 6" xfId="21545"/>
    <cellStyle name="Notas 3 2 2 2 3 7" xfId="21546"/>
    <cellStyle name="Notas 3 2 2 2 3 8" xfId="21547"/>
    <cellStyle name="Notas 3 2 2 2 4" xfId="21548"/>
    <cellStyle name="Notas 3 2 2 2 4 2" xfId="21549"/>
    <cellStyle name="Notas 3 2 2 2 4 2 2" xfId="21550"/>
    <cellStyle name="Notas 3 2 2 2 4 2 3" xfId="21551"/>
    <cellStyle name="Notas 3 2 2 2 4 2 4" xfId="21552"/>
    <cellStyle name="Notas 3 2 2 2 4 3" xfId="21553"/>
    <cellStyle name="Notas 3 2 2 2 4 3 2" xfId="21554"/>
    <cellStyle name="Notas 3 2 2 2 4 3 3" xfId="21555"/>
    <cellStyle name="Notas 3 2 2 2 4 3 4" xfId="21556"/>
    <cellStyle name="Notas 3 2 2 2 4 4" xfId="21557"/>
    <cellStyle name="Notas 3 2 2 2 4 4 2" xfId="21558"/>
    <cellStyle name="Notas 3 2 2 2 4 4 3" xfId="21559"/>
    <cellStyle name="Notas 3 2 2 2 4 4 4" xfId="21560"/>
    <cellStyle name="Notas 3 2 2 2 4 5" xfId="21561"/>
    <cellStyle name="Notas 3 2 2 2 4 6" xfId="21562"/>
    <cellStyle name="Notas 3 2 2 2 4 7" xfId="21563"/>
    <cellStyle name="Notas 3 2 2 2 4 8" xfId="21564"/>
    <cellStyle name="Notas 3 2 2 2 5" xfId="21565"/>
    <cellStyle name="Notas 3 2 2 2 5 2" xfId="21566"/>
    <cellStyle name="Notas 3 2 2 2 5 2 2" xfId="21567"/>
    <cellStyle name="Notas 3 2 2 2 5 2 3" xfId="21568"/>
    <cellStyle name="Notas 3 2 2 2 5 2 4" xfId="21569"/>
    <cellStyle name="Notas 3 2 2 2 5 3" xfId="21570"/>
    <cellStyle name="Notas 3 2 2 2 5 3 2" xfId="21571"/>
    <cellStyle name="Notas 3 2 2 2 5 3 3" xfId="21572"/>
    <cellStyle name="Notas 3 2 2 2 5 3 4" xfId="21573"/>
    <cellStyle name="Notas 3 2 2 2 5 4" xfId="21574"/>
    <cellStyle name="Notas 3 2 2 2 5 4 2" xfId="21575"/>
    <cellStyle name="Notas 3 2 2 2 5 4 3" xfId="21576"/>
    <cellStyle name="Notas 3 2 2 2 5 4 4" xfId="21577"/>
    <cellStyle name="Notas 3 2 2 2 5 5" xfId="21578"/>
    <cellStyle name="Notas 3 2 2 2 5 6" xfId="21579"/>
    <cellStyle name="Notas 3 2 2 2 5 7" xfId="21580"/>
    <cellStyle name="Notas 3 2 2 2 5 8" xfId="21581"/>
    <cellStyle name="Notas 3 2 2 2 6" xfId="21582"/>
    <cellStyle name="Notas 3 2 2 2 6 2" xfId="21583"/>
    <cellStyle name="Notas 3 2 2 2 6 3" xfId="21584"/>
    <cellStyle name="Notas 3 2 2 2 6 4" xfId="21585"/>
    <cellStyle name="Notas 3 2 2 2 7" xfId="21586"/>
    <cellStyle name="Notas 3 2 2 2 7 2" xfId="21587"/>
    <cellStyle name="Notas 3 2 2 2 7 3" xfId="21588"/>
    <cellStyle name="Notas 3 2 2 2 7 4" xfId="21589"/>
    <cellStyle name="Notas 3 2 2 2 8" xfId="21590"/>
    <cellStyle name="Notas 3 2 2 2 9" xfId="21591"/>
    <cellStyle name="Notas 3 2 2 3" xfId="21592"/>
    <cellStyle name="Notas 3 2 2 3 2" xfId="21593"/>
    <cellStyle name="Notas 3 2 2 3 2 2" xfId="21594"/>
    <cellStyle name="Notas 3 2 2 3 2 3" xfId="21595"/>
    <cellStyle name="Notas 3 2 2 3 2 4" xfId="21596"/>
    <cellStyle name="Notas 3 2 2 3 3" xfId="21597"/>
    <cellStyle name="Notas 3 2 2 3 3 2" xfId="21598"/>
    <cellStyle name="Notas 3 2 2 3 3 3" xfId="21599"/>
    <cellStyle name="Notas 3 2 2 3 3 4" xfId="21600"/>
    <cellStyle name="Notas 3 2 2 3 4" xfId="21601"/>
    <cellStyle name="Notas 3 2 2 3 4 2" xfId="21602"/>
    <cellStyle name="Notas 3 2 2 3 4 3" xfId="21603"/>
    <cellStyle name="Notas 3 2 2 3 4 4" xfId="21604"/>
    <cellStyle name="Notas 3 2 2 3 5" xfId="21605"/>
    <cellStyle name="Notas 3 2 2 3 6" xfId="21606"/>
    <cellStyle name="Notas 3 2 2 3 7" xfId="21607"/>
    <cellStyle name="Notas 3 2 2 3 8" xfId="21608"/>
    <cellStyle name="Notas 3 2 2 4" xfId="21609"/>
    <cellStyle name="Notas 3 2 2 4 2" xfId="21610"/>
    <cellStyle name="Notas 3 2 2 4 2 2" xfId="21611"/>
    <cellStyle name="Notas 3 2 2 4 2 3" xfId="21612"/>
    <cellStyle name="Notas 3 2 2 4 2 4" xfId="21613"/>
    <cellStyle name="Notas 3 2 2 4 3" xfId="21614"/>
    <cellStyle name="Notas 3 2 2 4 3 2" xfId="21615"/>
    <cellStyle name="Notas 3 2 2 4 3 3" xfId="21616"/>
    <cellStyle name="Notas 3 2 2 4 3 4" xfId="21617"/>
    <cellStyle name="Notas 3 2 2 4 4" xfId="21618"/>
    <cellStyle name="Notas 3 2 2 4 4 2" xfId="21619"/>
    <cellStyle name="Notas 3 2 2 4 4 3" xfId="21620"/>
    <cellStyle name="Notas 3 2 2 4 4 4" xfId="21621"/>
    <cellStyle name="Notas 3 2 2 4 5" xfId="21622"/>
    <cellStyle name="Notas 3 2 2 4 6" xfId="21623"/>
    <cellStyle name="Notas 3 2 2 4 7" xfId="21624"/>
    <cellStyle name="Notas 3 2 2 4 8" xfId="21625"/>
    <cellStyle name="Notas 3 2 2 5" xfId="21626"/>
    <cellStyle name="Notas 3 2 2 5 2" xfId="21627"/>
    <cellStyle name="Notas 3 2 2 5 2 2" xfId="21628"/>
    <cellStyle name="Notas 3 2 2 5 2 3" xfId="21629"/>
    <cellStyle name="Notas 3 2 2 5 2 4" xfId="21630"/>
    <cellStyle name="Notas 3 2 2 5 3" xfId="21631"/>
    <cellStyle name="Notas 3 2 2 5 3 2" xfId="21632"/>
    <cellStyle name="Notas 3 2 2 5 3 3" xfId="21633"/>
    <cellStyle name="Notas 3 2 2 5 3 4" xfId="21634"/>
    <cellStyle name="Notas 3 2 2 5 4" xfId="21635"/>
    <cellStyle name="Notas 3 2 2 5 4 2" xfId="21636"/>
    <cellStyle name="Notas 3 2 2 5 4 3" xfId="21637"/>
    <cellStyle name="Notas 3 2 2 5 4 4" xfId="21638"/>
    <cellStyle name="Notas 3 2 2 5 5" xfId="21639"/>
    <cellStyle name="Notas 3 2 2 5 6" xfId="21640"/>
    <cellStyle name="Notas 3 2 2 5 7" xfId="21641"/>
    <cellStyle name="Notas 3 2 2 5 8" xfId="21642"/>
    <cellStyle name="Notas 3 2 2 6" xfId="21643"/>
    <cellStyle name="Notas 3 2 2 6 2" xfId="21644"/>
    <cellStyle name="Notas 3 2 2 6 2 2" xfId="21645"/>
    <cellStyle name="Notas 3 2 2 6 2 3" xfId="21646"/>
    <cellStyle name="Notas 3 2 2 6 2 4" xfId="21647"/>
    <cellStyle name="Notas 3 2 2 6 3" xfId="21648"/>
    <cellStyle name="Notas 3 2 2 6 3 2" xfId="21649"/>
    <cellStyle name="Notas 3 2 2 6 3 3" xfId="21650"/>
    <cellStyle name="Notas 3 2 2 6 3 4" xfId="21651"/>
    <cellStyle name="Notas 3 2 2 6 4" xfId="21652"/>
    <cellStyle name="Notas 3 2 2 6 4 2" xfId="21653"/>
    <cellStyle name="Notas 3 2 2 6 4 3" xfId="21654"/>
    <cellStyle name="Notas 3 2 2 6 4 4" xfId="21655"/>
    <cellStyle name="Notas 3 2 2 6 5" xfId="21656"/>
    <cellStyle name="Notas 3 2 2 6 6" xfId="21657"/>
    <cellStyle name="Notas 3 2 2 6 7" xfId="21658"/>
    <cellStyle name="Notas 3 2 2 6 8" xfId="21659"/>
    <cellStyle name="Notas 3 2 2 7" xfId="21660"/>
    <cellStyle name="Notas 3 2 2 7 2" xfId="21661"/>
    <cellStyle name="Notas 3 2 2 7 2 2" xfId="21662"/>
    <cellStyle name="Notas 3 2 2 7 2 3" xfId="21663"/>
    <cellStyle name="Notas 3 2 2 7 2 4" xfId="21664"/>
    <cellStyle name="Notas 3 2 2 7 3" xfId="21665"/>
    <cellStyle name="Notas 3 2 2 7 3 2" xfId="21666"/>
    <cellStyle name="Notas 3 2 2 7 3 3" xfId="21667"/>
    <cellStyle name="Notas 3 2 2 7 3 4" xfId="21668"/>
    <cellStyle name="Notas 3 2 2 7 4" xfId="21669"/>
    <cellStyle name="Notas 3 2 2 7 4 2" xfId="21670"/>
    <cellStyle name="Notas 3 2 2 7 4 3" xfId="21671"/>
    <cellStyle name="Notas 3 2 2 7 4 4" xfId="21672"/>
    <cellStyle name="Notas 3 2 2 7 5" xfId="21673"/>
    <cellStyle name="Notas 3 2 2 7 6" xfId="21674"/>
    <cellStyle name="Notas 3 2 2 7 7" xfId="21675"/>
    <cellStyle name="Notas 3 2 2 7 8" xfId="21676"/>
    <cellStyle name="Notas 3 2 2 8" xfId="21677"/>
    <cellStyle name="Notas 3 2 2 8 2" xfId="21678"/>
    <cellStyle name="Notas 3 2 2 8 3" xfId="21679"/>
    <cellStyle name="Notas 3 2 2 8 4" xfId="21680"/>
    <cellStyle name="Notas 3 2 2 9" xfId="21681"/>
    <cellStyle name="Notas 3 2 2 9 2" xfId="21682"/>
    <cellStyle name="Notas 3 2 2 9 3" xfId="21683"/>
    <cellStyle name="Notas 3 2 2 9 4" xfId="21684"/>
    <cellStyle name="Notas 3 2 3" xfId="21685"/>
    <cellStyle name="Notas 3 2 3 10" xfId="21686"/>
    <cellStyle name="Notas 3 2 3 11" xfId="21687"/>
    <cellStyle name="Notas 3 2 3 2" xfId="21688"/>
    <cellStyle name="Notas 3 2 3 2 2" xfId="21689"/>
    <cellStyle name="Notas 3 2 3 2 2 2" xfId="21690"/>
    <cellStyle name="Notas 3 2 3 2 2 2 2" xfId="21691"/>
    <cellStyle name="Notas 3 2 3 2 2 2 3" xfId="21692"/>
    <cellStyle name="Notas 3 2 3 2 2 2 4" xfId="21693"/>
    <cellStyle name="Notas 3 2 3 2 2 3" xfId="21694"/>
    <cellStyle name="Notas 3 2 3 2 2 3 2" xfId="21695"/>
    <cellStyle name="Notas 3 2 3 2 2 3 3" xfId="21696"/>
    <cellStyle name="Notas 3 2 3 2 2 3 4" xfId="21697"/>
    <cellStyle name="Notas 3 2 3 2 2 4" xfId="21698"/>
    <cellStyle name="Notas 3 2 3 2 2 4 2" xfId="21699"/>
    <cellStyle name="Notas 3 2 3 2 2 4 3" xfId="21700"/>
    <cellStyle name="Notas 3 2 3 2 2 4 4" xfId="21701"/>
    <cellStyle name="Notas 3 2 3 2 2 5" xfId="21702"/>
    <cellStyle name="Notas 3 2 3 2 2 6" xfId="21703"/>
    <cellStyle name="Notas 3 2 3 2 2 7" xfId="21704"/>
    <cellStyle name="Notas 3 2 3 2 2 8" xfId="21705"/>
    <cellStyle name="Notas 3 2 3 2 3" xfId="21706"/>
    <cellStyle name="Notas 3 2 3 2 3 2" xfId="21707"/>
    <cellStyle name="Notas 3 2 3 2 3 2 2" xfId="21708"/>
    <cellStyle name="Notas 3 2 3 2 3 2 3" xfId="21709"/>
    <cellStyle name="Notas 3 2 3 2 3 2 4" xfId="21710"/>
    <cellStyle name="Notas 3 2 3 2 3 3" xfId="21711"/>
    <cellStyle name="Notas 3 2 3 2 3 3 2" xfId="21712"/>
    <cellStyle name="Notas 3 2 3 2 3 3 3" xfId="21713"/>
    <cellStyle name="Notas 3 2 3 2 3 3 4" xfId="21714"/>
    <cellStyle name="Notas 3 2 3 2 3 4" xfId="21715"/>
    <cellStyle name="Notas 3 2 3 2 3 4 2" xfId="21716"/>
    <cellStyle name="Notas 3 2 3 2 3 4 3" xfId="21717"/>
    <cellStyle name="Notas 3 2 3 2 3 4 4" xfId="21718"/>
    <cellStyle name="Notas 3 2 3 2 3 5" xfId="21719"/>
    <cellStyle name="Notas 3 2 3 2 3 6" xfId="21720"/>
    <cellStyle name="Notas 3 2 3 2 3 7" xfId="21721"/>
    <cellStyle name="Notas 3 2 3 2 3 8" xfId="21722"/>
    <cellStyle name="Notas 3 2 3 2 4" xfId="21723"/>
    <cellStyle name="Notas 3 2 3 2 4 2" xfId="21724"/>
    <cellStyle name="Notas 3 2 3 2 4 2 2" xfId="21725"/>
    <cellStyle name="Notas 3 2 3 2 4 2 3" xfId="21726"/>
    <cellStyle name="Notas 3 2 3 2 4 2 4" xfId="21727"/>
    <cellStyle name="Notas 3 2 3 2 4 3" xfId="21728"/>
    <cellStyle name="Notas 3 2 3 2 4 3 2" xfId="21729"/>
    <cellStyle name="Notas 3 2 3 2 4 3 3" xfId="21730"/>
    <cellStyle name="Notas 3 2 3 2 4 3 4" xfId="21731"/>
    <cellStyle name="Notas 3 2 3 2 4 4" xfId="21732"/>
    <cellStyle name="Notas 3 2 3 2 4 4 2" xfId="21733"/>
    <cellStyle name="Notas 3 2 3 2 4 4 3" xfId="21734"/>
    <cellStyle name="Notas 3 2 3 2 4 4 4" xfId="21735"/>
    <cellStyle name="Notas 3 2 3 2 4 5" xfId="21736"/>
    <cellStyle name="Notas 3 2 3 2 4 6" xfId="21737"/>
    <cellStyle name="Notas 3 2 3 2 4 7" xfId="21738"/>
    <cellStyle name="Notas 3 2 3 2 4 8" xfId="21739"/>
    <cellStyle name="Notas 3 2 3 2 5" xfId="21740"/>
    <cellStyle name="Notas 3 2 3 2 5 2" xfId="21741"/>
    <cellStyle name="Notas 3 2 3 2 5 2 2" xfId="21742"/>
    <cellStyle name="Notas 3 2 3 2 5 2 3" xfId="21743"/>
    <cellStyle name="Notas 3 2 3 2 5 2 4" xfId="21744"/>
    <cellStyle name="Notas 3 2 3 2 5 3" xfId="21745"/>
    <cellStyle name="Notas 3 2 3 2 5 3 2" xfId="21746"/>
    <cellStyle name="Notas 3 2 3 2 5 3 3" xfId="21747"/>
    <cellStyle name="Notas 3 2 3 2 5 3 4" xfId="21748"/>
    <cellStyle name="Notas 3 2 3 2 5 4" xfId="21749"/>
    <cellStyle name="Notas 3 2 3 2 5 4 2" xfId="21750"/>
    <cellStyle name="Notas 3 2 3 2 5 4 3" xfId="21751"/>
    <cellStyle name="Notas 3 2 3 2 5 4 4" xfId="21752"/>
    <cellStyle name="Notas 3 2 3 2 5 5" xfId="21753"/>
    <cellStyle name="Notas 3 2 3 2 5 6" xfId="21754"/>
    <cellStyle name="Notas 3 2 3 2 5 7" xfId="21755"/>
    <cellStyle name="Notas 3 2 3 2 5 8" xfId="21756"/>
    <cellStyle name="Notas 3 2 3 2 6" xfId="21757"/>
    <cellStyle name="Notas 3 2 3 2 6 2" xfId="21758"/>
    <cellStyle name="Notas 3 2 3 2 6 3" xfId="21759"/>
    <cellStyle name="Notas 3 2 3 2 6 4" xfId="21760"/>
    <cellStyle name="Notas 3 2 3 2 7" xfId="21761"/>
    <cellStyle name="Notas 3 2 3 2 7 2" xfId="21762"/>
    <cellStyle name="Notas 3 2 3 2 7 3" xfId="21763"/>
    <cellStyle name="Notas 3 2 3 2 7 4" xfId="21764"/>
    <cellStyle name="Notas 3 2 3 2 8" xfId="21765"/>
    <cellStyle name="Notas 3 2 3 2 9" xfId="21766"/>
    <cellStyle name="Notas 3 2 3 3" xfId="21767"/>
    <cellStyle name="Notas 3 2 3 3 2" xfId="21768"/>
    <cellStyle name="Notas 3 2 3 3 2 2" xfId="21769"/>
    <cellStyle name="Notas 3 2 3 3 2 3" xfId="21770"/>
    <cellStyle name="Notas 3 2 3 3 2 4" xfId="21771"/>
    <cellStyle name="Notas 3 2 3 3 3" xfId="21772"/>
    <cellStyle name="Notas 3 2 3 3 3 2" xfId="21773"/>
    <cellStyle name="Notas 3 2 3 3 3 3" xfId="21774"/>
    <cellStyle name="Notas 3 2 3 3 3 4" xfId="21775"/>
    <cellStyle name="Notas 3 2 3 3 4" xfId="21776"/>
    <cellStyle name="Notas 3 2 3 3 4 2" xfId="21777"/>
    <cellStyle name="Notas 3 2 3 3 4 3" xfId="21778"/>
    <cellStyle name="Notas 3 2 3 3 4 4" xfId="21779"/>
    <cellStyle name="Notas 3 2 3 3 5" xfId="21780"/>
    <cellStyle name="Notas 3 2 3 3 6" xfId="21781"/>
    <cellStyle name="Notas 3 2 3 3 7" xfId="21782"/>
    <cellStyle name="Notas 3 2 3 3 8" xfId="21783"/>
    <cellStyle name="Notas 3 2 3 4" xfId="21784"/>
    <cellStyle name="Notas 3 2 3 4 2" xfId="21785"/>
    <cellStyle name="Notas 3 2 3 4 2 2" xfId="21786"/>
    <cellStyle name="Notas 3 2 3 4 2 3" xfId="21787"/>
    <cellStyle name="Notas 3 2 3 4 2 4" xfId="21788"/>
    <cellStyle name="Notas 3 2 3 4 3" xfId="21789"/>
    <cellStyle name="Notas 3 2 3 4 3 2" xfId="21790"/>
    <cellStyle name="Notas 3 2 3 4 3 3" xfId="21791"/>
    <cellStyle name="Notas 3 2 3 4 3 4" xfId="21792"/>
    <cellStyle name="Notas 3 2 3 4 4" xfId="21793"/>
    <cellStyle name="Notas 3 2 3 4 4 2" xfId="21794"/>
    <cellStyle name="Notas 3 2 3 4 4 3" xfId="21795"/>
    <cellStyle name="Notas 3 2 3 4 4 4" xfId="21796"/>
    <cellStyle name="Notas 3 2 3 4 5" xfId="21797"/>
    <cellStyle name="Notas 3 2 3 4 6" xfId="21798"/>
    <cellStyle name="Notas 3 2 3 4 7" xfId="21799"/>
    <cellStyle name="Notas 3 2 3 4 8" xfId="21800"/>
    <cellStyle name="Notas 3 2 3 5" xfId="21801"/>
    <cellStyle name="Notas 3 2 3 5 2" xfId="21802"/>
    <cellStyle name="Notas 3 2 3 5 2 2" xfId="21803"/>
    <cellStyle name="Notas 3 2 3 5 2 3" xfId="21804"/>
    <cellStyle name="Notas 3 2 3 5 2 4" xfId="21805"/>
    <cellStyle name="Notas 3 2 3 5 3" xfId="21806"/>
    <cellStyle name="Notas 3 2 3 5 3 2" xfId="21807"/>
    <cellStyle name="Notas 3 2 3 5 3 3" xfId="21808"/>
    <cellStyle name="Notas 3 2 3 5 3 4" xfId="21809"/>
    <cellStyle name="Notas 3 2 3 5 4" xfId="21810"/>
    <cellStyle name="Notas 3 2 3 5 4 2" xfId="21811"/>
    <cellStyle name="Notas 3 2 3 5 4 3" xfId="21812"/>
    <cellStyle name="Notas 3 2 3 5 4 4" xfId="21813"/>
    <cellStyle name="Notas 3 2 3 5 5" xfId="21814"/>
    <cellStyle name="Notas 3 2 3 5 6" xfId="21815"/>
    <cellStyle name="Notas 3 2 3 5 7" xfId="21816"/>
    <cellStyle name="Notas 3 2 3 5 8" xfId="21817"/>
    <cellStyle name="Notas 3 2 3 6" xfId="21818"/>
    <cellStyle name="Notas 3 2 3 6 2" xfId="21819"/>
    <cellStyle name="Notas 3 2 3 6 2 2" xfId="21820"/>
    <cellStyle name="Notas 3 2 3 6 2 3" xfId="21821"/>
    <cellStyle name="Notas 3 2 3 6 2 4" xfId="21822"/>
    <cellStyle name="Notas 3 2 3 6 3" xfId="21823"/>
    <cellStyle name="Notas 3 2 3 6 3 2" xfId="21824"/>
    <cellStyle name="Notas 3 2 3 6 3 3" xfId="21825"/>
    <cellStyle name="Notas 3 2 3 6 3 4" xfId="21826"/>
    <cellStyle name="Notas 3 2 3 6 4" xfId="21827"/>
    <cellStyle name="Notas 3 2 3 6 4 2" xfId="21828"/>
    <cellStyle name="Notas 3 2 3 6 4 3" xfId="21829"/>
    <cellStyle name="Notas 3 2 3 6 4 4" xfId="21830"/>
    <cellStyle name="Notas 3 2 3 6 5" xfId="21831"/>
    <cellStyle name="Notas 3 2 3 6 6" xfId="21832"/>
    <cellStyle name="Notas 3 2 3 6 7" xfId="21833"/>
    <cellStyle name="Notas 3 2 3 6 8" xfId="21834"/>
    <cellStyle name="Notas 3 2 3 7" xfId="21835"/>
    <cellStyle name="Notas 3 2 3 7 2" xfId="21836"/>
    <cellStyle name="Notas 3 2 3 7 2 2" xfId="21837"/>
    <cellStyle name="Notas 3 2 3 7 2 3" xfId="21838"/>
    <cellStyle name="Notas 3 2 3 7 2 4" xfId="21839"/>
    <cellStyle name="Notas 3 2 3 7 3" xfId="21840"/>
    <cellStyle name="Notas 3 2 3 7 3 2" xfId="21841"/>
    <cellStyle name="Notas 3 2 3 7 3 3" xfId="21842"/>
    <cellStyle name="Notas 3 2 3 7 3 4" xfId="21843"/>
    <cellStyle name="Notas 3 2 3 7 4" xfId="21844"/>
    <cellStyle name="Notas 3 2 3 7 4 2" xfId="21845"/>
    <cellStyle name="Notas 3 2 3 7 4 3" xfId="21846"/>
    <cellStyle name="Notas 3 2 3 7 4 4" xfId="21847"/>
    <cellStyle name="Notas 3 2 3 7 5" xfId="21848"/>
    <cellStyle name="Notas 3 2 3 7 6" xfId="21849"/>
    <cellStyle name="Notas 3 2 3 7 7" xfId="21850"/>
    <cellStyle name="Notas 3 2 3 7 8" xfId="21851"/>
    <cellStyle name="Notas 3 2 3 8" xfId="21852"/>
    <cellStyle name="Notas 3 2 3 8 2" xfId="21853"/>
    <cellStyle name="Notas 3 2 3 8 3" xfId="21854"/>
    <cellStyle name="Notas 3 2 3 8 4" xfId="21855"/>
    <cellStyle name="Notas 3 2 3 9" xfId="21856"/>
    <cellStyle name="Notas 3 2 3 9 2" xfId="21857"/>
    <cellStyle name="Notas 3 2 3 9 3" xfId="21858"/>
    <cellStyle name="Notas 3 2 3 9 4" xfId="21859"/>
    <cellStyle name="Notas 3 2 4" xfId="21860"/>
    <cellStyle name="Notas 3 2 4 2" xfId="21861"/>
    <cellStyle name="Notas 3 2 4 2 2" xfId="21862"/>
    <cellStyle name="Notas 3 2 4 2 2 2" xfId="21863"/>
    <cellStyle name="Notas 3 2 4 2 2 3" xfId="21864"/>
    <cellStyle name="Notas 3 2 4 2 2 4" xfId="21865"/>
    <cellStyle name="Notas 3 2 4 2 3" xfId="21866"/>
    <cellStyle name="Notas 3 2 4 2 3 2" xfId="21867"/>
    <cellStyle name="Notas 3 2 4 2 3 3" xfId="21868"/>
    <cellStyle name="Notas 3 2 4 2 3 4" xfId="21869"/>
    <cellStyle name="Notas 3 2 4 2 4" xfId="21870"/>
    <cellStyle name="Notas 3 2 4 2 4 2" xfId="21871"/>
    <cellStyle name="Notas 3 2 4 2 4 3" xfId="21872"/>
    <cellStyle name="Notas 3 2 4 2 4 4" xfId="21873"/>
    <cellStyle name="Notas 3 2 4 2 5" xfId="21874"/>
    <cellStyle name="Notas 3 2 4 2 6" xfId="21875"/>
    <cellStyle name="Notas 3 2 4 2 7" xfId="21876"/>
    <cellStyle name="Notas 3 2 4 2 8" xfId="21877"/>
    <cellStyle name="Notas 3 2 4 3" xfId="21878"/>
    <cellStyle name="Notas 3 2 4 3 2" xfId="21879"/>
    <cellStyle name="Notas 3 2 4 3 2 2" xfId="21880"/>
    <cellStyle name="Notas 3 2 4 3 2 3" xfId="21881"/>
    <cellStyle name="Notas 3 2 4 3 2 4" xfId="21882"/>
    <cellStyle name="Notas 3 2 4 3 3" xfId="21883"/>
    <cellStyle name="Notas 3 2 4 3 3 2" xfId="21884"/>
    <cellStyle name="Notas 3 2 4 3 3 3" xfId="21885"/>
    <cellStyle name="Notas 3 2 4 3 3 4" xfId="21886"/>
    <cellStyle name="Notas 3 2 4 3 4" xfId="21887"/>
    <cellStyle name="Notas 3 2 4 3 4 2" xfId="21888"/>
    <cellStyle name="Notas 3 2 4 3 4 3" xfId="21889"/>
    <cellStyle name="Notas 3 2 4 3 4 4" xfId="21890"/>
    <cellStyle name="Notas 3 2 4 3 5" xfId="21891"/>
    <cellStyle name="Notas 3 2 4 3 6" xfId="21892"/>
    <cellStyle name="Notas 3 2 4 3 7" xfId="21893"/>
    <cellStyle name="Notas 3 2 4 3 8" xfId="21894"/>
    <cellStyle name="Notas 3 2 4 4" xfId="21895"/>
    <cellStyle name="Notas 3 2 4 4 2" xfId="21896"/>
    <cellStyle name="Notas 3 2 4 4 2 2" xfId="21897"/>
    <cellStyle name="Notas 3 2 4 4 2 3" xfId="21898"/>
    <cellStyle name="Notas 3 2 4 4 2 4" xfId="21899"/>
    <cellStyle name="Notas 3 2 4 4 3" xfId="21900"/>
    <cellStyle name="Notas 3 2 4 4 3 2" xfId="21901"/>
    <cellStyle name="Notas 3 2 4 4 3 3" xfId="21902"/>
    <cellStyle name="Notas 3 2 4 4 3 4" xfId="21903"/>
    <cellStyle name="Notas 3 2 4 4 4" xfId="21904"/>
    <cellStyle name="Notas 3 2 4 4 4 2" xfId="21905"/>
    <cellStyle name="Notas 3 2 4 4 4 3" xfId="21906"/>
    <cellStyle name="Notas 3 2 4 4 4 4" xfId="21907"/>
    <cellStyle name="Notas 3 2 4 4 5" xfId="21908"/>
    <cellStyle name="Notas 3 2 4 4 6" xfId="21909"/>
    <cellStyle name="Notas 3 2 4 4 7" xfId="21910"/>
    <cellStyle name="Notas 3 2 4 4 8" xfId="21911"/>
    <cellStyle name="Notas 3 2 4 5" xfId="21912"/>
    <cellStyle name="Notas 3 2 4 5 2" xfId="21913"/>
    <cellStyle name="Notas 3 2 4 5 2 2" xfId="21914"/>
    <cellStyle name="Notas 3 2 4 5 2 3" xfId="21915"/>
    <cellStyle name="Notas 3 2 4 5 2 4" xfId="21916"/>
    <cellStyle name="Notas 3 2 4 5 3" xfId="21917"/>
    <cellStyle name="Notas 3 2 4 5 3 2" xfId="21918"/>
    <cellStyle name="Notas 3 2 4 5 3 3" xfId="21919"/>
    <cellStyle name="Notas 3 2 4 5 3 4" xfId="21920"/>
    <cellStyle name="Notas 3 2 4 5 4" xfId="21921"/>
    <cellStyle name="Notas 3 2 4 5 4 2" xfId="21922"/>
    <cellStyle name="Notas 3 2 4 5 4 3" xfId="21923"/>
    <cellStyle name="Notas 3 2 4 5 4 4" xfId="21924"/>
    <cellStyle name="Notas 3 2 4 5 5" xfId="21925"/>
    <cellStyle name="Notas 3 2 4 5 6" xfId="21926"/>
    <cellStyle name="Notas 3 2 4 5 7" xfId="21927"/>
    <cellStyle name="Notas 3 2 4 5 8" xfId="21928"/>
    <cellStyle name="Notas 3 2 4 6" xfId="21929"/>
    <cellStyle name="Notas 3 2 4 6 2" xfId="21930"/>
    <cellStyle name="Notas 3 2 4 6 3" xfId="21931"/>
    <cellStyle name="Notas 3 2 4 6 4" xfId="21932"/>
    <cellStyle name="Notas 3 2 4 7" xfId="21933"/>
    <cellStyle name="Notas 3 2 4 7 2" xfId="21934"/>
    <cellStyle name="Notas 3 2 4 7 3" xfId="21935"/>
    <cellStyle name="Notas 3 2 4 7 4" xfId="21936"/>
    <cellStyle name="Notas 3 2 4 8" xfId="21937"/>
    <cellStyle name="Notas 3 2 4 9" xfId="21938"/>
    <cellStyle name="Notas 3 2 5" xfId="21939"/>
    <cellStyle name="Notas 3 2 5 2" xfId="21940"/>
    <cellStyle name="Notas 3 2 5 2 2" xfId="21941"/>
    <cellStyle name="Notas 3 2 5 2 3" xfId="21942"/>
    <cellStyle name="Notas 3 2 5 2 4" xfId="21943"/>
    <cellStyle name="Notas 3 2 5 3" xfId="21944"/>
    <cellStyle name="Notas 3 2 5 3 2" xfId="21945"/>
    <cellStyle name="Notas 3 2 5 3 3" xfId="21946"/>
    <cellStyle name="Notas 3 2 5 3 4" xfId="21947"/>
    <cellStyle name="Notas 3 2 5 4" xfId="21948"/>
    <cellStyle name="Notas 3 2 5 4 2" xfId="21949"/>
    <cellStyle name="Notas 3 2 5 4 3" xfId="21950"/>
    <cellStyle name="Notas 3 2 5 4 4" xfId="21951"/>
    <cellStyle name="Notas 3 2 5 5" xfId="21952"/>
    <cellStyle name="Notas 3 2 5 6" xfId="21953"/>
    <cellStyle name="Notas 3 2 5 7" xfId="21954"/>
    <cellStyle name="Notas 3 2 5 8" xfId="21955"/>
    <cellStyle name="Notas 3 2 6" xfId="21956"/>
    <cellStyle name="Notas 3 2 6 2" xfId="21957"/>
    <cellStyle name="Notas 3 2 6 2 2" xfId="21958"/>
    <cellStyle name="Notas 3 2 6 2 3" xfId="21959"/>
    <cellStyle name="Notas 3 2 6 2 4" xfId="21960"/>
    <cellStyle name="Notas 3 2 6 3" xfId="21961"/>
    <cellStyle name="Notas 3 2 6 3 2" xfId="21962"/>
    <cellStyle name="Notas 3 2 6 3 3" xfId="21963"/>
    <cellStyle name="Notas 3 2 6 3 4" xfId="21964"/>
    <cellStyle name="Notas 3 2 6 4" xfId="21965"/>
    <cellStyle name="Notas 3 2 6 4 2" xfId="21966"/>
    <cellStyle name="Notas 3 2 6 4 3" xfId="21967"/>
    <cellStyle name="Notas 3 2 6 4 4" xfId="21968"/>
    <cellStyle name="Notas 3 2 6 5" xfId="21969"/>
    <cellStyle name="Notas 3 2 6 6" xfId="21970"/>
    <cellStyle name="Notas 3 2 6 7" xfId="21971"/>
    <cellStyle name="Notas 3 2 6 8" xfId="21972"/>
    <cellStyle name="Notas 3 2 7" xfId="21973"/>
    <cellStyle name="Notas 3 2 7 2" xfId="21974"/>
    <cellStyle name="Notas 3 2 7 2 2" xfId="21975"/>
    <cellStyle name="Notas 3 2 7 2 3" xfId="21976"/>
    <cellStyle name="Notas 3 2 7 2 4" xfId="21977"/>
    <cellStyle name="Notas 3 2 7 3" xfId="21978"/>
    <cellStyle name="Notas 3 2 7 3 2" xfId="21979"/>
    <cellStyle name="Notas 3 2 7 3 3" xfId="21980"/>
    <cellStyle name="Notas 3 2 7 3 4" xfId="21981"/>
    <cellStyle name="Notas 3 2 7 4" xfId="21982"/>
    <cellStyle name="Notas 3 2 7 4 2" xfId="21983"/>
    <cellStyle name="Notas 3 2 7 4 3" xfId="21984"/>
    <cellStyle name="Notas 3 2 7 4 4" xfId="21985"/>
    <cellStyle name="Notas 3 2 7 5" xfId="21986"/>
    <cellStyle name="Notas 3 2 7 6" xfId="21987"/>
    <cellStyle name="Notas 3 2 7 7" xfId="21988"/>
    <cellStyle name="Notas 3 2 7 8" xfId="21989"/>
    <cellStyle name="Notas 3 2 8" xfId="21990"/>
    <cellStyle name="Notas 3 2 8 2" xfId="21991"/>
    <cellStyle name="Notas 3 2 8 2 2" xfId="21992"/>
    <cellStyle name="Notas 3 2 8 2 3" xfId="21993"/>
    <cellStyle name="Notas 3 2 8 2 4" xfId="21994"/>
    <cellStyle name="Notas 3 2 8 3" xfId="21995"/>
    <cellStyle name="Notas 3 2 8 3 2" xfId="21996"/>
    <cellStyle name="Notas 3 2 8 3 3" xfId="21997"/>
    <cellStyle name="Notas 3 2 8 3 4" xfId="21998"/>
    <cellStyle name="Notas 3 2 8 4" xfId="21999"/>
    <cellStyle name="Notas 3 2 8 4 2" xfId="22000"/>
    <cellStyle name="Notas 3 2 8 4 3" xfId="22001"/>
    <cellStyle name="Notas 3 2 8 4 4" xfId="22002"/>
    <cellStyle name="Notas 3 2 8 5" xfId="22003"/>
    <cellStyle name="Notas 3 2 8 6" xfId="22004"/>
    <cellStyle name="Notas 3 2 8 7" xfId="22005"/>
    <cellStyle name="Notas 3 2 8 8" xfId="22006"/>
    <cellStyle name="Notas 3 2 9" xfId="22007"/>
    <cellStyle name="Notas 3 2 9 2" xfId="22008"/>
    <cellStyle name="Notas 3 2 9 2 2" xfId="22009"/>
    <cellStyle name="Notas 3 2 9 2 3" xfId="22010"/>
    <cellStyle name="Notas 3 2 9 2 4" xfId="22011"/>
    <cellStyle name="Notas 3 2 9 3" xfId="22012"/>
    <cellStyle name="Notas 3 2 9 3 2" xfId="22013"/>
    <cellStyle name="Notas 3 2 9 3 3" xfId="22014"/>
    <cellStyle name="Notas 3 2 9 3 4" xfId="22015"/>
    <cellStyle name="Notas 3 2 9 4" xfId="22016"/>
    <cellStyle name="Notas 3 2 9 4 2" xfId="22017"/>
    <cellStyle name="Notas 3 2 9 4 3" xfId="22018"/>
    <cellStyle name="Notas 3 2 9 4 4" xfId="22019"/>
    <cellStyle name="Notas 3 2 9 5" xfId="22020"/>
    <cellStyle name="Notas 3 2 9 6" xfId="22021"/>
    <cellStyle name="Notas 3 2 9 7" xfId="22022"/>
    <cellStyle name="Notas 3 2 9 8" xfId="22023"/>
    <cellStyle name="Notas 3 3" xfId="22024"/>
    <cellStyle name="Notas 3 3 10" xfId="22025"/>
    <cellStyle name="Notas 3 3 11" xfId="22026"/>
    <cellStyle name="Notas 3 3 2" xfId="22027"/>
    <cellStyle name="Notas 3 3 2 2" xfId="22028"/>
    <cellStyle name="Notas 3 3 2 2 2" xfId="22029"/>
    <cellStyle name="Notas 3 3 2 2 2 2" xfId="22030"/>
    <cellStyle name="Notas 3 3 2 2 2 3" xfId="22031"/>
    <cellStyle name="Notas 3 3 2 2 2 4" xfId="22032"/>
    <cellStyle name="Notas 3 3 2 2 3" xfId="22033"/>
    <cellStyle name="Notas 3 3 2 2 3 2" xfId="22034"/>
    <cellStyle name="Notas 3 3 2 2 3 3" xfId="22035"/>
    <cellStyle name="Notas 3 3 2 2 3 4" xfId="22036"/>
    <cellStyle name="Notas 3 3 2 2 4" xfId="22037"/>
    <cellStyle name="Notas 3 3 2 2 4 2" xfId="22038"/>
    <cellStyle name="Notas 3 3 2 2 4 3" xfId="22039"/>
    <cellStyle name="Notas 3 3 2 2 4 4" xfId="22040"/>
    <cellStyle name="Notas 3 3 2 2 5" xfId="22041"/>
    <cellStyle name="Notas 3 3 2 2 6" xfId="22042"/>
    <cellStyle name="Notas 3 3 2 2 7" xfId="22043"/>
    <cellStyle name="Notas 3 3 2 2 8" xfId="22044"/>
    <cellStyle name="Notas 3 3 2 3" xfId="22045"/>
    <cellStyle name="Notas 3 3 2 3 2" xfId="22046"/>
    <cellStyle name="Notas 3 3 2 3 2 2" xfId="22047"/>
    <cellStyle name="Notas 3 3 2 3 2 3" xfId="22048"/>
    <cellStyle name="Notas 3 3 2 3 2 4" xfId="22049"/>
    <cellStyle name="Notas 3 3 2 3 3" xfId="22050"/>
    <cellStyle name="Notas 3 3 2 3 3 2" xfId="22051"/>
    <cellStyle name="Notas 3 3 2 3 3 3" xfId="22052"/>
    <cellStyle name="Notas 3 3 2 3 3 4" xfId="22053"/>
    <cellStyle name="Notas 3 3 2 3 4" xfId="22054"/>
    <cellStyle name="Notas 3 3 2 3 4 2" xfId="22055"/>
    <cellStyle name="Notas 3 3 2 3 4 3" xfId="22056"/>
    <cellStyle name="Notas 3 3 2 3 4 4" xfId="22057"/>
    <cellStyle name="Notas 3 3 2 3 5" xfId="22058"/>
    <cellStyle name="Notas 3 3 2 3 6" xfId="22059"/>
    <cellStyle name="Notas 3 3 2 3 7" xfId="22060"/>
    <cellStyle name="Notas 3 3 2 3 8" xfId="22061"/>
    <cellStyle name="Notas 3 3 2 4" xfId="22062"/>
    <cellStyle name="Notas 3 3 2 4 2" xfId="22063"/>
    <cellStyle name="Notas 3 3 2 4 2 2" xfId="22064"/>
    <cellStyle name="Notas 3 3 2 4 2 3" xfId="22065"/>
    <cellStyle name="Notas 3 3 2 4 2 4" xfId="22066"/>
    <cellStyle name="Notas 3 3 2 4 3" xfId="22067"/>
    <cellStyle name="Notas 3 3 2 4 3 2" xfId="22068"/>
    <cellStyle name="Notas 3 3 2 4 3 3" xfId="22069"/>
    <cellStyle name="Notas 3 3 2 4 3 4" xfId="22070"/>
    <cellStyle name="Notas 3 3 2 4 4" xfId="22071"/>
    <cellStyle name="Notas 3 3 2 4 4 2" xfId="22072"/>
    <cellStyle name="Notas 3 3 2 4 4 3" xfId="22073"/>
    <cellStyle name="Notas 3 3 2 4 4 4" xfId="22074"/>
    <cellStyle name="Notas 3 3 2 4 5" xfId="22075"/>
    <cellStyle name="Notas 3 3 2 4 6" xfId="22076"/>
    <cellStyle name="Notas 3 3 2 4 7" xfId="22077"/>
    <cellStyle name="Notas 3 3 2 4 8" xfId="22078"/>
    <cellStyle name="Notas 3 3 2 5" xfId="22079"/>
    <cellStyle name="Notas 3 3 2 5 2" xfId="22080"/>
    <cellStyle name="Notas 3 3 2 5 2 2" xfId="22081"/>
    <cellStyle name="Notas 3 3 2 5 2 3" xfId="22082"/>
    <cellStyle name="Notas 3 3 2 5 2 4" xfId="22083"/>
    <cellStyle name="Notas 3 3 2 5 3" xfId="22084"/>
    <cellStyle name="Notas 3 3 2 5 3 2" xfId="22085"/>
    <cellStyle name="Notas 3 3 2 5 3 3" xfId="22086"/>
    <cellStyle name="Notas 3 3 2 5 3 4" xfId="22087"/>
    <cellStyle name="Notas 3 3 2 5 4" xfId="22088"/>
    <cellStyle name="Notas 3 3 2 5 4 2" xfId="22089"/>
    <cellStyle name="Notas 3 3 2 5 4 3" xfId="22090"/>
    <cellStyle name="Notas 3 3 2 5 4 4" xfId="22091"/>
    <cellStyle name="Notas 3 3 2 5 5" xfId="22092"/>
    <cellStyle name="Notas 3 3 2 5 6" xfId="22093"/>
    <cellStyle name="Notas 3 3 2 5 7" xfId="22094"/>
    <cellStyle name="Notas 3 3 2 5 8" xfId="22095"/>
    <cellStyle name="Notas 3 3 2 6" xfId="22096"/>
    <cellStyle name="Notas 3 3 2 6 2" xfId="22097"/>
    <cellStyle name="Notas 3 3 2 6 3" xfId="22098"/>
    <cellStyle name="Notas 3 3 2 6 4" xfId="22099"/>
    <cellStyle name="Notas 3 3 2 7" xfId="22100"/>
    <cellStyle name="Notas 3 3 2 7 2" xfId="22101"/>
    <cellStyle name="Notas 3 3 2 7 3" xfId="22102"/>
    <cellStyle name="Notas 3 3 2 7 4" xfId="22103"/>
    <cellStyle name="Notas 3 3 2 8" xfId="22104"/>
    <cellStyle name="Notas 3 3 2 9" xfId="22105"/>
    <cellStyle name="Notas 3 3 3" xfId="22106"/>
    <cellStyle name="Notas 3 3 3 2" xfId="22107"/>
    <cellStyle name="Notas 3 3 3 2 2" xfId="22108"/>
    <cellStyle name="Notas 3 3 3 2 3" xfId="22109"/>
    <cellStyle name="Notas 3 3 3 2 4" xfId="22110"/>
    <cellStyle name="Notas 3 3 3 3" xfId="22111"/>
    <cellStyle name="Notas 3 3 3 3 2" xfId="22112"/>
    <cellStyle name="Notas 3 3 3 3 3" xfId="22113"/>
    <cellStyle name="Notas 3 3 3 3 4" xfId="22114"/>
    <cellStyle name="Notas 3 3 3 4" xfId="22115"/>
    <cellStyle name="Notas 3 3 3 4 2" xfId="22116"/>
    <cellStyle name="Notas 3 3 3 4 3" xfId="22117"/>
    <cellStyle name="Notas 3 3 3 4 4" xfId="22118"/>
    <cellStyle name="Notas 3 3 3 5" xfId="22119"/>
    <cellStyle name="Notas 3 3 3 6" xfId="22120"/>
    <cellStyle name="Notas 3 3 3 7" xfId="22121"/>
    <cellStyle name="Notas 3 3 3 8" xfId="22122"/>
    <cellStyle name="Notas 3 3 4" xfId="22123"/>
    <cellStyle name="Notas 3 3 4 2" xfId="22124"/>
    <cellStyle name="Notas 3 3 4 2 2" xfId="22125"/>
    <cellStyle name="Notas 3 3 4 2 3" xfId="22126"/>
    <cellStyle name="Notas 3 3 4 2 4" xfId="22127"/>
    <cellStyle name="Notas 3 3 4 3" xfId="22128"/>
    <cellStyle name="Notas 3 3 4 3 2" xfId="22129"/>
    <cellStyle name="Notas 3 3 4 3 3" xfId="22130"/>
    <cellStyle name="Notas 3 3 4 3 4" xfId="22131"/>
    <cellStyle name="Notas 3 3 4 4" xfId="22132"/>
    <cellStyle name="Notas 3 3 4 4 2" xfId="22133"/>
    <cellStyle name="Notas 3 3 4 4 3" xfId="22134"/>
    <cellStyle name="Notas 3 3 4 4 4" xfId="22135"/>
    <cellStyle name="Notas 3 3 4 5" xfId="22136"/>
    <cellStyle name="Notas 3 3 4 6" xfId="22137"/>
    <cellStyle name="Notas 3 3 4 7" xfId="22138"/>
    <cellStyle name="Notas 3 3 4 8" xfId="22139"/>
    <cellStyle name="Notas 3 3 5" xfId="22140"/>
    <cellStyle name="Notas 3 3 5 2" xfId="22141"/>
    <cellStyle name="Notas 3 3 5 2 2" xfId="22142"/>
    <cellStyle name="Notas 3 3 5 2 3" xfId="22143"/>
    <cellStyle name="Notas 3 3 5 2 4" xfId="22144"/>
    <cellStyle name="Notas 3 3 5 3" xfId="22145"/>
    <cellStyle name="Notas 3 3 5 3 2" xfId="22146"/>
    <cellStyle name="Notas 3 3 5 3 3" xfId="22147"/>
    <cellStyle name="Notas 3 3 5 3 4" xfId="22148"/>
    <cellStyle name="Notas 3 3 5 4" xfId="22149"/>
    <cellStyle name="Notas 3 3 5 4 2" xfId="22150"/>
    <cellStyle name="Notas 3 3 5 4 3" xfId="22151"/>
    <cellStyle name="Notas 3 3 5 4 4" xfId="22152"/>
    <cellStyle name="Notas 3 3 5 5" xfId="22153"/>
    <cellStyle name="Notas 3 3 5 6" xfId="22154"/>
    <cellStyle name="Notas 3 3 5 7" xfId="22155"/>
    <cellStyle name="Notas 3 3 5 8" xfId="22156"/>
    <cellStyle name="Notas 3 3 6" xfId="22157"/>
    <cellStyle name="Notas 3 3 6 2" xfId="22158"/>
    <cellStyle name="Notas 3 3 6 2 2" xfId="22159"/>
    <cellStyle name="Notas 3 3 6 2 3" xfId="22160"/>
    <cellStyle name="Notas 3 3 6 2 4" xfId="22161"/>
    <cellStyle name="Notas 3 3 6 3" xfId="22162"/>
    <cellStyle name="Notas 3 3 6 3 2" xfId="22163"/>
    <cellStyle name="Notas 3 3 6 3 3" xfId="22164"/>
    <cellStyle name="Notas 3 3 6 3 4" xfId="22165"/>
    <cellStyle name="Notas 3 3 6 4" xfId="22166"/>
    <cellStyle name="Notas 3 3 6 4 2" xfId="22167"/>
    <cellStyle name="Notas 3 3 6 4 3" xfId="22168"/>
    <cellStyle name="Notas 3 3 6 4 4" xfId="22169"/>
    <cellStyle name="Notas 3 3 6 5" xfId="22170"/>
    <cellStyle name="Notas 3 3 6 6" xfId="22171"/>
    <cellStyle name="Notas 3 3 6 7" xfId="22172"/>
    <cellStyle name="Notas 3 3 6 8" xfId="22173"/>
    <cellStyle name="Notas 3 3 7" xfId="22174"/>
    <cellStyle name="Notas 3 3 7 2" xfId="22175"/>
    <cellStyle name="Notas 3 3 7 2 2" xfId="22176"/>
    <cellStyle name="Notas 3 3 7 2 3" xfId="22177"/>
    <cellStyle name="Notas 3 3 7 2 4" xfId="22178"/>
    <cellStyle name="Notas 3 3 7 3" xfId="22179"/>
    <cellStyle name="Notas 3 3 7 3 2" xfId="22180"/>
    <cellStyle name="Notas 3 3 7 3 3" xfId="22181"/>
    <cellStyle name="Notas 3 3 7 3 4" xfId="22182"/>
    <cellStyle name="Notas 3 3 7 4" xfId="22183"/>
    <cellStyle name="Notas 3 3 7 4 2" xfId="22184"/>
    <cellStyle name="Notas 3 3 7 4 3" xfId="22185"/>
    <cellStyle name="Notas 3 3 7 4 4" xfId="22186"/>
    <cellStyle name="Notas 3 3 7 5" xfId="22187"/>
    <cellStyle name="Notas 3 3 7 6" xfId="22188"/>
    <cellStyle name="Notas 3 3 7 7" xfId="22189"/>
    <cellStyle name="Notas 3 3 7 8" xfId="22190"/>
    <cellStyle name="Notas 3 3 8" xfId="22191"/>
    <cellStyle name="Notas 3 3 8 2" xfId="22192"/>
    <cellStyle name="Notas 3 3 8 3" xfId="22193"/>
    <cellStyle name="Notas 3 3 8 4" xfId="22194"/>
    <cellStyle name="Notas 3 3 9" xfId="22195"/>
    <cellStyle name="Notas 3 3 9 2" xfId="22196"/>
    <cellStyle name="Notas 3 3 9 3" xfId="22197"/>
    <cellStyle name="Notas 3 3 9 4" xfId="22198"/>
    <cellStyle name="Notas 3 4" xfId="22199"/>
    <cellStyle name="Notas 3 4 10" xfId="22200"/>
    <cellStyle name="Notas 3 4 11" xfId="22201"/>
    <cellStyle name="Notas 3 4 2" xfId="22202"/>
    <cellStyle name="Notas 3 4 2 2" xfId="22203"/>
    <cellStyle name="Notas 3 4 2 2 2" xfId="22204"/>
    <cellStyle name="Notas 3 4 2 2 2 2" xfId="22205"/>
    <cellStyle name="Notas 3 4 2 2 2 3" xfId="22206"/>
    <cellStyle name="Notas 3 4 2 2 2 4" xfId="22207"/>
    <cellStyle name="Notas 3 4 2 2 3" xfId="22208"/>
    <cellStyle name="Notas 3 4 2 2 3 2" xfId="22209"/>
    <cellStyle name="Notas 3 4 2 2 3 3" xfId="22210"/>
    <cellStyle name="Notas 3 4 2 2 3 4" xfId="22211"/>
    <cellStyle name="Notas 3 4 2 2 4" xfId="22212"/>
    <cellStyle name="Notas 3 4 2 2 4 2" xfId="22213"/>
    <cellStyle name="Notas 3 4 2 2 4 3" xfId="22214"/>
    <cellStyle name="Notas 3 4 2 2 4 4" xfId="22215"/>
    <cellStyle name="Notas 3 4 2 2 5" xfId="22216"/>
    <cellStyle name="Notas 3 4 2 2 6" xfId="22217"/>
    <cellStyle name="Notas 3 4 2 2 7" xfId="22218"/>
    <cellStyle name="Notas 3 4 2 2 8" xfId="22219"/>
    <cellStyle name="Notas 3 4 2 3" xfId="22220"/>
    <cellStyle name="Notas 3 4 2 3 2" xfId="22221"/>
    <cellStyle name="Notas 3 4 2 3 2 2" xfId="22222"/>
    <cellStyle name="Notas 3 4 2 3 2 3" xfId="22223"/>
    <cellStyle name="Notas 3 4 2 3 2 4" xfId="22224"/>
    <cellStyle name="Notas 3 4 2 3 3" xfId="22225"/>
    <cellStyle name="Notas 3 4 2 3 3 2" xfId="22226"/>
    <cellStyle name="Notas 3 4 2 3 3 3" xfId="22227"/>
    <cellStyle name="Notas 3 4 2 3 3 4" xfId="22228"/>
    <cellStyle name="Notas 3 4 2 3 4" xfId="22229"/>
    <cellStyle name="Notas 3 4 2 3 4 2" xfId="22230"/>
    <cellStyle name="Notas 3 4 2 3 4 3" xfId="22231"/>
    <cellStyle name="Notas 3 4 2 3 4 4" xfId="22232"/>
    <cellStyle name="Notas 3 4 2 3 5" xfId="22233"/>
    <cellStyle name="Notas 3 4 2 3 6" xfId="22234"/>
    <cellStyle name="Notas 3 4 2 3 7" xfId="22235"/>
    <cellStyle name="Notas 3 4 2 3 8" xfId="22236"/>
    <cellStyle name="Notas 3 4 2 4" xfId="22237"/>
    <cellStyle name="Notas 3 4 2 4 2" xfId="22238"/>
    <cellStyle name="Notas 3 4 2 4 2 2" xfId="22239"/>
    <cellStyle name="Notas 3 4 2 4 2 3" xfId="22240"/>
    <cellStyle name="Notas 3 4 2 4 2 4" xfId="22241"/>
    <cellStyle name="Notas 3 4 2 4 3" xfId="22242"/>
    <cellStyle name="Notas 3 4 2 4 3 2" xfId="22243"/>
    <cellStyle name="Notas 3 4 2 4 3 3" xfId="22244"/>
    <cellStyle name="Notas 3 4 2 4 3 4" xfId="22245"/>
    <cellStyle name="Notas 3 4 2 4 4" xfId="22246"/>
    <cellStyle name="Notas 3 4 2 4 4 2" xfId="22247"/>
    <cellStyle name="Notas 3 4 2 4 4 3" xfId="22248"/>
    <cellStyle name="Notas 3 4 2 4 4 4" xfId="22249"/>
    <cellStyle name="Notas 3 4 2 4 5" xfId="22250"/>
    <cellStyle name="Notas 3 4 2 4 6" xfId="22251"/>
    <cellStyle name="Notas 3 4 2 4 7" xfId="22252"/>
    <cellStyle name="Notas 3 4 2 4 8" xfId="22253"/>
    <cellStyle name="Notas 3 4 2 5" xfId="22254"/>
    <cellStyle name="Notas 3 4 2 5 2" xfId="22255"/>
    <cellStyle name="Notas 3 4 2 5 2 2" xfId="22256"/>
    <cellStyle name="Notas 3 4 2 5 2 3" xfId="22257"/>
    <cellStyle name="Notas 3 4 2 5 2 4" xfId="22258"/>
    <cellStyle name="Notas 3 4 2 5 3" xfId="22259"/>
    <cellStyle name="Notas 3 4 2 5 3 2" xfId="22260"/>
    <cellStyle name="Notas 3 4 2 5 3 3" xfId="22261"/>
    <cellStyle name="Notas 3 4 2 5 3 4" xfId="22262"/>
    <cellStyle name="Notas 3 4 2 5 4" xfId="22263"/>
    <cellStyle name="Notas 3 4 2 5 4 2" xfId="22264"/>
    <cellStyle name="Notas 3 4 2 5 4 3" xfId="22265"/>
    <cellStyle name="Notas 3 4 2 5 4 4" xfId="22266"/>
    <cellStyle name="Notas 3 4 2 5 5" xfId="22267"/>
    <cellStyle name="Notas 3 4 2 5 6" xfId="22268"/>
    <cellStyle name="Notas 3 4 2 5 7" xfId="22269"/>
    <cellStyle name="Notas 3 4 2 5 8" xfId="22270"/>
    <cellStyle name="Notas 3 4 2 6" xfId="22271"/>
    <cellStyle name="Notas 3 4 2 6 2" xfId="22272"/>
    <cellStyle name="Notas 3 4 2 6 3" xfId="22273"/>
    <cellStyle name="Notas 3 4 2 6 4" xfId="22274"/>
    <cellStyle name="Notas 3 4 2 7" xfId="22275"/>
    <cellStyle name="Notas 3 4 2 7 2" xfId="22276"/>
    <cellStyle name="Notas 3 4 2 7 3" xfId="22277"/>
    <cellStyle name="Notas 3 4 2 7 4" xfId="22278"/>
    <cellStyle name="Notas 3 4 2 8" xfId="22279"/>
    <cellStyle name="Notas 3 4 2 9" xfId="22280"/>
    <cellStyle name="Notas 3 4 3" xfId="22281"/>
    <cellStyle name="Notas 3 4 3 2" xfId="22282"/>
    <cellStyle name="Notas 3 4 3 2 2" xfId="22283"/>
    <cellStyle name="Notas 3 4 3 2 3" xfId="22284"/>
    <cellStyle name="Notas 3 4 3 2 4" xfId="22285"/>
    <cellStyle name="Notas 3 4 3 3" xfId="22286"/>
    <cellStyle name="Notas 3 4 3 3 2" xfId="22287"/>
    <cellStyle name="Notas 3 4 3 3 3" xfId="22288"/>
    <cellStyle name="Notas 3 4 3 3 4" xfId="22289"/>
    <cellStyle name="Notas 3 4 3 4" xfId="22290"/>
    <cellStyle name="Notas 3 4 3 4 2" xfId="22291"/>
    <cellStyle name="Notas 3 4 3 4 3" xfId="22292"/>
    <cellStyle name="Notas 3 4 3 4 4" xfId="22293"/>
    <cellStyle name="Notas 3 4 3 5" xfId="22294"/>
    <cellStyle name="Notas 3 4 3 6" xfId="22295"/>
    <cellStyle name="Notas 3 4 3 7" xfId="22296"/>
    <cellStyle name="Notas 3 4 3 8" xfId="22297"/>
    <cellStyle name="Notas 3 4 4" xfId="22298"/>
    <cellStyle name="Notas 3 4 4 2" xfId="22299"/>
    <cellStyle name="Notas 3 4 4 2 2" xfId="22300"/>
    <cellStyle name="Notas 3 4 4 2 3" xfId="22301"/>
    <cellStyle name="Notas 3 4 4 2 4" xfId="22302"/>
    <cellStyle name="Notas 3 4 4 3" xfId="22303"/>
    <cellStyle name="Notas 3 4 4 3 2" xfId="22304"/>
    <cellStyle name="Notas 3 4 4 3 3" xfId="22305"/>
    <cellStyle name="Notas 3 4 4 3 4" xfId="22306"/>
    <cellStyle name="Notas 3 4 4 4" xfId="22307"/>
    <cellStyle name="Notas 3 4 4 4 2" xfId="22308"/>
    <cellStyle name="Notas 3 4 4 4 3" xfId="22309"/>
    <cellStyle name="Notas 3 4 4 4 4" xfId="22310"/>
    <cellStyle name="Notas 3 4 4 5" xfId="22311"/>
    <cellStyle name="Notas 3 4 4 6" xfId="22312"/>
    <cellStyle name="Notas 3 4 4 7" xfId="22313"/>
    <cellStyle name="Notas 3 4 4 8" xfId="22314"/>
    <cellStyle name="Notas 3 4 5" xfId="22315"/>
    <cellStyle name="Notas 3 4 5 2" xfId="22316"/>
    <cellStyle name="Notas 3 4 5 2 2" xfId="22317"/>
    <cellStyle name="Notas 3 4 5 2 3" xfId="22318"/>
    <cellStyle name="Notas 3 4 5 2 4" xfId="22319"/>
    <cellStyle name="Notas 3 4 5 3" xfId="22320"/>
    <cellStyle name="Notas 3 4 5 3 2" xfId="22321"/>
    <cellStyle name="Notas 3 4 5 3 3" xfId="22322"/>
    <cellStyle name="Notas 3 4 5 3 4" xfId="22323"/>
    <cellStyle name="Notas 3 4 5 4" xfId="22324"/>
    <cellStyle name="Notas 3 4 5 4 2" xfId="22325"/>
    <cellStyle name="Notas 3 4 5 4 3" xfId="22326"/>
    <cellStyle name="Notas 3 4 5 4 4" xfId="22327"/>
    <cellStyle name="Notas 3 4 5 5" xfId="22328"/>
    <cellStyle name="Notas 3 4 5 6" xfId="22329"/>
    <cellStyle name="Notas 3 4 5 7" xfId="22330"/>
    <cellStyle name="Notas 3 4 5 8" xfId="22331"/>
    <cellStyle name="Notas 3 4 6" xfId="22332"/>
    <cellStyle name="Notas 3 4 6 2" xfId="22333"/>
    <cellStyle name="Notas 3 4 6 2 2" xfId="22334"/>
    <cellStyle name="Notas 3 4 6 2 3" xfId="22335"/>
    <cellStyle name="Notas 3 4 6 2 4" xfId="22336"/>
    <cellStyle name="Notas 3 4 6 3" xfId="22337"/>
    <cellStyle name="Notas 3 4 6 3 2" xfId="22338"/>
    <cellStyle name="Notas 3 4 6 3 3" xfId="22339"/>
    <cellStyle name="Notas 3 4 6 3 4" xfId="22340"/>
    <cellStyle name="Notas 3 4 6 4" xfId="22341"/>
    <cellStyle name="Notas 3 4 6 4 2" xfId="22342"/>
    <cellStyle name="Notas 3 4 6 4 3" xfId="22343"/>
    <cellStyle name="Notas 3 4 6 4 4" xfId="22344"/>
    <cellStyle name="Notas 3 4 6 5" xfId="22345"/>
    <cellStyle name="Notas 3 4 6 6" xfId="22346"/>
    <cellStyle name="Notas 3 4 6 7" xfId="22347"/>
    <cellStyle name="Notas 3 4 6 8" xfId="22348"/>
    <cellStyle name="Notas 3 4 7" xfId="22349"/>
    <cellStyle name="Notas 3 4 7 2" xfId="22350"/>
    <cellStyle name="Notas 3 4 7 2 2" xfId="22351"/>
    <cellStyle name="Notas 3 4 7 2 3" xfId="22352"/>
    <cellStyle name="Notas 3 4 7 2 4" xfId="22353"/>
    <cellStyle name="Notas 3 4 7 3" xfId="22354"/>
    <cellStyle name="Notas 3 4 7 3 2" xfId="22355"/>
    <cellStyle name="Notas 3 4 7 3 3" xfId="22356"/>
    <cellStyle name="Notas 3 4 7 3 4" xfId="22357"/>
    <cellStyle name="Notas 3 4 7 4" xfId="22358"/>
    <cellStyle name="Notas 3 4 7 4 2" xfId="22359"/>
    <cellStyle name="Notas 3 4 7 4 3" xfId="22360"/>
    <cellStyle name="Notas 3 4 7 4 4" xfId="22361"/>
    <cellStyle name="Notas 3 4 7 5" xfId="22362"/>
    <cellStyle name="Notas 3 4 7 6" xfId="22363"/>
    <cellStyle name="Notas 3 4 7 7" xfId="22364"/>
    <cellStyle name="Notas 3 4 7 8" xfId="22365"/>
    <cellStyle name="Notas 3 4 8" xfId="22366"/>
    <cellStyle name="Notas 3 4 8 2" xfId="22367"/>
    <cellStyle name="Notas 3 4 8 3" xfId="22368"/>
    <cellStyle name="Notas 3 4 8 4" xfId="22369"/>
    <cellStyle name="Notas 3 4 9" xfId="22370"/>
    <cellStyle name="Notas 3 4 9 2" xfId="22371"/>
    <cellStyle name="Notas 3 4 9 3" xfId="22372"/>
    <cellStyle name="Notas 3 4 9 4" xfId="22373"/>
    <cellStyle name="Notas 3 5" xfId="22374"/>
    <cellStyle name="Notas 3 5 2" xfId="22375"/>
    <cellStyle name="Notas 3 5 2 2" xfId="22376"/>
    <cellStyle name="Notas 3 5 2 2 2" xfId="22377"/>
    <cellStyle name="Notas 3 5 2 2 3" xfId="22378"/>
    <cellStyle name="Notas 3 5 2 2 4" xfId="22379"/>
    <cellStyle name="Notas 3 5 2 3" xfId="22380"/>
    <cellStyle name="Notas 3 5 2 3 2" xfId="22381"/>
    <cellStyle name="Notas 3 5 2 3 3" xfId="22382"/>
    <cellStyle name="Notas 3 5 2 3 4" xfId="22383"/>
    <cellStyle name="Notas 3 5 2 4" xfId="22384"/>
    <cellStyle name="Notas 3 5 2 4 2" xfId="22385"/>
    <cellStyle name="Notas 3 5 2 4 3" xfId="22386"/>
    <cellStyle name="Notas 3 5 2 4 4" xfId="22387"/>
    <cellStyle name="Notas 3 5 2 5" xfId="22388"/>
    <cellStyle name="Notas 3 5 2 6" xfId="22389"/>
    <cellStyle name="Notas 3 5 2 7" xfId="22390"/>
    <cellStyle name="Notas 3 5 2 8" xfId="22391"/>
    <cellStyle name="Notas 3 5 3" xfId="22392"/>
    <cellStyle name="Notas 3 5 3 2" xfId="22393"/>
    <cellStyle name="Notas 3 5 3 2 2" xfId="22394"/>
    <cellStyle name="Notas 3 5 3 2 3" xfId="22395"/>
    <cellStyle name="Notas 3 5 3 2 4" xfId="22396"/>
    <cellStyle name="Notas 3 5 3 3" xfId="22397"/>
    <cellStyle name="Notas 3 5 3 3 2" xfId="22398"/>
    <cellStyle name="Notas 3 5 3 3 3" xfId="22399"/>
    <cellStyle name="Notas 3 5 3 3 4" xfId="22400"/>
    <cellStyle name="Notas 3 5 3 4" xfId="22401"/>
    <cellStyle name="Notas 3 5 3 4 2" xfId="22402"/>
    <cellStyle name="Notas 3 5 3 4 3" xfId="22403"/>
    <cellStyle name="Notas 3 5 3 4 4" xfId="22404"/>
    <cellStyle name="Notas 3 5 3 5" xfId="22405"/>
    <cellStyle name="Notas 3 5 3 6" xfId="22406"/>
    <cellStyle name="Notas 3 5 3 7" xfId="22407"/>
    <cellStyle name="Notas 3 5 3 8" xfId="22408"/>
    <cellStyle name="Notas 3 5 4" xfId="22409"/>
    <cellStyle name="Notas 3 5 4 2" xfId="22410"/>
    <cellStyle name="Notas 3 5 4 2 2" xfId="22411"/>
    <cellStyle name="Notas 3 5 4 2 3" xfId="22412"/>
    <cellStyle name="Notas 3 5 4 2 4" xfId="22413"/>
    <cellStyle name="Notas 3 5 4 3" xfId="22414"/>
    <cellStyle name="Notas 3 5 4 3 2" xfId="22415"/>
    <cellStyle name="Notas 3 5 4 3 3" xfId="22416"/>
    <cellStyle name="Notas 3 5 4 3 4" xfId="22417"/>
    <cellStyle name="Notas 3 5 4 4" xfId="22418"/>
    <cellStyle name="Notas 3 5 4 4 2" xfId="22419"/>
    <cellStyle name="Notas 3 5 4 4 3" xfId="22420"/>
    <cellStyle name="Notas 3 5 4 4 4" xfId="22421"/>
    <cellStyle name="Notas 3 5 4 5" xfId="22422"/>
    <cellStyle name="Notas 3 5 4 6" xfId="22423"/>
    <cellStyle name="Notas 3 5 4 7" xfId="22424"/>
    <cellStyle name="Notas 3 5 4 8" xfId="22425"/>
    <cellStyle name="Notas 3 5 5" xfId="22426"/>
    <cellStyle name="Notas 3 5 5 2" xfId="22427"/>
    <cellStyle name="Notas 3 5 5 2 2" xfId="22428"/>
    <cellStyle name="Notas 3 5 5 2 3" xfId="22429"/>
    <cellStyle name="Notas 3 5 5 2 4" xfId="22430"/>
    <cellStyle name="Notas 3 5 5 3" xfId="22431"/>
    <cellStyle name="Notas 3 5 5 3 2" xfId="22432"/>
    <cellStyle name="Notas 3 5 5 3 3" xfId="22433"/>
    <cellStyle name="Notas 3 5 5 3 4" xfId="22434"/>
    <cellStyle name="Notas 3 5 5 4" xfId="22435"/>
    <cellStyle name="Notas 3 5 5 4 2" xfId="22436"/>
    <cellStyle name="Notas 3 5 5 4 3" xfId="22437"/>
    <cellStyle name="Notas 3 5 5 4 4" xfId="22438"/>
    <cellStyle name="Notas 3 5 5 5" xfId="22439"/>
    <cellStyle name="Notas 3 5 5 6" xfId="22440"/>
    <cellStyle name="Notas 3 5 5 7" xfId="22441"/>
    <cellStyle name="Notas 3 5 5 8" xfId="22442"/>
    <cellStyle name="Notas 3 5 6" xfId="22443"/>
    <cellStyle name="Notas 3 5 6 2" xfId="22444"/>
    <cellStyle name="Notas 3 5 6 3" xfId="22445"/>
    <cellStyle name="Notas 3 5 6 4" xfId="22446"/>
    <cellStyle name="Notas 3 5 7" xfId="22447"/>
    <cellStyle name="Notas 3 5 7 2" xfId="22448"/>
    <cellStyle name="Notas 3 5 7 3" xfId="22449"/>
    <cellStyle name="Notas 3 5 7 4" xfId="22450"/>
    <cellStyle name="Notas 3 5 8" xfId="22451"/>
    <cellStyle name="Notas 3 5 9" xfId="22452"/>
    <cellStyle name="Notas 3 6" xfId="22453"/>
    <cellStyle name="Notas 3 6 2" xfId="22454"/>
    <cellStyle name="Notas 3 6 2 2" xfId="22455"/>
    <cellStyle name="Notas 3 6 2 3" xfId="22456"/>
    <cellStyle name="Notas 3 6 2 4" xfId="22457"/>
    <cellStyle name="Notas 3 6 3" xfId="22458"/>
    <cellStyle name="Notas 3 6 3 2" xfId="22459"/>
    <cellStyle name="Notas 3 6 3 3" xfId="22460"/>
    <cellStyle name="Notas 3 6 3 4" xfId="22461"/>
    <cellStyle name="Notas 3 6 4" xfId="22462"/>
    <cellStyle name="Notas 3 6 4 2" xfId="22463"/>
    <cellStyle name="Notas 3 6 4 3" xfId="22464"/>
    <cellStyle name="Notas 3 6 4 4" xfId="22465"/>
    <cellStyle name="Notas 3 6 5" xfId="22466"/>
    <cellStyle name="Notas 3 6 6" xfId="22467"/>
    <cellStyle name="Notas 3 6 7" xfId="22468"/>
    <cellStyle name="Notas 3 6 8" xfId="22469"/>
    <cellStyle name="Notas 3 7" xfId="22470"/>
    <cellStyle name="Notas 3 7 2" xfId="22471"/>
    <cellStyle name="Notas 3 7 2 2" xfId="22472"/>
    <cellStyle name="Notas 3 7 2 3" xfId="22473"/>
    <cellStyle name="Notas 3 7 2 4" xfId="22474"/>
    <cellStyle name="Notas 3 7 3" xfId="22475"/>
    <cellStyle name="Notas 3 7 3 2" xfId="22476"/>
    <cellStyle name="Notas 3 7 3 3" xfId="22477"/>
    <cellStyle name="Notas 3 7 3 4" xfId="22478"/>
    <cellStyle name="Notas 3 7 4" xfId="22479"/>
    <cellStyle name="Notas 3 7 4 2" xfId="22480"/>
    <cellStyle name="Notas 3 7 4 3" xfId="22481"/>
    <cellStyle name="Notas 3 7 4 4" xfId="22482"/>
    <cellStyle name="Notas 3 7 5" xfId="22483"/>
    <cellStyle name="Notas 3 7 6" xfId="22484"/>
    <cellStyle name="Notas 3 7 7" xfId="22485"/>
    <cellStyle name="Notas 3 7 8" xfId="22486"/>
    <cellStyle name="Notas 3 8" xfId="22487"/>
    <cellStyle name="Notas 3 8 2" xfId="22488"/>
    <cellStyle name="Notas 3 8 2 2" xfId="22489"/>
    <cellStyle name="Notas 3 8 2 3" xfId="22490"/>
    <cellStyle name="Notas 3 8 2 4" xfId="22491"/>
    <cellStyle name="Notas 3 8 3" xfId="22492"/>
    <cellStyle name="Notas 3 8 3 2" xfId="22493"/>
    <cellStyle name="Notas 3 8 3 3" xfId="22494"/>
    <cellStyle name="Notas 3 8 3 4" xfId="22495"/>
    <cellStyle name="Notas 3 8 4" xfId="22496"/>
    <cellStyle name="Notas 3 8 4 2" xfId="22497"/>
    <cellStyle name="Notas 3 8 4 3" xfId="22498"/>
    <cellStyle name="Notas 3 8 4 4" xfId="22499"/>
    <cellStyle name="Notas 3 8 5" xfId="22500"/>
    <cellStyle name="Notas 3 8 6" xfId="22501"/>
    <cellStyle name="Notas 3 8 7" xfId="22502"/>
    <cellStyle name="Notas 3 8 8" xfId="22503"/>
    <cellStyle name="Notas 3 9" xfId="22504"/>
    <cellStyle name="Notas 3 9 2" xfId="22505"/>
    <cellStyle name="Notas 3 9 2 2" xfId="22506"/>
    <cellStyle name="Notas 3 9 2 3" xfId="22507"/>
    <cellStyle name="Notas 3 9 2 4" xfId="22508"/>
    <cellStyle name="Notas 3 9 3" xfId="22509"/>
    <cellStyle name="Notas 3 9 3 2" xfId="22510"/>
    <cellStyle name="Notas 3 9 3 3" xfId="22511"/>
    <cellStyle name="Notas 3 9 3 4" xfId="22512"/>
    <cellStyle name="Notas 3 9 4" xfId="22513"/>
    <cellStyle name="Notas 3 9 4 2" xfId="22514"/>
    <cellStyle name="Notas 3 9 4 3" xfId="22515"/>
    <cellStyle name="Notas 3 9 4 4" xfId="22516"/>
    <cellStyle name="Notas 3 9 5" xfId="22517"/>
    <cellStyle name="Notas 3 9 6" xfId="22518"/>
    <cellStyle name="Notas 3 9 7" xfId="22519"/>
    <cellStyle name="Notas 3 9 8" xfId="22520"/>
    <cellStyle name="Notas 4" xfId="22521"/>
    <cellStyle name="Notas 4 10" xfId="22522"/>
    <cellStyle name="Notas 4 10 2" xfId="22523"/>
    <cellStyle name="Notas 4 10 3" xfId="22524"/>
    <cellStyle name="Notas 4 10 4" xfId="22525"/>
    <cellStyle name="Notas 4 11" xfId="22526"/>
    <cellStyle name="Notas 4 12" xfId="22527"/>
    <cellStyle name="Notas 4 2" xfId="22528"/>
    <cellStyle name="Notas 4 2 10" xfId="22529"/>
    <cellStyle name="Notas 4 2 11" xfId="22530"/>
    <cellStyle name="Notas 4 2 2" xfId="22531"/>
    <cellStyle name="Notas 4 2 2 2" xfId="22532"/>
    <cellStyle name="Notas 4 2 2 2 2" xfId="22533"/>
    <cellStyle name="Notas 4 2 2 2 2 2" xfId="22534"/>
    <cellStyle name="Notas 4 2 2 2 2 3" xfId="22535"/>
    <cellStyle name="Notas 4 2 2 2 2 4" xfId="22536"/>
    <cellStyle name="Notas 4 2 2 2 3" xfId="22537"/>
    <cellStyle name="Notas 4 2 2 2 3 2" xfId="22538"/>
    <cellStyle name="Notas 4 2 2 2 3 3" xfId="22539"/>
    <cellStyle name="Notas 4 2 2 2 3 4" xfId="22540"/>
    <cellStyle name="Notas 4 2 2 2 4" xfId="22541"/>
    <cellStyle name="Notas 4 2 2 2 4 2" xfId="22542"/>
    <cellStyle name="Notas 4 2 2 2 4 3" xfId="22543"/>
    <cellStyle name="Notas 4 2 2 2 4 4" xfId="22544"/>
    <cellStyle name="Notas 4 2 2 2 5" xfId="22545"/>
    <cellStyle name="Notas 4 2 2 2 6" xfId="22546"/>
    <cellStyle name="Notas 4 2 2 2 7" xfId="22547"/>
    <cellStyle name="Notas 4 2 2 2 8" xfId="22548"/>
    <cellStyle name="Notas 4 2 2 3" xfId="22549"/>
    <cellStyle name="Notas 4 2 2 3 2" xfId="22550"/>
    <cellStyle name="Notas 4 2 2 3 2 2" xfId="22551"/>
    <cellStyle name="Notas 4 2 2 3 2 3" xfId="22552"/>
    <cellStyle name="Notas 4 2 2 3 2 4" xfId="22553"/>
    <cellStyle name="Notas 4 2 2 3 3" xfId="22554"/>
    <cellStyle name="Notas 4 2 2 3 3 2" xfId="22555"/>
    <cellStyle name="Notas 4 2 2 3 3 3" xfId="22556"/>
    <cellStyle name="Notas 4 2 2 3 3 4" xfId="22557"/>
    <cellStyle name="Notas 4 2 2 3 4" xfId="22558"/>
    <cellStyle name="Notas 4 2 2 3 4 2" xfId="22559"/>
    <cellStyle name="Notas 4 2 2 3 4 3" xfId="22560"/>
    <cellStyle name="Notas 4 2 2 3 4 4" xfId="22561"/>
    <cellStyle name="Notas 4 2 2 3 5" xfId="22562"/>
    <cellStyle name="Notas 4 2 2 3 6" xfId="22563"/>
    <cellStyle name="Notas 4 2 2 3 7" xfId="22564"/>
    <cellStyle name="Notas 4 2 2 3 8" xfId="22565"/>
    <cellStyle name="Notas 4 2 2 4" xfId="22566"/>
    <cellStyle name="Notas 4 2 2 4 2" xfId="22567"/>
    <cellStyle name="Notas 4 2 2 4 2 2" xfId="22568"/>
    <cellStyle name="Notas 4 2 2 4 2 3" xfId="22569"/>
    <cellStyle name="Notas 4 2 2 4 2 4" xfId="22570"/>
    <cellStyle name="Notas 4 2 2 4 3" xfId="22571"/>
    <cellStyle name="Notas 4 2 2 4 3 2" xfId="22572"/>
    <cellStyle name="Notas 4 2 2 4 3 3" xfId="22573"/>
    <cellStyle name="Notas 4 2 2 4 3 4" xfId="22574"/>
    <cellStyle name="Notas 4 2 2 4 4" xfId="22575"/>
    <cellStyle name="Notas 4 2 2 4 4 2" xfId="22576"/>
    <cellStyle name="Notas 4 2 2 4 4 3" xfId="22577"/>
    <cellStyle name="Notas 4 2 2 4 4 4" xfId="22578"/>
    <cellStyle name="Notas 4 2 2 4 5" xfId="22579"/>
    <cellStyle name="Notas 4 2 2 4 6" xfId="22580"/>
    <cellStyle name="Notas 4 2 2 4 7" xfId="22581"/>
    <cellStyle name="Notas 4 2 2 4 8" xfId="22582"/>
    <cellStyle name="Notas 4 2 2 5" xfId="22583"/>
    <cellStyle name="Notas 4 2 2 5 2" xfId="22584"/>
    <cellStyle name="Notas 4 2 2 5 2 2" xfId="22585"/>
    <cellStyle name="Notas 4 2 2 5 2 3" xfId="22586"/>
    <cellStyle name="Notas 4 2 2 5 2 4" xfId="22587"/>
    <cellStyle name="Notas 4 2 2 5 3" xfId="22588"/>
    <cellStyle name="Notas 4 2 2 5 3 2" xfId="22589"/>
    <cellStyle name="Notas 4 2 2 5 3 3" xfId="22590"/>
    <cellStyle name="Notas 4 2 2 5 3 4" xfId="22591"/>
    <cellStyle name="Notas 4 2 2 5 4" xfId="22592"/>
    <cellStyle name="Notas 4 2 2 5 4 2" xfId="22593"/>
    <cellStyle name="Notas 4 2 2 5 4 3" xfId="22594"/>
    <cellStyle name="Notas 4 2 2 5 4 4" xfId="22595"/>
    <cellStyle name="Notas 4 2 2 5 5" xfId="22596"/>
    <cellStyle name="Notas 4 2 2 5 6" xfId="22597"/>
    <cellStyle name="Notas 4 2 2 5 7" xfId="22598"/>
    <cellStyle name="Notas 4 2 2 5 8" xfId="22599"/>
    <cellStyle name="Notas 4 2 2 6" xfId="22600"/>
    <cellStyle name="Notas 4 2 2 6 2" xfId="22601"/>
    <cellStyle name="Notas 4 2 2 6 3" xfId="22602"/>
    <cellStyle name="Notas 4 2 2 6 4" xfId="22603"/>
    <cellStyle name="Notas 4 2 2 7" xfId="22604"/>
    <cellStyle name="Notas 4 2 2 7 2" xfId="22605"/>
    <cellStyle name="Notas 4 2 2 7 3" xfId="22606"/>
    <cellStyle name="Notas 4 2 2 7 4" xfId="22607"/>
    <cellStyle name="Notas 4 2 2 8" xfId="22608"/>
    <cellStyle name="Notas 4 2 2 9" xfId="22609"/>
    <cellStyle name="Notas 4 2 3" xfId="22610"/>
    <cellStyle name="Notas 4 2 3 2" xfId="22611"/>
    <cellStyle name="Notas 4 2 3 2 2" xfId="22612"/>
    <cellStyle name="Notas 4 2 3 2 3" xfId="22613"/>
    <cellStyle name="Notas 4 2 3 2 4" xfId="22614"/>
    <cellStyle name="Notas 4 2 3 3" xfId="22615"/>
    <cellStyle name="Notas 4 2 3 3 2" xfId="22616"/>
    <cellStyle name="Notas 4 2 3 3 3" xfId="22617"/>
    <cellStyle name="Notas 4 2 3 3 4" xfId="22618"/>
    <cellStyle name="Notas 4 2 3 4" xfId="22619"/>
    <cellStyle name="Notas 4 2 3 4 2" xfId="22620"/>
    <cellStyle name="Notas 4 2 3 4 3" xfId="22621"/>
    <cellStyle name="Notas 4 2 3 4 4" xfId="22622"/>
    <cellStyle name="Notas 4 2 3 5" xfId="22623"/>
    <cellStyle name="Notas 4 2 3 6" xfId="22624"/>
    <cellStyle name="Notas 4 2 3 7" xfId="22625"/>
    <cellStyle name="Notas 4 2 3 8" xfId="22626"/>
    <cellStyle name="Notas 4 2 4" xfId="22627"/>
    <cellStyle name="Notas 4 2 4 2" xfId="22628"/>
    <cellStyle name="Notas 4 2 4 2 2" xfId="22629"/>
    <cellStyle name="Notas 4 2 4 2 3" xfId="22630"/>
    <cellStyle name="Notas 4 2 4 2 4" xfId="22631"/>
    <cellStyle name="Notas 4 2 4 3" xfId="22632"/>
    <cellStyle name="Notas 4 2 4 3 2" xfId="22633"/>
    <cellStyle name="Notas 4 2 4 3 3" xfId="22634"/>
    <cellStyle name="Notas 4 2 4 3 4" xfId="22635"/>
    <cellStyle name="Notas 4 2 4 4" xfId="22636"/>
    <cellStyle name="Notas 4 2 4 4 2" xfId="22637"/>
    <cellStyle name="Notas 4 2 4 4 3" xfId="22638"/>
    <cellStyle name="Notas 4 2 4 4 4" xfId="22639"/>
    <cellStyle name="Notas 4 2 4 5" xfId="22640"/>
    <cellStyle name="Notas 4 2 4 6" xfId="22641"/>
    <cellStyle name="Notas 4 2 4 7" xfId="22642"/>
    <cellStyle name="Notas 4 2 4 8" xfId="22643"/>
    <cellStyle name="Notas 4 2 5" xfId="22644"/>
    <cellStyle name="Notas 4 2 5 2" xfId="22645"/>
    <cellStyle name="Notas 4 2 5 2 2" xfId="22646"/>
    <cellStyle name="Notas 4 2 5 2 3" xfId="22647"/>
    <cellStyle name="Notas 4 2 5 2 4" xfId="22648"/>
    <cellStyle name="Notas 4 2 5 3" xfId="22649"/>
    <cellStyle name="Notas 4 2 5 3 2" xfId="22650"/>
    <cellStyle name="Notas 4 2 5 3 3" xfId="22651"/>
    <cellStyle name="Notas 4 2 5 3 4" xfId="22652"/>
    <cellStyle name="Notas 4 2 5 4" xfId="22653"/>
    <cellStyle name="Notas 4 2 5 4 2" xfId="22654"/>
    <cellStyle name="Notas 4 2 5 4 3" xfId="22655"/>
    <cellStyle name="Notas 4 2 5 4 4" xfId="22656"/>
    <cellStyle name="Notas 4 2 5 5" xfId="22657"/>
    <cellStyle name="Notas 4 2 5 6" xfId="22658"/>
    <cellStyle name="Notas 4 2 5 7" xfId="22659"/>
    <cellStyle name="Notas 4 2 5 8" xfId="22660"/>
    <cellStyle name="Notas 4 2 6" xfId="22661"/>
    <cellStyle name="Notas 4 2 6 2" xfId="22662"/>
    <cellStyle name="Notas 4 2 6 2 2" xfId="22663"/>
    <cellStyle name="Notas 4 2 6 2 3" xfId="22664"/>
    <cellStyle name="Notas 4 2 6 2 4" xfId="22665"/>
    <cellStyle name="Notas 4 2 6 3" xfId="22666"/>
    <cellStyle name="Notas 4 2 6 3 2" xfId="22667"/>
    <cellStyle name="Notas 4 2 6 3 3" xfId="22668"/>
    <cellStyle name="Notas 4 2 6 3 4" xfId="22669"/>
    <cellStyle name="Notas 4 2 6 4" xfId="22670"/>
    <cellStyle name="Notas 4 2 6 4 2" xfId="22671"/>
    <cellStyle name="Notas 4 2 6 4 3" xfId="22672"/>
    <cellStyle name="Notas 4 2 6 4 4" xfId="22673"/>
    <cellStyle name="Notas 4 2 6 5" xfId="22674"/>
    <cellStyle name="Notas 4 2 6 6" xfId="22675"/>
    <cellStyle name="Notas 4 2 6 7" xfId="22676"/>
    <cellStyle name="Notas 4 2 6 8" xfId="22677"/>
    <cellStyle name="Notas 4 2 7" xfId="22678"/>
    <cellStyle name="Notas 4 2 7 2" xfId="22679"/>
    <cellStyle name="Notas 4 2 7 2 2" xfId="22680"/>
    <cellStyle name="Notas 4 2 7 2 3" xfId="22681"/>
    <cellStyle name="Notas 4 2 7 2 4" xfId="22682"/>
    <cellStyle name="Notas 4 2 7 3" xfId="22683"/>
    <cellStyle name="Notas 4 2 7 3 2" xfId="22684"/>
    <cellStyle name="Notas 4 2 7 3 3" xfId="22685"/>
    <cellStyle name="Notas 4 2 7 3 4" xfId="22686"/>
    <cellStyle name="Notas 4 2 7 4" xfId="22687"/>
    <cellStyle name="Notas 4 2 7 4 2" xfId="22688"/>
    <cellStyle name="Notas 4 2 7 4 3" xfId="22689"/>
    <cellStyle name="Notas 4 2 7 4 4" xfId="22690"/>
    <cellStyle name="Notas 4 2 7 5" xfId="22691"/>
    <cellStyle name="Notas 4 2 7 6" xfId="22692"/>
    <cellStyle name="Notas 4 2 7 7" xfId="22693"/>
    <cellStyle name="Notas 4 2 7 8" xfId="22694"/>
    <cellStyle name="Notas 4 2 8" xfId="22695"/>
    <cellStyle name="Notas 4 2 8 2" xfId="22696"/>
    <cellStyle name="Notas 4 2 8 3" xfId="22697"/>
    <cellStyle name="Notas 4 2 8 4" xfId="22698"/>
    <cellStyle name="Notas 4 2 9" xfId="22699"/>
    <cellStyle name="Notas 4 2 9 2" xfId="22700"/>
    <cellStyle name="Notas 4 2 9 3" xfId="22701"/>
    <cellStyle name="Notas 4 2 9 4" xfId="22702"/>
    <cellStyle name="Notas 4 3" xfId="22703"/>
    <cellStyle name="Notas 4 3 2" xfId="22704"/>
    <cellStyle name="Notas 4 3 2 2" xfId="22705"/>
    <cellStyle name="Notas 4 3 2 2 2" xfId="22706"/>
    <cellStyle name="Notas 4 3 2 2 3" xfId="22707"/>
    <cellStyle name="Notas 4 3 2 2 4" xfId="22708"/>
    <cellStyle name="Notas 4 3 2 3" xfId="22709"/>
    <cellStyle name="Notas 4 3 2 3 2" xfId="22710"/>
    <cellStyle name="Notas 4 3 2 3 3" xfId="22711"/>
    <cellStyle name="Notas 4 3 2 3 4" xfId="22712"/>
    <cellStyle name="Notas 4 3 2 4" xfId="22713"/>
    <cellStyle name="Notas 4 3 2 4 2" xfId="22714"/>
    <cellStyle name="Notas 4 3 2 4 3" xfId="22715"/>
    <cellStyle name="Notas 4 3 2 4 4" xfId="22716"/>
    <cellStyle name="Notas 4 3 2 5" xfId="22717"/>
    <cellStyle name="Notas 4 3 2 6" xfId="22718"/>
    <cellStyle name="Notas 4 3 2 7" xfId="22719"/>
    <cellStyle name="Notas 4 3 2 8" xfId="22720"/>
    <cellStyle name="Notas 4 3 3" xfId="22721"/>
    <cellStyle name="Notas 4 3 3 2" xfId="22722"/>
    <cellStyle name="Notas 4 3 3 2 2" xfId="22723"/>
    <cellStyle name="Notas 4 3 3 2 3" xfId="22724"/>
    <cellStyle name="Notas 4 3 3 2 4" xfId="22725"/>
    <cellStyle name="Notas 4 3 3 3" xfId="22726"/>
    <cellStyle name="Notas 4 3 3 3 2" xfId="22727"/>
    <cellStyle name="Notas 4 3 3 3 3" xfId="22728"/>
    <cellStyle name="Notas 4 3 3 3 4" xfId="22729"/>
    <cellStyle name="Notas 4 3 3 4" xfId="22730"/>
    <cellStyle name="Notas 4 3 3 4 2" xfId="22731"/>
    <cellStyle name="Notas 4 3 3 4 3" xfId="22732"/>
    <cellStyle name="Notas 4 3 3 4 4" xfId="22733"/>
    <cellStyle name="Notas 4 3 3 5" xfId="22734"/>
    <cellStyle name="Notas 4 3 3 6" xfId="22735"/>
    <cellStyle name="Notas 4 3 3 7" xfId="22736"/>
    <cellStyle name="Notas 4 3 3 8" xfId="22737"/>
    <cellStyle name="Notas 4 3 4" xfId="22738"/>
    <cellStyle name="Notas 4 3 4 2" xfId="22739"/>
    <cellStyle name="Notas 4 3 4 2 2" xfId="22740"/>
    <cellStyle name="Notas 4 3 4 2 3" xfId="22741"/>
    <cellStyle name="Notas 4 3 4 2 4" xfId="22742"/>
    <cellStyle name="Notas 4 3 4 3" xfId="22743"/>
    <cellStyle name="Notas 4 3 4 3 2" xfId="22744"/>
    <cellStyle name="Notas 4 3 4 3 3" xfId="22745"/>
    <cellStyle name="Notas 4 3 4 3 4" xfId="22746"/>
    <cellStyle name="Notas 4 3 4 4" xfId="22747"/>
    <cellStyle name="Notas 4 3 4 4 2" xfId="22748"/>
    <cellStyle name="Notas 4 3 4 4 3" xfId="22749"/>
    <cellStyle name="Notas 4 3 4 4 4" xfId="22750"/>
    <cellStyle name="Notas 4 3 4 5" xfId="22751"/>
    <cellStyle name="Notas 4 3 4 6" xfId="22752"/>
    <cellStyle name="Notas 4 3 4 7" xfId="22753"/>
    <cellStyle name="Notas 4 3 4 8" xfId="22754"/>
    <cellStyle name="Notas 4 3 5" xfId="22755"/>
    <cellStyle name="Notas 4 3 5 2" xfId="22756"/>
    <cellStyle name="Notas 4 3 5 2 2" xfId="22757"/>
    <cellStyle name="Notas 4 3 5 2 3" xfId="22758"/>
    <cellStyle name="Notas 4 3 5 2 4" xfId="22759"/>
    <cellStyle name="Notas 4 3 5 3" xfId="22760"/>
    <cellStyle name="Notas 4 3 5 3 2" xfId="22761"/>
    <cellStyle name="Notas 4 3 5 3 3" xfId="22762"/>
    <cellStyle name="Notas 4 3 5 3 4" xfId="22763"/>
    <cellStyle name="Notas 4 3 5 4" xfId="22764"/>
    <cellStyle name="Notas 4 3 5 4 2" xfId="22765"/>
    <cellStyle name="Notas 4 3 5 4 3" xfId="22766"/>
    <cellStyle name="Notas 4 3 5 4 4" xfId="22767"/>
    <cellStyle name="Notas 4 3 5 5" xfId="22768"/>
    <cellStyle name="Notas 4 3 5 6" xfId="22769"/>
    <cellStyle name="Notas 4 3 5 7" xfId="22770"/>
    <cellStyle name="Notas 4 3 5 8" xfId="22771"/>
    <cellStyle name="Notas 4 3 6" xfId="22772"/>
    <cellStyle name="Notas 4 3 6 2" xfId="22773"/>
    <cellStyle name="Notas 4 3 6 3" xfId="22774"/>
    <cellStyle name="Notas 4 3 6 4" xfId="22775"/>
    <cellStyle name="Notas 4 3 7" xfId="22776"/>
    <cellStyle name="Notas 4 3 7 2" xfId="22777"/>
    <cellStyle name="Notas 4 3 7 3" xfId="22778"/>
    <cellStyle name="Notas 4 3 7 4" xfId="22779"/>
    <cellStyle name="Notas 4 3 8" xfId="22780"/>
    <cellStyle name="Notas 4 3 9" xfId="22781"/>
    <cellStyle name="Notas 4 4" xfId="22782"/>
    <cellStyle name="Notas 4 4 2" xfId="22783"/>
    <cellStyle name="Notas 4 4 2 2" xfId="22784"/>
    <cellStyle name="Notas 4 4 2 3" xfId="22785"/>
    <cellStyle name="Notas 4 4 2 4" xfId="22786"/>
    <cellStyle name="Notas 4 4 3" xfId="22787"/>
    <cellStyle name="Notas 4 4 3 2" xfId="22788"/>
    <cellStyle name="Notas 4 4 3 3" xfId="22789"/>
    <cellStyle name="Notas 4 4 3 4" xfId="22790"/>
    <cellStyle name="Notas 4 4 4" xfId="22791"/>
    <cellStyle name="Notas 4 4 4 2" xfId="22792"/>
    <cellStyle name="Notas 4 4 4 3" xfId="22793"/>
    <cellStyle name="Notas 4 4 4 4" xfId="22794"/>
    <cellStyle name="Notas 4 4 5" xfId="22795"/>
    <cellStyle name="Notas 4 4 6" xfId="22796"/>
    <cellStyle name="Notas 4 4 7" xfId="22797"/>
    <cellStyle name="Notas 4 4 8" xfId="22798"/>
    <cellStyle name="Notas 4 5" xfId="22799"/>
    <cellStyle name="Notas 4 5 2" xfId="22800"/>
    <cellStyle name="Notas 4 5 2 2" xfId="22801"/>
    <cellStyle name="Notas 4 5 2 3" xfId="22802"/>
    <cellStyle name="Notas 4 5 2 4" xfId="22803"/>
    <cellStyle name="Notas 4 5 3" xfId="22804"/>
    <cellStyle name="Notas 4 5 3 2" xfId="22805"/>
    <cellStyle name="Notas 4 5 3 3" xfId="22806"/>
    <cellStyle name="Notas 4 5 3 4" xfId="22807"/>
    <cellStyle name="Notas 4 5 4" xfId="22808"/>
    <cellStyle name="Notas 4 5 4 2" xfId="22809"/>
    <cellStyle name="Notas 4 5 4 3" xfId="22810"/>
    <cellStyle name="Notas 4 5 4 4" xfId="22811"/>
    <cellStyle name="Notas 4 5 5" xfId="22812"/>
    <cellStyle name="Notas 4 5 6" xfId="22813"/>
    <cellStyle name="Notas 4 5 7" xfId="22814"/>
    <cellStyle name="Notas 4 5 8" xfId="22815"/>
    <cellStyle name="Notas 4 6" xfId="22816"/>
    <cellStyle name="Notas 4 6 2" xfId="22817"/>
    <cellStyle name="Notas 4 6 2 2" xfId="22818"/>
    <cellStyle name="Notas 4 6 2 3" xfId="22819"/>
    <cellStyle name="Notas 4 6 2 4" xfId="22820"/>
    <cellStyle name="Notas 4 6 3" xfId="22821"/>
    <cellStyle name="Notas 4 6 3 2" xfId="22822"/>
    <cellStyle name="Notas 4 6 3 3" xfId="22823"/>
    <cellStyle name="Notas 4 6 3 4" xfId="22824"/>
    <cellStyle name="Notas 4 6 4" xfId="22825"/>
    <cellStyle name="Notas 4 6 4 2" xfId="22826"/>
    <cellStyle name="Notas 4 6 4 3" xfId="22827"/>
    <cellStyle name="Notas 4 6 4 4" xfId="22828"/>
    <cellStyle name="Notas 4 6 5" xfId="22829"/>
    <cellStyle name="Notas 4 6 6" xfId="22830"/>
    <cellStyle name="Notas 4 6 7" xfId="22831"/>
    <cellStyle name="Notas 4 6 8" xfId="22832"/>
    <cellStyle name="Notas 4 7" xfId="22833"/>
    <cellStyle name="Notas 4 7 2" xfId="22834"/>
    <cellStyle name="Notas 4 7 2 2" xfId="22835"/>
    <cellStyle name="Notas 4 7 2 3" xfId="22836"/>
    <cellStyle name="Notas 4 7 2 4" xfId="22837"/>
    <cellStyle name="Notas 4 7 3" xfId="22838"/>
    <cellStyle name="Notas 4 7 3 2" xfId="22839"/>
    <cellStyle name="Notas 4 7 3 3" xfId="22840"/>
    <cellStyle name="Notas 4 7 3 4" xfId="22841"/>
    <cellStyle name="Notas 4 7 4" xfId="22842"/>
    <cellStyle name="Notas 4 7 4 2" xfId="22843"/>
    <cellStyle name="Notas 4 7 4 3" xfId="22844"/>
    <cellStyle name="Notas 4 7 4 4" xfId="22845"/>
    <cellStyle name="Notas 4 7 5" xfId="22846"/>
    <cellStyle name="Notas 4 7 6" xfId="22847"/>
    <cellStyle name="Notas 4 7 7" xfId="22848"/>
    <cellStyle name="Notas 4 7 8" xfId="22849"/>
    <cellStyle name="Notas 4 8" xfId="22850"/>
    <cellStyle name="Notas 4 8 2" xfId="22851"/>
    <cellStyle name="Notas 4 8 2 2" xfId="22852"/>
    <cellStyle name="Notas 4 8 2 3" xfId="22853"/>
    <cellStyle name="Notas 4 8 2 4" xfId="22854"/>
    <cellStyle name="Notas 4 8 3" xfId="22855"/>
    <cellStyle name="Notas 4 8 3 2" xfId="22856"/>
    <cellStyle name="Notas 4 8 3 3" xfId="22857"/>
    <cellStyle name="Notas 4 8 3 4" xfId="22858"/>
    <cellStyle name="Notas 4 8 4" xfId="22859"/>
    <cellStyle name="Notas 4 8 4 2" xfId="22860"/>
    <cellStyle name="Notas 4 8 4 3" xfId="22861"/>
    <cellStyle name="Notas 4 8 4 4" xfId="22862"/>
    <cellStyle name="Notas 4 8 5" xfId="22863"/>
    <cellStyle name="Notas 4 8 6" xfId="22864"/>
    <cellStyle name="Notas 4 8 7" xfId="22865"/>
    <cellStyle name="Notas 4 8 8" xfId="22866"/>
    <cellStyle name="Notas 4 9" xfId="22867"/>
    <cellStyle name="Notas 4 9 2" xfId="22868"/>
    <cellStyle name="Notas 4 9 3" xfId="22869"/>
    <cellStyle name="Notas 4 9 4" xfId="22870"/>
    <cellStyle name="Notas 5" xfId="22871"/>
    <cellStyle name="Notas 6" xfId="22872"/>
    <cellStyle name="Notas 6 10" xfId="22873"/>
    <cellStyle name="Notas 6 11" xfId="22874"/>
    <cellStyle name="Notas 6 2" xfId="22875"/>
    <cellStyle name="Notas 6 2 2" xfId="22876"/>
    <cellStyle name="Notas 6 2 2 2" xfId="22877"/>
    <cellStyle name="Notas 6 2 2 2 2" xfId="22878"/>
    <cellStyle name="Notas 6 2 2 2 3" xfId="22879"/>
    <cellStyle name="Notas 6 2 2 2 4" xfId="22880"/>
    <cellStyle name="Notas 6 2 2 3" xfId="22881"/>
    <cellStyle name="Notas 6 2 2 3 2" xfId="22882"/>
    <cellStyle name="Notas 6 2 2 3 3" xfId="22883"/>
    <cellStyle name="Notas 6 2 2 3 4" xfId="22884"/>
    <cellStyle name="Notas 6 2 2 4" xfId="22885"/>
    <cellStyle name="Notas 6 2 2 4 2" xfId="22886"/>
    <cellStyle name="Notas 6 2 2 4 3" xfId="22887"/>
    <cellStyle name="Notas 6 2 2 4 4" xfId="22888"/>
    <cellStyle name="Notas 6 2 2 5" xfId="22889"/>
    <cellStyle name="Notas 6 2 2 6" xfId="22890"/>
    <cellStyle name="Notas 6 2 2 7" xfId="22891"/>
    <cellStyle name="Notas 6 2 2 8" xfId="22892"/>
    <cellStyle name="Notas 6 2 3" xfId="22893"/>
    <cellStyle name="Notas 6 2 3 2" xfId="22894"/>
    <cellStyle name="Notas 6 2 3 2 2" xfId="22895"/>
    <cellStyle name="Notas 6 2 3 2 3" xfId="22896"/>
    <cellStyle name="Notas 6 2 3 2 4" xfId="22897"/>
    <cellStyle name="Notas 6 2 3 3" xfId="22898"/>
    <cellStyle name="Notas 6 2 3 3 2" xfId="22899"/>
    <cellStyle name="Notas 6 2 3 3 3" xfId="22900"/>
    <cellStyle name="Notas 6 2 3 3 4" xfId="22901"/>
    <cellStyle name="Notas 6 2 3 4" xfId="22902"/>
    <cellStyle name="Notas 6 2 3 4 2" xfId="22903"/>
    <cellStyle name="Notas 6 2 3 4 3" xfId="22904"/>
    <cellStyle name="Notas 6 2 3 4 4" xfId="22905"/>
    <cellStyle name="Notas 6 2 3 5" xfId="22906"/>
    <cellStyle name="Notas 6 2 3 6" xfId="22907"/>
    <cellStyle name="Notas 6 2 3 7" xfId="22908"/>
    <cellStyle name="Notas 6 2 3 8" xfId="22909"/>
    <cellStyle name="Notas 6 2 4" xfId="22910"/>
    <cellStyle name="Notas 6 2 4 2" xfId="22911"/>
    <cellStyle name="Notas 6 2 4 2 2" xfId="22912"/>
    <cellStyle name="Notas 6 2 4 2 3" xfId="22913"/>
    <cellStyle name="Notas 6 2 4 2 4" xfId="22914"/>
    <cellStyle name="Notas 6 2 4 3" xfId="22915"/>
    <cellStyle name="Notas 6 2 4 3 2" xfId="22916"/>
    <cellStyle name="Notas 6 2 4 3 3" xfId="22917"/>
    <cellStyle name="Notas 6 2 4 3 4" xfId="22918"/>
    <cellStyle name="Notas 6 2 4 4" xfId="22919"/>
    <cellStyle name="Notas 6 2 4 4 2" xfId="22920"/>
    <cellStyle name="Notas 6 2 4 4 3" xfId="22921"/>
    <cellStyle name="Notas 6 2 4 4 4" xfId="22922"/>
    <cellStyle name="Notas 6 2 4 5" xfId="22923"/>
    <cellStyle name="Notas 6 2 4 6" xfId="22924"/>
    <cellStyle name="Notas 6 2 4 7" xfId="22925"/>
    <cellStyle name="Notas 6 2 4 8" xfId="22926"/>
    <cellStyle name="Notas 6 2 5" xfId="22927"/>
    <cellStyle name="Notas 6 2 5 2" xfId="22928"/>
    <cellStyle name="Notas 6 2 5 2 2" xfId="22929"/>
    <cellStyle name="Notas 6 2 5 2 3" xfId="22930"/>
    <cellStyle name="Notas 6 2 5 2 4" xfId="22931"/>
    <cellStyle name="Notas 6 2 5 3" xfId="22932"/>
    <cellStyle name="Notas 6 2 5 3 2" xfId="22933"/>
    <cellStyle name="Notas 6 2 5 3 3" xfId="22934"/>
    <cellStyle name="Notas 6 2 5 3 4" xfId="22935"/>
    <cellStyle name="Notas 6 2 5 4" xfId="22936"/>
    <cellStyle name="Notas 6 2 5 4 2" xfId="22937"/>
    <cellStyle name="Notas 6 2 5 4 3" xfId="22938"/>
    <cellStyle name="Notas 6 2 5 4 4" xfId="22939"/>
    <cellStyle name="Notas 6 2 5 5" xfId="22940"/>
    <cellStyle name="Notas 6 2 5 6" xfId="22941"/>
    <cellStyle name="Notas 6 2 5 7" xfId="22942"/>
    <cellStyle name="Notas 6 2 5 8" xfId="22943"/>
    <cellStyle name="Notas 6 2 6" xfId="22944"/>
    <cellStyle name="Notas 6 2 6 2" xfId="22945"/>
    <cellStyle name="Notas 6 2 6 3" xfId="22946"/>
    <cellStyle name="Notas 6 2 6 4" xfId="22947"/>
    <cellStyle name="Notas 6 2 7" xfId="22948"/>
    <cellStyle name="Notas 6 2 7 2" xfId="22949"/>
    <cellStyle name="Notas 6 2 7 3" xfId="22950"/>
    <cellStyle name="Notas 6 2 7 4" xfId="22951"/>
    <cellStyle name="Notas 6 2 8" xfId="22952"/>
    <cellStyle name="Notas 6 2 9" xfId="22953"/>
    <cellStyle name="Notas 6 3" xfId="22954"/>
    <cellStyle name="Notas 6 3 2" xfId="22955"/>
    <cellStyle name="Notas 6 3 2 2" xfId="22956"/>
    <cellStyle name="Notas 6 3 2 3" xfId="22957"/>
    <cellStyle name="Notas 6 3 2 4" xfId="22958"/>
    <cellStyle name="Notas 6 3 3" xfId="22959"/>
    <cellStyle name="Notas 6 3 3 2" xfId="22960"/>
    <cellStyle name="Notas 6 3 3 3" xfId="22961"/>
    <cellStyle name="Notas 6 3 3 4" xfId="22962"/>
    <cellStyle name="Notas 6 3 4" xfId="22963"/>
    <cellStyle name="Notas 6 3 4 2" xfId="22964"/>
    <cellStyle name="Notas 6 3 4 3" xfId="22965"/>
    <cellStyle name="Notas 6 3 4 4" xfId="22966"/>
    <cellStyle name="Notas 6 3 5" xfId="22967"/>
    <cellStyle name="Notas 6 3 6" xfId="22968"/>
    <cellStyle name="Notas 6 3 7" xfId="22969"/>
    <cellStyle name="Notas 6 3 8" xfId="22970"/>
    <cellStyle name="Notas 6 4" xfId="22971"/>
    <cellStyle name="Notas 6 4 2" xfId="22972"/>
    <cellStyle name="Notas 6 4 2 2" xfId="22973"/>
    <cellStyle name="Notas 6 4 2 3" xfId="22974"/>
    <cellStyle name="Notas 6 4 2 4" xfId="22975"/>
    <cellStyle name="Notas 6 4 3" xfId="22976"/>
    <cellStyle name="Notas 6 4 3 2" xfId="22977"/>
    <cellStyle name="Notas 6 4 3 3" xfId="22978"/>
    <cellStyle name="Notas 6 4 3 4" xfId="22979"/>
    <cellStyle name="Notas 6 4 4" xfId="22980"/>
    <cellStyle name="Notas 6 4 4 2" xfId="22981"/>
    <cellStyle name="Notas 6 4 4 3" xfId="22982"/>
    <cellStyle name="Notas 6 4 4 4" xfId="22983"/>
    <cellStyle name="Notas 6 4 5" xfId="22984"/>
    <cellStyle name="Notas 6 4 6" xfId="22985"/>
    <cellStyle name="Notas 6 4 7" xfId="22986"/>
    <cellStyle name="Notas 6 4 8" xfId="22987"/>
    <cellStyle name="Notas 6 5" xfId="22988"/>
    <cellStyle name="Notas 6 5 2" xfId="22989"/>
    <cellStyle name="Notas 6 5 2 2" xfId="22990"/>
    <cellStyle name="Notas 6 5 2 3" xfId="22991"/>
    <cellStyle name="Notas 6 5 2 4" xfId="22992"/>
    <cellStyle name="Notas 6 5 3" xfId="22993"/>
    <cellStyle name="Notas 6 5 3 2" xfId="22994"/>
    <cellStyle name="Notas 6 5 3 3" xfId="22995"/>
    <cellStyle name="Notas 6 5 3 4" xfId="22996"/>
    <cellStyle name="Notas 6 5 4" xfId="22997"/>
    <cellStyle name="Notas 6 5 4 2" xfId="22998"/>
    <cellStyle name="Notas 6 5 4 3" xfId="22999"/>
    <cellStyle name="Notas 6 5 4 4" xfId="23000"/>
    <cellStyle name="Notas 6 5 5" xfId="23001"/>
    <cellStyle name="Notas 6 5 6" xfId="23002"/>
    <cellStyle name="Notas 6 5 7" xfId="23003"/>
    <cellStyle name="Notas 6 5 8" xfId="23004"/>
    <cellStyle name="Notas 6 6" xfId="23005"/>
    <cellStyle name="Notas 6 6 2" xfId="23006"/>
    <cellStyle name="Notas 6 6 2 2" xfId="23007"/>
    <cellStyle name="Notas 6 6 2 3" xfId="23008"/>
    <cellStyle name="Notas 6 6 2 4" xfId="23009"/>
    <cellStyle name="Notas 6 6 3" xfId="23010"/>
    <cellStyle name="Notas 6 6 3 2" xfId="23011"/>
    <cellStyle name="Notas 6 6 3 3" xfId="23012"/>
    <cellStyle name="Notas 6 6 3 4" xfId="23013"/>
    <cellStyle name="Notas 6 6 4" xfId="23014"/>
    <cellStyle name="Notas 6 6 4 2" xfId="23015"/>
    <cellStyle name="Notas 6 6 4 3" xfId="23016"/>
    <cellStyle name="Notas 6 6 4 4" xfId="23017"/>
    <cellStyle name="Notas 6 6 5" xfId="23018"/>
    <cellStyle name="Notas 6 6 6" xfId="23019"/>
    <cellStyle name="Notas 6 6 7" xfId="23020"/>
    <cellStyle name="Notas 6 6 8" xfId="23021"/>
    <cellStyle name="Notas 6 7" xfId="23022"/>
    <cellStyle name="Notas 6 7 2" xfId="23023"/>
    <cellStyle name="Notas 6 7 2 2" xfId="23024"/>
    <cellStyle name="Notas 6 7 2 3" xfId="23025"/>
    <cellStyle name="Notas 6 7 2 4" xfId="23026"/>
    <cellStyle name="Notas 6 7 3" xfId="23027"/>
    <cellStyle name="Notas 6 7 3 2" xfId="23028"/>
    <cellStyle name="Notas 6 7 3 3" xfId="23029"/>
    <cellStyle name="Notas 6 7 3 4" xfId="23030"/>
    <cellStyle name="Notas 6 7 4" xfId="23031"/>
    <cellStyle name="Notas 6 7 4 2" xfId="23032"/>
    <cellStyle name="Notas 6 7 4 3" xfId="23033"/>
    <cellStyle name="Notas 6 7 4 4" xfId="23034"/>
    <cellStyle name="Notas 6 7 5" xfId="23035"/>
    <cellStyle name="Notas 6 7 6" xfId="23036"/>
    <cellStyle name="Notas 6 7 7" xfId="23037"/>
    <cellStyle name="Notas 6 7 8" xfId="23038"/>
    <cellStyle name="Notas 6 8" xfId="23039"/>
    <cellStyle name="Notas 6 8 2" xfId="23040"/>
    <cellStyle name="Notas 6 8 3" xfId="23041"/>
    <cellStyle name="Notas 6 8 4" xfId="23042"/>
    <cellStyle name="Notas 6 9" xfId="23043"/>
    <cellStyle name="Notas 6 9 2" xfId="23044"/>
    <cellStyle name="Notas 6 9 3" xfId="23045"/>
    <cellStyle name="Notas 6 9 4" xfId="23046"/>
    <cellStyle name="Note" xfId="23047"/>
    <cellStyle name="Note 10" xfId="23048"/>
    <cellStyle name="Note 10 2" xfId="23049"/>
    <cellStyle name="Note 10 2 2" xfId="23050"/>
    <cellStyle name="Note 10 2 3" xfId="23051"/>
    <cellStyle name="Note 10 2 4" xfId="23052"/>
    <cellStyle name="Note 10 3" xfId="23053"/>
    <cellStyle name="Note 10 3 2" xfId="23054"/>
    <cellStyle name="Note 10 3 3" xfId="23055"/>
    <cellStyle name="Note 10 3 4" xfId="23056"/>
    <cellStyle name="Note 10 4" xfId="23057"/>
    <cellStyle name="Note 10 4 2" xfId="23058"/>
    <cellStyle name="Note 10 4 3" xfId="23059"/>
    <cellStyle name="Note 10 4 4" xfId="23060"/>
    <cellStyle name="Note 10 5" xfId="23061"/>
    <cellStyle name="Note 10 6" xfId="23062"/>
    <cellStyle name="Note 10 7" xfId="23063"/>
    <cellStyle name="Note 10 8" xfId="23064"/>
    <cellStyle name="Note 11" xfId="23065"/>
    <cellStyle name="Note 11 2" xfId="23066"/>
    <cellStyle name="Note 11 2 2" xfId="23067"/>
    <cellStyle name="Note 11 2 3" xfId="23068"/>
    <cellStyle name="Note 11 2 4" xfId="23069"/>
    <cellStyle name="Note 11 3" xfId="23070"/>
    <cellStyle name="Note 11 3 2" xfId="23071"/>
    <cellStyle name="Note 11 3 3" xfId="23072"/>
    <cellStyle name="Note 11 3 4" xfId="23073"/>
    <cellStyle name="Note 11 4" xfId="23074"/>
    <cellStyle name="Note 11 4 2" xfId="23075"/>
    <cellStyle name="Note 11 4 3" xfId="23076"/>
    <cellStyle name="Note 11 4 4" xfId="23077"/>
    <cellStyle name="Note 11 5" xfId="23078"/>
    <cellStyle name="Note 11 6" xfId="23079"/>
    <cellStyle name="Note 11 7" xfId="23080"/>
    <cellStyle name="Note 11 8" xfId="23081"/>
    <cellStyle name="Note 12" xfId="23082"/>
    <cellStyle name="Note 12 2" xfId="23083"/>
    <cellStyle name="Note 12 3" xfId="23084"/>
    <cellStyle name="Note 12 4" xfId="23085"/>
    <cellStyle name="Note 13" xfId="23086"/>
    <cellStyle name="Note 13 2" xfId="23087"/>
    <cellStyle name="Note 13 3" xfId="23088"/>
    <cellStyle name="Note 13 4" xfId="23089"/>
    <cellStyle name="Note 14" xfId="23090"/>
    <cellStyle name="Note 15" xfId="23091"/>
    <cellStyle name="Note 2" xfId="23092"/>
    <cellStyle name="Note 2 10" xfId="23093"/>
    <cellStyle name="Note 2 10 2" xfId="23094"/>
    <cellStyle name="Note 2 10 2 2" xfId="23095"/>
    <cellStyle name="Note 2 10 2 3" xfId="23096"/>
    <cellStyle name="Note 2 10 2 4" xfId="23097"/>
    <cellStyle name="Note 2 10 3" xfId="23098"/>
    <cellStyle name="Note 2 10 3 2" xfId="23099"/>
    <cellStyle name="Note 2 10 3 3" xfId="23100"/>
    <cellStyle name="Note 2 10 3 4" xfId="23101"/>
    <cellStyle name="Note 2 10 4" xfId="23102"/>
    <cellStyle name="Note 2 10 4 2" xfId="23103"/>
    <cellStyle name="Note 2 10 4 3" xfId="23104"/>
    <cellStyle name="Note 2 10 4 4" xfId="23105"/>
    <cellStyle name="Note 2 10 5" xfId="23106"/>
    <cellStyle name="Note 2 10 6" xfId="23107"/>
    <cellStyle name="Note 2 10 7" xfId="23108"/>
    <cellStyle name="Note 2 10 8" xfId="23109"/>
    <cellStyle name="Note 2 11" xfId="23110"/>
    <cellStyle name="Note 2 11 2" xfId="23111"/>
    <cellStyle name="Note 2 11 2 2" xfId="23112"/>
    <cellStyle name="Note 2 11 2 3" xfId="23113"/>
    <cellStyle name="Note 2 11 2 4" xfId="23114"/>
    <cellStyle name="Note 2 11 3" xfId="23115"/>
    <cellStyle name="Note 2 11 3 2" xfId="23116"/>
    <cellStyle name="Note 2 11 3 3" xfId="23117"/>
    <cellStyle name="Note 2 11 3 4" xfId="23118"/>
    <cellStyle name="Note 2 11 4" xfId="23119"/>
    <cellStyle name="Note 2 11 4 2" xfId="23120"/>
    <cellStyle name="Note 2 11 4 3" xfId="23121"/>
    <cellStyle name="Note 2 11 4 4" xfId="23122"/>
    <cellStyle name="Note 2 11 5" xfId="23123"/>
    <cellStyle name="Note 2 11 6" xfId="23124"/>
    <cellStyle name="Note 2 11 7" xfId="23125"/>
    <cellStyle name="Note 2 11 8" xfId="23126"/>
    <cellStyle name="Note 2 12" xfId="23127"/>
    <cellStyle name="Note 2 12 2" xfId="23128"/>
    <cellStyle name="Note 2 12 2 2" xfId="23129"/>
    <cellStyle name="Note 2 12 2 3" xfId="23130"/>
    <cellStyle name="Note 2 12 2 4" xfId="23131"/>
    <cellStyle name="Note 2 12 3" xfId="23132"/>
    <cellStyle name="Note 2 12 3 2" xfId="23133"/>
    <cellStyle name="Note 2 12 3 3" xfId="23134"/>
    <cellStyle name="Note 2 12 3 4" xfId="23135"/>
    <cellStyle name="Note 2 12 4" xfId="23136"/>
    <cellStyle name="Note 2 12 4 2" xfId="23137"/>
    <cellStyle name="Note 2 12 4 3" xfId="23138"/>
    <cellStyle name="Note 2 12 4 4" xfId="23139"/>
    <cellStyle name="Note 2 12 5" xfId="23140"/>
    <cellStyle name="Note 2 12 6" xfId="23141"/>
    <cellStyle name="Note 2 12 7" xfId="23142"/>
    <cellStyle name="Note 2 12 8" xfId="23143"/>
    <cellStyle name="Note 2 13" xfId="23144"/>
    <cellStyle name="Note 2 13 2" xfId="23145"/>
    <cellStyle name="Note 2 13 2 2" xfId="23146"/>
    <cellStyle name="Note 2 13 2 3" xfId="23147"/>
    <cellStyle name="Note 2 13 2 4" xfId="23148"/>
    <cellStyle name="Note 2 13 3" xfId="23149"/>
    <cellStyle name="Note 2 13 3 2" xfId="23150"/>
    <cellStyle name="Note 2 13 3 3" xfId="23151"/>
    <cellStyle name="Note 2 13 3 4" xfId="23152"/>
    <cellStyle name="Note 2 13 4" xfId="23153"/>
    <cellStyle name="Note 2 13 4 2" xfId="23154"/>
    <cellStyle name="Note 2 13 4 3" xfId="23155"/>
    <cellStyle name="Note 2 13 4 4" xfId="23156"/>
    <cellStyle name="Note 2 13 5" xfId="23157"/>
    <cellStyle name="Note 2 13 6" xfId="23158"/>
    <cellStyle name="Note 2 13 7" xfId="23159"/>
    <cellStyle name="Note 2 13 8" xfId="23160"/>
    <cellStyle name="Note 2 14" xfId="23161"/>
    <cellStyle name="Note 2 14 2" xfId="23162"/>
    <cellStyle name="Note 2 14 2 2" xfId="23163"/>
    <cellStyle name="Note 2 14 2 3" xfId="23164"/>
    <cellStyle name="Note 2 14 2 4" xfId="23165"/>
    <cellStyle name="Note 2 14 3" xfId="23166"/>
    <cellStyle name="Note 2 14 3 2" xfId="23167"/>
    <cellStyle name="Note 2 14 3 3" xfId="23168"/>
    <cellStyle name="Note 2 14 3 4" xfId="23169"/>
    <cellStyle name="Note 2 14 4" xfId="23170"/>
    <cellStyle name="Note 2 14 4 2" xfId="23171"/>
    <cellStyle name="Note 2 14 4 3" xfId="23172"/>
    <cellStyle name="Note 2 14 4 4" xfId="23173"/>
    <cellStyle name="Note 2 14 5" xfId="23174"/>
    <cellStyle name="Note 2 14 6" xfId="23175"/>
    <cellStyle name="Note 2 14 7" xfId="23176"/>
    <cellStyle name="Note 2 14 8" xfId="23177"/>
    <cellStyle name="Note 2 15" xfId="23178"/>
    <cellStyle name="Note 2 15 2" xfId="23179"/>
    <cellStyle name="Note 2 15 3" xfId="23180"/>
    <cellStyle name="Note 2 15 4" xfId="23181"/>
    <cellStyle name="Note 2 16" xfId="23182"/>
    <cellStyle name="Note 2 16 2" xfId="23183"/>
    <cellStyle name="Note 2 16 3" xfId="23184"/>
    <cellStyle name="Note 2 16 4" xfId="23185"/>
    <cellStyle name="Note 2 17" xfId="23186"/>
    <cellStyle name="Note 2 18" xfId="23187"/>
    <cellStyle name="Note 2 2" xfId="23188"/>
    <cellStyle name="Note 2 2 10" xfId="23189"/>
    <cellStyle name="Note 2 2 10 2" xfId="23190"/>
    <cellStyle name="Note 2 2 10 2 2" xfId="23191"/>
    <cellStyle name="Note 2 2 10 2 3" xfId="23192"/>
    <cellStyle name="Note 2 2 10 2 4" xfId="23193"/>
    <cellStyle name="Note 2 2 10 3" xfId="23194"/>
    <cellStyle name="Note 2 2 10 3 2" xfId="23195"/>
    <cellStyle name="Note 2 2 10 3 3" xfId="23196"/>
    <cellStyle name="Note 2 2 10 3 4" xfId="23197"/>
    <cellStyle name="Note 2 2 10 4" xfId="23198"/>
    <cellStyle name="Note 2 2 10 4 2" xfId="23199"/>
    <cellStyle name="Note 2 2 10 4 3" xfId="23200"/>
    <cellStyle name="Note 2 2 10 4 4" xfId="23201"/>
    <cellStyle name="Note 2 2 10 5" xfId="23202"/>
    <cellStyle name="Note 2 2 10 6" xfId="23203"/>
    <cellStyle name="Note 2 2 10 7" xfId="23204"/>
    <cellStyle name="Note 2 2 10 8" xfId="23205"/>
    <cellStyle name="Note 2 2 11" xfId="23206"/>
    <cellStyle name="Note 2 2 11 2" xfId="23207"/>
    <cellStyle name="Note 2 2 11 2 2" xfId="23208"/>
    <cellStyle name="Note 2 2 11 2 3" xfId="23209"/>
    <cellStyle name="Note 2 2 11 2 4" xfId="23210"/>
    <cellStyle name="Note 2 2 11 3" xfId="23211"/>
    <cellStyle name="Note 2 2 11 3 2" xfId="23212"/>
    <cellStyle name="Note 2 2 11 3 3" xfId="23213"/>
    <cellStyle name="Note 2 2 11 3 4" xfId="23214"/>
    <cellStyle name="Note 2 2 11 4" xfId="23215"/>
    <cellStyle name="Note 2 2 11 4 2" xfId="23216"/>
    <cellStyle name="Note 2 2 11 4 3" xfId="23217"/>
    <cellStyle name="Note 2 2 11 4 4" xfId="23218"/>
    <cellStyle name="Note 2 2 11 5" xfId="23219"/>
    <cellStyle name="Note 2 2 11 6" xfId="23220"/>
    <cellStyle name="Note 2 2 11 7" xfId="23221"/>
    <cellStyle name="Note 2 2 11 8" xfId="23222"/>
    <cellStyle name="Note 2 2 12" xfId="23223"/>
    <cellStyle name="Note 2 2 12 2" xfId="23224"/>
    <cellStyle name="Note 2 2 12 3" xfId="23225"/>
    <cellStyle name="Note 2 2 12 4" xfId="23226"/>
    <cellStyle name="Note 2 2 13" xfId="23227"/>
    <cellStyle name="Note 2 2 13 2" xfId="23228"/>
    <cellStyle name="Note 2 2 13 3" xfId="23229"/>
    <cellStyle name="Note 2 2 13 4" xfId="23230"/>
    <cellStyle name="Note 2 2 14" xfId="23231"/>
    <cellStyle name="Note 2 2 15" xfId="23232"/>
    <cellStyle name="Note 2 2 2" xfId="23233"/>
    <cellStyle name="Note 2 2 2 10" xfId="23234"/>
    <cellStyle name="Note 2 2 2 10 2" xfId="23235"/>
    <cellStyle name="Note 2 2 2 10 2 2" xfId="23236"/>
    <cellStyle name="Note 2 2 2 10 2 3" xfId="23237"/>
    <cellStyle name="Note 2 2 2 10 2 4" xfId="23238"/>
    <cellStyle name="Note 2 2 2 10 3" xfId="23239"/>
    <cellStyle name="Note 2 2 2 10 3 2" xfId="23240"/>
    <cellStyle name="Note 2 2 2 10 3 3" xfId="23241"/>
    <cellStyle name="Note 2 2 2 10 3 4" xfId="23242"/>
    <cellStyle name="Note 2 2 2 10 4" xfId="23243"/>
    <cellStyle name="Note 2 2 2 10 4 2" xfId="23244"/>
    <cellStyle name="Note 2 2 2 10 4 3" xfId="23245"/>
    <cellStyle name="Note 2 2 2 10 4 4" xfId="23246"/>
    <cellStyle name="Note 2 2 2 10 5" xfId="23247"/>
    <cellStyle name="Note 2 2 2 10 6" xfId="23248"/>
    <cellStyle name="Note 2 2 2 10 7" xfId="23249"/>
    <cellStyle name="Note 2 2 2 10 8" xfId="23250"/>
    <cellStyle name="Note 2 2 2 11" xfId="23251"/>
    <cellStyle name="Note 2 2 2 11 2" xfId="23252"/>
    <cellStyle name="Note 2 2 2 11 3" xfId="23253"/>
    <cellStyle name="Note 2 2 2 11 4" xfId="23254"/>
    <cellStyle name="Note 2 2 2 12" xfId="23255"/>
    <cellStyle name="Note 2 2 2 12 2" xfId="23256"/>
    <cellStyle name="Note 2 2 2 12 3" xfId="23257"/>
    <cellStyle name="Note 2 2 2 12 4" xfId="23258"/>
    <cellStyle name="Note 2 2 2 13" xfId="23259"/>
    <cellStyle name="Note 2 2 2 14" xfId="23260"/>
    <cellStyle name="Note 2 2 2 2" xfId="23261"/>
    <cellStyle name="Note 2 2 2 2 10" xfId="23262"/>
    <cellStyle name="Note 2 2 2 2 10 2" xfId="23263"/>
    <cellStyle name="Note 2 2 2 2 10 3" xfId="23264"/>
    <cellStyle name="Note 2 2 2 2 10 4" xfId="23265"/>
    <cellStyle name="Note 2 2 2 2 11" xfId="23266"/>
    <cellStyle name="Note 2 2 2 2 11 2" xfId="23267"/>
    <cellStyle name="Note 2 2 2 2 11 3" xfId="23268"/>
    <cellStyle name="Note 2 2 2 2 11 4" xfId="23269"/>
    <cellStyle name="Note 2 2 2 2 12" xfId="23270"/>
    <cellStyle name="Note 2 2 2 2 13" xfId="23271"/>
    <cellStyle name="Note 2 2 2 2 2" xfId="23272"/>
    <cellStyle name="Note 2 2 2 2 2 10" xfId="23273"/>
    <cellStyle name="Note 2 2 2 2 2 10 2" xfId="23274"/>
    <cellStyle name="Note 2 2 2 2 2 10 3" xfId="23275"/>
    <cellStyle name="Note 2 2 2 2 2 10 4" xfId="23276"/>
    <cellStyle name="Note 2 2 2 2 2 11" xfId="23277"/>
    <cellStyle name="Note 2 2 2 2 2 12" xfId="23278"/>
    <cellStyle name="Note 2 2 2 2 2 2" xfId="23279"/>
    <cellStyle name="Note 2 2 2 2 2 2 10" xfId="23280"/>
    <cellStyle name="Note 2 2 2 2 2 2 11" xfId="23281"/>
    <cellStyle name="Note 2 2 2 2 2 2 2" xfId="23282"/>
    <cellStyle name="Note 2 2 2 2 2 2 2 2" xfId="23283"/>
    <cellStyle name="Note 2 2 2 2 2 2 2 2 2" xfId="23284"/>
    <cellStyle name="Note 2 2 2 2 2 2 2 2 2 2" xfId="23285"/>
    <cellStyle name="Note 2 2 2 2 2 2 2 2 2 3" xfId="23286"/>
    <cellStyle name="Note 2 2 2 2 2 2 2 2 2 4" xfId="23287"/>
    <cellStyle name="Note 2 2 2 2 2 2 2 2 3" xfId="23288"/>
    <cellStyle name="Note 2 2 2 2 2 2 2 2 3 2" xfId="23289"/>
    <cellStyle name="Note 2 2 2 2 2 2 2 2 3 3" xfId="23290"/>
    <cellStyle name="Note 2 2 2 2 2 2 2 2 3 4" xfId="23291"/>
    <cellStyle name="Note 2 2 2 2 2 2 2 2 4" xfId="23292"/>
    <cellStyle name="Note 2 2 2 2 2 2 2 2 4 2" xfId="23293"/>
    <cellStyle name="Note 2 2 2 2 2 2 2 2 4 3" xfId="23294"/>
    <cellStyle name="Note 2 2 2 2 2 2 2 2 4 4" xfId="23295"/>
    <cellStyle name="Note 2 2 2 2 2 2 2 2 5" xfId="23296"/>
    <cellStyle name="Note 2 2 2 2 2 2 2 2 6" xfId="23297"/>
    <cellStyle name="Note 2 2 2 2 2 2 2 2 7" xfId="23298"/>
    <cellStyle name="Note 2 2 2 2 2 2 2 2 8" xfId="23299"/>
    <cellStyle name="Note 2 2 2 2 2 2 2 3" xfId="23300"/>
    <cellStyle name="Note 2 2 2 2 2 2 2 3 2" xfId="23301"/>
    <cellStyle name="Note 2 2 2 2 2 2 2 3 2 2" xfId="23302"/>
    <cellStyle name="Note 2 2 2 2 2 2 2 3 2 3" xfId="23303"/>
    <cellStyle name="Note 2 2 2 2 2 2 2 3 2 4" xfId="23304"/>
    <cellStyle name="Note 2 2 2 2 2 2 2 3 3" xfId="23305"/>
    <cellStyle name="Note 2 2 2 2 2 2 2 3 3 2" xfId="23306"/>
    <cellStyle name="Note 2 2 2 2 2 2 2 3 3 3" xfId="23307"/>
    <cellStyle name="Note 2 2 2 2 2 2 2 3 3 4" xfId="23308"/>
    <cellStyle name="Note 2 2 2 2 2 2 2 3 4" xfId="23309"/>
    <cellStyle name="Note 2 2 2 2 2 2 2 3 4 2" xfId="23310"/>
    <cellStyle name="Note 2 2 2 2 2 2 2 3 4 3" xfId="23311"/>
    <cellStyle name="Note 2 2 2 2 2 2 2 3 4 4" xfId="23312"/>
    <cellStyle name="Note 2 2 2 2 2 2 2 3 5" xfId="23313"/>
    <cellStyle name="Note 2 2 2 2 2 2 2 3 6" xfId="23314"/>
    <cellStyle name="Note 2 2 2 2 2 2 2 3 7" xfId="23315"/>
    <cellStyle name="Note 2 2 2 2 2 2 2 3 8" xfId="23316"/>
    <cellStyle name="Note 2 2 2 2 2 2 2 4" xfId="23317"/>
    <cellStyle name="Note 2 2 2 2 2 2 2 4 2" xfId="23318"/>
    <cellStyle name="Note 2 2 2 2 2 2 2 4 2 2" xfId="23319"/>
    <cellStyle name="Note 2 2 2 2 2 2 2 4 2 3" xfId="23320"/>
    <cellStyle name="Note 2 2 2 2 2 2 2 4 2 4" xfId="23321"/>
    <cellStyle name="Note 2 2 2 2 2 2 2 4 3" xfId="23322"/>
    <cellStyle name="Note 2 2 2 2 2 2 2 4 3 2" xfId="23323"/>
    <cellStyle name="Note 2 2 2 2 2 2 2 4 3 3" xfId="23324"/>
    <cellStyle name="Note 2 2 2 2 2 2 2 4 3 4" xfId="23325"/>
    <cellStyle name="Note 2 2 2 2 2 2 2 4 4" xfId="23326"/>
    <cellStyle name="Note 2 2 2 2 2 2 2 4 4 2" xfId="23327"/>
    <cellStyle name="Note 2 2 2 2 2 2 2 4 4 3" xfId="23328"/>
    <cellStyle name="Note 2 2 2 2 2 2 2 4 4 4" xfId="23329"/>
    <cellStyle name="Note 2 2 2 2 2 2 2 4 5" xfId="23330"/>
    <cellStyle name="Note 2 2 2 2 2 2 2 4 6" xfId="23331"/>
    <cellStyle name="Note 2 2 2 2 2 2 2 4 7" xfId="23332"/>
    <cellStyle name="Note 2 2 2 2 2 2 2 4 8" xfId="23333"/>
    <cellStyle name="Note 2 2 2 2 2 2 2 5" xfId="23334"/>
    <cellStyle name="Note 2 2 2 2 2 2 2 5 2" xfId="23335"/>
    <cellStyle name="Note 2 2 2 2 2 2 2 5 2 2" xfId="23336"/>
    <cellStyle name="Note 2 2 2 2 2 2 2 5 2 3" xfId="23337"/>
    <cellStyle name="Note 2 2 2 2 2 2 2 5 2 4" xfId="23338"/>
    <cellStyle name="Note 2 2 2 2 2 2 2 5 3" xfId="23339"/>
    <cellStyle name="Note 2 2 2 2 2 2 2 5 3 2" xfId="23340"/>
    <cellStyle name="Note 2 2 2 2 2 2 2 5 3 3" xfId="23341"/>
    <cellStyle name="Note 2 2 2 2 2 2 2 5 3 4" xfId="23342"/>
    <cellStyle name="Note 2 2 2 2 2 2 2 5 4" xfId="23343"/>
    <cellStyle name="Note 2 2 2 2 2 2 2 5 4 2" xfId="23344"/>
    <cellStyle name="Note 2 2 2 2 2 2 2 5 4 3" xfId="23345"/>
    <cellStyle name="Note 2 2 2 2 2 2 2 5 4 4" xfId="23346"/>
    <cellStyle name="Note 2 2 2 2 2 2 2 5 5" xfId="23347"/>
    <cellStyle name="Note 2 2 2 2 2 2 2 5 6" xfId="23348"/>
    <cellStyle name="Note 2 2 2 2 2 2 2 5 7" xfId="23349"/>
    <cellStyle name="Note 2 2 2 2 2 2 2 5 8" xfId="23350"/>
    <cellStyle name="Note 2 2 2 2 2 2 2 6" xfId="23351"/>
    <cellStyle name="Note 2 2 2 2 2 2 2 6 2" xfId="23352"/>
    <cellStyle name="Note 2 2 2 2 2 2 2 6 3" xfId="23353"/>
    <cellStyle name="Note 2 2 2 2 2 2 2 6 4" xfId="23354"/>
    <cellStyle name="Note 2 2 2 2 2 2 2 7" xfId="23355"/>
    <cellStyle name="Note 2 2 2 2 2 2 2 7 2" xfId="23356"/>
    <cellStyle name="Note 2 2 2 2 2 2 2 7 3" xfId="23357"/>
    <cellStyle name="Note 2 2 2 2 2 2 2 7 4" xfId="23358"/>
    <cellStyle name="Note 2 2 2 2 2 2 2 8" xfId="23359"/>
    <cellStyle name="Note 2 2 2 2 2 2 2 9" xfId="23360"/>
    <cellStyle name="Note 2 2 2 2 2 2 3" xfId="23361"/>
    <cellStyle name="Note 2 2 2 2 2 2 3 2" xfId="23362"/>
    <cellStyle name="Note 2 2 2 2 2 2 3 2 2" xfId="23363"/>
    <cellStyle name="Note 2 2 2 2 2 2 3 2 3" xfId="23364"/>
    <cellStyle name="Note 2 2 2 2 2 2 3 2 4" xfId="23365"/>
    <cellStyle name="Note 2 2 2 2 2 2 3 3" xfId="23366"/>
    <cellStyle name="Note 2 2 2 2 2 2 3 3 2" xfId="23367"/>
    <cellStyle name="Note 2 2 2 2 2 2 3 3 3" xfId="23368"/>
    <cellStyle name="Note 2 2 2 2 2 2 3 3 4" xfId="23369"/>
    <cellStyle name="Note 2 2 2 2 2 2 3 4" xfId="23370"/>
    <cellStyle name="Note 2 2 2 2 2 2 3 4 2" xfId="23371"/>
    <cellStyle name="Note 2 2 2 2 2 2 3 4 3" xfId="23372"/>
    <cellStyle name="Note 2 2 2 2 2 2 3 4 4" xfId="23373"/>
    <cellStyle name="Note 2 2 2 2 2 2 3 5" xfId="23374"/>
    <cellStyle name="Note 2 2 2 2 2 2 3 6" xfId="23375"/>
    <cellStyle name="Note 2 2 2 2 2 2 3 7" xfId="23376"/>
    <cellStyle name="Note 2 2 2 2 2 2 3 8" xfId="23377"/>
    <cellStyle name="Note 2 2 2 2 2 2 4" xfId="23378"/>
    <cellStyle name="Note 2 2 2 2 2 2 4 2" xfId="23379"/>
    <cellStyle name="Note 2 2 2 2 2 2 4 2 2" xfId="23380"/>
    <cellStyle name="Note 2 2 2 2 2 2 4 2 3" xfId="23381"/>
    <cellStyle name="Note 2 2 2 2 2 2 4 2 4" xfId="23382"/>
    <cellStyle name="Note 2 2 2 2 2 2 4 3" xfId="23383"/>
    <cellStyle name="Note 2 2 2 2 2 2 4 3 2" xfId="23384"/>
    <cellStyle name="Note 2 2 2 2 2 2 4 3 3" xfId="23385"/>
    <cellStyle name="Note 2 2 2 2 2 2 4 3 4" xfId="23386"/>
    <cellStyle name="Note 2 2 2 2 2 2 4 4" xfId="23387"/>
    <cellStyle name="Note 2 2 2 2 2 2 4 4 2" xfId="23388"/>
    <cellStyle name="Note 2 2 2 2 2 2 4 4 3" xfId="23389"/>
    <cellStyle name="Note 2 2 2 2 2 2 4 4 4" xfId="23390"/>
    <cellStyle name="Note 2 2 2 2 2 2 4 5" xfId="23391"/>
    <cellStyle name="Note 2 2 2 2 2 2 4 6" xfId="23392"/>
    <cellStyle name="Note 2 2 2 2 2 2 4 7" xfId="23393"/>
    <cellStyle name="Note 2 2 2 2 2 2 4 8" xfId="23394"/>
    <cellStyle name="Note 2 2 2 2 2 2 5" xfId="23395"/>
    <cellStyle name="Note 2 2 2 2 2 2 5 2" xfId="23396"/>
    <cellStyle name="Note 2 2 2 2 2 2 5 2 2" xfId="23397"/>
    <cellStyle name="Note 2 2 2 2 2 2 5 2 3" xfId="23398"/>
    <cellStyle name="Note 2 2 2 2 2 2 5 2 4" xfId="23399"/>
    <cellStyle name="Note 2 2 2 2 2 2 5 3" xfId="23400"/>
    <cellStyle name="Note 2 2 2 2 2 2 5 3 2" xfId="23401"/>
    <cellStyle name="Note 2 2 2 2 2 2 5 3 3" xfId="23402"/>
    <cellStyle name="Note 2 2 2 2 2 2 5 3 4" xfId="23403"/>
    <cellStyle name="Note 2 2 2 2 2 2 5 4" xfId="23404"/>
    <cellStyle name="Note 2 2 2 2 2 2 5 4 2" xfId="23405"/>
    <cellStyle name="Note 2 2 2 2 2 2 5 4 3" xfId="23406"/>
    <cellStyle name="Note 2 2 2 2 2 2 5 4 4" xfId="23407"/>
    <cellStyle name="Note 2 2 2 2 2 2 5 5" xfId="23408"/>
    <cellStyle name="Note 2 2 2 2 2 2 5 6" xfId="23409"/>
    <cellStyle name="Note 2 2 2 2 2 2 5 7" xfId="23410"/>
    <cellStyle name="Note 2 2 2 2 2 2 5 8" xfId="23411"/>
    <cellStyle name="Note 2 2 2 2 2 2 6" xfId="23412"/>
    <cellStyle name="Note 2 2 2 2 2 2 6 2" xfId="23413"/>
    <cellStyle name="Note 2 2 2 2 2 2 6 2 2" xfId="23414"/>
    <cellStyle name="Note 2 2 2 2 2 2 6 2 3" xfId="23415"/>
    <cellStyle name="Note 2 2 2 2 2 2 6 2 4" xfId="23416"/>
    <cellStyle name="Note 2 2 2 2 2 2 6 3" xfId="23417"/>
    <cellStyle name="Note 2 2 2 2 2 2 6 3 2" xfId="23418"/>
    <cellStyle name="Note 2 2 2 2 2 2 6 3 3" xfId="23419"/>
    <cellStyle name="Note 2 2 2 2 2 2 6 3 4" xfId="23420"/>
    <cellStyle name="Note 2 2 2 2 2 2 6 4" xfId="23421"/>
    <cellStyle name="Note 2 2 2 2 2 2 6 4 2" xfId="23422"/>
    <cellStyle name="Note 2 2 2 2 2 2 6 4 3" xfId="23423"/>
    <cellStyle name="Note 2 2 2 2 2 2 6 4 4" xfId="23424"/>
    <cellStyle name="Note 2 2 2 2 2 2 6 5" xfId="23425"/>
    <cellStyle name="Note 2 2 2 2 2 2 6 6" xfId="23426"/>
    <cellStyle name="Note 2 2 2 2 2 2 6 7" xfId="23427"/>
    <cellStyle name="Note 2 2 2 2 2 2 6 8" xfId="23428"/>
    <cellStyle name="Note 2 2 2 2 2 2 7" xfId="23429"/>
    <cellStyle name="Note 2 2 2 2 2 2 7 2" xfId="23430"/>
    <cellStyle name="Note 2 2 2 2 2 2 7 2 2" xfId="23431"/>
    <cellStyle name="Note 2 2 2 2 2 2 7 2 3" xfId="23432"/>
    <cellStyle name="Note 2 2 2 2 2 2 7 2 4" xfId="23433"/>
    <cellStyle name="Note 2 2 2 2 2 2 7 3" xfId="23434"/>
    <cellStyle name="Note 2 2 2 2 2 2 7 3 2" xfId="23435"/>
    <cellStyle name="Note 2 2 2 2 2 2 7 3 3" xfId="23436"/>
    <cellStyle name="Note 2 2 2 2 2 2 7 3 4" xfId="23437"/>
    <cellStyle name="Note 2 2 2 2 2 2 7 4" xfId="23438"/>
    <cellStyle name="Note 2 2 2 2 2 2 7 4 2" xfId="23439"/>
    <cellStyle name="Note 2 2 2 2 2 2 7 4 3" xfId="23440"/>
    <cellStyle name="Note 2 2 2 2 2 2 7 4 4" xfId="23441"/>
    <cellStyle name="Note 2 2 2 2 2 2 7 5" xfId="23442"/>
    <cellStyle name="Note 2 2 2 2 2 2 7 6" xfId="23443"/>
    <cellStyle name="Note 2 2 2 2 2 2 7 7" xfId="23444"/>
    <cellStyle name="Note 2 2 2 2 2 2 7 8" xfId="23445"/>
    <cellStyle name="Note 2 2 2 2 2 2 8" xfId="23446"/>
    <cellStyle name="Note 2 2 2 2 2 2 8 2" xfId="23447"/>
    <cellStyle name="Note 2 2 2 2 2 2 8 3" xfId="23448"/>
    <cellStyle name="Note 2 2 2 2 2 2 8 4" xfId="23449"/>
    <cellStyle name="Note 2 2 2 2 2 2 9" xfId="23450"/>
    <cellStyle name="Note 2 2 2 2 2 2 9 2" xfId="23451"/>
    <cellStyle name="Note 2 2 2 2 2 2 9 3" xfId="23452"/>
    <cellStyle name="Note 2 2 2 2 2 2 9 4" xfId="23453"/>
    <cellStyle name="Note 2 2 2 2 2 3" xfId="23454"/>
    <cellStyle name="Note 2 2 2 2 2 3 2" xfId="23455"/>
    <cellStyle name="Note 2 2 2 2 2 3 2 2" xfId="23456"/>
    <cellStyle name="Note 2 2 2 2 2 3 2 2 2" xfId="23457"/>
    <cellStyle name="Note 2 2 2 2 2 3 2 2 3" xfId="23458"/>
    <cellStyle name="Note 2 2 2 2 2 3 2 2 4" xfId="23459"/>
    <cellStyle name="Note 2 2 2 2 2 3 2 3" xfId="23460"/>
    <cellStyle name="Note 2 2 2 2 2 3 2 3 2" xfId="23461"/>
    <cellStyle name="Note 2 2 2 2 2 3 2 3 3" xfId="23462"/>
    <cellStyle name="Note 2 2 2 2 2 3 2 3 4" xfId="23463"/>
    <cellStyle name="Note 2 2 2 2 2 3 2 4" xfId="23464"/>
    <cellStyle name="Note 2 2 2 2 2 3 2 4 2" xfId="23465"/>
    <cellStyle name="Note 2 2 2 2 2 3 2 4 3" xfId="23466"/>
    <cellStyle name="Note 2 2 2 2 2 3 2 4 4" xfId="23467"/>
    <cellStyle name="Note 2 2 2 2 2 3 2 5" xfId="23468"/>
    <cellStyle name="Note 2 2 2 2 2 3 2 6" xfId="23469"/>
    <cellStyle name="Note 2 2 2 2 2 3 2 7" xfId="23470"/>
    <cellStyle name="Note 2 2 2 2 2 3 2 8" xfId="23471"/>
    <cellStyle name="Note 2 2 2 2 2 3 3" xfId="23472"/>
    <cellStyle name="Note 2 2 2 2 2 3 3 2" xfId="23473"/>
    <cellStyle name="Note 2 2 2 2 2 3 3 2 2" xfId="23474"/>
    <cellStyle name="Note 2 2 2 2 2 3 3 2 3" xfId="23475"/>
    <cellStyle name="Note 2 2 2 2 2 3 3 2 4" xfId="23476"/>
    <cellStyle name="Note 2 2 2 2 2 3 3 3" xfId="23477"/>
    <cellStyle name="Note 2 2 2 2 2 3 3 3 2" xfId="23478"/>
    <cellStyle name="Note 2 2 2 2 2 3 3 3 3" xfId="23479"/>
    <cellStyle name="Note 2 2 2 2 2 3 3 3 4" xfId="23480"/>
    <cellStyle name="Note 2 2 2 2 2 3 3 4" xfId="23481"/>
    <cellStyle name="Note 2 2 2 2 2 3 3 4 2" xfId="23482"/>
    <cellStyle name="Note 2 2 2 2 2 3 3 4 3" xfId="23483"/>
    <cellStyle name="Note 2 2 2 2 2 3 3 4 4" xfId="23484"/>
    <cellStyle name="Note 2 2 2 2 2 3 3 5" xfId="23485"/>
    <cellStyle name="Note 2 2 2 2 2 3 3 6" xfId="23486"/>
    <cellStyle name="Note 2 2 2 2 2 3 3 7" xfId="23487"/>
    <cellStyle name="Note 2 2 2 2 2 3 3 8" xfId="23488"/>
    <cellStyle name="Note 2 2 2 2 2 3 4" xfId="23489"/>
    <cellStyle name="Note 2 2 2 2 2 3 4 2" xfId="23490"/>
    <cellStyle name="Note 2 2 2 2 2 3 4 2 2" xfId="23491"/>
    <cellStyle name="Note 2 2 2 2 2 3 4 2 3" xfId="23492"/>
    <cellStyle name="Note 2 2 2 2 2 3 4 2 4" xfId="23493"/>
    <cellStyle name="Note 2 2 2 2 2 3 4 3" xfId="23494"/>
    <cellStyle name="Note 2 2 2 2 2 3 4 3 2" xfId="23495"/>
    <cellStyle name="Note 2 2 2 2 2 3 4 3 3" xfId="23496"/>
    <cellStyle name="Note 2 2 2 2 2 3 4 3 4" xfId="23497"/>
    <cellStyle name="Note 2 2 2 2 2 3 4 4" xfId="23498"/>
    <cellStyle name="Note 2 2 2 2 2 3 4 4 2" xfId="23499"/>
    <cellStyle name="Note 2 2 2 2 2 3 4 4 3" xfId="23500"/>
    <cellStyle name="Note 2 2 2 2 2 3 4 4 4" xfId="23501"/>
    <cellStyle name="Note 2 2 2 2 2 3 4 5" xfId="23502"/>
    <cellStyle name="Note 2 2 2 2 2 3 4 6" xfId="23503"/>
    <cellStyle name="Note 2 2 2 2 2 3 4 7" xfId="23504"/>
    <cellStyle name="Note 2 2 2 2 2 3 4 8" xfId="23505"/>
    <cellStyle name="Note 2 2 2 2 2 3 5" xfId="23506"/>
    <cellStyle name="Note 2 2 2 2 2 3 5 2" xfId="23507"/>
    <cellStyle name="Note 2 2 2 2 2 3 5 2 2" xfId="23508"/>
    <cellStyle name="Note 2 2 2 2 2 3 5 2 3" xfId="23509"/>
    <cellStyle name="Note 2 2 2 2 2 3 5 2 4" xfId="23510"/>
    <cellStyle name="Note 2 2 2 2 2 3 5 3" xfId="23511"/>
    <cellStyle name="Note 2 2 2 2 2 3 5 3 2" xfId="23512"/>
    <cellStyle name="Note 2 2 2 2 2 3 5 3 3" xfId="23513"/>
    <cellStyle name="Note 2 2 2 2 2 3 5 3 4" xfId="23514"/>
    <cellStyle name="Note 2 2 2 2 2 3 5 4" xfId="23515"/>
    <cellStyle name="Note 2 2 2 2 2 3 5 4 2" xfId="23516"/>
    <cellStyle name="Note 2 2 2 2 2 3 5 4 3" xfId="23517"/>
    <cellStyle name="Note 2 2 2 2 2 3 5 4 4" xfId="23518"/>
    <cellStyle name="Note 2 2 2 2 2 3 5 5" xfId="23519"/>
    <cellStyle name="Note 2 2 2 2 2 3 5 6" xfId="23520"/>
    <cellStyle name="Note 2 2 2 2 2 3 5 7" xfId="23521"/>
    <cellStyle name="Note 2 2 2 2 2 3 5 8" xfId="23522"/>
    <cellStyle name="Note 2 2 2 2 2 3 6" xfId="23523"/>
    <cellStyle name="Note 2 2 2 2 2 3 6 2" xfId="23524"/>
    <cellStyle name="Note 2 2 2 2 2 3 6 3" xfId="23525"/>
    <cellStyle name="Note 2 2 2 2 2 3 6 4" xfId="23526"/>
    <cellStyle name="Note 2 2 2 2 2 3 7" xfId="23527"/>
    <cellStyle name="Note 2 2 2 2 2 3 7 2" xfId="23528"/>
    <cellStyle name="Note 2 2 2 2 2 3 7 3" xfId="23529"/>
    <cellStyle name="Note 2 2 2 2 2 3 7 4" xfId="23530"/>
    <cellStyle name="Note 2 2 2 2 2 3 8" xfId="23531"/>
    <cellStyle name="Note 2 2 2 2 2 3 9" xfId="23532"/>
    <cellStyle name="Note 2 2 2 2 2 4" xfId="23533"/>
    <cellStyle name="Note 2 2 2 2 2 4 2" xfId="23534"/>
    <cellStyle name="Note 2 2 2 2 2 4 2 2" xfId="23535"/>
    <cellStyle name="Note 2 2 2 2 2 4 2 3" xfId="23536"/>
    <cellStyle name="Note 2 2 2 2 2 4 2 4" xfId="23537"/>
    <cellStyle name="Note 2 2 2 2 2 4 3" xfId="23538"/>
    <cellStyle name="Note 2 2 2 2 2 4 3 2" xfId="23539"/>
    <cellStyle name="Note 2 2 2 2 2 4 3 3" xfId="23540"/>
    <cellStyle name="Note 2 2 2 2 2 4 3 4" xfId="23541"/>
    <cellStyle name="Note 2 2 2 2 2 4 4" xfId="23542"/>
    <cellStyle name="Note 2 2 2 2 2 4 4 2" xfId="23543"/>
    <cellStyle name="Note 2 2 2 2 2 4 4 3" xfId="23544"/>
    <cellStyle name="Note 2 2 2 2 2 4 4 4" xfId="23545"/>
    <cellStyle name="Note 2 2 2 2 2 4 5" xfId="23546"/>
    <cellStyle name="Note 2 2 2 2 2 4 6" xfId="23547"/>
    <cellStyle name="Note 2 2 2 2 2 4 7" xfId="23548"/>
    <cellStyle name="Note 2 2 2 2 2 4 8" xfId="23549"/>
    <cellStyle name="Note 2 2 2 2 2 5" xfId="23550"/>
    <cellStyle name="Note 2 2 2 2 2 5 2" xfId="23551"/>
    <cellStyle name="Note 2 2 2 2 2 5 2 2" xfId="23552"/>
    <cellStyle name="Note 2 2 2 2 2 5 2 3" xfId="23553"/>
    <cellStyle name="Note 2 2 2 2 2 5 2 4" xfId="23554"/>
    <cellStyle name="Note 2 2 2 2 2 5 3" xfId="23555"/>
    <cellStyle name="Note 2 2 2 2 2 5 3 2" xfId="23556"/>
    <cellStyle name="Note 2 2 2 2 2 5 3 3" xfId="23557"/>
    <cellStyle name="Note 2 2 2 2 2 5 3 4" xfId="23558"/>
    <cellStyle name="Note 2 2 2 2 2 5 4" xfId="23559"/>
    <cellStyle name="Note 2 2 2 2 2 5 4 2" xfId="23560"/>
    <cellStyle name="Note 2 2 2 2 2 5 4 3" xfId="23561"/>
    <cellStyle name="Note 2 2 2 2 2 5 4 4" xfId="23562"/>
    <cellStyle name="Note 2 2 2 2 2 5 5" xfId="23563"/>
    <cellStyle name="Note 2 2 2 2 2 5 6" xfId="23564"/>
    <cellStyle name="Note 2 2 2 2 2 5 7" xfId="23565"/>
    <cellStyle name="Note 2 2 2 2 2 5 8" xfId="23566"/>
    <cellStyle name="Note 2 2 2 2 2 6" xfId="23567"/>
    <cellStyle name="Note 2 2 2 2 2 6 2" xfId="23568"/>
    <cellStyle name="Note 2 2 2 2 2 6 2 2" xfId="23569"/>
    <cellStyle name="Note 2 2 2 2 2 6 2 3" xfId="23570"/>
    <cellStyle name="Note 2 2 2 2 2 6 2 4" xfId="23571"/>
    <cellStyle name="Note 2 2 2 2 2 6 3" xfId="23572"/>
    <cellStyle name="Note 2 2 2 2 2 6 3 2" xfId="23573"/>
    <cellStyle name="Note 2 2 2 2 2 6 3 3" xfId="23574"/>
    <cellStyle name="Note 2 2 2 2 2 6 3 4" xfId="23575"/>
    <cellStyle name="Note 2 2 2 2 2 6 4" xfId="23576"/>
    <cellStyle name="Note 2 2 2 2 2 6 4 2" xfId="23577"/>
    <cellStyle name="Note 2 2 2 2 2 6 4 3" xfId="23578"/>
    <cellStyle name="Note 2 2 2 2 2 6 4 4" xfId="23579"/>
    <cellStyle name="Note 2 2 2 2 2 6 5" xfId="23580"/>
    <cellStyle name="Note 2 2 2 2 2 6 6" xfId="23581"/>
    <cellStyle name="Note 2 2 2 2 2 6 7" xfId="23582"/>
    <cellStyle name="Note 2 2 2 2 2 6 8" xfId="23583"/>
    <cellStyle name="Note 2 2 2 2 2 7" xfId="23584"/>
    <cellStyle name="Note 2 2 2 2 2 7 2" xfId="23585"/>
    <cellStyle name="Note 2 2 2 2 2 7 2 2" xfId="23586"/>
    <cellStyle name="Note 2 2 2 2 2 7 2 3" xfId="23587"/>
    <cellStyle name="Note 2 2 2 2 2 7 2 4" xfId="23588"/>
    <cellStyle name="Note 2 2 2 2 2 7 3" xfId="23589"/>
    <cellStyle name="Note 2 2 2 2 2 7 3 2" xfId="23590"/>
    <cellStyle name="Note 2 2 2 2 2 7 3 3" xfId="23591"/>
    <cellStyle name="Note 2 2 2 2 2 7 3 4" xfId="23592"/>
    <cellStyle name="Note 2 2 2 2 2 7 4" xfId="23593"/>
    <cellStyle name="Note 2 2 2 2 2 7 4 2" xfId="23594"/>
    <cellStyle name="Note 2 2 2 2 2 7 4 3" xfId="23595"/>
    <cellStyle name="Note 2 2 2 2 2 7 4 4" xfId="23596"/>
    <cellStyle name="Note 2 2 2 2 2 7 5" xfId="23597"/>
    <cellStyle name="Note 2 2 2 2 2 7 6" xfId="23598"/>
    <cellStyle name="Note 2 2 2 2 2 7 7" xfId="23599"/>
    <cellStyle name="Note 2 2 2 2 2 7 8" xfId="23600"/>
    <cellStyle name="Note 2 2 2 2 2 8" xfId="23601"/>
    <cellStyle name="Note 2 2 2 2 2 8 2" xfId="23602"/>
    <cellStyle name="Note 2 2 2 2 2 8 2 2" xfId="23603"/>
    <cellStyle name="Note 2 2 2 2 2 8 2 3" xfId="23604"/>
    <cellStyle name="Note 2 2 2 2 2 8 2 4" xfId="23605"/>
    <cellStyle name="Note 2 2 2 2 2 8 3" xfId="23606"/>
    <cellStyle name="Note 2 2 2 2 2 8 3 2" xfId="23607"/>
    <cellStyle name="Note 2 2 2 2 2 8 3 3" xfId="23608"/>
    <cellStyle name="Note 2 2 2 2 2 8 3 4" xfId="23609"/>
    <cellStyle name="Note 2 2 2 2 2 8 4" xfId="23610"/>
    <cellStyle name="Note 2 2 2 2 2 8 4 2" xfId="23611"/>
    <cellStyle name="Note 2 2 2 2 2 8 4 3" xfId="23612"/>
    <cellStyle name="Note 2 2 2 2 2 8 4 4" xfId="23613"/>
    <cellStyle name="Note 2 2 2 2 2 8 5" xfId="23614"/>
    <cellStyle name="Note 2 2 2 2 2 8 6" xfId="23615"/>
    <cellStyle name="Note 2 2 2 2 2 8 7" xfId="23616"/>
    <cellStyle name="Note 2 2 2 2 2 8 8" xfId="23617"/>
    <cellStyle name="Note 2 2 2 2 2 9" xfId="23618"/>
    <cellStyle name="Note 2 2 2 2 2 9 2" xfId="23619"/>
    <cellStyle name="Note 2 2 2 2 2 9 3" xfId="23620"/>
    <cellStyle name="Note 2 2 2 2 2 9 4" xfId="23621"/>
    <cellStyle name="Note 2 2 2 2 3" xfId="23622"/>
    <cellStyle name="Note 2 2 2 2 3 10" xfId="23623"/>
    <cellStyle name="Note 2 2 2 2 3 11" xfId="23624"/>
    <cellStyle name="Note 2 2 2 2 3 2" xfId="23625"/>
    <cellStyle name="Note 2 2 2 2 3 2 2" xfId="23626"/>
    <cellStyle name="Note 2 2 2 2 3 2 2 2" xfId="23627"/>
    <cellStyle name="Note 2 2 2 2 3 2 2 2 2" xfId="23628"/>
    <cellStyle name="Note 2 2 2 2 3 2 2 2 3" xfId="23629"/>
    <cellStyle name="Note 2 2 2 2 3 2 2 2 4" xfId="23630"/>
    <cellStyle name="Note 2 2 2 2 3 2 2 3" xfId="23631"/>
    <cellStyle name="Note 2 2 2 2 3 2 2 3 2" xfId="23632"/>
    <cellStyle name="Note 2 2 2 2 3 2 2 3 3" xfId="23633"/>
    <cellStyle name="Note 2 2 2 2 3 2 2 3 4" xfId="23634"/>
    <cellStyle name="Note 2 2 2 2 3 2 2 4" xfId="23635"/>
    <cellStyle name="Note 2 2 2 2 3 2 2 4 2" xfId="23636"/>
    <cellStyle name="Note 2 2 2 2 3 2 2 4 3" xfId="23637"/>
    <cellStyle name="Note 2 2 2 2 3 2 2 4 4" xfId="23638"/>
    <cellStyle name="Note 2 2 2 2 3 2 2 5" xfId="23639"/>
    <cellStyle name="Note 2 2 2 2 3 2 2 6" xfId="23640"/>
    <cellStyle name="Note 2 2 2 2 3 2 2 7" xfId="23641"/>
    <cellStyle name="Note 2 2 2 2 3 2 2 8" xfId="23642"/>
    <cellStyle name="Note 2 2 2 2 3 2 3" xfId="23643"/>
    <cellStyle name="Note 2 2 2 2 3 2 3 2" xfId="23644"/>
    <cellStyle name="Note 2 2 2 2 3 2 3 2 2" xfId="23645"/>
    <cellStyle name="Note 2 2 2 2 3 2 3 2 3" xfId="23646"/>
    <cellStyle name="Note 2 2 2 2 3 2 3 2 4" xfId="23647"/>
    <cellStyle name="Note 2 2 2 2 3 2 3 3" xfId="23648"/>
    <cellStyle name="Note 2 2 2 2 3 2 3 3 2" xfId="23649"/>
    <cellStyle name="Note 2 2 2 2 3 2 3 3 3" xfId="23650"/>
    <cellStyle name="Note 2 2 2 2 3 2 3 3 4" xfId="23651"/>
    <cellStyle name="Note 2 2 2 2 3 2 3 4" xfId="23652"/>
    <cellStyle name="Note 2 2 2 2 3 2 3 4 2" xfId="23653"/>
    <cellStyle name="Note 2 2 2 2 3 2 3 4 3" xfId="23654"/>
    <cellStyle name="Note 2 2 2 2 3 2 3 4 4" xfId="23655"/>
    <cellStyle name="Note 2 2 2 2 3 2 3 5" xfId="23656"/>
    <cellStyle name="Note 2 2 2 2 3 2 3 6" xfId="23657"/>
    <cellStyle name="Note 2 2 2 2 3 2 3 7" xfId="23658"/>
    <cellStyle name="Note 2 2 2 2 3 2 3 8" xfId="23659"/>
    <cellStyle name="Note 2 2 2 2 3 2 4" xfId="23660"/>
    <cellStyle name="Note 2 2 2 2 3 2 4 2" xfId="23661"/>
    <cellStyle name="Note 2 2 2 2 3 2 4 2 2" xfId="23662"/>
    <cellStyle name="Note 2 2 2 2 3 2 4 2 3" xfId="23663"/>
    <cellStyle name="Note 2 2 2 2 3 2 4 2 4" xfId="23664"/>
    <cellStyle name="Note 2 2 2 2 3 2 4 3" xfId="23665"/>
    <cellStyle name="Note 2 2 2 2 3 2 4 3 2" xfId="23666"/>
    <cellStyle name="Note 2 2 2 2 3 2 4 3 3" xfId="23667"/>
    <cellStyle name="Note 2 2 2 2 3 2 4 3 4" xfId="23668"/>
    <cellStyle name="Note 2 2 2 2 3 2 4 4" xfId="23669"/>
    <cellStyle name="Note 2 2 2 2 3 2 4 4 2" xfId="23670"/>
    <cellStyle name="Note 2 2 2 2 3 2 4 4 3" xfId="23671"/>
    <cellStyle name="Note 2 2 2 2 3 2 4 4 4" xfId="23672"/>
    <cellStyle name="Note 2 2 2 2 3 2 4 5" xfId="23673"/>
    <cellStyle name="Note 2 2 2 2 3 2 4 6" xfId="23674"/>
    <cellStyle name="Note 2 2 2 2 3 2 4 7" xfId="23675"/>
    <cellStyle name="Note 2 2 2 2 3 2 4 8" xfId="23676"/>
    <cellStyle name="Note 2 2 2 2 3 2 5" xfId="23677"/>
    <cellStyle name="Note 2 2 2 2 3 2 5 2" xfId="23678"/>
    <cellStyle name="Note 2 2 2 2 3 2 5 2 2" xfId="23679"/>
    <cellStyle name="Note 2 2 2 2 3 2 5 2 3" xfId="23680"/>
    <cellStyle name="Note 2 2 2 2 3 2 5 2 4" xfId="23681"/>
    <cellStyle name="Note 2 2 2 2 3 2 5 3" xfId="23682"/>
    <cellStyle name="Note 2 2 2 2 3 2 5 3 2" xfId="23683"/>
    <cellStyle name="Note 2 2 2 2 3 2 5 3 3" xfId="23684"/>
    <cellStyle name="Note 2 2 2 2 3 2 5 3 4" xfId="23685"/>
    <cellStyle name="Note 2 2 2 2 3 2 5 4" xfId="23686"/>
    <cellStyle name="Note 2 2 2 2 3 2 5 4 2" xfId="23687"/>
    <cellStyle name="Note 2 2 2 2 3 2 5 4 3" xfId="23688"/>
    <cellStyle name="Note 2 2 2 2 3 2 5 4 4" xfId="23689"/>
    <cellStyle name="Note 2 2 2 2 3 2 5 5" xfId="23690"/>
    <cellStyle name="Note 2 2 2 2 3 2 5 6" xfId="23691"/>
    <cellStyle name="Note 2 2 2 2 3 2 5 7" xfId="23692"/>
    <cellStyle name="Note 2 2 2 2 3 2 5 8" xfId="23693"/>
    <cellStyle name="Note 2 2 2 2 3 2 6" xfId="23694"/>
    <cellStyle name="Note 2 2 2 2 3 2 6 2" xfId="23695"/>
    <cellStyle name="Note 2 2 2 2 3 2 6 3" xfId="23696"/>
    <cellStyle name="Note 2 2 2 2 3 2 6 4" xfId="23697"/>
    <cellStyle name="Note 2 2 2 2 3 2 7" xfId="23698"/>
    <cellStyle name="Note 2 2 2 2 3 2 7 2" xfId="23699"/>
    <cellStyle name="Note 2 2 2 2 3 2 7 3" xfId="23700"/>
    <cellStyle name="Note 2 2 2 2 3 2 7 4" xfId="23701"/>
    <cellStyle name="Note 2 2 2 2 3 2 8" xfId="23702"/>
    <cellStyle name="Note 2 2 2 2 3 2 9" xfId="23703"/>
    <cellStyle name="Note 2 2 2 2 3 3" xfId="23704"/>
    <cellStyle name="Note 2 2 2 2 3 3 2" xfId="23705"/>
    <cellStyle name="Note 2 2 2 2 3 3 2 2" xfId="23706"/>
    <cellStyle name="Note 2 2 2 2 3 3 2 3" xfId="23707"/>
    <cellStyle name="Note 2 2 2 2 3 3 2 4" xfId="23708"/>
    <cellStyle name="Note 2 2 2 2 3 3 3" xfId="23709"/>
    <cellStyle name="Note 2 2 2 2 3 3 3 2" xfId="23710"/>
    <cellStyle name="Note 2 2 2 2 3 3 3 3" xfId="23711"/>
    <cellStyle name="Note 2 2 2 2 3 3 3 4" xfId="23712"/>
    <cellStyle name="Note 2 2 2 2 3 3 4" xfId="23713"/>
    <cellStyle name="Note 2 2 2 2 3 3 4 2" xfId="23714"/>
    <cellStyle name="Note 2 2 2 2 3 3 4 3" xfId="23715"/>
    <cellStyle name="Note 2 2 2 2 3 3 4 4" xfId="23716"/>
    <cellStyle name="Note 2 2 2 2 3 3 5" xfId="23717"/>
    <cellStyle name="Note 2 2 2 2 3 3 6" xfId="23718"/>
    <cellStyle name="Note 2 2 2 2 3 3 7" xfId="23719"/>
    <cellStyle name="Note 2 2 2 2 3 3 8" xfId="23720"/>
    <cellStyle name="Note 2 2 2 2 3 4" xfId="23721"/>
    <cellStyle name="Note 2 2 2 2 3 4 2" xfId="23722"/>
    <cellStyle name="Note 2 2 2 2 3 4 2 2" xfId="23723"/>
    <cellStyle name="Note 2 2 2 2 3 4 2 3" xfId="23724"/>
    <cellStyle name="Note 2 2 2 2 3 4 2 4" xfId="23725"/>
    <cellStyle name="Note 2 2 2 2 3 4 3" xfId="23726"/>
    <cellStyle name="Note 2 2 2 2 3 4 3 2" xfId="23727"/>
    <cellStyle name="Note 2 2 2 2 3 4 3 3" xfId="23728"/>
    <cellStyle name="Note 2 2 2 2 3 4 3 4" xfId="23729"/>
    <cellStyle name="Note 2 2 2 2 3 4 4" xfId="23730"/>
    <cellStyle name="Note 2 2 2 2 3 4 4 2" xfId="23731"/>
    <cellStyle name="Note 2 2 2 2 3 4 4 3" xfId="23732"/>
    <cellStyle name="Note 2 2 2 2 3 4 4 4" xfId="23733"/>
    <cellStyle name="Note 2 2 2 2 3 4 5" xfId="23734"/>
    <cellStyle name="Note 2 2 2 2 3 4 6" xfId="23735"/>
    <cellStyle name="Note 2 2 2 2 3 4 7" xfId="23736"/>
    <cellStyle name="Note 2 2 2 2 3 4 8" xfId="23737"/>
    <cellStyle name="Note 2 2 2 2 3 5" xfId="23738"/>
    <cellStyle name="Note 2 2 2 2 3 5 2" xfId="23739"/>
    <cellStyle name="Note 2 2 2 2 3 5 2 2" xfId="23740"/>
    <cellStyle name="Note 2 2 2 2 3 5 2 3" xfId="23741"/>
    <cellStyle name="Note 2 2 2 2 3 5 2 4" xfId="23742"/>
    <cellStyle name="Note 2 2 2 2 3 5 3" xfId="23743"/>
    <cellStyle name="Note 2 2 2 2 3 5 3 2" xfId="23744"/>
    <cellStyle name="Note 2 2 2 2 3 5 3 3" xfId="23745"/>
    <cellStyle name="Note 2 2 2 2 3 5 3 4" xfId="23746"/>
    <cellStyle name="Note 2 2 2 2 3 5 4" xfId="23747"/>
    <cellStyle name="Note 2 2 2 2 3 5 4 2" xfId="23748"/>
    <cellStyle name="Note 2 2 2 2 3 5 4 3" xfId="23749"/>
    <cellStyle name="Note 2 2 2 2 3 5 4 4" xfId="23750"/>
    <cellStyle name="Note 2 2 2 2 3 5 5" xfId="23751"/>
    <cellStyle name="Note 2 2 2 2 3 5 6" xfId="23752"/>
    <cellStyle name="Note 2 2 2 2 3 5 7" xfId="23753"/>
    <cellStyle name="Note 2 2 2 2 3 5 8" xfId="23754"/>
    <cellStyle name="Note 2 2 2 2 3 6" xfId="23755"/>
    <cellStyle name="Note 2 2 2 2 3 6 2" xfId="23756"/>
    <cellStyle name="Note 2 2 2 2 3 6 2 2" xfId="23757"/>
    <cellStyle name="Note 2 2 2 2 3 6 2 3" xfId="23758"/>
    <cellStyle name="Note 2 2 2 2 3 6 2 4" xfId="23759"/>
    <cellStyle name="Note 2 2 2 2 3 6 3" xfId="23760"/>
    <cellStyle name="Note 2 2 2 2 3 6 3 2" xfId="23761"/>
    <cellStyle name="Note 2 2 2 2 3 6 3 3" xfId="23762"/>
    <cellStyle name="Note 2 2 2 2 3 6 3 4" xfId="23763"/>
    <cellStyle name="Note 2 2 2 2 3 6 4" xfId="23764"/>
    <cellStyle name="Note 2 2 2 2 3 6 4 2" xfId="23765"/>
    <cellStyle name="Note 2 2 2 2 3 6 4 3" xfId="23766"/>
    <cellStyle name="Note 2 2 2 2 3 6 4 4" xfId="23767"/>
    <cellStyle name="Note 2 2 2 2 3 6 5" xfId="23768"/>
    <cellStyle name="Note 2 2 2 2 3 6 6" xfId="23769"/>
    <cellStyle name="Note 2 2 2 2 3 6 7" xfId="23770"/>
    <cellStyle name="Note 2 2 2 2 3 6 8" xfId="23771"/>
    <cellStyle name="Note 2 2 2 2 3 7" xfId="23772"/>
    <cellStyle name="Note 2 2 2 2 3 7 2" xfId="23773"/>
    <cellStyle name="Note 2 2 2 2 3 7 2 2" xfId="23774"/>
    <cellStyle name="Note 2 2 2 2 3 7 2 3" xfId="23775"/>
    <cellStyle name="Note 2 2 2 2 3 7 2 4" xfId="23776"/>
    <cellStyle name="Note 2 2 2 2 3 7 3" xfId="23777"/>
    <cellStyle name="Note 2 2 2 2 3 7 3 2" xfId="23778"/>
    <cellStyle name="Note 2 2 2 2 3 7 3 3" xfId="23779"/>
    <cellStyle name="Note 2 2 2 2 3 7 3 4" xfId="23780"/>
    <cellStyle name="Note 2 2 2 2 3 7 4" xfId="23781"/>
    <cellStyle name="Note 2 2 2 2 3 7 4 2" xfId="23782"/>
    <cellStyle name="Note 2 2 2 2 3 7 4 3" xfId="23783"/>
    <cellStyle name="Note 2 2 2 2 3 7 4 4" xfId="23784"/>
    <cellStyle name="Note 2 2 2 2 3 7 5" xfId="23785"/>
    <cellStyle name="Note 2 2 2 2 3 7 6" xfId="23786"/>
    <cellStyle name="Note 2 2 2 2 3 7 7" xfId="23787"/>
    <cellStyle name="Note 2 2 2 2 3 7 8" xfId="23788"/>
    <cellStyle name="Note 2 2 2 2 3 8" xfId="23789"/>
    <cellStyle name="Note 2 2 2 2 3 8 2" xfId="23790"/>
    <cellStyle name="Note 2 2 2 2 3 8 3" xfId="23791"/>
    <cellStyle name="Note 2 2 2 2 3 8 4" xfId="23792"/>
    <cellStyle name="Note 2 2 2 2 3 9" xfId="23793"/>
    <cellStyle name="Note 2 2 2 2 3 9 2" xfId="23794"/>
    <cellStyle name="Note 2 2 2 2 3 9 3" xfId="23795"/>
    <cellStyle name="Note 2 2 2 2 3 9 4" xfId="23796"/>
    <cellStyle name="Note 2 2 2 2 4" xfId="23797"/>
    <cellStyle name="Note 2 2 2 2 4 2" xfId="23798"/>
    <cellStyle name="Note 2 2 2 2 4 2 2" xfId="23799"/>
    <cellStyle name="Note 2 2 2 2 4 2 2 2" xfId="23800"/>
    <cellStyle name="Note 2 2 2 2 4 2 2 3" xfId="23801"/>
    <cellStyle name="Note 2 2 2 2 4 2 2 4" xfId="23802"/>
    <cellStyle name="Note 2 2 2 2 4 2 3" xfId="23803"/>
    <cellStyle name="Note 2 2 2 2 4 2 3 2" xfId="23804"/>
    <cellStyle name="Note 2 2 2 2 4 2 3 3" xfId="23805"/>
    <cellStyle name="Note 2 2 2 2 4 2 3 4" xfId="23806"/>
    <cellStyle name="Note 2 2 2 2 4 2 4" xfId="23807"/>
    <cellStyle name="Note 2 2 2 2 4 2 4 2" xfId="23808"/>
    <cellStyle name="Note 2 2 2 2 4 2 4 3" xfId="23809"/>
    <cellStyle name="Note 2 2 2 2 4 2 4 4" xfId="23810"/>
    <cellStyle name="Note 2 2 2 2 4 2 5" xfId="23811"/>
    <cellStyle name="Note 2 2 2 2 4 2 6" xfId="23812"/>
    <cellStyle name="Note 2 2 2 2 4 2 7" xfId="23813"/>
    <cellStyle name="Note 2 2 2 2 4 2 8" xfId="23814"/>
    <cellStyle name="Note 2 2 2 2 4 3" xfId="23815"/>
    <cellStyle name="Note 2 2 2 2 4 3 2" xfId="23816"/>
    <cellStyle name="Note 2 2 2 2 4 3 2 2" xfId="23817"/>
    <cellStyle name="Note 2 2 2 2 4 3 2 3" xfId="23818"/>
    <cellStyle name="Note 2 2 2 2 4 3 2 4" xfId="23819"/>
    <cellStyle name="Note 2 2 2 2 4 3 3" xfId="23820"/>
    <cellStyle name="Note 2 2 2 2 4 3 3 2" xfId="23821"/>
    <cellStyle name="Note 2 2 2 2 4 3 3 3" xfId="23822"/>
    <cellStyle name="Note 2 2 2 2 4 3 3 4" xfId="23823"/>
    <cellStyle name="Note 2 2 2 2 4 3 4" xfId="23824"/>
    <cellStyle name="Note 2 2 2 2 4 3 4 2" xfId="23825"/>
    <cellStyle name="Note 2 2 2 2 4 3 4 3" xfId="23826"/>
    <cellStyle name="Note 2 2 2 2 4 3 4 4" xfId="23827"/>
    <cellStyle name="Note 2 2 2 2 4 3 5" xfId="23828"/>
    <cellStyle name="Note 2 2 2 2 4 3 6" xfId="23829"/>
    <cellStyle name="Note 2 2 2 2 4 3 7" xfId="23830"/>
    <cellStyle name="Note 2 2 2 2 4 3 8" xfId="23831"/>
    <cellStyle name="Note 2 2 2 2 4 4" xfId="23832"/>
    <cellStyle name="Note 2 2 2 2 4 4 2" xfId="23833"/>
    <cellStyle name="Note 2 2 2 2 4 4 2 2" xfId="23834"/>
    <cellStyle name="Note 2 2 2 2 4 4 2 3" xfId="23835"/>
    <cellStyle name="Note 2 2 2 2 4 4 2 4" xfId="23836"/>
    <cellStyle name="Note 2 2 2 2 4 4 3" xfId="23837"/>
    <cellStyle name="Note 2 2 2 2 4 4 3 2" xfId="23838"/>
    <cellStyle name="Note 2 2 2 2 4 4 3 3" xfId="23839"/>
    <cellStyle name="Note 2 2 2 2 4 4 3 4" xfId="23840"/>
    <cellStyle name="Note 2 2 2 2 4 4 4" xfId="23841"/>
    <cellStyle name="Note 2 2 2 2 4 4 4 2" xfId="23842"/>
    <cellStyle name="Note 2 2 2 2 4 4 4 3" xfId="23843"/>
    <cellStyle name="Note 2 2 2 2 4 4 4 4" xfId="23844"/>
    <cellStyle name="Note 2 2 2 2 4 4 5" xfId="23845"/>
    <cellStyle name="Note 2 2 2 2 4 4 6" xfId="23846"/>
    <cellStyle name="Note 2 2 2 2 4 4 7" xfId="23847"/>
    <cellStyle name="Note 2 2 2 2 4 4 8" xfId="23848"/>
    <cellStyle name="Note 2 2 2 2 4 5" xfId="23849"/>
    <cellStyle name="Note 2 2 2 2 4 5 2" xfId="23850"/>
    <cellStyle name="Note 2 2 2 2 4 5 2 2" xfId="23851"/>
    <cellStyle name="Note 2 2 2 2 4 5 2 3" xfId="23852"/>
    <cellStyle name="Note 2 2 2 2 4 5 2 4" xfId="23853"/>
    <cellStyle name="Note 2 2 2 2 4 5 3" xfId="23854"/>
    <cellStyle name="Note 2 2 2 2 4 5 3 2" xfId="23855"/>
    <cellStyle name="Note 2 2 2 2 4 5 3 3" xfId="23856"/>
    <cellStyle name="Note 2 2 2 2 4 5 3 4" xfId="23857"/>
    <cellStyle name="Note 2 2 2 2 4 5 4" xfId="23858"/>
    <cellStyle name="Note 2 2 2 2 4 5 4 2" xfId="23859"/>
    <cellStyle name="Note 2 2 2 2 4 5 4 3" xfId="23860"/>
    <cellStyle name="Note 2 2 2 2 4 5 4 4" xfId="23861"/>
    <cellStyle name="Note 2 2 2 2 4 5 5" xfId="23862"/>
    <cellStyle name="Note 2 2 2 2 4 5 6" xfId="23863"/>
    <cellStyle name="Note 2 2 2 2 4 5 7" xfId="23864"/>
    <cellStyle name="Note 2 2 2 2 4 5 8" xfId="23865"/>
    <cellStyle name="Note 2 2 2 2 4 6" xfId="23866"/>
    <cellStyle name="Note 2 2 2 2 4 6 2" xfId="23867"/>
    <cellStyle name="Note 2 2 2 2 4 6 3" xfId="23868"/>
    <cellStyle name="Note 2 2 2 2 4 6 4" xfId="23869"/>
    <cellStyle name="Note 2 2 2 2 4 7" xfId="23870"/>
    <cellStyle name="Note 2 2 2 2 4 7 2" xfId="23871"/>
    <cellStyle name="Note 2 2 2 2 4 7 3" xfId="23872"/>
    <cellStyle name="Note 2 2 2 2 4 7 4" xfId="23873"/>
    <cellStyle name="Note 2 2 2 2 4 8" xfId="23874"/>
    <cellStyle name="Note 2 2 2 2 4 9" xfId="23875"/>
    <cellStyle name="Note 2 2 2 2 5" xfId="23876"/>
    <cellStyle name="Note 2 2 2 2 5 2" xfId="23877"/>
    <cellStyle name="Note 2 2 2 2 5 2 2" xfId="23878"/>
    <cellStyle name="Note 2 2 2 2 5 2 3" xfId="23879"/>
    <cellStyle name="Note 2 2 2 2 5 2 4" xfId="23880"/>
    <cellStyle name="Note 2 2 2 2 5 3" xfId="23881"/>
    <cellStyle name="Note 2 2 2 2 5 3 2" xfId="23882"/>
    <cellStyle name="Note 2 2 2 2 5 3 3" xfId="23883"/>
    <cellStyle name="Note 2 2 2 2 5 3 4" xfId="23884"/>
    <cellStyle name="Note 2 2 2 2 5 4" xfId="23885"/>
    <cellStyle name="Note 2 2 2 2 5 4 2" xfId="23886"/>
    <cellStyle name="Note 2 2 2 2 5 4 3" xfId="23887"/>
    <cellStyle name="Note 2 2 2 2 5 4 4" xfId="23888"/>
    <cellStyle name="Note 2 2 2 2 5 5" xfId="23889"/>
    <cellStyle name="Note 2 2 2 2 5 6" xfId="23890"/>
    <cellStyle name="Note 2 2 2 2 5 7" xfId="23891"/>
    <cellStyle name="Note 2 2 2 2 5 8" xfId="23892"/>
    <cellStyle name="Note 2 2 2 2 6" xfId="23893"/>
    <cellStyle name="Note 2 2 2 2 6 2" xfId="23894"/>
    <cellStyle name="Note 2 2 2 2 6 2 2" xfId="23895"/>
    <cellStyle name="Note 2 2 2 2 6 2 3" xfId="23896"/>
    <cellStyle name="Note 2 2 2 2 6 2 4" xfId="23897"/>
    <cellStyle name="Note 2 2 2 2 6 3" xfId="23898"/>
    <cellStyle name="Note 2 2 2 2 6 3 2" xfId="23899"/>
    <cellStyle name="Note 2 2 2 2 6 3 3" xfId="23900"/>
    <cellStyle name="Note 2 2 2 2 6 3 4" xfId="23901"/>
    <cellStyle name="Note 2 2 2 2 6 4" xfId="23902"/>
    <cellStyle name="Note 2 2 2 2 6 4 2" xfId="23903"/>
    <cellStyle name="Note 2 2 2 2 6 4 3" xfId="23904"/>
    <cellStyle name="Note 2 2 2 2 6 4 4" xfId="23905"/>
    <cellStyle name="Note 2 2 2 2 6 5" xfId="23906"/>
    <cellStyle name="Note 2 2 2 2 6 6" xfId="23907"/>
    <cellStyle name="Note 2 2 2 2 6 7" xfId="23908"/>
    <cellStyle name="Note 2 2 2 2 6 8" xfId="23909"/>
    <cellStyle name="Note 2 2 2 2 7" xfId="23910"/>
    <cellStyle name="Note 2 2 2 2 7 2" xfId="23911"/>
    <cellStyle name="Note 2 2 2 2 7 2 2" xfId="23912"/>
    <cellStyle name="Note 2 2 2 2 7 2 3" xfId="23913"/>
    <cellStyle name="Note 2 2 2 2 7 2 4" xfId="23914"/>
    <cellStyle name="Note 2 2 2 2 7 3" xfId="23915"/>
    <cellStyle name="Note 2 2 2 2 7 3 2" xfId="23916"/>
    <cellStyle name="Note 2 2 2 2 7 3 3" xfId="23917"/>
    <cellStyle name="Note 2 2 2 2 7 3 4" xfId="23918"/>
    <cellStyle name="Note 2 2 2 2 7 4" xfId="23919"/>
    <cellStyle name="Note 2 2 2 2 7 4 2" xfId="23920"/>
    <cellStyle name="Note 2 2 2 2 7 4 3" xfId="23921"/>
    <cellStyle name="Note 2 2 2 2 7 4 4" xfId="23922"/>
    <cellStyle name="Note 2 2 2 2 7 5" xfId="23923"/>
    <cellStyle name="Note 2 2 2 2 7 6" xfId="23924"/>
    <cellStyle name="Note 2 2 2 2 7 7" xfId="23925"/>
    <cellStyle name="Note 2 2 2 2 7 8" xfId="23926"/>
    <cellStyle name="Note 2 2 2 2 8" xfId="23927"/>
    <cellStyle name="Note 2 2 2 2 8 2" xfId="23928"/>
    <cellStyle name="Note 2 2 2 2 8 2 2" xfId="23929"/>
    <cellStyle name="Note 2 2 2 2 8 2 3" xfId="23930"/>
    <cellStyle name="Note 2 2 2 2 8 2 4" xfId="23931"/>
    <cellStyle name="Note 2 2 2 2 8 3" xfId="23932"/>
    <cellStyle name="Note 2 2 2 2 8 3 2" xfId="23933"/>
    <cellStyle name="Note 2 2 2 2 8 3 3" xfId="23934"/>
    <cellStyle name="Note 2 2 2 2 8 3 4" xfId="23935"/>
    <cellStyle name="Note 2 2 2 2 8 4" xfId="23936"/>
    <cellStyle name="Note 2 2 2 2 8 4 2" xfId="23937"/>
    <cellStyle name="Note 2 2 2 2 8 4 3" xfId="23938"/>
    <cellStyle name="Note 2 2 2 2 8 4 4" xfId="23939"/>
    <cellStyle name="Note 2 2 2 2 8 5" xfId="23940"/>
    <cellStyle name="Note 2 2 2 2 8 6" xfId="23941"/>
    <cellStyle name="Note 2 2 2 2 8 7" xfId="23942"/>
    <cellStyle name="Note 2 2 2 2 8 8" xfId="23943"/>
    <cellStyle name="Note 2 2 2 2 9" xfId="23944"/>
    <cellStyle name="Note 2 2 2 2 9 2" xfId="23945"/>
    <cellStyle name="Note 2 2 2 2 9 2 2" xfId="23946"/>
    <cellStyle name="Note 2 2 2 2 9 2 3" xfId="23947"/>
    <cellStyle name="Note 2 2 2 2 9 2 4" xfId="23948"/>
    <cellStyle name="Note 2 2 2 2 9 3" xfId="23949"/>
    <cellStyle name="Note 2 2 2 2 9 3 2" xfId="23950"/>
    <cellStyle name="Note 2 2 2 2 9 3 3" xfId="23951"/>
    <cellStyle name="Note 2 2 2 2 9 3 4" xfId="23952"/>
    <cellStyle name="Note 2 2 2 2 9 4" xfId="23953"/>
    <cellStyle name="Note 2 2 2 2 9 4 2" xfId="23954"/>
    <cellStyle name="Note 2 2 2 2 9 4 3" xfId="23955"/>
    <cellStyle name="Note 2 2 2 2 9 4 4" xfId="23956"/>
    <cellStyle name="Note 2 2 2 2 9 5" xfId="23957"/>
    <cellStyle name="Note 2 2 2 2 9 6" xfId="23958"/>
    <cellStyle name="Note 2 2 2 2 9 7" xfId="23959"/>
    <cellStyle name="Note 2 2 2 2 9 8" xfId="23960"/>
    <cellStyle name="Note 2 2 2 3" xfId="23961"/>
    <cellStyle name="Note 2 2 2 3 10" xfId="23962"/>
    <cellStyle name="Note 2 2 2 3 10 2" xfId="23963"/>
    <cellStyle name="Note 2 2 2 3 10 3" xfId="23964"/>
    <cellStyle name="Note 2 2 2 3 10 4" xfId="23965"/>
    <cellStyle name="Note 2 2 2 3 11" xfId="23966"/>
    <cellStyle name="Note 2 2 2 3 12" xfId="23967"/>
    <cellStyle name="Note 2 2 2 3 2" xfId="23968"/>
    <cellStyle name="Note 2 2 2 3 2 10" xfId="23969"/>
    <cellStyle name="Note 2 2 2 3 2 11" xfId="23970"/>
    <cellStyle name="Note 2 2 2 3 2 2" xfId="23971"/>
    <cellStyle name="Note 2 2 2 3 2 2 2" xfId="23972"/>
    <cellStyle name="Note 2 2 2 3 2 2 2 2" xfId="23973"/>
    <cellStyle name="Note 2 2 2 3 2 2 2 2 2" xfId="23974"/>
    <cellStyle name="Note 2 2 2 3 2 2 2 2 3" xfId="23975"/>
    <cellStyle name="Note 2 2 2 3 2 2 2 2 4" xfId="23976"/>
    <cellStyle name="Note 2 2 2 3 2 2 2 3" xfId="23977"/>
    <cellStyle name="Note 2 2 2 3 2 2 2 3 2" xfId="23978"/>
    <cellStyle name="Note 2 2 2 3 2 2 2 3 3" xfId="23979"/>
    <cellStyle name="Note 2 2 2 3 2 2 2 3 4" xfId="23980"/>
    <cellStyle name="Note 2 2 2 3 2 2 2 4" xfId="23981"/>
    <cellStyle name="Note 2 2 2 3 2 2 2 4 2" xfId="23982"/>
    <cellStyle name="Note 2 2 2 3 2 2 2 4 3" xfId="23983"/>
    <cellStyle name="Note 2 2 2 3 2 2 2 4 4" xfId="23984"/>
    <cellStyle name="Note 2 2 2 3 2 2 2 5" xfId="23985"/>
    <cellStyle name="Note 2 2 2 3 2 2 2 6" xfId="23986"/>
    <cellStyle name="Note 2 2 2 3 2 2 2 7" xfId="23987"/>
    <cellStyle name="Note 2 2 2 3 2 2 2 8" xfId="23988"/>
    <cellStyle name="Note 2 2 2 3 2 2 3" xfId="23989"/>
    <cellStyle name="Note 2 2 2 3 2 2 3 2" xfId="23990"/>
    <cellStyle name="Note 2 2 2 3 2 2 3 2 2" xfId="23991"/>
    <cellStyle name="Note 2 2 2 3 2 2 3 2 3" xfId="23992"/>
    <cellStyle name="Note 2 2 2 3 2 2 3 2 4" xfId="23993"/>
    <cellStyle name="Note 2 2 2 3 2 2 3 3" xfId="23994"/>
    <cellStyle name="Note 2 2 2 3 2 2 3 3 2" xfId="23995"/>
    <cellStyle name="Note 2 2 2 3 2 2 3 3 3" xfId="23996"/>
    <cellStyle name="Note 2 2 2 3 2 2 3 3 4" xfId="23997"/>
    <cellStyle name="Note 2 2 2 3 2 2 3 4" xfId="23998"/>
    <cellStyle name="Note 2 2 2 3 2 2 3 4 2" xfId="23999"/>
    <cellStyle name="Note 2 2 2 3 2 2 3 4 3" xfId="24000"/>
    <cellStyle name="Note 2 2 2 3 2 2 3 4 4" xfId="24001"/>
    <cellStyle name="Note 2 2 2 3 2 2 3 5" xfId="24002"/>
    <cellStyle name="Note 2 2 2 3 2 2 3 6" xfId="24003"/>
    <cellStyle name="Note 2 2 2 3 2 2 3 7" xfId="24004"/>
    <cellStyle name="Note 2 2 2 3 2 2 3 8" xfId="24005"/>
    <cellStyle name="Note 2 2 2 3 2 2 4" xfId="24006"/>
    <cellStyle name="Note 2 2 2 3 2 2 4 2" xfId="24007"/>
    <cellStyle name="Note 2 2 2 3 2 2 4 2 2" xfId="24008"/>
    <cellStyle name="Note 2 2 2 3 2 2 4 2 3" xfId="24009"/>
    <cellStyle name="Note 2 2 2 3 2 2 4 2 4" xfId="24010"/>
    <cellStyle name="Note 2 2 2 3 2 2 4 3" xfId="24011"/>
    <cellStyle name="Note 2 2 2 3 2 2 4 3 2" xfId="24012"/>
    <cellStyle name="Note 2 2 2 3 2 2 4 3 3" xfId="24013"/>
    <cellStyle name="Note 2 2 2 3 2 2 4 3 4" xfId="24014"/>
    <cellStyle name="Note 2 2 2 3 2 2 4 4" xfId="24015"/>
    <cellStyle name="Note 2 2 2 3 2 2 4 4 2" xfId="24016"/>
    <cellStyle name="Note 2 2 2 3 2 2 4 4 3" xfId="24017"/>
    <cellStyle name="Note 2 2 2 3 2 2 4 4 4" xfId="24018"/>
    <cellStyle name="Note 2 2 2 3 2 2 4 5" xfId="24019"/>
    <cellStyle name="Note 2 2 2 3 2 2 4 6" xfId="24020"/>
    <cellStyle name="Note 2 2 2 3 2 2 4 7" xfId="24021"/>
    <cellStyle name="Note 2 2 2 3 2 2 4 8" xfId="24022"/>
    <cellStyle name="Note 2 2 2 3 2 2 5" xfId="24023"/>
    <cellStyle name="Note 2 2 2 3 2 2 5 2" xfId="24024"/>
    <cellStyle name="Note 2 2 2 3 2 2 5 2 2" xfId="24025"/>
    <cellStyle name="Note 2 2 2 3 2 2 5 2 3" xfId="24026"/>
    <cellStyle name="Note 2 2 2 3 2 2 5 2 4" xfId="24027"/>
    <cellStyle name="Note 2 2 2 3 2 2 5 3" xfId="24028"/>
    <cellStyle name="Note 2 2 2 3 2 2 5 3 2" xfId="24029"/>
    <cellStyle name="Note 2 2 2 3 2 2 5 3 3" xfId="24030"/>
    <cellStyle name="Note 2 2 2 3 2 2 5 3 4" xfId="24031"/>
    <cellStyle name="Note 2 2 2 3 2 2 5 4" xfId="24032"/>
    <cellStyle name="Note 2 2 2 3 2 2 5 4 2" xfId="24033"/>
    <cellStyle name="Note 2 2 2 3 2 2 5 4 3" xfId="24034"/>
    <cellStyle name="Note 2 2 2 3 2 2 5 4 4" xfId="24035"/>
    <cellStyle name="Note 2 2 2 3 2 2 5 5" xfId="24036"/>
    <cellStyle name="Note 2 2 2 3 2 2 5 6" xfId="24037"/>
    <cellStyle name="Note 2 2 2 3 2 2 5 7" xfId="24038"/>
    <cellStyle name="Note 2 2 2 3 2 2 5 8" xfId="24039"/>
    <cellStyle name="Note 2 2 2 3 2 2 6" xfId="24040"/>
    <cellStyle name="Note 2 2 2 3 2 2 6 2" xfId="24041"/>
    <cellStyle name="Note 2 2 2 3 2 2 6 3" xfId="24042"/>
    <cellStyle name="Note 2 2 2 3 2 2 6 4" xfId="24043"/>
    <cellStyle name="Note 2 2 2 3 2 2 7" xfId="24044"/>
    <cellStyle name="Note 2 2 2 3 2 2 7 2" xfId="24045"/>
    <cellStyle name="Note 2 2 2 3 2 2 7 3" xfId="24046"/>
    <cellStyle name="Note 2 2 2 3 2 2 7 4" xfId="24047"/>
    <cellStyle name="Note 2 2 2 3 2 2 8" xfId="24048"/>
    <cellStyle name="Note 2 2 2 3 2 2 9" xfId="24049"/>
    <cellStyle name="Note 2 2 2 3 2 3" xfId="24050"/>
    <cellStyle name="Note 2 2 2 3 2 3 2" xfId="24051"/>
    <cellStyle name="Note 2 2 2 3 2 3 2 2" xfId="24052"/>
    <cellStyle name="Note 2 2 2 3 2 3 2 3" xfId="24053"/>
    <cellStyle name="Note 2 2 2 3 2 3 2 4" xfId="24054"/>
    <cellStyle name="Note 2 2 2 3 2 3 3" xfId="24055"/>
    <cellStyle name="Note 2 2 2 3 2 3 3 2" xfId="24056"/>
    <cellStyle name="Note 2 2 2 3 2 3 3 3" xfId="24057"/>
    <cellStyle name="Note 2 2 2 3 2 3 3 4" xfId="24058"/>
    <cellStyle name="Note 2 2 2 3 2 3 4" xfId="24059"/>
    <cellStyle name="Note 2 2 2 3 2 3 4 2" xfId="24060"/>
    <cellStyle name="Note 2 2 2 3 2 3 4 3" xfId="24061"/>
    <cellStyle name="Note 2 2 2 3 2 3 4 4" xfId="24062"/>
    <cellStyle name="Note 2 2 2 3 2 3 5" xfId="24063"/>
    <cellStyle name="Note 2 2 2 3 2 3 6" xfId="24064"/>
    <cellStyle name="Note 2 2 2 3 2 3 7" xfId="24065"/>
    <cellStyle name="Note 2 2 2 3 2 3 8" xfId="24066"/>
    <cellStyle name="Note 2 2 2 3 2 4" xfId="24067"/>
    <cellStyle name="Note 2 2 2 3 2 4 2" xfId="24068"/>
    <cellStyle name="Note 2 2 2 3 2 4 2 2" xfId="24069"/>
    <cellStyle name="Note 2 2 2 3 2 4 2 3" xfId="24070"/>
    <cellStyle name="Note 2 2 2 3 2 4 2 4" xfId="24071"/>
    <cellStyle name="Note 2 2 2 3 2 4 3" xfId="24072"/>
    <cellStyle name="Note 2 2 2 3 2 4 3 2" xfId="24073"/>
    <cellStyle name="Note 2 2 2 3 2 4 3 3" xfId="24074"/>
    <cellStyle name="Note 2 2 2 3 2 4 3 4" xfId="24075"/>
    <cellStyle name="Note 2 2 2 3 2 4 4" xfId="24076"/>
    <cellStyle name="Note 2 2 2 3 2 4 4 2" xfId="24077"/>
    <cellStyle name="Note 2 2 2 3 2 4 4 3" xfId="24078"/>
    <cellStyle name="Note 2 2 2 3 2 4 4 4" xfId="24079"/>
    <cellStyle name="Note 2 2 2 3 2 4 5" xfId="24080"/>
    <cellStyle name="Note 2 2 2 3 2 4 6" xfId="24081"/>
    <cellStyle name="Note 2 2 2 3 2 4 7" xfId="24082"/>
    <cellStyle name="Note 2 2 2 3 2 4 8" xfId="24083"/>
    <cellStyle name="Note 2 2 2 3 2 5" xfId="24084"/>
    <cellStyle name="Note 2 2 2 3 2 5 2" xfId="24085"/>
    <cellStyle name="Note 2 2 2 3 2 5 2 2" xfId="24086"/>
    <cellStyle name="Note 2 2 2 3 2 5 2 3" xfId="24087"/>
    <cellStyle name="Note 2 2 2 3 2 5 2 4" xfId="24088"/>
    <cellStyle name="Note 2 2 2 3 2 5 3" xfId="24089"/>
    <cellStyle name="Note 2 2 2 3 2 5 3 2" xfId="24090"/>
    <cellStyle name="Note 2 2 2 3 2 5 3 3" xfId="24091"/>
    <cellStyle name="Note 2 2 2 3 2 5 3 4" xfId="24092"/>
    <cellStyle name="Note 2 2 2 3 2 5 4" xfId="24093"/>
    <cellStyle name="Note 2 2 2 3 2 5 4 2" xfId="24094"/>
    <cellStyle name="Note 2 2 2 3 2 5 4 3" xfId="24095"/>
    <cellStyle name="Note 2 2 2 3 2 5 4 4" xfId="24096"/>
    <cellStyle name="Note 2 2 2 3 2 5 5" xfId="24097"/>
    <cellStyle name="Note 2 2 2 3 2 5 6" xfId="24098"/>
    <cellStyle name="Note 2 2 2 3 2 5 7" xfId="24099"/>
    <cellStyle name="Note 2 2 2 3 2 5 8" xfId="24100"/>
    <cellStyle name="Note 2 2 2 3 2 6" xfId="24101"/>
    <cellStyle name="Note 2 2 2 3 2 6 2" xfId="24102"/>
    <cellStyle name="Note 2 2 2 3 2 6 2 2" xfId="24103"/>
    <cellStyle name="Note 2 2 2 3 2 6 2 3" xfId="24104"/>
    <cellStyle name="Note 2 2 2 3 2 6 2 4" xfId="24105"/>
    <cellStyle name="Note 2 2 2 3 2 6 3" xfId="24106"/>
    <cellStyle name="Note 2 2 2 3 2 6 3 2" xfId="24107"/>
    <cellStyle name="Note 2 2 2 3 2 6 3 3" xfId="24108"/>
    <cellStyle name="Note 2 2 2 3 2 6 3 4" xfId="24109"/>
    <cellStyle name="Note 2 2 2 3 2 6 4" xfId="24110"/>
    <cellStyle name="Note 2 2 2 3 2 6 4 2" xfId="24111"/>
    <cellStyle name="Note 2 2 2 3 2 6 4 3" xfId="24112"/>
    <cellStyle name="Note 2 2 2 3 2 6 4 4" xfId="24113"/>
    <cellStyle name="Note 2 2 2 3 2 6 5" xfId="24114"/>
    <cellStyle name="Note 2 2 2 3 2 6 6" xfId="24115"/>
    <cellStyle name="Note 2 2 2 3 2 6 7" xfId="24116"/>
    <cellStyle name="Note 2 2 2 3 2 6 8" xfId="24117"/>
    <cellStyle name="Note 2 2 2 3 2 7" xfId="24118"/>
    <cellStyle name="Note 2 2 2 3 2 7 2" xfId="24119"/>
    <cellStyle name="Note 2 2 2 3 2 7 2 2" xfId="24120"/>
    <cellStyle name="Note 2 2 2 3 2 7 2 3" xfId="24121"/>
    <cellStyle name="Note 2 2 2 3 2 7 2 4" xfId="24122"/>
    <cellStyle name="Note 2 2 2 3 2 7 3" xfId="24123"/>
    <cellStyle name="Note 2 2 2 3 2 7 3 2" xfId="24124"/>
    <cellStyle name="Note 2 2 2 3 2 7 3 3" xfId="24125"/>
    <cellStyle name="Note 2 2 2 3 2 7 3 4" xfId="24126"/>
    <cellStyle name="Note 2 2 2 3 2 7 4" xfId="24127"/>
    <cellStyle name="Note 2 2 2 3 2 7 4 2" xfId="24128"/>
    <cellStyle name="Note 2 2 2 3 2 7 4 3" xfId="24129"/>
    <cellStyle name="Note 2 2 2 3 2 7 4 4" xfId="24130"/>
    <cellStyle name="Note 2 2 2 3 2 7 5" xfId="24131"/>
    <cellStyle name="Note 2 2 2 3 2 7 6" xfId="24132"/>
    <cellStyle name="Note 2 2 2 3 2 7 7" xfId="24133"/>
    <cellStyle name="Note 2 2 2 3 2 7 8" xfId="24134"/>
    <cellStyle name="Note 2 2 2 3 2 8" xfId="24135"/>
    <cellStyle name="Note 2 2 2 3 2 8 2" xfId="24136"/>
    <cellStyle name="Note 2 2 2 3 2 8 3" xfId="24137"/>
    <cellStyle name="Note 2 2 2 3 2 8 4" xfId="24138"/>
    <cellStyle name="Note 2 2 2 3 2 9" xfId="24139"/>
    <cellStyle name="Note 2 2 2 3 2 9 2" xfId="24140"/>
    <cellStyle name="Note 2 2 2 3 2 9 3" xfId="24141"/>
    <cellStyle name="Note 2 2 2 3 2 9 4" xfId="24142"/>
    <cellStyle name="Note 2 2 2 3 3" xfId="24143"/>
    <cellStyle name="Note 2 2 2 3 3 2" xfId="24144"/>
    <cellStyle name="Note 2 2 2 3 3 2 2" xfId="24145"/>
    <cellStyle name="Note 2 2 2 3 3 2 2 2" xfId="24146"/>
    <cellStyle name="Note 2 2 2 3 3 2 2 3" xfId="24147"/>
    <cellStyle name="Note 2 2 2 3 3 2 2 4" xfId="24148"/>
    <cellStyle name="Note 2 2 2 3 3 2 3" xfId="24149"/>
    <cellStyle name="Note 2 2 2 3 3 2 3 2" xfId="24150"/>
    <cellStyle name="Note 2 2 2 3 3 2 3 3" xfId="24151"/>
    <cellStyle name="Note 2 2 2 3 3 2 3 4" xfId="24152"/>
    <cellStyle name="Note 2 2 2 3 3 2 4" xfId="24153"/>
    <cellStyle name="Note 2 2 2 3 3 2 4 2" xfId="24154"/>
    <cellStyle name="Note 2 2 2 3 3 2 4 3" xfId="24155"/>
    <cellStyle name="Note 2 2 2 3 3 2 4 4" xfId="24156"/>
    <cellStyle name="Note 2 2 2 3 3 2 5" xfId="24157"/>
    <cellStyle name="Note 2 2 2 3 3 2 6" xfId="24158"/>
    <cellStyle name="Note 2 2 2 3 3 2 7" xfId="24159"/>
    <cellStyle name="Note 2 2 2 3 3 2 8" xfId="24160"/>
    <cellStyle name="Note 2 2 2 3 3 3" xfId="24161"/>
    <cellStyle name="Note 2 2 2 3 3 3 2" xfId="24162"/>
    <cellStyle name="Note 2 2 2 3 3 3 2 2" xfId="24163"/>
    <cellStyle name="Note 2 2 2 3 3 3 2 3" xfId="24164"/>
    <cellStyle name="Note 2 2 2 3 3 3 2 4" xfId="24165"/>
    <cellStyle name="Note 2 2 2 3 3 3 3" xfId="24166"/>
    <cellStyle name="Note 2 2 2 3 3 3 3 2" xfId="24167"/>
    <cellStyle name="Note 2 2 2 3 3 3 3 3" xfId="24168"/>
    <cellStyle name="Note 2 2 2 3 3 3 3 4" xfId="24169"/>
    <cellStyle name="Note 2 2 2 3 3 3 4" xfId="24170"/>
    <cellStyle name="Note 2 2 2 3 3 3 4 2" xfId="24171"/>
    <cellStyle name="Note 2 2 2 3 3 3 4 3" xfId="24172"/>
    <cellStyle name="Note 2 2 2 3 3 3 4 4" xfId="24173"/>
    <cellStyle name="Note 2 2 2 3 3 3 5" xfId="24174"/>
    <cellStyle name="Note 2 2 2 3 3 3 6" xfId="24175"/>
    <cellStyle name="Note 2 2 2 3 3 3 7" xfId="24176"/>
    <cellStyle name="Note 2 2 2 3 3 3 8" xfId="24177"/>
    <cellStyle name="Note 2 2 2 3 3 4" xfId="24178"/>
    <cellStyle name="Note 2 2 2 3 3 4 2" xfId="24179"/>
    <cellStyle name="Note 2 2 2 3 3 4 2 2" xfId="24180"/>
    <cellStyle name="Note 2 2 2 3 3 4 2 3" xfId="24181"/>
    <cellStyle name="Note 2 2 2 3 3 4 2 4" xfId="24182"/>
    <cellStyle name="Note 2 2 2 3 3 4 3" xfId="24183"/>
    <cellStyle name="Note 2 2 2 3 3 4 3 2" xfId="24184"/>
    <cellStyle name="Note 2 2 2 3 3 4 3 3" xfId="24185"/>
    <cellStyle name="Note 2 2 2 3 3 4 3 4" xfId="24186"/>
    <cellStyle name="Note 2 2 2 3 3 4 4" xfId="24187"/>
    <cellStyle name="Note 2 2 2 3 3 4 4 2" xfId="24188"/>
    <cellStyle name="Note 2 2 2 3 3 4 4 3" xfId="24189"/>
    <cellStyle name="Note 2 2 2 3 3 4 4 4" xfId="24190"/>
    <cellStyle name="Note 2 2 2 3 3 4 5" xfId="24191"/>
    <cellStyle name="Note 2 2 2 3 3 4 6" xfId="24192"/>
    <cellStyle name="Note 2 2 2 3 3 4 7" xfId="24193"/>
    <cellStyle name="Note 2 2 2 3 3 4 8" xfId="24194"/>
    <cellStyle name="Note 2 2 2 3 3 5" xfId="24195"/>
    <cellStyle name="Note 2 2 2 3 3 5 2" xfId="24196"/>
    <cellStyle name="Note 2 2 2 3 3 5 2 2" xfId="24197"/>
    <cellStyle name="Note 2 2 2 3 3 5 2 3" xfId="24198"/>
    <cellStyle name="Note 2 2 2 3 3 5 2 4" xfId="24199"/>
    <cellStyle name="Note 2 2 2 3 3 5 3" xfId="24200"/>
    <cellStyle name="Note 2 2 2 3 3 5 3 2" xfId="24201"/>
    <cellStyle name="Note 2 2 2 3 3 5 3 3" xfId="24202"/>
    <cellStyle name="Note 2 2 2 3 3 5 3 4" xfId="24203"/>
    <cellStyle name="Note 2 2 2 3 3 5 4" xfId="24204"/>
    <cellStyle name="Note 2 2 2 3 3 5 4 2" xfId="24205"/>
    <cellStyle name="Note 2 2 2 3 3 5 4 3" xfId="24206"/>
    <cellStyle name="Note 2 2 2 3 3 5 4 4" xfId="24207"/>
    <cellStyle name="Note 2 2 2 3 3 5 5" xfId="24208"/>
    <cellStyle name="Note 2 2 2 3 3 5 6" xfId="24209"/>
    <cellStyle name="Note 2 2 2 3 3 5 7" xfId="24210"/>
    <cellStyle name="Note 2 2 2 3 3 5 8" xfId="24211"/>
    <cellStyle name="Note 2 2 2 3 3 6" xfId="24212"/>
    <cellStyle name="Note 2 2 2 3 3 6 2" xfId="24213"/>
    <cellStyle name="Note 2 2 2 3 3 6 3" xfId="24214"/>
    <cellStyle name="Note 2 2 2 3 3 6 4" xfId="24215"/>
    <cellStyle name="Note 2 2 2 3 3 7" xfId="24216"/>
    <cellStyle name="Note 2 2 2 3 3 7 2" xfId="24217"/>
    <cellStyle name="Note 2 2 2 3 3 7 3" xfId="24218"/>
    <cellStyle name="Note 2 2 2 3 3 7 4" xfId="24219"/>
    <cellStyle name="Note 2 2 2 3 3 8" xfId="24220"/>
    <cellStyle name="Note 2 2 2 3 3 9" xfId="24221"/>
    <cellStyle name="Note 2 2 2 3 4" xfId="24222"/>
    <cellStyle name="Note 2 2 2 3 4 2" xfId="24223"/>
    <cellStyle name="Note 2 2 2 3 4 2 2" xfId="24224"/>
    <cellStyle name="Note 2 2 2 3 4 2 3" xfId="24225"/>
    <cellStyle name="Note 2 2 2 3 4 2 4" xfId="24226"/>
    <cellStyle name="Note 2 2 2 3 4 3" xfId="24227"/>
    <cellStyle name="Note 2 2 2 3 4 3 2" xfId="24228"/>
    <cellStyle name="Note 2 2 2 3 4 3 3" xfId="24229"/>
    <cellStyle name="Note 2 2 2 3 4 3 4" xfId="24230"/>
    <cellStyle name="Note 2 2 2 3 4 4" xfId="24231"/>
    <cellStyle name="Note 2 2 2 3 4 4 2" xfId="24232"/>
    <cellStyle name="Note 2 2 2 3 4 4 3" xfId="24233"/>
    <cellStyle name="Note 2 2 2 3 4 4 4" xfId="24234"/>
    <cellStyle name="Note 2 2 2 3 4 5" xfId="24235"/>
    <cellStyle name="Note 2 2 2 3 4 6" xfId="24236"/>
    <cellStyle name="Note 2 2 2 3 4 7" xfId="24237"/>
    <cellStyle name="Note 2 2 2 3 4 8" xfId="24238"/>
    <cellStyle name="Note 2 2 2 3 5" xfId="24239"/>
    <cellStyle name="Note 2 2 2 3 5 2" xfId="24240"/>
    <cellStyle name="Note 2 2 2 3 5 2 2" xfId="24241"/>
    <cellStyle name="Note 2 2 2 3 5 2 3" xfId="24242"/>
    <cellStyle name="Note 2 2 2 3 5 2 4" xfId="24243"/>
    <cellStyle name="Note 2 2 2 3 5 3" xfId="24244"/>
    <cellStyle name="Note 2 2 2 3 5 3 2" xfId="24245"/>
    <cellStyle name="Note 2 2 2 3 5 3 3" xfId="24246"/>
    <cellStyle name="Note 2 2 2 3 5 3 4" xfId="24247"/>
    <cellStyle name="Note 2 2 2 3 5 4" xfId="24248"/>
    <cellStyle name="Note 2 2 2 3 5 4 2" xfId="24249"/>
    <cellStyle name="Note 2 2 2 3 5 4 3" xfId="24250"/>
    <cellStyle name="Note 2 2 2 3 5 4 4" xfId="24251"/>
    <cellStyle name="Note 2 2 2 3 5 5" xfId="24252"/>
    <cellStyle name="Note 2 2 2 3 5 6" xfId="24253"/>
    <cellStyle name="Note 2 2 2 3 5 7" xfId="24254"/>
    <cellStyle name="Note 2 2 2 3 5 8" xfId="24255"/>
    <cellStyle name="Note 2 2 2 3 6" xfId="24256"/>
    <cellStyle name="Note 2 2 2 3 6 2" xfId="24257"/>
    <cellStyle name="Note 2 2 2 3 6 2 2" xfId="24258"/>
    <cellStyle name="Note 2 2 2 3 6 2 3" xfId="24259"/>
    <cellStyle name="Note 2 2 2 3 6 2 4" xfId="24260"/>
    <cellStyle name="Note 2 2 2 3 6 3" xfId="24261"/>
    <cellStyle name="Note 2 2 2 3 6 3 2" xfId="24262"/>
    <cellStyle name="Note 2 2 2 3 6 3 3" xfId="24263"/>
    <cellStyle name="Note 2 2 2 3 6 3 4" xfId="24264"/>
    <cellStyle name="Note 2 2 2 3 6 4" xfId="24265"/>
    <cellStyle name="Note 2 2 2 3 6 4 2" xfId="24266"/>
    <cellStyle name="Note 2 2 2 3 6 4 3" xfId="24267"/>
    <cellStyle name="Note 2 2 2 3 6 4 4" xfId="24268"/>
    <cellStyle name="Note 2 2 2 3 6 5" xfId="24269"/>
    <cellStyle name="Note 2 2 2 3 6 6" xfId="24270"/>
    <cellStyle name="Note 2 2 2 3 6 7" xfId="24271"/>
    <cellStyle name="Note 2 2 2 3 6 8" xfId="24272"/>
    <cellStyle name="Note 2 2 2 3 7" xfId="24273"/>
    <cellStyle name="Note 2 2 2 3 7 2" xfId="24274"/>
    <cellStyle name="Note 2 2 2 3 7 2 2" xfId="24275"/>
    <cellStyle name="Note 2 2 2 3 7 2 3" xfId="24276"/>
    <cellStyle name="Note 2 2 2 3 7 2 4" xfId="24277"/>
    <cellStyle name="Note 2 2 2 3 7 3" xfId="24278"/>
    <cellStyle name="Note 2 2 2 3 7 3 2" xfId="24279"/>
    <cellStyle name="Note 2 2 2 3 7 3 3" xfId="24280"/>
    <cellStyle name="Note 2 2 2 3 7 3 4" xfId="24281"/>
    <cellStyle name="Note 2 2 2 3 7 4" xfId="24282"/>
    <cellStyle name="Note 2 2 2 3 7 4 2" xfId="24283"/>
    <cellStyle name="Note 2 2 2 3 7 4 3" xfId="24284"/>
    <cellStyle name="Note 2 2 2 3 7 4 4" xfId="24285"/>
    <cellStyle name="Note 2 2 2 3 7 5" xfId="24286"/>
    <cellStyle name="Note 2 2 2 3 7 6" xfId="24287"/>
    <cellStyle name="Note 2 2 2 3 7 7" xfId="24288"/>
    <cellStyle name="Note 2 2 2 3 7 8" xfId="24289"/>
    <cellStyle name="Note 2 2 2 3 8" xfId="24290"/>
    <cellStyle name="Note 2 2 2 3 8 2" xfId="24291"/>
    <cellStyle name="Note 2 2 2 3 8 2 2" xfId="24292"/>
    <cellStyle name="Note 2 2 2 3 8 2 3" xfId="24293"/>
    <cellStyle name="Note 2 2 2 3 8 2 4" xfId="24294"/>
    <cellStyle name="Note 2 2 2 3 8 3" xfId="24295"/>
    <cellStyle name="Note 2 2 2 3 8 3 2" xfId="24296"/>
    <cellStyle name="Note 2 2 2 3 8 3 3" xfId="24297"/>
    <cellStyle name="Note 2 2 2 3 8 3 4" xfId="24298"/>
    <cellStyle name="Note 2 2 2 3 8 4" xfId="24299"/>
    <cellStyle name="Note 2 2 2 3 8 4 2" xfId="24300"/>
    <cellStyle name="Note 2 2 2 3 8 4 3" xfId="24301"/>
    <cellStyle name="Note 2 2 2 3 8 4 4" xfId="24302"/>
    <cellStyle name="Note 2 2 2 3 8 5" xfId="24303"/>
    <cellStyle name="Note 2 2 2 3 8 6" xfId="24304"/>
    <cellStyle name="Note 2 2 2 3 8 7" xfId="24305"/>
    <cellStyle name="Note 2 2 2 3 8 8" xfId="24306"/>
    <cellStyle name="Note 2 2 2 3 9" xfId="24307"/>
    <cellStyle name="Note 2 2 2 3 9 2" xfId="24308"/>
    <cellStyle name="Note 2 2 2 3 9 3" xfId="24309"/>
    <cellStyle name="Note 2 2 2 3 9 4" xfId="24310"/>
    <cellStyle name="Note 2 2 2 4" xfId="24311"/>
    <cellStyle name="Note 2 2 2 4 10" xfId="24312"/>
    <cellStyle name="Note 2 2 2 4 11" xfId="24313"/>
    <cellStyle name="Note 2 2 2 4 2" xfId="24314"/>
    <cellStyle name="Note 2 2 2 4 2 2" xfId="24315"/>
    <cellStyle name="Note 2 2 2 4 2 2 2" xfId="24316"/>
    <cellStyle name="Note 2 2 2 4 2 2 2 2" xfId="24317"/>
    <cellStyle name="Note 2 2 2 4 2 2 2 3" xfId="24318"/>
    <cellStyle name="Note 2 2 2 4 2 2 2 4" xfId="24319"/>
    <cellStyle name="Note 2 2 2 4 2 2 3" xfId="24320"/>
    <cellStyle name="Note 2 2 2 4 2 2 3 2" xfId="24321"/>
    <cellStyle name="Note 2 2 2 4 2 2 3 3" xfId="24322"/>
    <cellStyle name="Note 2 2 2 4 2 2 3 4" xfId="24323"/>
    <cellStyle name="Note 2 2 2 4 2 2 4" xfId="24324"/>
    <cellStyle name="Note 2 2 2 4 2 2 4 2" xfId="24325"/>
    <cellStyle name="Note 2 2 2 4 2 2 4 3" xfId="24326"/>
    <cellStyle name="Note 2 2 2 4 2 2 4 4" xfId="24327"/>
    <cellStyle name="Note 2 2 2 4 2 2 5" xfId="24328"/>
    <cellStyle name="Note 2 2 2 4 2 2 6" xfId="24329"/>
    <cellStyle name="Note 2 2 2 4 2 2 7" xfId="24330"/>
    <cellStyle name="Note 2 2 2 4 2 2 8" xfId="24331"/>
    <cellStyle name="Note 2 2 2 4 2 3" xfId="24332"/>
    <cellStyle name="Note 2 2 2 4 2 3 2" xfId="24333"/>
    <cellStyle name="Note 2 2 2 4 2 3 2 2" xfId="24334"/>
    <cellStyle name="Note 2 2 2 4 2 3 2 3" xfId="24335"/>
    <cellStyle name="Note 2 2 2 4 2 3 2 4" xfId="24336"/>
    <cellStyle name="Note 2 2 2 4 2 3 3" xfId="24337"/>
    <cellStyle name="Note 2 2 2 4 2 3 3 2" xfId="24338"/>
    <cellStyle name="Note 2 2 2 4 2 3 3 3" xfId="24339"/>
    <cellStyle name="Note 2 2 2 4 2 3 3 4" xfId="24340"/>
    <cellStyle name="Note 2 2 2 4 2 3 4" xfId="24341"/>
    <cellStyle name="Note 2 2 2 4 2 3 4 2" xfId="24342"/>
    <cellStyle name="Note 2 2 2 4 2 3 4 3" xfId="24343"/>
    <cellStyle name="Note 2 2 2 4 2 3 4 4" xfId="24344"/>
    <cellStyle name="Note 2 2 2 4 2 3 5" xfId="24345"/>
    <cellStyle name="Note 2 2 2 4 2 3 6" xfId="24346"/>
    <cellStyle name="Note 2 2 2 4 2 3 7" xfId="24347"/>
    <cellStyle name="Note 2 2 2 4 2 3 8" xfId="24348"/>
    <cellStyle name="Note 2 2 2 4 2 4" xfId="24349"/>
    <cellStyle name="Note 2 2 2 4 2 4 2" xfId="24350"/>
    <cellStyle name="Note 2 2 2 4 2 4 2 2" xfId="24351"/>
    <cellStyle name="Note 2 2 2 4 2 4 2 3" xfId="24352"/>
    <cellStyle name="Note 2 2 2 4 2 4 2 4" xfId="24353"/>
    <cellStyle name="Note 2 2 2 4 2 4 3" xfId="24354"/>
    <cellStyle name="Note 2 2 2 4 2 4 3 2" xfId="24355"/>
    <cellStyle name="Note 2 2 2 4 2 4 3 3" xfId="24356"/>
    <cellStyle name="Note 2 2 2 4 2 4 3 4" xfId="24357"/>
    <cellStyle name="Note 2 2 2 4 2 4 4" xfId="24358"/>
    <cellStyle name="Note 2 2 2 4 2 4 4 2" xfId="24359"/>
    <cellStyle name="Note 2 2 2 4 2 4 4 3" xfId="24360"/>
    <cellStyle name="Note 2 2 2 4 2 4 4 4" xfId="24361"/>
    <cellStyle name="Note 2 2 2 4 2 4 5" xfId="24362"/>
    <cellStyle name="Note 2 2 2 4 2 4 6" xfId="24363"/>
    <cellStyle name="Note 2 2 2 4 2 4 7" xfId="24364"/>
    <cellStyle name="Note 2 2 2 4 2 4 8" xfId="24365"/>
    <cellStyle name="Note 2 2 2 4 2 5" xfId="24366"/>
    <cellStyle name="Note 2 2 2 4 2 5 2" xfId="24367"/>
    <cellStyle name="Note 2 2 2 4 2 5 2 2" xfId="24368"/>
    <cellStyle name="Note 2 2 2 4 2 5 2 3" xfId="24369"/>
    <cellStyle name="Note 2 2 2 4 2 5 2 4" xfId="24370"/>
    <cellStyle name="Note 2 2 2 4 2 5 3" xfId="24371"/>
    <cellStyle name="Note 2 2 2 4 2 5 3 2" xfId="24372"/>
    <cellStyle name="Note 2 2 2 4 2 5 3 3" xfId="24373"/>
    <cellStyle name="Note 2 2 2 4 2 5 3 4" xfId="24374"/>
    <cellStyle name="Note 2 2 2 4 2 5 4" xfId="24375"/>
    <cellStyle name="Note 2 2 2 4 2 5 4 2" xfId="24376"/>
    <cellStyle name="Note 2 2 2 4 2 5 4 3" xfId="24377"/>
    <cellStyle name="Note 2 2 2 4 2 5 4 4" xfId="24378"/>
    <cellStyle name="Note 2 2 2 4 2 5 5" xfId="24379"/>
    <cellStyle name="Note 2 2 2 4 2 5 6" xfId="24380"/>
    <cellStyle name="Note 2 2 2 4 2 5 7" xfId="24381"/>
    <cellStyle name="Note 2 2 2 4 2 5 8" xfId="24382"/>
    <cellStyle name="Note 2 2 2 4 2 6" xfId="24383"/>
    <cellStyle name="Note 2 2 2 4 2 6 2" xfId="24384"/>
    <cellStyle name="Note 2 2 2 4 2 6 3" xfId="24385"/>
    <cellStyle name="Note 2 2 2 4 2 6 4" xfId="24386"/>
    <cellStyle name="Note 2 2 2 4 2 7" xfId="24387"/>
    <cellStyle name="Note 2 2 2 4 2 7 2" xfId="24388"/>
    <cellStyle name="Note 2 2 2 4 2 7 3" xfId="24389"/>
    <cellStyle name="Note 2 2 2 4 2 7 4" xfId="24390"/>
    <cellStyle name="Note 2 2 2 4 2 8" xfId="24391"/>
    <cellStyle name="Note 2 2 2 4 2 9" xfId="24392"/>
    <cellStyle name="Note 2 2 2 4 3" xfId="24393"/>
    <cellStyle name="Note 2 2 2 4 3 2" xfId="24394"/>
    <cellStyle name="Note 2 2 2 4 3 2 2" xfId="24395"/>
    <cellStyle name="Note 2 2 2 4 3 2 3" xfId="24396"/>
    <cellStyle name="Note 2 2 2 4 3 2 4" xfId="24397"/>
    <cellStyle name="Note 2 2 2 4 3 3" xfId="24398"/>
    <cellStyle name="Note 2 2 2 4 3 3 2" xfId="24399"/>
    <cellStyle name="Note 2 2 2 4 3 3 3" xfId="24400"/>
    <cellStyle name="Note 2 2 2 4 3 3 4" xfId="24401"/>
    <cellStyle name="Note 2 2 2 4 3 4" xfId="24402"/>
    <cellStyle name="Note 2 2 2 4 3 4 2" xfId="24403"/>
    <cellStyle name="Note 2 2 2 4 3 4 3" xfId="24404"/>
    <cellStyle name="Note 2 2 2 4 3 4 4" xfId="24405"/>
    <cellStyle name="Note 2 2 2 4 3 5" xfId="24406"/>
    <cellStyle name="Note 2 2 2 4 3 6" xfId="24407"/>
    <cellStyle name="Note 2 2 2 4 3 7" xfId="24408"/>
    <cellStyle name="Note 2 2 2 4 3 8" xfId="24409"/>
    <cellStyle name="Note 2 2 2 4 4" xfId="24410"/>
    <cellStyle name="Note 2 2 2 4 4 2" xfId="24411"/>
    <cellStyle name="Note 2 2 2 4 4 2 2" xfId="24412"/>
    <cellStyle name="Note 2 2 2 4 4 2 3" xfId="24413"/>
    <cellStyle name="Note 2 2 2 4 4 2 4" xfId="24414"/>
    <cellStyle name="Note 2 2 2 4 4 3" xfId="24415"/>
    <cellStyle name="Note 2 2 2 4 4 3 2" xfId="24416"/>
    <cellStyle name="Note 2 2 2 4 4 3 3" xfId="24417"/>
    <cellStyle name="Note 2 2 2 4 4 3 4" xfId="24418"/>
    <cellStyle name="Note 2 2 2 4 4 4" xfId="24419"/>
    <cellStyle name="Note 2 2 2 4 4 4 2" xfId="24420"/>
    <cellStyle name="Note 2 2 2 4 4 4 3" xfId="24421"/>
    <cellStyle name="Note 2 2 2 4 4 4 4" xfId="24422"/>
    <cellStyle name="Note 2 2 2 4 4 5" xfId="24423"/>
    <cellStyle name="Note 2 2 2 4 4 6" xfId="24424"/>
    <cellStyle name="Note 2 2 2 4 4 7" xfId="24425"/>
    <cellStyle name="Note 2 2 2 4 4 8" xfId="24426"/>
    <cellStyle name="Note 2 2 2 4 5" xfId="24427"/>
    <cellStyle name="Note 2 2 2 4 5 2" xfId="24428"/>
    <cellStyle name="Note 2 2 2 4 5 2 2" xfId="24429"/>
    <cellStyle name="Note 2 2 2 4 5 2 3" xfId="24430"/>
    <cellStyle name="Note 2 2 2 4 5 2 4" xfId="24431"/>
    <cellStyle name="Note 2 2 2 4 5 3" xfId="24432"/>
    <cellStyle name="Note 2 2 2 4 5 3 2" xfId="24433"/>
    <cellStyle name="Note 2 2 2 4 5 3 3" xfId="24434"/>
    <cellStyle name="Note 2 2 2 4 5 3 4" xfId="24435"/>
    <cellStyle name="Note 2 2 2 4 5 4" xfId="24436"/>
    <cellStyle name="Note 2 2 2 4 5 4 2" xfId="24437"/>
    <cellStyle name="Note 2 2 2 4 5 4 3" xfId="24438"/>
    <cellStyle name="Note 2 2 2 4 5 4 4" xfId="24439"/>
    <cellStyle name="Note 2 2 2 4 5 5" xfId="24440"/>
    <cellStyle name="Note 2 2 2 4 5 6" xfId="24441"/>
    <cellStyle name="Note 2 2 2 4 5 7" xfId="24442"/>
    <cellStyle name="Note 2 2 2 4 5 8" xfId="24443"/>
    <cellStyle name="Note 2 2 2 4 6" xfId="24444"/>
    <cellStyle name="Note 2 2 2 4 6 2" xfId="24445"/>
    <cellStyle name="Note 2 2 2 4 6 2 2" xfId="24446"/>
    <cellStyle name="Note 2 2 2 4 6 2 3" xfId="24447"/>
    <cellStyle name="Note 2 2 2 4 6 2 4" xfId="24448"/>
    <cellStyle name="Note 2 2 2 4 6 3" xfId="24449"/>
    <cellStyle name="Note 2 2 2 4 6 3 2" xfId="24450"/>
    <cellStyle name="Note 2 2 2 4 6 3 3" xfId="24451"/>
    <cellStyle name="Note 2 2 2 4 6 3 4" xfId="24452"/>
    <cellStyle name="Note 2 2 2 4 6 4" xfId="24453"/>
    <cellStyle name="Note 2 2 2 4 6 4 2" xfId="24454"/>
    <cellStyle name="Note 2 2 2 4 6 4 3" xfId="24455"/>
    <cellStyle name="Note 2 2 2 4 6 4 4" xfId="24456"/>
    <cellStyle name="Note 2 2 2 4 6 5" xfId="24457"/>
    <cellStyle name="Note 2 2 2 4 6 6" xfId="24458"/>
    <cellStyle name="Note 2 2 2 4 6 7" xfId="24459"/>
    <cellStyle name="Note 2 2 2 4 6 8" xfId="24460"/>
    <cellStyle name="Note 2 2 2 4 7" xfId="24461"/>
    <cellStyle name="Note 2 2 2 4 7 2" xfId="24462"/>
    <cellStyle name="Note 2 2 2 4 7 2 2" xfId="24463"/>
    <cellStyle name="Note 2 2 2 4 7 2 3" xfId="24464"/>
    <cellStyle name="Note 2 2 2 4 7 2 4" xfId="24465"/>
    <cellStyle name="Note 2 2 2 4 7 3" xfId="24466"/>
    <cellStyle name="Note 2 2 2 4 7 3 2" xfId="24467"/>
    <cellStyle name="Note 2 2 2 4 7 3 3" xfId="24468"/>
    <cellStyle name="Note 2 2 2 4 7 3 4" xfId="24469"/>
    <cellStyle name="Note 2 2 2 4 7 4" xfId="24470"/>
    <cellStyle name="Note 2 2 2 4 7 4 2" xfId="24471"/>
    <cellStyle name="Note 2 2 2 4 7 4 3" xfId="24472"/>
    <cellStyle name="Note 2 2 2 4 7 4 4" xfId="24473"/>
    <cellStyle name="Note 2 2 2 4 7 5" xfId="24474"/>
    <cellStyle name="Note 2 2 2 4 7 6" xfId="24475"/>
    <cellStyle name="Note 2 2 2 4 7 7" xfId="24476"/>
    <cellStyle name="Note 2 2 2 4 7 8" xfId="24477"/>
    <cellStyle name="Note 2 2 2 4 8" xfId="24478"/>
    <cellStyle name="Note 2 2 2 4 8 2" xfId="24479"/>
    <cellStyle name="Note 2 2 2 4 8 3" xfId="24480"/>
    <cellStyle name="Note 2 2 2 4 8 4" xfId="24481"/>
    <cellStyle name="Note 2 2 2 4 9" xfId="24482"/>
    <cellStyle name="Note 2 2 2 4 9 2" xfId="24483"/>
    <cellStyle name="Note 2 2 2 4 9 3" xfId="24484"/>
    <cellStyle name="Note 2 2 2 4 9 4" xfId="24485"/>
    <cellStyle name="Note 2 2 2 5" xfId="24486"/>
    <cellStyle name="Note 2 2 2 5 2" xfId="24487"/>
    <cellStyle name="Note 2 2 2 5 2 2" xfId="24488"/>
    <cellStyle name="Note 2 2 2 5 2 2 2" xfId="24489"/>
    <cellStyle name="Note 2 2 2 5 2 2 3" xfId="24490"/>
    <cellStyle name="Note 2 2 2 5 2 2 4" xfId="24491"/>
    <cellStyle name="Note 2 2 2 5 2 3" xfId="24492"/>
    <cellStyle name="Note 2 2 2 5 2 3 2" xfId="24493"/>
    <cellStyle name="Note 2 2 2 5 2 3 3" xfId="24494"/>
    <cellStyle name="Note 2 2 2 5 2 3 4" xfId="24495"/>
    <cellStyle name="Note 2 2 2 5 2 4" xfId="24496"/>
    <cellStyle name="Note 2 2 2 5 2 4 2" xfId="24497"/>
    <cellStyle name="Note 2 2 2 5 2 4 3" xfId="24498"/>
    <cellStyle name="Note 2 2 2 5 2 4 4" xfId="24499"/>
    <cellStyle name="Note 2 2 2 5 2 5" xfId="24500"/>
    <cellStyle name="Note 2 2 2 5 2 6" xfId="24501"/>
    <cellStyle name="Note 2 2 2 5 2 7" xfId="24502"/>
    <cellStyle name="Note 2 2 2 5 2 8" xfId="24503"/>
    <cellStyle name="Note 2 2 2 5 3" xfId="24504"/>
    <cellStyle name="Note 2 2 2 5 3 2" xfId="24505"/>
    <cellStyle name="Note 2 2 2 5 3 2 2" xfId="24506"/>
    <cellStyle name="Note 2 2 2 5 3 2 3" xfId="24507"/>
    <cellStyle name="Note 2 2 2 5 3 2 4" xfId="24508"/>
    <cellStyle name="Note 2 2 2 5 3 3" xfId="24509"/>
    <cellStyle name="Note 2 2 2 5 3 3 2" xfId="24510"/>
    <cellStyle name="Note 2 2 2 5 3 3 3" xfId="24511"/>
    <cellStyle name="Note 2 2 2 5 3 3 4" xfId="24512"/>
    <cellStyle name="Note 2 2 2 5 3 4" xfId="24513"/>
    <cellStyle name="Note 2 2 2 5 3 4 2" xfId="24514"/>
    <cellStyle name="Note 2 2 2 5 3 4 3" xfId="24515"/>
    <cellStyle name="Note 2 2 2 5 3 4 4" xfId="24516"/>
    <cellStyle name="Note 2 2 2 5 3 5" xfId="24517"/>
    <cellStyle name="Note 2 2 2 5 3 6" xfId="24518"/>
    <cellStyle name="Note 2 2 2 5 3 7" xfId="24519"/>
    <cellStyle name="Note 2 2 2 5 3 8" xfId="24520"/>
    <cellStyle name="Note 2 2 2 5 4" xfId="24521"/>
    <cellStyle name="Note 2 2 2 5 4 2" xfId="24522"/>
    <cellStyle name="Note 2 2 2 5 4 2 2" xfId="24523"/>
    <cellStyle name="Note 2 2 2 5 4 2 3" xfId="24524"/>
    <cellStyle name="Note 2 2 2 5 4 2 4" xfId="24525"/>
    <cellStyle name="Note 2 2 2 5 4 3" xfId="24526"/>
    <cellStyle name="Note 2 2 2 5 4 3 2" xfId="24527"/>
    <cellStyle name="Note 2 2 2 5 4 3 3" xfId="24528"/>
    <cellStyle name="Note 2 2 2 5 4 3 4" xfId="24529"/>
    <cellStyle name="Note 2 2 2 5 4 4" xfId="24530"/>
    <cellStyle name="Note 2 2 2 5 4 4 2" xfId="24531"/>
    <cellStyle name="Note 2 2 2 5 4 4 3" xfId="24532"/>
    <cellStyle name="Note 2 2 2 5 4 4 4" xfId="24533"/>
    <cellStyle name="Note 2 2 2 5 4 5" xfId="24534"/>
    <cellStyle name="Note 2 2 2 5 4 6" xfId="24535"/>
    <cellStyle name="Note 2 2 2 5 4 7" xfId="24536"/>
    <cellStyle name="Note 2 2 2 5 4 8" xfId="24537"/>
    <cellStyle name="Note 2 2 2 5 5" xfId="24538"/>
    <cellStyle name="Note 2 2 2 5 5 2" xfId="24539"/>
    <cellStyle name="Note 2 2 2 5 5 2 2" xfId="24540"/>
    <cellStyle name="Note 2 2 2 5 5 2 3" xfId="24541"/>
    <cellStyle name="Note 2 2 2 5 5 2 4" xfId="24542"/>
    <cellStyle name="Note 2 2 2 5 5 3" xfId="24543"/>
    <cellStyle name="Note 2 2 2 5 5 3 2" xfId="24544"/>
    <cellStyle name="Note 2 2 2 5 5 3 3" xfId="24545"/>
    <cellStyle name="Note 2 2 2 5 5 3 4" xfId="24546"/>
    <cellStyle name="Note 2 2 2 5 5 4" xfId="24547"/>
    <cellStyle name="Note 2 2 2 5 5 4 2" xfId="24548"/>
    <cellStyle name="Note 2 2 2 5 5 4 3" xfId="24549"/>
    <cellStyle name="Note 2 2 2 5 5 4 4" xfId="24550"/>
    <cellStyle name="Note 2 2 2 5 5 5" xfId="24551"/>
    <cellStyle name="Note 2 2 2 5 5 6" xfId="24552"/>
    <cellStyle name="Note 2 2 2 5 5 7" xfId="24553"/>
    <cellStyle name="Note 2 2 2 5 5 8" xfId="24554"/>
    <cellStyle name="Note 2 2 2 5 6" xfId="24555"/>
    <cellStyle name="Note 2 2 2 5 6 2" xfId="24556"/>
    <cellStyle name="Note 2 2 2 5 6 3" xfId="24557"/>
    <cellStyle name="Note 2 2 2 5 6 4" xfId="24558"/>
    <cellStyle name="Note 2 2 2 5 7" xfId="24559"/>
    <cellStyle name="Note 2 2 2 5 7 2" xfId="24560"/>
    <cellStyle name="Note 2 2 2 5 7 3" xfId="24561"/>
    <cellStyle name="Note 2 2 2 5 7 4" xfId="24562"/>
    <cellStyle name="Note 2 2 2 5 8" xfId="24563"/>
    <cellStyle name="Note 2 2 2 5 9" xfId="24564"/>
    <cellStyle name="Note 2 2 2 6" xfId="24565"/>
    <cellStyle name="Note 2 2 2 6 2" xfId="24566"/>
    <cellStyle name="Note 2 2 2 6 2 2" xfId="24567"/>
    <cellStyle name="Note 2 2 2 6 2 3" xfId="24568"/>
    <cellStyle name="Note 2 2 2 6 2 4" xfId="24569"/>
    <cellStyle name="Note 2 2 2 6 3" xfId="24570"/>
    <cellStyle name="Note 2 2 2 6 3 2" xfId="24571"/>
    <cellStyle name="Note 2 2 2 6 3 3" xfId="24572"/>
    <cellStyle name="Note 2 2 2 6 3 4" xfId="24573"/>
    <cellStyle name="Note 2 2 2 6 4" xfId="24574"/>
    <cellStyle name="Note 2 2 2 6 4 2" xfId="24575"/>
    <cellStyle name="Note 2 2 2 6 4 3" xfId="24576"/>
    <cellStyle name="Note 2 2 2 6 4 4" xfId="24577"/>
    <cellStyle name="Note 2 2 2 6 5" xfId="24578"/>
    <cellStyle name="Note 2 2 2 6 6" xfId="24579"/>
    <cellStyle name="Note 2 2 2 6 7" xfId="24580"/>
    <cellStyle name="Note 2 2 2 6 8" xfId="24581"/>
    <cellStyle name="Note 2 2 2 7" xfId="24582"/>
    <cellStyle name="Note 2 2 2 7 2" xfId="24583"/>
    <cellStyle name="Note 2 2 2 7 2 2" xfId="24584"/>
    <cellStyle name="Note 2 2 2 7 2 3" xfId="24585"/>
    <cellStyle name="Note 2 2 2 7 2 4" xfId="24586"/>
    <cellStyle name="Note 2 2 2 7 3" xfId="24587"/>
    <cellStyle name="Note 2 2 2 7 3 2" xfId="24588"/>
    <cellStyle name="Note 2 2 2 7 3 3" xfId="24589"/>
    <cellStyle name="Note 2 2 2 7 3 4" xfId="24590"/>
    <cellStyle name="Note 2 2 2 7 4" xfId="24591"/>
    <cellStyle name="Note 2 2 2 7 4 2" xfId="24592"/>
    <cellStyle name="Note 2 2 2 7 4 3" xfId="24593"/>
    <cellStyle name="Note 2 2 2 7 4 4" xfId="24594"/>
    <cellStyle name="Note 2 2 2 7 5" xfId="24595"/>
    <cellStyle name="Note 2 2 2 7 6" xfId="24596"/>
    <cellStyle name="Note 2 2 2 7 7" xfId="24597"/>
    <cellStyle name="Note 2 2 2 7 8" xfId="24598"/>
    <cellStyle name="Note 2 2 2 8" xfId="24599"/>
    <cellStyle name="Note 2 2 2 8 2" xfId="24600"/>
    <cellStyle name="Note 2 2 2 8 2 2" xfId="24601"/>
    <cellStyle name="Note 2 2 2 8 2 3" xfId="24602"/>
    <cellStyle name="Note 2 2 2 8 2 4" xfId="24603"/>
    <cellStyle name="Note 2 2 2 8 3" xfId="24604"/>
    <cellStyle name="Note 2 2 2 8 3 2" xfId="24605"/>
    <cellStyle name="Note 2 2 2 8 3 3" xfId="24606"/>
    <cellStyle name="Note 2 2 2 8 3 4" xfId="24607"/>
    <cellStyle name="Note 2 2 2 8 4" xfId="24608"/>
    <cellStyle name="Note 2 2 2 8 4 2" xfId="24609"/>
    <cellStyle name="Note 2 2 2 8 4 3" xfId="24610"/>
    <cellStyle name="Note 2 2 2 8 4 4" xfId="24611"/>
    <cellStyle name="Note 2 2 2 8 5" xfId="24612"/>
    <cellStyle name="Note 2 2 2 8 6" xfId="24613"/>
    <cellStyle name="Note 2 2 2 8 7" xfId="24614"/>
    <cellStyle name="Note 2 2 2 8 8" xfId="24615"/>
    <cellStyle name="Note 2 2 2 9" xfId="24616"/>
    <cellStyle name="Note 2 2 2 9 2" xfId="24617"/>
    <cellStyle name="Note 2 2 2 9 2 2" xfId="24618"/>
    <cellStyle name="Note 2 2 2 9 2 3" xfId="24619"/>
    <cellStyle name="Note 2 2 2 9 2 4" xfId="24620"/>
    <cellStyle name="Note 2 2 2 9 3" xfId="24621"/>
    <cellStyle name="Note 2 2 2 9 3 2" xfId="24622"/>
    <cellStyle name="Note 2 2 2 9 3 3" xfId="24623"/>
    <cellStyle name="Note 2 2 2 9 3 4" xfId="24624"/>
    <cellStyle name="Note 2 2 2 9 4" xfId="24625"/>
    <cellStyle name="Note 2 2 2 9 4 2" xfId="24626"/>
    <cellStyle name="Note 2 2 2 9 4 3" xfId="24627"/>
    <cellStyle name="Note 2 2 2 9 4 4" xfId="24628"/>
    <cellStyle name="Note 2 2 2 9 5" xfId="24629"/>
    <cellStyle name="Note 2 2 2 9 6" xfId="24630"/>
    <cellStyle name="Note 2 2 2 9 7" xfId="24631"/>
    <cellStyle name="Note 2 2 2 9 8" xfId="24632"/>
    <cellStyle name="Note 2 2 3" xfId="24633"/>
    <cellStyle name="Note 2 2 3 10" xfId="24634"/>
    <cellStyle name="Note 2 2 3 10 2" xfId="24635"/>
    <cellStyle name="Note 2 2 3 10 3" xfId="24636"/>
    <cellStyle name="Note 2 2 3 10 4" xfId="24637"/>
    <cellStyle name="Note 2 2 3 11" xfId="24638"/>
    <cellStyle name="Note 2 2 3 11 2" xfId="24639"/>
    <cellStyle name="Note 2 2 3 11 3" xfId="24640"/>
    <cellStyle name="Note 2 2 3 11 4" xfId="24641"/>
    <cellStyle name="Note 2 2 3 12" xfId="24642"/>
    <cellStyle name="Note 2 2 3 13" xfId="24643"/>
    <cellStyle name="Note 2 2 3 2" xfId="24644"/>
    <cellStyle name="Note 2 2 3 2 10" xfId="24645"/>
    <cellStyle name="Note 2 2 3 2 10 2" xfId="24646"/>
    <cellStyle name="Note 2 2 3 2 10 3" xfId="24647"/>
    <cellStyle name="Note 2 2 3 2 10 4" xfId="24648"/>
    <cellStyle name="Note 2 2 3 2 11" xfId="24649"/>
    <cellStyle name="Note 2 2 3 2 12" xfId="24650"/>
    <cellStyle name="Note 2 2 3 2 2" xfId="24651"/>
    <cellStyle name="Note 2 2 3 2 2 10" xfId="24652"/>
    <cellStyle name="Note 2 2 3 2 2 11" xfId="24653"/>
    <cellStyle name="Note 2 2 3 2 2 2" xfId="24654"/>
    <cellStyle name="Note 2 2 3 2 2 2 2" xfId="24655"/>
    <cellStyle name="Note 2 2 3 2 2 2 2 2" xfId="24656"/>
    <cellStyle name="Note 2 2 3 2 2 2 2 2 2" xfId="24657"/>
    <cellStyle name="Note 2 2 3 2 2 2 2 2 3" xfId="24658"/>
    <cellStyle name="Note 2 2 3 2 2 2 2 2 4" xfId="24659"/>
    <cellStyle name="Note 2 2 3 2 2 2 2 3" xfId="24660"/>
    <cellStyle name="Note 2 2 3 2 2 2 2 3 2" xfId="24661"/>
    <cellStyle name="Note 2 2 3 2 2 2 2 3 3" xfId="24662"/>
    <cellStyle name="Note 2 2 3 2 2 2 2 3 4" xfId="24663"/>
    <cellStyle name="Note 2 2 3 2 2 2 2 4" xfId="24664"/>
    <cellStyle name="Note 2 2 3 2 2 2 2 4 2" xfId="24665"/>
    <cellStyle name="Note 2 2 3 2 2 2 2 4 3" xfId="24666"/>
    <cellStyle name="Note 2 2 3 2 2 2 2 4 4" xfId="24667"/>
    <cellStyle name="Note 2 2 3 2 2 2 2 5" xfId="24668"/>
    <cellStyle name="Note 2 2 3 2 2 2 2 6" xfId="24669"/>
    <cellStyle name="Note 2 2 3 2 2 2 2 7" xfId="24670"/>
    <cellStyle name="Note 2 2 3 2 2 2 2 8" xfId="24671"/>
    <cellStyle name="Note 2 2 3 2 2 2 3" xfId="24672"/>
    <cellStyle name="Note 2 2 3 2 2 2 3 2" xfId="24673"/>
    <cellStyle name="Note 2 2 3 2 2 2 3 2 2" xfId="24674"/>
    <cellStyle name="Note 2 2 3 2 2 2 3 2 3" xfId="24675"/>
    <cellStyle name="Note 2 2 3 2 2 2 3 2 4" xfId="24676"/>
    <cellStyle name="Note 2 2 3 2 2 2 3 3" xfId="24677"/>
    <cellStyle name="Note 2 2 3 2 2 2 3 3 2" xfId="24678"/>
    <cellStyle name="Note 2 2 3 2 2 2 3 3 3" xfId="24679"/>
    <cellStyle name="Note 2 2 3 2 2 2 3 3 4" xfId="24680"/>
    <cellStyle name="Note 2 2 3 2 2 2 3 4" xfId="24681"/>
    <cellStyle name="Note 2 2 3 2 2 2 3 4 2" xfId="24682"/>
    <cellStyle name="Note 2 2 3 2 2 2 3 4 3" xfId="24683"/>
    <cellStyle name="Note 2 2 3 2 2 2 3 4 4" xfId="24684"/>
    <cellStyle name="Note 2 2 3 2 2 2 3 5" xfId="24685"/>
    <cellStyle name="Note 2 2 3 2 2 2 3 6" xfId="24686"/>
    <cellStyle name="Note 2 2 3 2 2 2 3 7" xfId="24687"/>
    <cellStyle name="Note 2 2 3 2 2 2 3 8" xfId="24688"/>
    <cellStyle name="Note 2 2 3 2 2 2 4" xfId="24689"/>
    <cellStyle name="Note 2 2 3 2 2 2 4 2" xfId="24690"/>
    <cellStyle name="Note 2 2 3 2 2 2 4 2 2" xfId="24691"/>
    <cellStyle name="Note 2 2 3 2 2 2 4 2 3" xfId="24692"/>
    <cellStyle name="Note 2 2 3 2 2 2 4 2 4" xfId="24693"/>
    <cellStyle name="Note 2 2 3 2 2 2 4 3" xfId="24694"/>
    <cellStyle name="Note 2 2 3 2 2 2 4 3 2" xfId="24695"/>
    <cellStyle name="Note 2 2 3 2 2 2 4 3 3" xfId="24696"/>
    <cellStyle name="Note 2 2 3 2 2 2 4 3 4" xfId="24697"/>
    <cellStyle name="Note 2 2 3 2 2 2 4 4" xfId="24698"/>
    <cellStyle name="Note 2 2 3 2 2 2 4 4 2" xfId="24699"/>
    <cellStyle name="Note 2 2 3 2 2 2 4 4 3" xfId="24700"/>
    <cellStyle name="Note 2 2 3 2 2 2 4 4 4" xfId="24701"/>
    <cellStyle name="Note 2 2 3 2 2 2 4 5" xfId="24702"/>
    <cellStyle name="Note 2 2 3 2 2 2 4 6" xfId="24703"/>
    <cellStyle name="Note 2 2 3 2 2 2 4 7" xfId="24704"/>
    <cellStyle name="Note 2 2 3 2 2 2 4 8" xfId="24705"/>
    <cellStyle name="Note 2 2 3 2 2 2 5" xfId="24706"/>
    <cellStyle name="Note 2 2 3 2 2 2 5 2" xfId="24707"/>
    <cellStyle name="Note 2 2 3 2 2 2 5 2 2" xfId="24708"/>
    <cellStyle name="Note 2 2 3 2 2 2 5 2 3" xfId="24709"/>
    <cellStyle name="Note 2 2 3 2 2 2 5 2 4" xfId="24710"/>
    <cellStyle name="Note 2 2 3 2 2 2 5 3" xfId="24711"/>
    <cellStyle name="Note 2 2 3 2 2 2 5 3 2" xfId="24712"/>
    <cellStyle name="Note 2 2 3 2 2 2 5 3 3" xfId="24713"/>
    <cellStyle name="Note 2 2 3 2 2 2 5 3 4" xfId="24714"/>
    <cellStyle name="Note 2 2 3 2 2 2 5 4" xfId="24715"/>
    <cellStyle name="Note 2 2 3 2 2 2 5 4 2" xfId="24716"/>
    <cellStyle name="Note 2 2 3 2 2 2 5 4 3" xfId="24717"/>
    <cellStyle name="Note 2 2 3 2 2 2 5 4 4" xfId="24718"/>
    <cellStyle name="Note 2 2 3 2 2 2 5 5" xfId="24719"/>
    <cellStyle name="Note 2 2 3 2 2 2 5 6" xfId="24720"/>
    <cellStyle name="Note 2 2 3 2 2 2 5 7" xfId="24721"/>
    <cellStyle name="Note 2 2 3 2 2 2 5 8" xfId="24722"/>
    <cellStyle name="Note 2 2 3 2 2 2 6" xfId="24723"/>
    <cellStyle name="Note 2 2 3 2 2 2 6 2" xfId="24724"/>
    <cellStyle name="Note 2 2 3 2 2 2 6 3" xfId="24725"/>
    <cellStyle name="Note 2 2 3 2 2 2 6 4" xfId="24726"/>
    <cellStyle name="Note 2 2 3 2 2 2 7" xfId="24727"/>
    <cellStyle name="Note 2 2 3 2 2 2 7 2" xfId="24728"/>
    <cellStyle name="Note 2 2 3 2 2 2 7 3" xfId="24729"/>
    <cellStyle name="Note 2 2 3 2 2 2 7 4" xfId="24730"/>
    <cellStyle name="Note 2 2 3 2 2 2 8" xfId="24731"/>
    <cellStyle name="Note 2 2 3 2 2 2 9" xfId="24732"/>
    <cellStyle name="Note 2 2 3 2 2 3" xfId="24733"/>
    <cellStyle name="Note 2 2 3 2 2 3 2" xfId="24734"/>
    <cellStyle name="Note 2 2 3 2 2 3 2 2" xfId="24735"/>
    <cellStyle name="Note 2 2 3 2 2 3 2 3" xfId="24736"/>
    <cellStyle name="Note 2 2 3 2 2 3 2 4" xfId="24737"/>
    <cellStyle name="Note 2 2 3 2 2 3 3" xfId="24738"/>
    <cellStyle name="Note 2 2 3 2 2 3 3 2" xfId="24739"/>
    <cellStyle name="Note 2 2 3 2 2 3 3 3" xfId="24740"/>
    <cellStyle name="Note 2 2 3 2 2 3 3 4" xfId="24741"/>
    <cellStyle name="Note 2 2 3 2 2 3 4" xfId="24742"/>
    <cellStyle name="Note 2 2 3 2 2 3 4 2" xfId="24743"/>
    <cellStyle name="Note 2 2 3 2 2 3 4 3" xfId="24744"/>
    <cellStyle name="Note 2 2 3 2 2 3 4 4" xfId="24745"/>
    <cellStyle name="Note 2 2 3 2 2 3 5" xfId="24746"/>
    <cellStyle name="Note 2 2 3 2 2 3 6" xfId="24747"/>
    <cellStyle name="Note 2 2 3 2 2 3 7" xfId="24748"/>
    <cellStyle name="Note 2 2 3 2 2 3 8" xfId="24749"/>
    <cellStyle name="Note 2 2 3 2 2 4" xfId="24750"/>
    <cellStyle name="Note 2 2 3 2 2 4 2" xfId="24751"/>
    <cellStyle name="Note 2 2 3 2 2 4 2 2" xfId="24752"/>
    <cellStyle name="Note 2 2 3 2 2 4 2 3" xfId="24753"/>
    <cellStyle name="Note 2 2 3 2 2 4 2 4" xfId="24754"/>
    <cellStyle name="Note 2 2 3 2 2 4 3" xfId="24755"/>
    <cellStyle name="Note 2 2 3 2 2 4 3 2" xfId="24756"/>
    <cellStyle name="Note 2 2 3 2 2 4 3 3" xfId="24757"/>
    <cellStyle name="Note 2 2 3 2 2 4 3 4" xfId="24758"/>
    <cellStyle name="Note 2 2 3 2 2 4 4" xfId="24759"/>
    <cellStyle name="Note 2 2 3 2 2 4 4 2" xfId="24760"/>
    <cellStyle name="Note 2 2 3 2 2 4 4 3" xfId="24761"/>
    <cellStyle name="Note 2 2 3 2 2 4 4 4" xfId="24762"/>
    <cellStyle name="Note 2 2 3 2 2 4 5" xfId="24763"/>
    <cellStyle name="Note 2 2 3 2 2 4 6" xfId="24764"/>
    <cellStyle name="Note 2 2 3 2 2 4 7" xfId="24765"/>
    <cellStyle name="Note 2 2 3 2 2 4 8" xfId="24766"/>
    <cellStyle name="Note 2 2 3 2 2 5" xfId="24767"/>
    <cellStyle name="Note 2 2 3 2 2 5 2" xfId="24768"/>
    <cellStyle name="Note 2 2 3 2 2 5 2 2" xfId="24769"/>
    <cellStyle name="Note 2 2 3 2 2 5 2 3" xfId="24770"/>
    <cellStyle name="Note 2 2 3 2 2 5 2 4" xfId="24771"/>
    <cellStyle name="Note 2 2 3 2 2 5 3" xfId="24772"/>
    <cellStyle name="Note 2 2 3 2 2 5 3 2" xfId="24773"/>
    <cellStyle name="Note 2 2 3 2 2 5 3 3" xfId="24774"/>
    <cellStyle name="Note 2 2 3 2 2 5 3 4" xfId="24775"/>
    <cellStyle name="Note 2 2 3 2 2 5 4" xfId="24776"/>
    <cellStyle name="Note 2 2 3 2 2 5 4 2" xfId="24777"/>
    <cellStyle name="Note 2 2 3 2 2 5 4 3" xfId="24778"/>
    <cellStyle name="Note 2 2 3 2 2 5 4 4" xfId="24779"/>
    <cellStyle name="Note 2 2 3 2 2 5 5" xfId="24780"/>
    <cellStyle name="Note 2 2 3 2 2 5 6" xfId="24781"/>
    <cellStyle name="Note 2 2 3 2 2 5 7" xfId="24782"/>
    <cellStyle name="Note 2 2 3 2 2 5 8" xfId="24783"/>
    <cellStyle name="Note 2 2 3 2 2 6" xfId="24784"/>
    <cellStyle name="Note 2 2 3 2 2 6 2" xfId="24785"/>
    <cellStyle name="Note 2 2 3 2 2 6 2 2" xfId="24786"/>
    <cellStyle name="Note 2 2 3 2 2 6 2 3" xfId="24787"/>
    <cellStyle name="Note 2 2 3 2 2 6 2 4" xfId="24788"/>
    <cellStyle name="Note 2 2 3 2 2 6 3" xfId="24789"/>
    <cellStyle name="Note 2 2 3 2 2 6 3 2" xfId="24790"/>
    <cellStyle name="Note 2 2 3 2 2 6 3 3" xfId="24791"/>
    <cellStyle name="Note 2 2 3 2 2 6 3 4" xfId="24792"/>
    <cellStyle name="Note 2 2 3 2 2 6 4" xfId="24793"/>
    <cellStyle name="Note 2 2 3 2 2 6 4 2" xfId="24794"/>
    <cellStyle name="Note 2 2 3 2 2 6 4 3" xfId="24795"/>
    <cellStyle name="Note 2 2 3 2 2 6 4 4" xfId="24796"/>
    <cellStyle name="Note 2 2 3 2 2 6 5" xfId="24797"/>
    <cellStyle name="Note 2 2 3 2 2 6 6" xfId="24798"/>
    <cellStyle name="Note 2 2 3 2 2 6 7" xfId="24799"/>
    <cellStyle name="Note 2 2 3 2 2 6 8" xfId="24800"/>
    <cellStyle name="Note 2 2 3 2 2 7" xfId="24801"/>
    <cellStyle name="Note 2 2 3 2 2 7 2" xfId="24802"/>
    <cellStyle name="Note 2 2 3 2 2 7 2 2" xfId="24803"/>
    <cellStyle name="Note 2 2 3 2 2 7 2 3" xfId="24804"/>
    <cellStyle name="Note 2 2 3 2 2 7 2 4" xfId="24805"/>
    <cellStyle name="Note 2 2 3 2 2 7 3" xfId="24806"/>
    <cellStyle name="Note 2 2 3 2 2 7 3 2" xfId="24807"/>
    <cellStyle name="Note 2 2 3 2 2 7 3 3" xfId="24808"/>
    <cellStyle name="Note 2 2 3 2 2 7 3 4" xfId="24809"/>
    <cellStyle name="Note 2 2 3 2 2 7 4" xfId="24810"/>
    <cellStyle name="Note 2 2 3 2 2 7 4 2" xfId="24811"/>
    <cellStyle name="Note 2 2 3 2 2 7 4 3" xfId="24812"/>
    <cellStyle name="Note 2 2 3 2 2 7 4 4" xfId="24813"/>
    <cellStyle name="Note 2 2 3 2 2 7 5" xfId="24814"/>
    <cellStyle name="Note 2 2 3 2 2 7 6" xfId="24815"/>
    <cellStyle name="Note 2 2 3 2 2 7 7" xfId="24816"/>
    <cellStyle name="Note 2 2 3 2 2 7 8" xfId="24817"/>
    <cellStyle name="Note 2 2 3 2 2 8" xfId="24818"/>
    <cellStyle name="Note 2 2 3 2 2 8 2" xfId="24819"/>
    <cellStyle name="Note 2 2 3 2 2 8 3" xfId="24820"/>
    <cellStyle name="Note 2 2 3 2 2 8 4" xfId="24821"/>
    <cellStyle name="Note 2 2 3 2 2 9" xfId="24822"/>
    <cellStyle name="Note 2 2 3 2 2 9 2" xfId="24823"/>
    <cellStyle name="Note 2 2 3 2 2 9 3" xfId="24824"/>
    <cellStyle name="Note 2 2 3 2 2 9 4" xfId="24825"/>
    <cellStyle name="Note 2 2 3 2 3" xfId="24826"/>
    <cellStyle name="Note 2 2 3 2 3 2" xfId="24827"/>
    <cellStyle name="Note 2 2 3 2 3 2 2" xfId="24828"/>
    <cellStyle name="Note 2 2 3 2 3 2 2 2" xfId="24829"/>
    <cellStyle name="Note 2 2 3 2 3 2 2 3" xfId="24830"/>
    <cellStyle name="Note 2 2 3 2 3 2 2 4" xfId="24831"/>
    <cellStyle name="Note 2 2 3 2 3 2 3" xfId="24832"/>
    <cellStyle name="Note 2 2 3 2 3 2 3 2" xfId="24833"/>
    <cellStyle name="Note 2 2 3 2 3 2 3 3" xfId="24834"/>
    <cellStyle name="Note 2 2 3 2 3 2 3 4" xfId="24835"/>
    <cellStyle name="Note 2 2 3 2 3 2 4" xfId="24836"/>
    <cellStyle name="Note 2 2 3 2 3 2 4 2" xfId="24837"/>
    <cellStyle name="Note 2 2 3 2 3 2 4 3" xfId="24838"/>
    <cellStyle name="Note 2 2 3 2 3 2 4 4" xfId="24839"/>
    <cellStyle name="Note 2 2 3 2 3 2 5" xfId="24840"/>
    <cellStyle name="Note 2 2 3 2 3 2 6" xfId="24841"/>
    <cellStyle name="Note 2 2 3 2 3 2 7" xfId="24842"/>
    <cellStyle name="Note 2 2 3 2 3 2 8" xfId="24843"/>
    <cellStyle name="Note 2 2 3 2 3 3" xfId="24844"/>
    <cellStyle name="Note 2 2 3 2 3 3 2" xfId="24845"/>
    <cellStyle name="Note 2 2 3 2 3 3 2 2" xfId="24846"/>
    <cellStyle name="Note 2 2 3 2 3 3 2 3" xfId="24847"/>
    <cellStyle name="Note 2 2 3 2 3 3 2 4" xfId="24848"/>
    <cellStyle name="Note 2 2 3 2 3 3 3" xfId="24849"/>
    <cellStyle name="Note 2 2 3 2 3 3 3 2" xfId="24850"/>
    <cellStyle name="Note 2 2 3 2 3 3 3 3" xfId="24851"/>
    <cellStyle name="Note 2 2 3 2 3 3 3 4" xfId="24852"/>
    <cellStyle name="Note 2 2 3 2 3 3 4" xfId="24853"/>
    <cellStyle name="Note 2 2 3 2 3 3 4 2" xfId="24854"/>
    <cellStyle name="Note 2 2 3 2 3 3 4 3" xfId="24855"/>
    <cellStyle name="Note 2 2 3 2 3 3 4 4" xfId="24856"/>
    <cellStyle name="Note 2 2 3 2 3 3 5" xfId="24857"/>
    <cellStyle name="Note 2 2 3 2 3 3 6" xfId="24858"/>
    <cellStyle name="Note 2 2 3 2 3 3 7" xfId="24859"/>
    <cellStyle name="Note 2 2 3 2 3 3 8" xfId="24860"/>
    <cellStyle name="Note 2 2 3 2 3 4" xfId="24861"/>
    <cellStyle name="Note 2 2 3 2 3 4 2" xfId="24862"/>
    <cellStyle name="Note 2 2 3 2 3 4 2 2" xfId="24863"/>
    <cellStyle name="Note 2 2 3 2 3 4 2 3" xfId="24864"/>
    <cellStyle name="Note 2 2 3 2 3 4 2 4" xfId="24865"/>
    <cellStyle name="Note 2 2 3 2 3 4 3" xfId="24866"/>
    <cellStyle name="Note 2 2 3 2 3 4 3 2" xfId="24867"/>
    <cellStyle name="Note 2 2 3 2 3 4 3 3" xfId="24868"/>
    <cellStyle name="Note 2 2 3 2 3 4 3 4" xfId="24869"/>
    <cellStyle name="Note 2 2 3 2 3 4 4" xfId="24870"/>
    <cellStyle name="Note 2 2 3 2 3 4 4 2" xfId="24871"/>
    <cellStyle name="Note 2 2 3 2 3 4 4 3" xfId="24872"/>
    <cellStyle name="Note 2 2 3 2 3 4 4 4" xfId="24873"/>
    <cellStyle name="Note 2 2 3 2 3 4 5" xfId="24874"/>
    <cellStyle name="Note 2 2 3 2 3 4 6" xfId="24875"/>
    <cellStyle name="Note 2 2 3 2 3 4 7" xfId="24876"/>
    <cellStyle name="Note 2 2 3 2 3 4 8" xfId="24877"/>
    <cellStyle name="Note 2 2 3 2 3 5" xfId="24878"/>
    <cellStyle name="Note 2 2 3 2 3 5 2" xfId="24879"/>
    <cellStyle name="Note 2 2 3 2 3 5 2 2" xfId="24880"/>
    <cellStyle name="Note 2 2 3 2 3 5 2 3" xfId="24881"/>
    <cellStyle name="Note 2 2 3 2 3 5 2 4" xfId="24882"/>
    <cellStyle name="Note 2 2 3 2 3 5 3" xfId="24883"/>
    <cellStyle name="Note 2 2 3 2 3 5 3 2" xfId="24884"/>
    <cellStyle name="Note 2 2 3 2 3 5 3 3" xfId="24885"/>
    <cellStyle name="Note 2 2 3 2 3 5 3 4" xfId="24886"/>
    <cellStyle name="Note 2 2 3 2 3 5 4" xfId="24887"/>
    <cellStyle name="Note 2 2 3 2 3 5 4 2" xfId="24888"/>
    <cellStyle name="Note 2 2 3 2 3 5 4 3" xfId="24889"/>
    <cellStyle name="Note 2 2 3 2 3 5 4 4" xfId="24890"/>
    <cellStyle name="Note 2 2 3 2 3 5 5" xfId="24891"/>
    <cellStyle name="Note 2 2 3 2 3 5 6" xfId="24892"/>
    <cellStyle name="Note 2 2 3 2 3 5 7" xfId="24893"/>
    <cellStyle name="Note 2 2 3 2 3 5 8" xfId="24894"/>
    <cellStyle name="Note 2 2 3 2 3 6" xfId="24895"/>
    <cellStyle name="Note 2 2 3 2 3 6 2" xfId="24896"/>
    <cellStyle name="Note 2 2 3 2 3 6 3" xfId="24897"/>
    <cellStyle name="Note 2 2 3 2 3 6 4" xfId="24898"/>
    <cellStyle name="Note 2 2 3 2 3 7" xfId="24899"/>
    <cellStyle name="Note 2 2 3 2 3 7 2" xfId="24900"/>
    <cellStyle name="Note 2 2 3 2 3 7 3" xfId="24901"/>
    <cellStyle name="Note 2 2 3 2 3 7 4" xfId="24902"/>
    <cellStyle name="Note 2 2 3 2 3 8" xfId="24903"/>
    <cellStyle name="Note 2 2 3 2 3 9" xfId="24904"/>
    <cellStyle name="Note 2 2 3 2 4" xfId="24905"/>
    <cellStyle name="Note 2 2 3 2 4 2" xfId="24906"/>
    <cellStyle name="Note 2 2 3 2 4 2 2" xfId="24907"/>
    <cellStyle name="Note 2 2 3 2 4 2 3" xfId="24908"/>
    <cellStyle name="Note 2 2 3 2 4 2 4" xfId="24909"/>
    <cellStyle name="Note 2 2 3 2 4 3" xfId="24910"/>
    <cellStyle name="Note 2 2 3 2 4 3 2" xfId="24911"/>
    <cellStyle name="Note 2 2 3 2 4 3 3" xfId="24912"/>
    <cellStyle name="Note 2 2 3 2 4 3 4" xfId="24913"/>
    <cellStyle name="Note 2 2 3 2 4 4" xfId="24914"/>
    <cellStyle name="Note 2 2 3 2 4 4 2" xfId="24915"/>
    <cellStyle name="Note 2 2 3 2 4 4 3" xfId="24916"/>
    <cellStyle name="Note 2 2 3 2 4 4 4" xfId="24917"/>
    <cellStyle name="Note 2 2 3 2 4 5" xfId="24918"/>
    <cellStyle name="Note 2 2 3 2 4 6" xfId="24919"/>
    <cellStyle name="Note 2 2 3 2 4 7" xfId="24920"/>
    <cellStyle name="Note 2 2 3 2 4 8" xfId="24921"/>
    <cellStyle name="Note 2 2 3 2 5" xfId="24922"/>
    <cellStyle name="Note 2 2 3 2 5 2" xfId="24923"/>
    <cellStyle name="Note 2 2 3 2 5 2 2" xfId="24924"/>
    <cellStyle name="Note 2 2 3 2 5 2 3" xfId="24925"/>
    <cellStyle name="Note 2 2 3 2 5 2 4" xfId="24926"/>
    <cellStyle name="Note 2 2 3 2 5 3" xfId="24927"/>
    <cellStyle name="Note 2 2 3 2 5 3 2" xfId="24928"/>
    <cellStyle name="Note 2 2 3 2 5 3 3" xfId="24929"/>
    <cellStyle name="Note 2 2 3 2 5 3 4" xfId="24930"/>
    <cellStyle name="Note 2 2 3 2 5 4" xfId="24931"/>
    <cellStyle name="Note 2 2 3 2 5 4 2" xfId="24932"/>
    <cellStyle name="Note 2 2 3 2 5 4 3" xfId="24933"/>
    <cellStyle name="Note 2 2 3 2 5 4 4" xfId="24934"/>
    <cellStyle name="Note 2 2 3 2 5 5" xfId="24935"/>
    <cellStyle name="Note 2 2 3 2 5 6" xfId="24936"/>
    <cellStyle name="Note 2 2 3 2 5 7" xfId="24937"/>
    <cellStyle name="Note 2 2 3 2 5 8" xfId="24938"/>
    <cellStyle name="Note 2 2 3 2 6" xfId="24939"/>
    <cellStyle name="Note 2 2 3 2 6 2" xfId="24940"/>
    <cellStyle name="Note 2 2 3 2 6 2 2" xfId="24941"/>
    <cellStyle name="Note 2 2 3 2 6 2 3" xfId="24942"/>
    <cellStyle name="Note 2 2 3 2 6 2 4" xfId="24943"/>
    <cellStyle name="Note 2 2 3 2 6 3" xfId="24944"/>
    <cellStyle name="Note 2 2 3 2 6 3 2" xfId="24945"/>
    <cellStyle name="Note 2 2 3 2 6 3 3" xfId="24946"/>
    <cellStyle name="Note 2 2 3 2 6 3 4" xfId="24947"/>
    <cellStyle name="Note 2 2 3 2 6 4" xfId="24948"/>
    <cellStyle name="Note 2 2 3 2 6 4 2" xfId="24949"/>
    <cellStyle name="Note 2 2 3 2 6 4 3" xfId="24950"/>
    <cellStyle name="Note 2 2 3 2 6 4 4" xfId="24951"/>
    <cellStyle name="Note 2 2 3 2 6 5" xfId="24952"/>
    <cellStyle name="Note 2 2 3 2 6 6" xfId="24953"/>
    <cellStyle name="Note 2 2 3 2 6 7" xfId="24954"/>
    <cellStyle name="Note 2 2 3 2 6 8" xfId="24955"/>
    <cellStyle name="Note 2 2 3 2 7" xfId="24956"/>
    <cellStyle name="Note 2 2 3 2 7 2" xfId="24957"/>
    <cellStyle name="Note 2 2 3 2 7 2 2" xfId="24958"/>
    <cellStyle name="Note 2 2 3 2 7 2 3" xfId="24959"/>
    <cellStyle name="Note 2 2 3 2 7 2 4" xfId="24960"/>
    <cellStyle name="Note 2 2 3 2 7 3" xfId="24961"/>
    <cellStyle name="Note 2 2 3 2 7 3 2" xfId="24962"/>
    <cellStyle name="Note 2 2 3 2 7 3 3" xfId="24963"/>
    <cellStyle name="Note 2 2 3 2 7 3 4" xfId="24964"/>
    <cellStyle name="Note 2 2 3 2 7 4" xfId="24965"/>
    <cellStyle name="Note 2 2 3 2 7 4 2" xfId="24966"/>
    <cellStyle name="Note 2 2 3 2 7 4 3" xfId="24967"/>
    <cellStyle name="Note 2 2 3 2 7 4 4" xfId="24968"/>
    <cellStyle name="Note 2 2 3 2 7 5" xfId="24969"/>
    <cellStyle name="Note 2 2 3 2 7 6" xfId="24970"/>
    <cellStyle name="Note 2 2 3 2 7 7" xfId="24971"/>
    <cellStyle name="Note 2 2 3 2 7 8" xfId="24972"/>
    <cellStyle name="Note 2 2 3 2 8" xfId="24973"/>
    <cellStyle name="Note 2 2 3 2 8 2" xfId="24974"/>
    <cellStyle name="Note 2 2 3 2 8 2 2" xfId="24975"/>
    <cellStyle name="Note 2 2 3 2 8 2 3" xfId="24976"/>
    <cellStyle name="Note 2 2 3 2 8 2 4" xfId="24977"/>
    <cellStyle name="Note 2 2 3 2 8 3" xfId="24978"/>
    <cellStyle name="Note 2 2 3 2 8 3 2" xfId="24979"/>
    <cellStyle name="Note 2 2 3 2 8 3 3" xfId="24980"/>
    <cellStyle name="Note 2 2 3 2 8 3 4" xfId="24981"/>
    <cellStyle name="Note 2 2 3 2 8 4" xfId="24982"/>
    <cellStyle name="Note 2 2 3 2 8 4 2" xfId="24983"/>
    <cellStyle name="Note 2 2 3 2 8 4 3" xfId="24984"/>
    <cellStyle name="Note 2 2 3 2 8 4 4" xfId="24985"/>
    <cellStyle name="Note 2 2 3 2 8 5" xfId="24986"/>
    <cellStyle name="Note 2 2 3 2 8 6" xfId="24987"/>
    <cellStyle name="Note 2 2 3 2 8 7" xfId="24988"/>
    <cellStyle name="Note 2 2 3 2 8 8" xfId="24989"/>
    <cellStyle name="Note 2 2 3 2 9" xfId="24990"/>
    <cellStyle name="Note 2 2 3 2 9 2" xfId="24991"/>
    <cellStyle name="Note 2 2 3 2 9 3" xfId="24992"/>
    <cellStyle name="Note 2 2 3 2 9 4" xfId="24993"/>
    <cellStyle name="Note 2 2 3 3" xfId="24994"/>
    <cellStyle name="Note 2 2 3 3 10" xfId="24995"/>
    <cellStyle name="Note 2 2 3 3 11" xfId="24996"/>
    <cellStyle name="Note 2 2 3 3 2" xfId="24997"/>
    <cellStyle name="Note 2 2 3 3 2 2" xfId="24998"/>
    <cellStyle name="Note 2 2 3 3 2 2 2" xfId="24999"/>
    <cellStyle name="Note 2 2 3 3 2 2 2 2" xfId="25000"/>
    <cellStyle name="Note 2 2 3 3 2 2 2 3" xfId="25001"/>
    <cellStyle name="Note 2 2 3 3 2 2 2 4" xfId="25002"/>
    <cellStyle name="Note 2 2 3 3 2 2 3" xfId="25003"/>
    <cellStyle name="Note 2 2 3 3 2 2 3 2" xfId="25004"/>
    <cellStyle name="Note 2 2 3 3 2 2 3 3" xfId="25005"/>
    <cellStyle name="Note 2 2 3 3 2 2 3 4" xfId="25006"/>
    <cellStyle name="Note 2 2 3 3 2 2 4" xfId="25007"/>
    <cellStyle name="Note 2 2 3 3 2 2 4 2" xfId="25008"/>
    <cellStyle name="Note 2 2 3 3 2 2 4 3" xfId="25009"/>
    <cellStyle name="Note 2 2 3 3 2 2 4 4" xfId="25010"/>
    <cellStyle name="Note 2 2 3 3 2 2 5" xfId="25011"/>
    <cellStyle name="Note 2 2 3 3 2 2 6" xfId="25012"/>
    <cellStyle name="Note 2 2 3 3 2 2 7" xfId="25013"/>
    <cellStyle name="Note 2 2 3 3 2 2 8" xfId="25014"/>
    <cellStyle name="Note 2 2 3 3 2 3" xfId="25015"/>
    <cellStyle name="Note 2 2 3 3 2 3 2" xfId="25016"/>
    <cellStyle name="Note 2 2 3 3 2 3 2 2" xfId="25017"/>
    <cellStyle name="Note 2 2 3 3 2 3 2 3" xfId="25018"/>
    <cellStyle name="Note 2 2 3 3 2 3 2 4" xfId="25019"/>
    <cellStyle name="Note 2 2 3 3 2 3 3" xfId="25020"/>
    <cellStyle name="Note 2 2 3 3 2 3 3 2" xfId="25021"/>
    <cellStyle name="Note 2 2 3 3 2 3 3 3" xfId="25022"/>
    <cellStyle name="Note 2 2 3 3 2 3 3 4" xfId="25023"/>
    <cellStyle name="Note 2 2 3 3 2 3 4" xfId="25024"/>
    <cellStyle name="Note 2 2 3 3 2 3 4 2" xfId="25025"/>
    <cellStyle name="Note 2 2 3 3 2 3 4 3" xfId="25026"/>
    <cellStyle name="Note 2 2 3 3 2 3 4 4" xfId="25027"/>
    <cellStyle name="Note 2 2 3 3 2 3 5" xfId="25028"/>
    <cellStyle name="Note 2 2 3 3 2 3 6" xfId="25029"/>
    <cellStyle name="Note 2 2 3 3 2 3 7" xfId="25030"/>
    <cellStyle name="Note 2 2 3 3 2 3 8" xfId="25031"/>
    <cellStyle name="Note 2 2 3 3 2 4" xfId="25032"/>
    <cellStyle name="Note 2 2 3 3 2 4 2" xfId="25033"/>
    <cellStyle name="Note 2 2 3 3 2 4 2 2" xfId="25034"/>
    <cellStyle name="Note 2 2 3 3 2 4 2 3" xfId="25035"/>
    <cellStyle name="Note 2 2 3 3 2 4 2 4" xfId="25036"/>
    <cellStyle name="Note 2 2 3 3 2 4 3" xfId="25037"/>
    <cellStyle name="Note 2 2 3 3 2 4 3 2" xfId="25038"/>
    <cellStyle name="Note 2 2 3 3 2 4 3 3" xfId="25039"/>
    <cellStyle name="Note 2 2 3 3 2 4 3 4" xfId="25040"/>
    <cellStyle name="Note 2 2 3 3 2 4 4" xfId="25041"/>
    <cellStyle name="Note 2 2 3 3 2 4 4 2" xfId="25042"/>
    <cellStyle name="Note 2 2 3 3 2 4 4 3" xfId="25043"/>
    <cellStyle name="Note 2 2 3 3 2 4 4 4" xfId="25044"/>
    <cellStyle name="Note 2 2 3 3 2 4 5" xfId="25045"/>
    <cellStyle name="Note 2 2 3 3 2 4 6" xfId="25046"/>
    <cellStyle name="Note 2 2 3 3 2 4 7" xfId="25047"/>
    <cellStyle name="Note 2 2 3 3 2 4 8" xfId="25048"/>
    <cellStyle name="Note 2 2 3 3 2 5" xfId="25049"/>
    <cellStyle name="Note 2 2 3 3 2 5 2" xfId="25050"/>
    <cellStyle name="Note 2 2 3 3 2 5 2 2" xfId="25051"/>
    <cellStyle name="Note 2 2 3 3 2 5 2 3" xfId="25052"/>
    <cellStyle name="Note 2 2 3 3 2 5 2 4" xfId="25053"/>
    <cellStyle name="Note 2 2 3 3 2 5 3" xfId="25054"/>
    <cellStyle name="Note 2 2 3 3 2 5 3 2" xfId="25055"/>
    <cellStyle name="Note 2 2 3 3 2 5 3 3" xfId="25056"/>
    <cellStyle name="Note 2 2 3 3 2 5 3 4" xfId="25057"/>
    <cellStyle name="Note 2 2 3 3 2 5 4" xfId="25058"/>
    <cellStyle name="Note 2 2 3 3 2 5 4 2" xfId="25059"/>
    <cellStyle name="Note 2 2 3 3 2 5 4 3" xfId="25060"/>
    <cellStyle name="Note 2 2 3 3 2 5 4 4" xfId="25061"/>
    <cellStyle name="Note 2 2 3 3 2 5 5" xfId="25062"/>
    <cellStyle name="Note 2 2 3 3 2 5 6" xfId="25063"/>
    <cellStyle name="Note 2 2 3 3 2 5 7" xfId="25064"/>
    <cellStyle name="Note 2 2 3 3 2 5 8" xfId="25065"/>
    <cellStyle name="Note 2 2 3 3 2 6" xfId="25066"/>
    <cellStyle name="Note 2 2 3 3 2 6 2" xfId="25067"/>
    <cellStyle name="Note 2 2 3 3 2 6 3" xfId="25068"/>
    <cellStyle name="Note 2 2 3 3 2 6 4" xfId="25069"/>
    <cellStyle name="Note 2 2 3 3 2 7" xfId="25070"/>
    <cellStyle name="Note 2 2 3 3 2 7 2" xfId="25071"/>
    <cellStyle name="Note 2 2 3 3 2 7 3" xfId="25072"/>
    <cellStyle name="Note 2 2 3 3 2 7 4" xfId="25073"/>
    <cellStyle name="Note 2 2 3 3 2 8" xfId="25074"/>
    <cellStyle name="Note 2 2 3 3 2 9" xfId="25075"/>
    <cellStyle name="Note 2 2 3 3 3" xfId="25076"/>
    <cellStyle name="Note 2 2 3 3 3 2" xfId="25077"/>
    <cellStyle name="Note 2 2 3 3 3 2 2" xfId="25078"/>
    <cellStyle name="Note 2 2 3 3 3 2 3" xfId="25079"/>
    <cellStyle name="Note 2 2 3 3 3 2 4" xfId="25080"/>
    <cellStyle name="Note 2 2 3 3 3 3" xfId="25081"/>
    <cellStyle name="Note 2 2 3 3 3 3 2" xfId="25082"/>
    <cellStyle name="Note 2 2 3 3 3 3 3" xfId="25083"/>
    <cellStyle name="Note 2 2 3 3 3 3 4" xfId="25084"/>
    <cellStyle name="Note 2 2 3 3 3 4" xfId="25085"/>
    <cellStyle name="Note 2 2 3 3 3 4 2" xfId="25086"/>
    <cellStyle name="Note 2 2 3 3 3 4 3" xfId="25087"/>
    <cellStyle name="Note 2 2 3 3 3 4 4" xfId="25088"/>
    <cellStyle name="Note 2 2 3 3 3 5" xfId="25089"/>
    <cellStyle name="Note 2 2 3 3 3 6" xfId="25090"/>
    <cellStyle name="Note 2 2 3 3 3 7" xfId="25091"/>
    <cellStyle name="Note 2 2 3 3 3 8" xfId="25092"/>
    <cellStyle name="Note 2 2 3 3 4" xfId="25093"/>
    <cellStyle name="Note 2 2 3 3 4 2" xfId="25094"/>
    <cellStyle name="Note 2 2 3 3 4 2 2" xfId="25095"/>
    <cellStyle name="Note 2 2 3 3 4 2 3" xfId="25096"/>
    <cellStyle name="Note 2 2 3 3 4 2 4" xfId="25097"/>
    <cellStyle name="Note 2 2 3 3 4 3" xfId="25098"/>
    <cellStyle name="Note 2 2 3 3 4 3 2" xfId="25099"/>
    <cellStyle name="Note 2 2 3 3 4 3 3" xfId="25100"/>
    <cellStyle name="Note 2 2 3 3 4 3 4" xfId="25101"/>
    <cellStyle name="Note 2 2 3 3 4 4" xfId="25102"/>
    <cellStyle name="Note 2 2 3 3 4 4 2" xfId="25103"/>
    <cellStyle name="Note 2 2 3 3 4 4 3" xfId="25104"/>
    <cellStyle name="Note 2 2 3 3 4 4 4" xfId="25105"/>
    <cellStyle name="Note 2 2 3 3 4 5" xfId="25106"/>
    <cellStyle name="Note 2 2 3 3 4 6" xfId="25107"/>
    <cellStyle name="Note 2 2 3 3 4 7" xfId="25108"/>
    <cellStyle name="Note 2 2 3 3 4 8" xfId="25109"/>
    <cellStyle name="Note 2 2 3 3 5" xfId="25110"/>
    <cellStyle name="Note 2 2 3 3 5 2" xfId="25111"/>
    <cellStyle name="Note 2 2 3 3 5 2 2" xfId="25112"/>
    <cellStyle name="Note 2 2 3 3 5 2 3" xfId="25113"/>
    <cellStyle name="Note 2 2 3 3 5 2 4" xfId="25114"/>
    <cellStyle name="Note 2 2 3 3 5 3" xfId="25115"/>
    <cellStyle name="Note 2 2 3 3 5 3 2" xfId="25116"/>
    <cellStyle name="Note 2 2 3 3 5 3 3" xfId="25117"/>
    <cellStyle name="Note 2 2 3 3 5 3 4" xfId="25118"/>
    <cellStyle name="Note 2 2 3 3 5 4" xfId="25119"/>
    <cellStyle name="Note 2 2 3 3 5 4 2" xfId="25120"/>
    <cellStyle name="Note 2 2 3 3 5 4 3" xfId="25121"/>
    <cellStyle name="Note 2 2 3 3 5 4 4" xfId="25122"/>
    <cellStyle name="Note 2 2 3 3 5 5" xfId="25123"/>
    <cellStyle name="Note 2 2 3 3 5 6" xfId="25124"/>
    <cellStyle name="Note 2 2 3 3 5 7" xfId="25125"/>
    <cellStyle name="Note 2 2 3 3 5 8" xfId="25126"/>
    <cellStyle name="Note 2 2 3 3 6" xfId="25127"/>
    <cellStyle name="Note 2 2 3 3 6 2" xfId="25128"/>
    <cellStyle name="Note 2 2 3 3 6 2 2" xfId="25129"/>
    <cellStyle name="Note 2 2 3 3 6 2 3" xfId="25130"/>
    <cellStyle name="Note 2 2 3 3 6 2 4" xfId="25131"/>
    <cellStyle name="Note 2 2 3 3 6 3" xfId="25132"/>
    <cellStyle name="Note 2 2 3 3 6 3 2" xfId="25133"/>
    <cellStyle name="Note 2 2 3 3 6 3 3" xfId="25134"/>
    <cellStyle name="Note 2 2 3 3 6 3 4" xfId="25135"/>
    <cellStyle name="Note 2 2 3 3 6 4" xfId="25136"/>
    <cellStyle name="Note 2 2 3 3 6 4 2" xfId="25137"/>
    <cellStyle name="Note 2 2 3 3 6 4 3" xfId="25138"/>
    <cellStyle name="Note 2 2 3 3 6 4 4" xfId="25139"/>
    <cellStyle name="Note 2 2 3 3 6 5" xfId="25140"/>
    <cellStyle name="Note 2 2 3 3 6 6" xfId="25141"/>
    <cellStyle name="Note 2 2 3 3 6 7" xfId="25142"/>
    <cellStyle name="Note 2 2 3 3 6 8" xfId="25143"/>
    <cellStyle name="Note 2 2 3 3 7" xfId="25144"/>
    <cellStyle name="Note 2 2 3 3 7 2" xfId="25145"/>
    <cellStyle name="Note 2 2 3 3 7 2 2" xfId="25146"/>
    <cellStyle name="Note 2 2 3 3 7 2 3" xfId="25147"/>
    <cellStyle name="Note 2 2 3 3 7 2 4" xfId="25148"/>
    <cellStyle name="Note 2 2 3 3 7 3" xfId="25149"/>
    <cellStyle name="Note 2 2 3 3 7 3 2" xfId="25150"/>
    <cellStyle name="Note 2 2 3 3 7 3 3" xfId="25151"/>
    <cellStyle name="Note 2 2 3 3 7 3 4" xfId="25152"/>
    <cellStyle name="Note 2 2 3 3 7 4" xfId="25153"/>
    <cellStyle name="Note 2 2 3 3 7 4 2" xfId="25154"/>
    <cellStyle name="Note 2 2 3 3 7 4 3" xfId="25155"/>
    <cellStyle name="Note 2 2 3 3 7 4 4" xfId="25156"/>
    <cellStyle name="Note 2 2 3 3 7 5" xfId="25157"/>
    <cellStyle name="Note 2 2 3 3 7 6" xfId="25158"/>
    <cellStyle name="Note 2 2 3 3 7 7" xfId="25159"/>
    <cellStyle name="Note 2 2 3 3 7 8" xfId="25160"/>
    <cellStyle name="Note 2 2 3 3 8" xfId="25161"/>
    <cellStyle name="Note 2 2 3 3 8 2" xfId="25162"/>
    <cellStyle name="Note 2 2 3 3 8 3" xfId="25163"/>
    <cellStyle name="Note 2 2 3 3 8 4" xfId="25164"/>
    <cellStyle name="Note 2 2 3 3 9" xfId="25165"/>
    <cellStyle name="Note 2 2 3 3 9 2" xfId="25166"/>
    <cellStyle name="Note 2 2 3 3 9 3" xfId="25167"/>
    <cellStyle name="Note 2 2 3 3 9 4" xfId="25168"/>
    <cellStyle name="Note 2 2 3 4" xfId="25169"/>
    <cellStyle name="Note 2 2 3 4 2" xfId="25170"/>
    <cellStyle name="Note 2 2 3 4 2 2" xfId="25171"/>
    <cellStyle name="Note 2 2 3 4 2 2 2" xfId="25172"/>
    <cellStyle name="Note 2 2 3 4 2 2 3" xfId="25173"/>
    <cellStyle name="Note 2 2 3 4 2 2 4" xfId="25174"/>
    <cellStyle name="Note 2 2 3 4 2 3" xfId="25175"/>
    <cellStyle name="Note 2 2 3 4 2 3 2" xfId="25176"/>
    <cellStyle name="Note 2 2 3 4 2 3 3" xfId="25177"/>
    <cellStyle name="Note 2 2 3 4 2 3 4" xfId="25178"/>
    <cellStyle name="Note 2 2 3 4 2 4" xfId="25179"/>
    <cellStyle name="Note 2 2 3 4 2 4 2" xfId="25180"/>
    <cellStyle name="Note 2 2 3 4 2 4 3" xfId="25181"/>
    <cellStyle name="Note 2 2 3 4 2 4 4" xfId="25182"/>
    <cellStyle name="Note 2 2 3 4 2 5" xfId="25183"/>
    <cellStyle name="Note 2 2 3 4 2 6" xfId="25184"/>
    <cellStyle name="Note 2 2 3 4 2 7" xfId="25185"/>
    <cellStyle name="Note 2 2 3 4 2 8" xfId="25186"/>
    <cellStyle name="Note 2 2 3 4 3" xfId="25187"/>
    <cellStyle name="Note 2 2 3 4 3 2" xfId="25188"/>
    <cellStyle name="Note 2 2 3 4 3 2 2" xfId="25189"/>
    <cellStyle name="Note 2 2 3 4 3 2 3" xfId="25190"/>
    <cellStyle name="Note 2 2 3 4 3 2 4" xfId="25191"/>
    <cellStyle name="Note 2 2 3 4 3 3" xfId="25192"/>
    <cellStyle name="Note 2 2 3 4 3 3 2" xfId="25193"/>
    <cellStyle name="Note 2 2 3 4 3 3 3" xfId="25194"/>
    <cellStyle name="Note 2 2 3 4 3 3 4" xfId="25195"/>
    <cellStyle name="Note 2 2 3 4 3 4" xfId="25196"/>
    <cellStyle name="Note 2 2 3 4 3 4 2" xfId="25197"/>
    <cellStyle name="Note 2 2 3 4 3 4 3" xfId="25198"/>
    <cellStyle name="Note 2 2 3 4 3 4 4" xfId="25199"/>
    <cellStyle name="Note 2 2 3 4 3 5" xfId="25200"/>
    <cellStyle name="Note 2 2 3 4 3 6" xfId="25201"/>
    <cellStyle name="Note 2 2 3 4 3 7" xfId="25202"/>
    <cellStyle name="Note 2 2 3 4 3 8" xfId="25203"/>
    <cellStyle name="Note 2 2 3 4 4" xfId="25204"/>
    <cellStyle name="Note 2 2 3 4 4 2" xfId="25205"/>
    <cellStyle name="Note 2 2 3 4 4 2 2" xfId="25206"/>
    <cellStyle name="Note 2 2 3 4 4 2 3" xfId="25207"/>
    <cellStyle name="Note 2 2 3 4 4 2 4" xfId="25208"/>
    <cellStyle name="Note 2 2 3 4 4 3" xfId="25209"/>
    <cellStyle name="Note 2 2 3 4 4 3 2" xfId="25210"/>
    <cellStyle name="Note 2 2 3 4 4 3 3" xfId="25211"/>
    <cellStyle name="Note 2 2 3 4 4 3 4" xfId="25212"/>
    <cellStyle name="Note 2 2 3 4 4 4" xfId="25213"/>
    <cellStyle name="Note 2 2 3 4 4 4 2" xfId="25214"/>
    <cellStyle name="Note 2 2 3 4 4 4 3" xfId="25215"/>
    <cellStyle name="Note 2 2 3 4 4 4 4" xfId="25216"/>
    <cellStyle name="Note 2 2 3 4 4 5" xfId="25217"/>
    <cellStyle name="Note 2 2 3 4 4 6" xfId="25218"/>
    <cellStyle name="Note 2 2 3 4 4 7" xfId="25219"/>
    <cellStyle name="Note 2 2 3 4 4 8" xfId="25220"/>
    <cellStyle name="Note 2 2 3 4 5" xfId="25221"/>
    <cellStyle name="Note 2 2 3 4 5 2" xfId="25222"/>
    <cellStyle name="Note 2 2 3 4 5 2 2" xfId="25223"/>
    <cellStyle name="Note 2 2 3 4 5 2 3" xfId="25224"/>
    <cellStyle name="Note 2 2 3 4 5 2 4" xfId="25225"/>
    <cellStyle name="Note 2 2 3 4 5 3" xfId="25226"/>
    <cellStyle name="Note 2 2 3 4 5 3 2" xfId="25227"/>
    <cellStyle name="Note 2 2 3 4 5 3 3" xfId="25228"/>
    <cellStyle name="Note 2 2 3 4 5 3 4" xfId="25229"/>
    <cellStyle name="Note 2 2 3 4 5 4" xfId="25230"/>
    <cellStyle name="Note 2 2 3 4 5 4 2" xfId="25231"/>
    <cellStyle name="Note 2 2 3 4 5 4 3" xfId="25232"/>
    <cellStyle name="Note 2 2 3 4 5 4 4" xfId="25233"/>
    <cellStyle name="Note 2 2 3 4 5 5" xfId="25234"/>
    <cellStyle name="Note 2 2 3 4 5 6" xfId="25235"/>
    <cellStyle name="Note 2 2 3 4 5 7" xfId="25236"/>
    <cellStyle name="Note 2 2 3 4 5 8" xfId="25237"/>
    <cellStyle name="Note 2 2 3 4 6" xfId="25238"/>
    <cellStyle name="Note 2 2 3 4 6 2" xfId="25239"/>
    <cellStyle name="Note 2 2 3 4 6 3" xfId="25240"/>
    <cellStyle name="Note 2 2 3 4 6 4" xfId="25241"/>
    <cellStyle name="Note 2 2 3 4 7" xfId="25242"/>
    <cellStyle name="Note 2 2 3 4 7 2" xfId="25243"/>
    <cellStyle name="Note 2 2 3 4 7 3" xfId="25244"/>
    <cellStyle name="Note 2 2 3 4 7 4" xfId="25245"/>
    <cellStyle name="Note 2 2 3 4 8" xfId="25246"/>
    <cellStyle name="Note 2 2 3 4 9" xfId="25247"/>
    <cellStyle name="Note 2 2 3 5" xfId="25248"/>
    <cellStyle name="Note 2 2 3 5 2" xfId="25249"/>
    <cellStyle name="Note 2 2 3 5 2 2" xfId="25250"/>
    <cellStyle name="Note 2 2 3 5 2 3" xfId="25251"/>
    <cellStyle name="Note 2 2 3 5 2 4" xfId="25252"/>
    <cellStyle name="Note 2 2 3 5 3" xfId="25253"/>
    <cellStyle name="Note 2 2 3 5 3 2" xfId="25254"/>
    <cellStyle name="Note 2 2 3 5 3 3" xfId="25255"/>
    <cellStyle name="Note 2 2 3 5 3 4" xfId="25256"/>
    <cellStyle name="Note 2 2 3 5 4" xfId="25257"/>
    <cellStyle name="Note 2 2 3 5 4 2" xfId="25258"/>
    <cellStyle name="Note 2 2 3 5 4 3" xfId="25259"/>
    <cellStyle name="Note 2 2 3 5 4 4" xfId="25260"/>
    <cellStyle name="Note 2 2 3 5 5" xfId="25261"/>
    <cellStyle name="Note 2 2 3 5 6" xfId="25262"/>
    <cellStyle name="Note 2 2 3 5 7" xfId="25263"/>
    <cellStyle name="Note 2 2 3 5 8" xfId="25264"/>
    <cellStyle name="Note 2 2 3 6" xfId="25265"/>
    <cellStyle name="Note 2 2 3 6 2" xfId="25266"/>
    <cellStyle name="Note 2 2 3 6 2 2" xfId="25267"/>
    <cellStyle name="Note 2 2 3 6 2 3" xfId="25268"/>
    <cellStyle name="Note 2 2 3 6 2 4" xfId="25269"/>
    <cellStyle name="Note 2 2 3 6 3" xfId="25270"/>
    <cellStyle name="Note 2 2 3 6 3 2" xfId="25271"/>
    <cellStyle name="Note 2 2 3 6 3 3" xfId="25272"/>
    <cellStyle name="Note 2 2 3 6 3 4" xfId="25273"/>
    <cellStyle name="Note 2 2 3 6 4" xfId="25274"/>
    <cellStyle name="Note 2 2 3 6 4 2" xfId="25275"/>
    <cellStyle name="Note 2 2 3 6 4 3" xfId="25276"/>
    <cellStyle name="Note 2 2 3 6 4 4" xfId="25277"/>
    <cellStyle name="Note 2 2 3 6 5" xfId="25278"/>
    <cellStyle name="Note 2 2 3 6 6" xfId="25279"/>
    <cellStyle name="Note 2 2 3 6 7" xfId="25280"/>
    <cellStyle name="Note 2 2 3 6 8" xfId="25281"/>
    <cellStyle name="Note 2 2 3 7" xfId="25282"/>
    <cellStyle name="Note 2 2 3 7 2" xfId="25283"/>
    <cellStyle name="Note 2 2 3 7 2 2" xfId="25284"/>
    <cellStyle name="Note 2 2 3 7 2 3" xfId="25285"/>
    <cellStyle name="Note 2 2 3 7 2 4" xfId="25286"/>
    <cellStyle name="Note 2 2 3 7 3" xfId="25287"/>
    <cellStyle name="Note 2 2 3 7 3 2" xfId="25288"/>
    <cellStyle name="Note 2 2 3 7 3 3" xfId="25289"/>
    <cellStyle name="Note 2 2 3 7 3 4" xfId="25290"/>
    <cellStyle name="Note 2 2 3 7 4" xfId="25291"/>
    <cellStyle name="Note 2 2 3 7 4 2" xfId="25292"/>
    <cellStyle name="Note 2 2 3 7 4 3" xfId="25293"/>
    <cellStyle name="Note 2 2 3 7 4 4" xfId="25294"/>
    <cellStyle name="Note 2 2 3 7 5" xfId="25295"/>
    <cellStyle name="Note 2 2 3 7 6" xfId="25296"/>
    <cellStyle name="Note 2 2 3 7 7" xfId="25297"/>
    <cellStyle name="Note 2 2 3 7 8" xfId="25298"/>
    <cellStyle name="Note 2 2 3 8" xfId="25299"/>
    <cellStyle name="Note 2 2 3 8 2" xfId="25300"/>
    <cellStyle name="Note 2 2 3 8 2 2" xfId="25301"/>
    <cellStyle name="Note 2 2 3 8 2 3" xfId="25302"/>
    <cellStyle name="Note 2 2 3 8 2 4" xfId="25303"/>
    <cellStyle name="Note 2 2 3 8 3" xfId="25304"/>
    <cellStyle name="Note 2 2 3 8 3 2" xfId="25305"/>
    <cellStyle name="Note 2 2 3 8 3 3" xfId="25306"/>
    <cellStyle name="Note 2 2 3 8 3 4" xfId="25307"/>
    <cellStyle name="Note 2 2 3 8 4" xfId="25308"/>
    <cellStyle name="Note 2 2 3 8 4 2" xfId="25309"/>
    <cellStyle name="Note 2 2 3 8 4 3" xfId="25310"/>
    <cellStyle name="Note 2 2 3 8 4 4" xfId="25311"/>
    <cellStyle name="Note 2 2 3 8 5" xfId="25312"/>
    <cellStyle name="Note 2 2 3 8 6" xfId="25313"/>
    <cellStyle name="Note 2 2 3 8 7" xfId="25314"/>
    <cellStyle name="Note 2 2 3 8 8" xfId="25315"/>
    <cellStyle name="Note 2 2 3 9" xfId="25316"/>
    <cellStyle name="Note 2 2 3 9 2" xfId="25317"/>
    <cellStyle name="Note 2 2 3 9 2 2" xfId="25318"/>
    <cellStyle name="Note 2 2 3 9 2 3" xfId="25319"/>
    <cellStyle name="Note 2 2 3 9 2 4" xfId="25320"/>
    <cellStyle name="Note 2 2 3 9 3" xfId="25321"/>
    <cellStyle name="Note 2 2 3 9 3 2" xfId="25322"/>
    <cellStyle name="Note 2 2 3 9 3 3" xfId="25323"/>
    <cellStyle name="Note 2 2 3 9 3 4" xfId="25324"/>
    <cellStyle name="Note 2 2 3 9 4" xfId="25325"/>
    <cellStyle name="Note 2 2 3 9 4 2" xfId="25326"/>
    <cellStyle name="Note 2 2 3 9 4 3" xfId="25327"/>
    <cellStyle name="Note 2 2 3 9 4 4" xfId="25328"/>
    <cellStyle name="Note 2 2 3 9 5" xfId="25329"/>
    <cellStyle name="Note 2 2 3 9 6" xfId="25330"/>
    <cellStyle name="Note 2 2 3 9 7" xfId="25331"/>
    <cellStyle name="Note 2 2 3 9 8" xfId="25332"/>
    <cellStyle name="Note 2 2 4" xfId="25333"/>
    <cellStyle name="Note 2 2 4 10" xfId="25334"/>
    <cellStyle name="Note 2 2 4 10 2" xfId="25335"/>
    <cellStyle name="Note 2 2 4 10 3" xfId="25336"/>
    <cellStyle name="Note 2 2 4 10 4" xfId="25337"/>
    <cellStyle name="Note 2 2 4 11" xfId="25338"/>
    <cellStyle name="Note 2 2 4 12" xfId="25339"/>
    <cellStyle name="Note 2 2 4 2" xfId="25340"/>
    <cellStyle name="Note 2 2 4 2 10" xfId="25341"/>
    <cellStyle name="Note 2 2 4 2 11" xfId="25342"/>
    <cellStyle name="Note 2 2 4 2 2" xfId="25343"/>
    <cellStyle name="Note 2 2 4 2 2 2" xfId="25344"/>
    <cellStyle name="Note 2 2 4 2 2 2 2" xfId="25345"/>
    <cellStyle name="Note 2 2 4 2 2 2 2 2" xfId="25346"/>
    <cellStyle name="Note 2 2 4 2 2 2 2 3" xfId="25347"/>
    <cellStyle name="Note 2 2 4 2 2 2 2 4" xfId="25348"/>
    <cellStyle name="Note 2 2 4 2 2 2 3" xfId="25349"/>
    <cellStyle name="Note 2 2 4 2 2 2 3 2" xfId="25350"/>
    <cellStyle name="Note 2 2 4 2 2 2 3 3" xfId="25351"/>
    <cellStyle name="Note 2 2 4 2 2 2 3 4" xfId="25352"/>
    <cellStyle name="Note 2 2 4 2 2 2 4" xfId="25353"/>
    <cellStyle name="Note 2 2 4 2 2 2 4 2" xfId="25354"/>
    <cellStyle name="Note 2 2 4 2 2 2 4 3" xfId="25355"/>
    <cellStyle name="Note 2 2 4 2 2 2 4 4" xfId="25356"/>
    <cellStyle name="Note 2 2 4 2 2 2 5" xfId="25357"/>
    <cellStyle name="Note 2 2 4 2 2 2 6" xfId="25358"/>
    <cellStyle name="Note 2 2 4 2 2 2 7" xfId="25359"/>
    <cellStyle name="Note 2 2 4 2 2 2 8" xfId="25360"/>
    <cellStyle name="Note 2 2 4 2 2 3" xfId="25361"/>
    <cellStyle name="Note 2 2 4 2 2 3 2" xfId="25362"/>
    <cellStyle name="Note 2 2 4 2 2 3 2 2" xfId="25363"/>
    <cellStyle name="Note 2 2 4 2 2 3 2 3" xfId="25364"/>
    <cellStyle name="Note 2 2 4 2 2 3 2 4" xfId="25365"/>
    <cellStyle name="Note 2 2 4 2 2 3 3" xfId="25366"/>
    <cellStyle name="Note 2 2 4 2 2 3 3 2" xfId="25367"/>
    <cellStyle name="Note 2 2 4 2 2 3 3 3" xfId="25368"/>
    <cellStyle name="Note 2 2 4 2 2 3 3 4" xfId="25369"/>
    <cellStyle name="Note 2 2 4 2 2 3 4" xfId="25370"/>
    <cellStyle name="Note 2 2 4 2 2 3 4 2" xfId="25371"/>
    <cellStyle name="Note 2 2 4 2 2 3 4 3" xfId="25372"/>
    <cellStyle name="Note 2 2 4 2 2 3 4 4" xfId="25373"/>
    <cellStyle name="Note 2 2 4 2 2 3 5" xfId="25374"/>
    <cellStyle name="Note 2 2 4 2 2 3 6" xfId="25375"/>
    <cellStyle name="Note 2 2 4 2 2 3 7" xfId="25376"/>
    <cellStyle name="Note 2 2 4 2 2 3 8" xfId="25377"/>
    <cellStyle name="Note 2 2 4 2 2 4" xfId="25378"/>
    <cellStyle name="Note 2 2 4 2 2 4 2" xfId="25379"/>
    <cellStyle name="Note 2 2 4 2 2 4 2 2" xfId="25380"/>
    <cellStyle name="Note 2 2 4 2 2 4 2 3" xfId="25381"/>
    <cellStyle name="Note 2 2 4 2 2 4 2 4" xfId="25382"/>
    <cellStyle name="Note 2 2 4 2 2 4 3" xfId="25383"/>
    <cellStyle name="Note 2 2 4 2 2 4 3 2" xfId="25384"/>
    <cellStyle name="Note 2 2 4 2 2 4 3 3" xfId="25385"/>
    <cellStyle name="Note 2 2 4 2 2 4 3 4" xfId="25386"/>
    <cellStyle name="Note 2 2 4 2 2 4 4" xfId="25387"/>
    <cellStyle name="Note 2 2 4 2 2 4 4 2" xfId="25388"/>
    <cellStyle name="Note 2 2 4 2 2 4 4 3" xfId="25389"/>
    <cellStyle name="Note 2 2 4 2 2 4 4 4" xfId="25390"/>
    <cellStyle name="Note 2 2 4 2 2 4 5" xfId="25391"/>
    <cellStyle name="Note 2 2 4 2 2 4 6" xfId="25392"/>
    <cellStyle name="Note 2 2 4 2 2 4 7" xfId="25393"/>
    <cellStyle name="Note 2 2 4 2 2 4 8" xfId="25394"/>
    <cellStyle name="Note 2 2 4 2 2 5" xfId="25395"/>
    <cellStyle name="Note 2 2 4 2 2 5 2" xfId="25396"/>
    <cellStyle name="Note 2 2 4 2 2 5 2 2" xfId="25397"/>
    <cellStyle name="Note 2 2 4 2 2 5 2 3" xfId="25398"/>
    <cellStyle name="Note 2 2 4 2 2 5 2 4" xfId="25399"/>
    <cellStyle name="Note 2 2 4 2 2 5 3" xfId="25400"/>
    <cellStyle name="Note 2 2 4 2 2 5 3 2" xfId="25401"/>
    <cellStyle name="Note 2 2 4 2 2 5 3 3" xfId="25402"/>
    <cellStyle name="Note 2 2 4 2 2 5 3 4" xfId="25403"/>
    <cellStyle name="Note 2 2 4 2 2 5 4" xfId="25404"/>
    <cellStyle name="Note 2 2 4 2 2 5 4 2" xfId="25405"/>
    <cellStyle name="Note 2 2 4 2 2 5 4 3" xfId="25406"/>
    <cellStyle name="Note 2 2 4 2 2 5 4 4" xfId="25407"/>
    <cellStyle name="Note 2 2 4 2 2 5 5" xfId="25408"/>
    <cellStyle name="Note 2 2 4 2 2 5 6" xfId="25409"/>
    <cellStyle name="Note 2 2 4 2 2 5 7" xfId="25410"/>
    <cellStyle name="Note 2 2 4 2 2 5 8" xfId="25411"/>
    <cellStyle name="Note 2 2 4 2 2 6" xfId="25412"/>
    <cellStyle name="Note 2 2 4 2 2 6 2" xfId="25413"/>
    <cellStyle name="Note 2 2 4 2 2 6 3" xfId="25414"/>
    <cellStyle name="Note 2 2 4 2 2 6 4" xfId="25415"/>
    <cellStyle name="Note 2 2 4 2 2 7" xfId="25416"/>
    <cellStyle name="Note 2 2 4 2 2 7 2" xfId="25417"/>
    <cellStyle name="Note 2 2 4 2 2 7 3" xfId="25418"/>
    <cellStyle name="Note 2 2 4 2 2 7 4" xfId="25419"/>
    <cellStyle name="Note 2 2 4 2 2 8" xfId="25420"/>
    <cellStyle name="Note 2 2 4 2 2 9" xfId="25421"/>
    <cellStyle name="Note 2 2 4 2 3" xfId="25422"/>
    <cellStyle name="Note 2 2 4 2 3 2" xfId="25423"/>
    <cellStyle name="Note 2 2 4 2 3 2 2" xfId="25424"/>
    <cellStyle name="Note 2 2 4 2 3 2 3" xfId="25425"/>
    <cellStyle name="Note 2 2 4 2 3 2 4" xfId="25426"/>
    <cellStyle name="Note 2 2 4 2 3 3" xfId="25427"/>
    <cellStyle name="Note 2 2 4 2 3 3 2" xfId="25428"/>
    <cellStyle name="Note 2 2 4 2 3 3 3" xfId="25429"/>
    <cellStyle name="Note 2 2 4 2 3 3 4" xfId="25430"/>
    <cellStyle name="Note 2 2 4 2 3 4" xfId="25431"/>
    <cellStyle name="Note 2 2 4 2 3 4 2" xfId="25432"/>
    <cellStyle name="Note 2 2 4 2 3 4 3" xfId="25433"/>
    <cellStyle name="Note 2 2 4 2 3 4 4" xfId="25434"/>
    <cellStyle name="Note 2 2 4 2 3 5" xfId="25435"/>
    <cellStyle name="Note 2 2 4 2 3 6" xfId="25436"/>
    <cellStyle name="Note 2 2 4 2 3 7" xfId="25437"/>
    <cellStyle name="Note 2 2 4 2 3 8" xfId="25438"/>
    <cellStyle name="Note 2 2 4 2 4" xfId="25439"/>
    <cellStyle name="Note 2 2 4 2 4 2" xfId="25440"/>
    <cellStyle name="Note 2 2 4 2 4 2 2" xfId="25441"/>
    <cellStyle name="Note 2 2 4 2 4 2 3" xfId="25442"/>
    <cellStyle name="Note 2 2 4 2 4 2 4" xfId="25443"/>
    <cellStyle name="Note 2 2 4 2 4 3" xfId="25444"/>
    <cellStyle name="Note 2 2 4 2 4 3 2" xfId="25445"/>
    <cellStyle name="Note 2 2 4 2 4 3 3" xfId="25446"/>
    <cellStyle name="Note 2 2 4 2 4 3 4" xfId="25447"/>
    <cellStyle name="Note 2 2 4 2 4 4" xfId="25448"/>
    <cellStyle name="Note 2 2 4 2 4 4 2" xfId="25449"/>
    <cellStyle name="Note 2 2 4 2 4 4 3" xfId="25450"/>
    <cellStyle name="Note 2 2 4 2 4 4 4" xfId="25451"/>
    <cellStyle name="Note 2 2 4 2 4 5" xfId="25452"/>
    <cellStyle name="Note 2 2 4 2 4 6" xfId="25453"/>
    <cellStyle name="Note 2 2 4 2 4 7" xfId="25454"/>
    <cellStyle name="Note 2 2 4 2 4 8" xfId="25455"/>
    <cellStyle name="Note 2 2 4 2 5" xfId="25456"/>
    <cellStyle name="Note 2 2 4 2 5 2" xfId="25457"/>
    <cellStyle name="Note 2 2 4 2 5 2 2" xfId="25458"/>
    <cellStyle name="Note 2 2 4 2 5 2 3" xfId="25459"/>
    <cellStyle name="Note 2 2 4 2 5 2 4" xfId="25460"/>
    <cellStyle name="Note 2 2 4 2 5 3" xfId="25461"/>
    <cellStyle name="Note 2 2 4 2 5 3 2" xfId="25462"/>
    <cellStyle name="Note 2 2 4 2 5 3 3" xfId="25463"/>
    <cellStyle name="Note 2 2 4 2 5 3 4" xfId="25464"/>
    <cellStyle name="Note 2 2 4 2 5 4" xfId="25465"/>
    <cellStyle name="Note 2 2 4 2 5 4 2" xfId="25466"/>
    <cellStyle name="Note 2 2 4 2 5 4 3" xfId="25467"/>
    <cellStyle name="Note 2 2 4 2 5 4 4" xfId="25468"/>
    <cellStyle name="Note 2 2 4 2 5 5" xfId="25469"/>
    <cellStyle name="Note 2 2 4 2 5 6" xfId="25470"/>
    <cellStyle name="Note 2 2 4 2 5 7" xfId="25471"/>
    <cellStyle name="Note 2 2 4 2 5 8" xfId="25472"/>
    <cellStyle name="Note 2 2 4 2 6" xfId="25473"/>
    <cellStyle name="Note 2 2 4 2 6 2" xfId="25474"/>
    <cellStyle name="Note 2 2 4 2 6 2 2" xfId="25475"/>
    <cellStyle name="Note 2 2 4 2 6 2 3" xfId="25476"/>
    <cellStyle name="Note 2 2 4 2 6 2 4" xfId="25477"/>
    <cellStyle name="Note 2 2 4 2 6 3" xfId="25478"/>
    <cellStyle name="Note 2 2 4 2 6 3 2" xfId="25479"/>
    <cellStyle name="Note 2 2 4 2 6 3 3" xfId="25480"/>
    <cellStyle name="Note 2 2 4 2 6 3 4" xfId="25481"/>
    <cellStyle name="Note 2 2 4 2 6 4" xfId="25482"/>
    <cellStyle name="Note 2 2 4 2 6 4 2" xfId="25483"/>
    <cellStyle name="Note 2 2 4 2 6 4 3" xfId="25484"/>
    <cellStyle name="Note 2 2 4 2 6 4 4" xfId="25485"/>
    <cellStyle name="Note 2 2 4 2 6 5" xfId="25486"/>
    <cellStyle name="Note 2 2 4 2 6 6" xfId="25487"/>
    <cellStyle name="Note 2 2 4 2 6 7" xfId="25488"/>
    <cellStyle name="Note 2 2 4 2 6 8" xfId="25489"/>
    <cellStyle name="Note 2 2 4 2 7" xfId="25490"/>
    <cellStyle name="Note 2 2 4 2 7 2" xfId="25491"/>
    <cellStyle name="Note 2 2 4 2 7 2 2" xfId="25492"/>
    <cellStyle name="Note 2 2 4 2 7 2 3" xfId="25493"/>
    <cellStyle name="Note 2 2 4 2 7 2 4" xfId="25494"/>
    <cellStyle name="Note 2 2 4 2 7 3" xfId="25495"/>
    <cellStyle name="Note 2 2 4 2 7 3 2" xfId="25496"/>
    <cellStyle name="Note 2 2 4 2 7 3 3" xfId="25497"/>
    <cellStyle name="Note 2 2 4 2 7 3 4" xfId="25498"/>
    <cellStyle name="Note 2 2 4 2 7 4" xfId="25499"/>
    <cellStyle name="Note 2 2 4 2 7 4 2" xfId="25500"/>
    <cellStyle name="Note 2 2 4 2 7 4 3" xfId="25501"/>
    <cellStyle name="Note 2 2 4 2 7 4 4" xfId="25502"/>
    <cellStyle name="Note 2 2 4 2 7 5" xfId="25503"/>
    <cellStyle name="Note 2 2 4 2 7 6" xfId="25504"/>
    <cellStyle name="Note 2 2 4 2 7 7" xfId="25505"/>
    <cellStyle name="Note 2 2 4 2 7 8" xfId="25506"/>
    <cellStyle name="Note 2 2 4 2 8" xfId="25507"/>
    <cellStyle name="Note 2 2 4 2 8 2" xfId="25508"/>
    <cellStyle name="Note 2 2 4 2 8 3" xfId="25509"/>
    <cellStyle name="Note 2 2 4 2 8 4" xfId="25510"/>
    <cellStyle name="Note 2 2 4 2 9" xfId="25511"/>
    <cellStyle name="Note 2 2 4 2 9 2" xfId="25512"/>
    <cellStyle name="Note 2 2 4 2 9 3" xfId="25513"/>
    <cellStyle name="Note 2 2 4 2 9 4" xfId="25514"/>
    <cellStyle name="Note 2 2 4 3" xfId="25515"/>
    <cellStyle name="Note 2 2 4 3 2" xfId="25516"/>
    <cellStyle name="Note 2 2 4 3 2 2" xfId="25517"/>
    <cellStyle name="Note 2 2 4 3 2 2 2" xfId="25518"/>
    <cellStyle name="Note 2 2 4 3 2 2 3" xfId="25519"/>
    <cellStyle name="Note 2 2 4 3 2 2 4" xfId="25520"/>
    <cellStyle name="Note 2 2 4 3 2 3" xfId="25521"/>
    <cellStyle name="Note 2 2 4 3 2 3 2" xfId="25522"/>
    <cellStyle name="Note 2 2 4 3 2 3 3" xfId="25523"/>
    <cellStyle name="Note 2 2 4 3 2 3 4" xfId="25524"/>
    <cellStyle name="Note 2 2 4 3 2 4" xfId="25525"/>
    <cellStyle name="Note 2 2 4 3 2 4 2" xfId="25526"/>
    <cellStyle name="Note 2 2 4 3 2 4 3" xfId="25527"/>
    <cellStyle name="Note 2 2 4 3 2 4 4" xfId="25528"/>
    <cellStyle name="Note 2 2 4 3 2 5" xfId="25529"/>
    <cellStyle name="Note 2 2 4 3 2 6" xfId="25530"/>
    <cellStyle name="Note 2 2 4 3 2 7" xfId="25531"/>
    <cellStyle name="Note 2 2 4 3 2 8" xfId="25532"/>
    <cellStyle name="Note 2 2 4 3 3" xfId="25533"/>
    <cellStyle name="Note 2 2 4 3 3 2" xfId="25534"/>
    <cellStyle name="Note 2 2 4 3 3 2 2" xfId="25535"/>
    <cellStyle name="Note 2 2 4 3 3 2 3" xfId="25536"/>
    <cellStyle name="Note 2 2 4 3 3 2 4" xfId="25537"/>
    <cellStyle name="Note 2 2 4 3 3 3" xfId="25538"/>
    <cellStyle name="Note 2 2 4 3 3 3 2" xfId="25539"/>
    <cellStyle name="Note 2 2 4 3 3 3 3" xfId="25540"/>
    <cellStyle name="Note 2 2 4 3 3 3 4" xfId="25541"/>
    <cellStyle name="Note 2 2 4 3 3 4" xfId="25542"/>
    <cellStyle name="Note 2 2 4 3 3 4 2" xfId="25543"/>
    <cellStyle name="Note 2 2 4 3 3 4 3" xfId="25544"/>
    <cellStyle name="Note 2 2 4 3 3 4 4" xfId="25545"/>
    <cellStyle name="Note 2 2 4 3 3 5" xfId="25546"/>
    <cellStyle name="Note 2 2 4 3 3 6" xfId="25547"/>
    <cellStyle name="Note 2 2 4 3 3 7" xfId="25548"/>
    <cellStyle name="Note 2 2 4 3 3 8" xfId="25549"/>
    <cellStyle name="Note 2 2 4 3 4" xfId="25550"/>
    <cellStyle name="Note 2 2 4 3 4 2" xfId="25551"/>
    <cellStyle name="Note 2 2 4 3 4 2 2" xfId="25552"/>
    <cellStyle name="Note 2 2 4 3 4 2 3" xfId="25553"/>
    <cellStyle name="Note 2 2 4 3 4 2 4" xfId="25554"/>
    <cellStyle name="Note 2 2 4 3 4 3" xfId="25555"/>
    <cellStyle name="Note 2 2 4 3 4 3 2" xfId="25556"/>
    <cellStyle name="Note 2 2 4 3 4 3 3" xfId="25557"/>
    <cellStyle name="Note 2 2 4 3 4 3 4" xfId="25558"/>
    <cellStyle name="Note 2 2 4 3 4 4" xfId="25559"/>
    <cellStyle name="Note 2 2 4 3 4 4 2" xfId="25560"/>
    <cellStyle name="Note 2 2 4 3 4 4 3" xfId="25561"/>
    <cellStyle name="Note 2 2 4 3 4 4 4" xfId="25562"/>
    <cellStyle name="Note 2 2 4 3 4 5" xfId="25563"/>
    <cellStyle name="Note 2 2 4 3 4 6" xfId="25564"/>
    <cellStyle name="Note 2 2 4 3 4 7" xfId="25565"/>
    <cellStyle name="Note 2 2 4 3 4 8" xfId="25566"/>
    <cellStyle name="Note 2 2 4 3 5" xfId="25567"/>
    <cellStyle name="Note 2 2 4 3 5 2" xfId="25568"/>
    <cellStyle name="Note 2 2 4 3 5 2 2" xfId="25569"/>
    <cellStyle name="Note 2 2 4 3 5 2 3" xfId="25570"/>
    <cellStyle name="Note 2 2 4 3 5 2 4" xfId="25571"/>
    <cellStyle name="Note 2 2 4 3 5 3" xfId="25572"/>
    <cellStyle name="Note 2 2 4 3 5 3 2" xfId="25573"/>
    <cellStyle name="Note 2 2 4 3 5 3 3" xfId="25574"/>
    <cellStyle name="Note 2 2 4 3 5 3 4" xfId="25575"/>
    <cellStyle name="Note 2 2 4 3 5 4" xfId="25576"/>
    <cellStyle name="Note 2 2 4 3 5 4 2" xfId="25577"/>
    <cellStyle name="Note 2 2 4 3 5 4 3" xfId="25578"/>
    <cellStyle name="Note 2 2 4 3 5 4 4" xfId="25579"/>
    <cellStyle name="Note 2 2 4 3 5 5" xfId="25580"/>
    <cellStyle name="Note 2 2 4 3 5 6" xfId="25581"/>
    <cellStyle name="Note 2 2 4 3 5 7" xfId="25582"/>
    <cellStyle name="Note 2 2 4 3 5 8" xfId="25583"/>
    <cellStyle name="Note 2 2 4 3 6" xfId="25584"/>
    <cellStyle name="Note 2 2 4 3 6 2" xfId="25585"/>
    <cellStyle name="Note 2 2 4 3 6 3" xfId="25586"/>
    <cellStyle name="Note 2 2 4 3 6 4" xfId="25587"/>
    <cellStyle name="Note 2 2 4 3 7" xfId="25588"/>
    <cellStyle name="Note 2 2 4 3 7 2" xfId="25589"/>
    <cellStyle name="Note 2 2 4 3 7 3" xfId="25590"/>
    <cellStyle name="Note 2 2 4 3 7 4" xfId="25591"/>
    <cellStyle name="Note 2 2 4 3 8" xfId="25592"/>
    <cellStyle name="Note 2 2 4 3 9" xfId="25593"/>
    <cellStyle name="Note 2 2 4 4" xfId="25594"/>
    <cellStyle name="Note 2 2 4 4 2" xfId="25595"/>
    <cellStyle name="Note 2 2 4 4 2 2" xfId="25596"/>
    <cellStyle name="Note 2 2 4 4 2 3" xfId="25597"/>
    <cellStyle name="Note 2 2 4 4 2 4" xfId="25598"/>
    <cellStyle name="Note 2 2 4 4 3" xfId="25599"/>
    <cellStyle name="Note 2 2 4 4 3 2" xfId="25600"/>
    <cellStyle name="Note 2 2 4 4 3 3" xfId="25601"/>
    <cellStyle name="Note 2 2 4 4 3 4" xfId="25602"/>
    <cellStyle name="Note 2 2 4 4 4" xfId="25603"/>
    <cellStyle name="Note 2 2 4 4 4 2" xfId="25604"/>
    <cellStyle name="Note 2 2 4 4 4 3" xfId="25605"/>
    <cellStyle name="Note 2 2 4 4 4 4" xfId="25606"/>
    <cellStyle name="Note 2 2 4 4 5" xfId="25607"/>
    <cellStyle name="Note 2 2 4 4 6" xfId="25608"/>
    <cellStyle name="Note 2 2 4 4 7" xfId="25609"/>
    <cellStyle name="Note 2 2 4 4 8" xfId="25610"/>
    <cellStyle name="Note 2 2 4 5" xfId="25611"/>
    <cellStyle name="Note 2 2 4 5 2" xfId="25612"/>
    <cellStyle name="Note 2 2 4 5 2 2" xfId="25613"/>
    <cellStyle name="Note 2 2 4 5 2 3" xfId="25614"/>
    <cellStyle name="Note 2 2 4 5 2 4" xfId="25615"/>
    <cellStyle name="Note 2 2 4 5 3" xfId="25616"/>
    <cellStyle name="Note 2 2 4 5 3 2" xfId="25617"/>
    <cellStyle name="Note 2 2 4 5 3 3" xfId="25618"/>
    <cellStyle name="Note 2 2 4 5 3 4" xfId="25619"/>
    <cellStyle name="Note 2 2 4 5 4" xfId="25620"/>
    <cellStyle name="Note 2 2 4 5 4 2" xfId="25621"/>
    <cellStyle name="Note 2 2 4 5 4 3" xfId="25622"/>
    <cellStyle name="Note 2 2 4 5 4 4" xfId="25623"/>
    <cellStyle name="Note 2 2 4 5 5" xfId="25624"/>
    <cellStyle name="Note 2 2 4 5 6" xfId="25625"/>
    <cellStyle name="Note 2 2 4 5 7" xfId="25626"/>
    <cellStyle name="Note 2 2 4 5 8" xfId="25627"/>
    <cellStyle name="Note 2 2 4 6" xfId="25628"/>
    <cellStyle name="Note 2 2 4 6 2" xfId="25629"/>
    <cellStyle name="Note 2 2 4 6 2 2" xfId="25630"/>
    <cellStyle name="Note 2 2 4 6 2 3" xfId="25631"/>
    <cellStyle name="Note 2 2 4 6 2 4" xfId="25632"/>
    <cellStyle name="Note 2 2 4 6 3" xfId="25633"/>
    <cellStyle name="Note 2 2 4 6 3 2" xfId="25634"/>
    <cellStyle name="Note 2 2 4 6 3 3" xfId="25635"/>
    <cellStyle name="Note 2 2 4 6 3 4" xfId="25636"/>
    <cellStyle name="Note 2 2 4 6 4" xfId="25637"/>
    <cellStyle name="Note 2 2 4 6 4 2" xfId="25638"/>
    <cellStyle name="Note 2 2 4 6 4 3" xfId="25639"/>
    <cellStyle name="Note 2 2 4 6 4 4" xfId="25640"/>
    <cellStyle name="Note 2 2 4 6 5" xfId="25641"/>
    <cellStyle name="Note 2 2 4 6 6" xfId="25642"/>
    <cellStyle name="Note 2 2 4 6 7" xfId="25643"/>
    <cellStyle name="Note 2 2 4 6 8" xfId="25644"/>
    <cellStyle name="Note 2 2 4 7" xfId="25645"/>
    <cellStyle name="Note 2 2 4 7 2" xfId="25646"/>
    <cellStyle name="Note 2 2 4 7 2 2" xfId="25647"/>
    <cellStyle name="Note 2 2 4 7 2 3" xfId="25648"/>
    <cellStyle name="Note 2 2 4 7 2 4" xfId="25649"/>
    <cellStyle name="Note 2 2 4 7 3" xfId="25650"/>
    <cellStyle name="Note 2 2 4 7 3 2" xfId="25651"/>
    <cellStyle name="Note 2 2 4 7 3 3" xfId="25652"/>
    <cellStyle name="Note 2 2 4 7 3 4" xfId="25653"/>
    <cellStyle name="Note 2 2 4 7 4" xfId="25654"/>
    <cellStyle name="Note 2 2 4 7 4 2" xfId="25655"/>
    <cellStyle name="Note 2 2 4 7 4 3" xfId="25656"/>
    <cellStyle name="Note 2 2 4 7 4 4" xfId="25657"/>
    <cellStyle name="Note 2 2 4 7 5" xfId="25658"/>
    <cellStyle name="Note 2 2 4 7 6" xfId="25659"/>
    <cellStyle name="Note 2 2 4 7 7" xfId="25660"/>
    <cellStyle name="Note 2 2 4 7 8" xfId="25661"/>
    <cellStyle name="Note 2 2 4 8" xfId="25662"/>
    <cellStyle name="Note 2 2 4 8 2" xfId="25663"/>
    <cellStyle name="Note 2 2 4 8 2 2" xfId="25664"/>
    <cellStyle name="Note 2 2 4 8 2 3" xfId="25665"/>
    <cellStyle name="Note 2 2 4 8 2 4" xfId="25666"/>
    <cellStyle name="Note 2 2 4 8 3" xfId="25667"/>
    <cellStyle name="Note 2 2 4 8 3 2" xfId="25668"/>
    <cellStyle name="Note 2 2 4 8 3 3" xfId="25669"/>
    <cellStyle name="Note 2 2 4 8 3 4" xfId="25670"/>
    <cellStyle name="Note 2 2 4 8 4" xfId="25671"/>
    <cellStyle name="Note 2 2 4 8 4 2" xfId="25672"/>
    <cellStyle name="Note 2 2 4 8 4 3" xfId="25673"/>
    <cellStyle name="Note 2 2 4 8 4 4" xfId="25674"/>
    <cellStyle name="Note 2 2 4 8 5" xfId="25675"/>
    <cellStyle name="Note 2 2 4 8 6" xfId="25676"/>
    <cellStyle name="Note 2 2 4 8 7" xfId="25677"/>
    <cellStyle name="Note 2 2 4 8 8" xfId="25678"/>
    <cellStyle name="Note 2 2 4 9" xfId="25679"/>
    <cellStyle name="Note 2 2 4 9 2" xfId="25680"/>
    <cellStyle name="Note 2 2 4 9 3" xfId="25681"/>
    <cellStyle name="Note 2 2 4 9 4" xfId="25682"/>
    <cellStyle name="Note 2 2 5" xfId="25683"/>
    <cellStyle name="Note 2 2 5 10" xfId="25684"/>
    <cellStyle name="Note 2 2 5 11" xfId="25685"/>
    <cellStyle name="Note 2 2 5 2" xfId="25686"/>
    <cellStyle name="Note 2 2 5 2 2" xfId="25687"/>
    <cellStyle name="Note 2 2 5 2 2 2" xfId="25688"/>
    <cellStyle name="Note 2 2 5 2 2 2 2" xfId="25689"/>
    <cellStyle name="Note 2 2 5 2 2 2 3" xfId="25690"/>
    <cellStyle name="Note 2 2 5 2 2 2 4" xfId="25691"/>
    <cellStyle name="Note 2 2 5 2 2 3" xfId="25692"/>
    <cellStyle name="Note 2 2 5 2 2 3 2" xfId="25693"/>
    <cellStyle name="Note 2 2 5 2 2 3 3" xfId="25694"/>
    <cellStyle name="Note 2 2 5 2 2 3 4" xfId="25695"/>
    <cellStyle name="Note 2 2 5 2 2 4" xfId="25696"/>
    <cellStyle name="Note 2 2 5 2 2 4 2" xfId="25697"/>
    <cellStyle name="Note 2 2 5 2 2 4 3" xfId="25698"/>
    <cellStyle name="Note 2 2 5 2 2 4 4" xfId="25699"/>
    <cellStyle name="Note 2 2 5 2 2 5" xfId="25700"/>
    <cellStyle name="Note 2 2 5 2 2 6" xfId="25701"/>
    <cellStyle name="Note 2 2 5 2 2 7" xfId="25702"/>
    <cellStyle name="Note 2 2 5 2 2 8" xfId="25703"/>
    <cellStyle name="Note 2 2 5 2 3" xfId="25704"/>
    <cellStyle name="Note 2 2 5 2 3 2" xfId="25705"/>
    <cellStyle name="Note 2 2 5 2 3 2 2" xfId="25706"/>
    <cellStyle name="Note 2 2 5 2 3 2 3" xfId="25707"/>
    <cellStyle name="Note 2 2 5 2 3 2 4" xfId="25708"/>
    <cellStyle name="Note 2 2 5 2 3 3" xfId="25709"/>
    <cellStyle name="Note 2 2 5 2 3 3 2" xfId="25710"/>
    <cellStyle name="Note 2 2 5 2 3 3 3" xfId="25711"/>
    <cellStyle name="Note 2 2 5 2 3 3 4" xfId="25712"/>
    <cellStyle name="Note 2 2 5 2 3 4" xfId="25713"/>
    <cellStyle name="Note 2 2 5 2 3 4 2" xfId="25714"/>
    <cellStyle name="Note 2 2 5 2 3 4 3" xfId="25715"/>
    <cellStyle name="Note 2 2 5 2 3 4 4" xfId="25716"/>
    <cellStyle name="Note 2 2 5 2 3 5" xfId="25717"/>
    <cellStyle name="Note 2 2 5 2 3 6" xfId="25718"/>
    <cellStyle name="Note 2 2 5 2 3 7" xfId="25719"/>
    <cellStyle name="Note 2 2 5 2 3 8" xfId="25720"/>
    <cellStyle name="Note 2 2 5 2 4" xfId="25721"/>
    <cellStyle name="Note 2 2 5 2 4 2" xfId="25722"/>
    <cellStyle name="Note 2 2 5 2 4 2 2" xfId="25723"/>
    <cellStyle name="Note 2 2 5 2 4 2 3" xfId="25724"/>
    <cellStyle name="Note 2 2 5 2 4 2 4" xfId="25725"/>
    <cellStyle name="Note 2 2 5 2 4 3" xfId="25726"/>
    <cellStyle name="Note 2 2 5 2 4 3 2" xfId="25727"/>
    <cellStyle name="Note 2 2 5 2 4 3 3" xfId="25728"/>
    <cellStyle name="Note 2 2 5 2 4 3 4" xfId="25729"/>
    <cellStyle name="Note 2 2 5 2 4 4" xfId="25730"/>
    <cellStyle name="Note 2 2 5 2 4 4 2" xfId="25731"/>
    <cellStyle name="Note 2 2 5 2 4 4 3" xfId="25732"/>
    <cellStyle name="Note 2 2 5 2 4 4 4" xfId="25733"/>
    <cellStyle name="Note 2 2 5 2 4 5" xfId="25734"/>
    <cellStyle name="Note 2 2 5 2 4 6" xfId="25735"/>
    <cellStyle name="Note 2 2 5 2 4 7" xfId="25736"/>
    <cellStyle name="Note 2 2 5 2 4 8" xfId="25737"/>
    <cellStyle name="Note 2 2 5 2 5" xfId="25738"/>
    <cellStyle name="Note 2 2 5 2 5 2" xfId="25739"/>
    <cellStyle name="Note 2 2 5 2 5 2 2" xfId="25740"/>
    <cellStyle name="Note 2 2 5 2 5 2 3" xfId="25741"/>
    <cellStyle name="Note 2 2 5 2 5 2 4" xfId="25742"/>
    <cellStyle name="Note 2 2 5 2 5 3" xfId="25743"/>
    <cellStyle name="Note 2 2 5 2 5 3 2" xfId="25744"/>
    <cellStyle name="Note 2 2 5 2 5 3 3" xfId="25745"/>
    <cellStyle name="Note 2 2 5 2 5 3 4" xfId="25746"/>
    <cellStyle name="Note 2 2 5 2 5 4" xfId="25747"/>
    <cellStyle name="Note 2 2 5 2 5 4 2" xfId="25748"/>
    <cellStyle name="Note 2 2 5 2 5 4 3" xfId="25749"/>
    <cellStyle name="Note 2 2 5 2 5 4 4" xfId="25750"/>
    <cellStyle name="Note 2 2 5 2 5 5" xfId="25751"/>
    <cellStyle name="Note 2 2 5 2 5 6" xfId="25752"/>
    <cellStyle name="Note 2 2 5 2 5 7" xfId="25753"/>
    <cellStyle name="Note 2 2 5 2 5 8" xfId="25754"/>
    <cellStyle name="Note 2 2 5 2 6" xfId="25755"/>
    <cellStyle name="Note 2 2 5 2 6 2" xfId="25756"/>
    <cellStyle name="Note 2 2 5 2 6 3" xfId="25757"/>
    <cellStyle name="Note 2 2 5 2 6 4" xfId="25758"/>
    <cellStyle name="Note 2 2 5 2 7" xfId="25759"/>
    <cellStyle name="Note 2 2 5 2 7 2" xfId="25760"/>
    <cellStyle name="Note 2 2 5 2 7 3" xfId="25761"/>
    <cellStyle name="Note 2 2 5 2 7 4" xfId="25762"/>
    <cellStyle name="Note 2 2 5 2 8" xfId="25763"/>
    <cellStyle name="Note 2 2 5 2 9" xfId="25764"/>
    <cellStyle name="Note 2 2 5 3" xfId="25765"/>
    <cellStyle name="Note 2 2 5 3 2" xfId="25766"/>
    <cellStyle name="Note 2 2 5 3 2 2" xfId="25767"/>
    <cellStyle name="Note 2 2 5 3 2 3" xfId="25768"/>
    <cellStyle name="Note 2 2 5 3 2 4" xfId="25769"/>
    <cellStyle name="Note 2 2 5 3 3" xfId="25770"/>
    <cellStyle name="Note 2 2 5 3 3 2" xfId="25771"/>
    <cellStyle name="Note 2 2 5 3 3 3" xfId="25772"/>
    <cellStyle name="Note 2 2 5 3 3 4" xfId="25773"/>
    <cellStyle name="Note 2 2 5 3 4" xfId="25774"/>
    <cellStyle name="Note 2 2 5 3 4 2" xfId="25775"/>
    <cellStyle name="Note 2 2 5 3 4 3" xfId="25776"/>
    <cellStyle name="Note 2 2 5 3 4 4" xfId="25777"/>
    <cellStyle name="Note 2 2 5 3 5" xfId="25778"/>
    <cellStyle name="Note 2 2 5 3 6" xfId="25779"/>
    <cellStyle name="Note 2 2 5 3 7" xfId="25780"/>
    <cellStyle name="Note 2 2 5 3 8" xfId="25781"/>
    <cellStyle name="Note 2 2 5 4" xfId="25782"/>
    <cellStyle name="Note 2 2 5 4 2" xfId="25783"/>
    <cellStyle name="Note 2 2 5 4 2 2" xfId="25784"/>
    <cellStyle name="Note 2 2 5 4 2 3" xfId="25785"/>
    <cellStyle name="Note 2 2 5 4 2 4" xfId="25786"/>
    <cellStyle name="Note 2 2 5 4 3" xfId="25787"/>
    <cellStyle name="Note 2 2 5 4 3 2" xfId="25788"/>
    <cellStyle name="Note 2 2 5 4 3 3" xfId="25789"/>
    <cellStyle name="Note 2 2 5 4 3 4" xfId="25790"/>
    <cellStyle name="Note 2 2 5 4 4" xfId="25791"/>
    <cellStyle name="Note 2 2 5 4 4 2" xfId="25792"/>
    <cellStyle name="Note 2 2 5 4 4 3" xfId="25793"/>
    <cellStyle name="Note 2 2 5 4 4 4" xfId="25794"/>
    <cellStyle name="Note 2 2 5 4 5" xfId="25795"/>
    <cellStyle name="Note 2 2 5 4 6" xfId="25796"/>
    <cellStyle name="Note 2 2 5 4 7" xfId="25797"/>
    <cellStyle name="Note 2 2 5 4 8" xfId="25798"/>
    <cellStyle name="Note 2 2 5 5" xfId="25799"/>
    <cellStyle name="Note 2 2 5 5 2" xfId="25800"/>
    <cellStyle name="Note 2 2 5 5 2 2" xfId="25801"/>
    <cellStyle name="Note 2 2 5 5 2 3" xfId="25802"/>
    <cellStyle name="Note 2 2 5 5 2 4" xfId="25803"/>
    <cellStyle name="Note 2 2 5 5 3" xfId="25804"/>
    <cellStyle name="Note 2 2 5 5 3 2" xfId="25805"/>
    <cellStyle name="Note 2 2 5 5 3 3" xfId="25806"/>
    <cellStyle name="Note 2 2 5 5 3 4" xfId="25807"/>
    <cellStyle name="Note 2 2 5 5 4" xfId="25808"/>
    <cellStyle name="Note 2 2 5 5 4 2" xfId="25809"/>
    <cellStyle name="Note 2 2 5 5 4 3" xfId="25810"/>
    <cellStyle name="Note 2 2 5 5 4 4" xfId="25811"/>
    <cellStyle name="Note 2 2 5 5 5" xfId="25812"/>
    <cellStyle name="Note 2 2 5 5 6" xfId="25813"/>
    <cellStyle name="Note 2 2 5 5 7" xfId="25814"/>
    <cellStyle name="Note 2 2 5 5 8" xfId="25815"/>
    <cellStyle name="Note 2 2 5 6" xfId="25816"/>
    <cellStyle name="Note 2 2 5 6 2" xfId="25817"/>
    <cellStyle name="Note 2 2 5 6 2 2" xfId="25818"/>
    <cellStyle name="Note 2 2 5 6 2 3" xfId="25819"/>
    <cellStyle name="Note 2 2 5 6 2 4" xfId="25820"/>
    <cellStyle name="Note 2 2 5 6 3" xfId="25821"/>
    <cellStyle name="Note 2 2 5 6 3 2" xfId="25822"/>
    <cellStyle name="Note 2 2 5 6 3 3" xfId="25823"/>
    <cellStyle name="Note 2 2 5 6 3 4" xfId="25824"/>
    <cellStyle name="Note 2 2 5 6 4" xfId="25825"/>
    <cellStyle name="Note 2 2 5 6 4 2" xfId="25826"/>
    <cellStyle name="Note 2 2 5 6 4 3" xfId="25827"/>
    <cellStyle name="Note 2 2 5 6 4 4" xfId="25828"/>
    <cellStyle name="Note 2 2 5 6 5" xfId="25829"/>
    <cellStyle name="Note 2 2 5 6 6" xfId="25830"/>
    <cellStyle name="Note 2 2 5 6 7" xfId="25831"/>
    <cellStyle name="Note 2 2 5 6 8" xfId="25832"/>
    <cellStyle name="Note 2 2 5 7" xfId="25833"/>
    <cellStyle name="Note 2 2 5 7 2" xfId="25834"/>
    <cellStyle name="Note 2 2 5 7 2 2" xfId="25835"/>
    <cellStyle name="Note 2 2 5 7 2 3" xfId="25836"/>
    <cellStyle name="Note 2 2 5 7 2 4" xfId="25837"/>
    <cellStyle name="Note 2 2 5 7 3" xfId="25838"/>
    <cellStyle name="Note 2 2 5 7 3 2" xfId="25839"/>
    <cellStyle name="Note 2 2 5 7 3 3" xfId="25840"/>
    <cellStyle name="Note 2 2 5 7 3 4" xfId="25841"/>
    <cellStyle name="Note 2 2 5 7 4" xfId="25842"/>
    <cellStyle name="Note 2 2 5 7 4 2" xfId="25843"/>
    <cellStyle name="Note 2 2 5 7 4 3" xfId="25844"/>
    <cellStyle name="Note 2 2 5 7 4 4" xfId="25845"/>
    <cellStyle name="Note 2 2 5 7 5" xfId="25846"/>
    <cellStyle name="Note 2 2 5 7 6" xfId="25847"/>
    <cellStyle name="Note 2 2 5 7 7" xfId="25848"/>
    <cellStyle name="Note 2 2 5 7 8" xfId="25849"/>
    <cellStyle name="Note 2 2 5 8" xfId="25850"/>
    <cellStyle name="Note 2 2 5 8 2" xfId="25851"/>
    <cellStyle name="Note 2 2 5 8 3" xfId="25852"/>
    <cellStyle name="Note 2 2 5 8 4" xfId="25853"/>
    <cellStyle name="Note 2 2 5 9" xfId="25854"/>
    <cellStyle name="Note 2 2 5 9 2" xfId="25855"/>
    <cellStyle name="Note 2 2 5 9 3" xfId="25856"/>
    <cellStyle name="Note 2 2 5 9 4" xfId="25857"/>
    <cellStyle name="Note 2 2 6" xfId="25858"/>
    <cellStyle name="Note 2 2 6 2" xfId="25859"/>
    <cellStyle name="Note 2 2 6 2 2" xfId="25860"/>
    <cellStyle name="Note 2 2 6 2 2 2" xfId="25861"/>
    <cellStyle name="Note 2 2 6 2 2 3" xfId="25862"/>
    <cellStyle name="Note 2 2 6 2 2 4" xfId="25863"/>
    <cellStyle name="Note 2 2 6 2 3" xfId="25864"/>
    <cellStyle name="Note 2 2 6 2 3 2" xfId="25865"/>
    <cellStyle name="Note 2 2 6 2 3 3" xfId="25866"/>
    <cellStyle name="Note 2 2 6 2 3 4" xfId="25867"/>
    <cellStyle name="Note 2 2 6 2 4" xfId="25868"/>
    <cellStyle name="Note 2 2 6 2 4 2" xfId="25869"/>
    <cellStyle name="Note 2 2 6 2 4 3" xfId="25870"/>
    <cellStyle name="Note 2 2 6 2 4 4" xfId="25871"/>
    <cellStyle name="Note 2 2 6 2 5" xfId="25872"/>
    <cellStyle name="Note 2 2 6 2 6" xfId="25873"/>
    <cellStyle name="Note 2 2 6 2 7" xfId="25874"/>
    <cellStyle name="Note 2 2 6 2 8" xfId="25875"/>
    <cellStyle name="Note 2 2 6 3" xfId="25876"/>
    <cellStyle name="Note 2 2 6 3 2" xfId="25877"/>
    <cellStyle name="Note 2 2 6 3 2 2" xfId="25878"/>
    <cellStyle name="Note 2 2 6 3 2 3" xfId="25879"/>
    <cellStyle name="Note 2 2 6 3 2 4" xfId="25880"/>
    <cellStyle name="Note 2 2 6 3 3" xfId="25881"/>
    <cellStyle name="Note 2 2 6 3 3 2" xfId="25882"/>
    <cellStyle name="Note 2 2 6 3 3 3" xfId="25883"/>
    <cellStyle name="Note 2 2 6 3 3 4" xfId="25884"/>
    <cellStyle name="Note 2 2 6 3 4" xfId="25885"/>
    <cellStyle name="Note 2 2 6 3 4 2" xfId="25886"/>
    <cellStyle name="Note 2 2 6 3 4 3" xfId="25887"/>
    <cellStyle name="Note 2 2 6 3 4 4" xfId="25888"/>
    <cellStyle name="Note 2 2 6 3 5" xfId="25889"/>
    <cellStyle name="Note 2 2 6 3 6" xfId="25890"/>
    <cellStyle name="Note 2 2 6 3 7" xfId="25891"/>
    <cellStyle name="Note 2 2 6 3 8" xfId="25892"/>
    <cellStyle name="Note 2 2 6 4" xfId="25893"/>
    <cellStyle name="Note 2 2 6 4 2" xfId="25894"/>
    <cellStyle name="Note 2 2 6 4 2 2" xfId="25895"/>
    <cellStyle name="Note 2 2 6 4 2 3" xfId="25896"/>
    <cellStyle name="Note 2 2 6 4 2 4" xfId="25897"/>
    <cellStyle name="Note 2 2 6 4 3" xfId="25898"/>
    <cellStyle name="Note 2 2 6 4 3 2" xfId="25899"/>
    <cellStyle name="Note 2 2 6 4 3 3" xfId="25900"/>
    <cellStyle name="Note 2 2 6 4 3 4" xfId="25901"/>
    <cellStyle name="Note 2 2 6 4 4" xfId="25902"/>
    <cellStyle name="Note 2 2 6 4 4 2" xfId="25903"/>
    <cellStyle name="Note 2 2 6 4 4 3" xfId="25904"/>
    <cellStyle name="Note 2 2 6 4 4 4" xfId="25905"/>
    <cellStyle name="Note 2 2 6 4 5" xfId="25906"/>
    <cellStyle name="Note 2 2 6 4 6" xfId="25907"/>
    <cellStyle name="Note 2 2 6 4 7" xfId="25908"/>
    <cellStyle name="Note 2 2 6 4 8" xfId="25909"/>
    <cellStyle name="Note 2 2 6 5" xfId="25910"/>
    <cellStyle name="Note 2 2 6 5 2" xfId="25911"/>
    <cellStyle name="Note 2 2 6 5 2 2" xfId="25912"/>
    <cellStyle name="Note 2 2 6 5 2 3" xfId="25913"/>
    <cellStyle name="Note 2 2 6 5 2 4" xfId="25914"/>
    <cellStyle name="Note 2 2 6 5 3" xfId="25915"/>
    <cellStyle name="Note 2 2 6 5 3 2" xfId="25916"/>
    <cellStyle name="Note 2 2 6 5 3 3" xfId="25917"/>
    <cellStyle name="Note 2 2 6 5 3 4" xfId="25918"/>
    <cellStyle name="Note 2 2 6 5 4" xfId="25919"/>
    <cellStyle name="Note 2 2 6 5 4 2" xfId="25920"/>
    <cellStyle name="Note 2 2 6 5 4 3" xfId="25921"/>
    <cellStyle name="Note 2 2 6 5 4 4" xfId="25922"/>
    <cellStyle name="Note 2 2 6 5 5" xfId="25923"/>
    <cellStyle name="Note 2 2 6 5 6" xfId="25924"/>
    <cellStyle name="Note 2 2 6 5 7" xfId="25925"/>
    <cellStyle name="Note 2 2 6 5 8" xfId="25926"/>
    <cellStyle name="Note 2 2 6 6" xfId="25927"/>
    <cellStyle name="Note 2 2 6 6 2" xfId="25928"/>
    <cellStyle name="Note 2 2 6 6 3" xfId="25929"/>
    <cellStyle name="Note 2 2 6 6 4" xfId="25930"/>
    <cellStyle name="Note 2 2 6 7" xfId="25931"/>
    <cellStyle name="Note 2 2 6 7 2" xfId="25932"/>
    <cellStyle name="Note 2 2 6 7 3" xfId="25933"/>
    <cellStyle name="Note 2 2 6 7 4" xfId="25934"/>
    <cellStyle name="Note 2 2 6 8" xfId="25935"/>
    <cellStyle name="Note 2 2 6 9" xfId="25936"/>
    <cellStyle name="Note 2 2 7" xfId="25937"/>
    <cellStyle name="Note 2 2 7 2" xfId="25938"/>
    <cellStyle name="Note 2 2 7 2 2" xfId="25939"/>
    <cellStyle name="Note 2 2 7 2 3" xfId="25940"/>
    <cellStyle name="Note 2 2 7 2 4" xfId="25941"/>
    <cellStyle name="Note 2 2 7 3" xfId="25942"/>
    <cellStyle name="Note 2 2 7 3 2" xfId="25943"/>
    <cellStyle name="Note 2 2 7 3 3" xfId="25944"/>
    <cellStyle name="Note 2 2 7 3 4" xfId="25945"/>
    <cellStyle name="Note 2 2 7 4" xfId="25946"/>
    <cellStyle name="Note 2 2 7 4 2" xfId="25947"/>
    <cellStyle name="Note 2 2 7 4 3" xfId="25948"/>
    <cellStyle name="Note 2 2 7 4 4" xfId="25949"/>
    <cellStyle name="Note 2 2 7 5" xfId="25950"/>
    <cellStyle name="Note 2 2 7 6" xfId="25951"/>
    <cellStyle name="Note 2 2 7 7" xfId="25952"/>
    <cellStyle name="Note 2 2 7 8" xfId="25953"/>
    <cellStyle name="Note 2 2 8" xfId="25954"/>
    <cellStyle name="Note 2 2 8 2" xfId="25955"/>
    <cellStyle name="Note 2 2 8 2 2" xfId="25956"/>
    <cellStyle name="Note 2 2 8 2 3" xfId="25957"/>
    <cellStyle name="Note 2 2 8 2 4" xfId="25958"/>
    <cellStyle name="Note 2 2 8 3" xfId="25959"/>
    <cellStyle name="Note 2 2 8 3 2" xfId="25960"/>
    <cellStyle name="Note 2 2 8 3 3" xfId="25961"/>
    <cellStyle name="Note 2 2 8 3 4" xfId="25962"/>
    <cellStyle name="Note 2 2 8 4" xfId="25963"/>
    <cellStyle name="Note 2 2 8 4 2" xfId="25964"/>
    <cellStyle name="Note 2 2 8 4 3" xfId="25965"/>
    <cellStyle name="Note 2 2 8 4 4" xfId="25966"/>
    <cellStyle name="Note 2 2 8 5" xfId="25967"/>
    <cellStyle name="Note 2 2 8 6" xfId="25968"/>
    <cellStyle name="Note 2 2 8 7" xfId="25969"/>
    <cellStyle name="Note 2 2 8 8" xfId="25970"/>
    <cellStyle name="Note 2 2 9" xfId="25971"/>
    <cellStyle name="Note 2 2 9 2" xfId="25972"/>
    <cellStyle name="Note 2 2 9 2 2" xfId="25973"/>
    <cellStyle name="Note 2 2 9 2 3" xfId="25974"/>
    <cellStyle name="Note 2 2 9 2 4" xfId="25975"/>
    <cellStyle name="Note 2 2 9 3" xfId="25976"/>
    <cellStyle name="Note 2 2 9 3 2" xfId="25977"/>
    <cellStyle name="Note 2 2 9 3 3" xfId="25978"/>
    <cellStyle name="Note 2 2 9 3 4" xfId="25979"/>
    <cellStyle name="Note 2 2 9 4" xfId="25980"/>
    <cellStyle name="Note 2 2 9 4 2" xfId="25981"/>
    <cellStyle name="Note 2 2 9 4 3" xfId="25982"/>
    <cellStyle name="Note 2 2 9 4 4" xfId="25983"/>
    <cellStyle name="Note 2 2 9 5" xfId="25984"/>
    <cellStyle name="Note 2 2 9 6" xfId="25985"/>
    <cellStyle name="Note 2 2 9 7" xfId="25986"/>
    <cellStyle name="Note 2 2 9 8" xfId="25987"/>
    <cellStyle name="Note 2 3" xfId="25988"/>
    <cellStyle name="Note 2 3 10" xfId="25989"/>
    <cellStyle name="Note 2 3 10 2" xfId="25990"/>
    <cellStyle name="Note 2 3 10 2 2" xfId="25991"/>
    <cellStyle name="Note 2 3 10 2 3" xfId="25992"/>
    <cellStyle name="Note 2 3 10 2 4" xfId="25993"/>
    <cellStyle name="Note 2 3 10 3" xfId="25994"/>
    <cellStyle name="Note 2 3 10 3 2" xfId="25995"/>
    <cellStyle name="Note 2 3 10 3 3" xfId="25996"/>
    <cellStyle name="Note 2 3 10 3 4" xfId="25997"/>
    <cellStyle name="Note 2 3 10 4" xfId="25998"/>
    <cellStyle name="Note 2 3 10 4 2" xfId="25999"/>
    <cellStyle name="Note 2 3 10 4 3" xfId="26000"/>
    <cellStyle name="Note 2 3 10 4 4" xfId="26001"/>
    <cellStyle name="Note 2 3 10 5" xfId="26002"/>
    <cellStyle name="Note 2 3 10 6" xfId="26003"/>
    <cellStyle name="Note 2 3 10 7" xfId="26004"/>
    <cellStyle name="Note 2 3 10 8" xfId="26005"/>
    <cellStyle name="Note 2 3 11" xfId="26006"/>
    <cellStyle name="Note 2 3 11 2" xfId="26007"/>
    <cellStyle name="Note 2 3 11 3" xfId="26008"/>
    <cellStyle name="Note 2 3 11 4" xfId="26009"/>
    <cellStyle name="Note 2 3 12" xfId="26010"/>
    <cellStyle name="Note 2 3 12 2" xfId="26011"/>
    <cellStyle name="Note 2 3 12 3" xfId="26012"/>
    <cellStyle name="Note 2 3 12 4" xfId="26013"/>
    <cellStyle name="Note 2 3 13" xfId="26014"/>
    <cellStyle name="Note 2 3 14" xfId="26015"/>
    <cellStyle name="Note 2 3 2" xfId="26016"/>
    <cellStyle name="Note 2 3 2 10" xfId="26017"/>
    <cellStyle name="Note 2 3 2 10 2" xfId="26018"/>
    <cellStyle name="Note 2 3 2 10 3" xfId="26019"/>
    <cellStyle name="Note 2 3 2 10 4" xfId="26020"/>
    <cellStyle name="Note 2 3 2 11" xfId="26021"/>
    <cellStyle name="Note 2 3 2 11 2" xfId="26022"/>
    <cellStyle name="Note 2 3 2 11 3" xfId="26023"/>
    <cellStyle name="Note 2 3 2 11 4" xfId="26024"/>
    <cellStyle name="Note 2 3 2 12" xfId="26025"/>
    <cellStyle name="Note 2 3 2 13" xfId="26026"/>
    <cellStyle name="Note 2 3 2 2" xfId="26027"/>
    <cellStyle name="Note 2 3 2 2 10" xfId="26028"/>
    <cellStyle name="Note 2 3 2 2 10 2" xfId="26029"/>
    <cellStyle name="Note 2 3 2 2 10 3" xfId="26030"/>
    <cellStyle name="Note 2 3 2 2 10 4" xfId="26031"/>
    <cellStyle name="Note 2 3 2 2 11" xfId="26032"/>
    <cellStyle name="Note 2 3 2 2 12" xfId="26033"/>
    <cellStyle name="Note 2 3 2 2 2" xfId="26034"/>
    <cellStyle name="Note 2 3 2 2 2 10" xfId="26035"/>
    <cellStyle name="Note 2 3 2 2 2 11" xfId="26036"/>
    <cellStyle name="Note 2 3 2 2 2 2" xfId="26037"/>
    <cellStyle name="Note 2 3 2 2 2 2 2" xfId="26038"/>
    <cellStyle name="Note 2 3 2 2 2 2 2 2" xfId="26039"/>
    <cellStyle name="Note 2 3 2 2 2 2 2 2 2" xfId="26040"/>
    <cellStyle name="Note 2 3 2 2 2 2 2 2 3" xfId="26041"/>
    <cellStyle name="Note 2 3 2 2 2 2 2 2 4" xfId="26042"/>
    <cellStyle name="Note 2 3 2 2 2 2 2 3" xfId="26043"/>
    <cellStyle name="Note 2 3 2 2 2 2 2 3 2" xfId="26044"/>
    <cellStyle name="Note 2 3 2 2 2 2 2 3 3" xfId="26045"/>
    <cellStyle name="Note 2 3 2 2 2 2 2 3 4" xfId="26046"/>
    <cellStyle name="Note 2 3 2 2 2 2 2 4" xfId="26047"/>
    <cellStyle name="Note 2 3 2 2 2 2 2 4 2" xfId="26048"/>
    <cellStyle name="Note 2 3 2 2 2 2 2 4 3" xfId="26049"/>
    <cellStyle name="Note 2 3 2 2 2 2 2 4 4" xfId="26050"/>
    <cellStyle name="Note 2 3 2 2 2 2 2 5" xfId="26051"/>
    <cellStyle name="Note 2 3 2 2 2 2 2 6" xfId="26052"/>
    <cellStyle name="Note 2 3 2 2 2 2 2 7" xfId="26053"/>
    <cellStyle name="Note 2 3 2 2 2 2 2 8" xfId="26054"/>
    <cellStyle name="Note 2 3 2 2 2 2 3" xfId="26055"/>
    <cellStyle name="Note 2 3 2 2 2 2 3 2" xfId="26056"/>
    <cellStyle name="Note 2 3 2 2 2 2 3 2 2" xfId="26057"/>
    <cellStyle name="Note 2 3 2 2 2 2 3 2 3" xfId="26058"/>
    <cellStyle name="Note 2 3 2 2 2 2 3 2 4" xfId="26059"/>
    <cellStyle name="Note 2 3 2 2 2 2 3 3" xfId="26060"/>
    <cellStyle name="Note 2 3 2 2 2 2 3 3 2" xfId="26061"/>
    <cellStyle name="Note 2 3 2 2 2 2 3 3 3" xfId="26062"/>
    <cellStyle name="Note 2 3 2 2 2 2 3 3 4" xfId="26063"/>
    <cellStyle name="Note 2 3 2 2 2 2 3 4" xfId="26064"/>
    <cellStyle name="Note 2 3 2 2 2 2 3 4 2" xfId="26065"/>
    <cellStyle name="Note 2 3 2 2 2 2 3 4 3" xfId="26066"/>
    <cellStyle name="Note 2 3 2 2 2 2 3 4 4" xfId="26067"/>
    <cellStyle name="Note 2 3 2 2 2 2 3 5" xfId="26068"/>
    <cellStyle name="Note 2 3 2 2 2 2 3 6" xfId="26069"/>
    <cellStyle name="Note 2 3 2 2 2 2 3 7" xfId="26070"/>
    <cellStyle name="Note 2 3 2 2 2 2 3 8" xfId="26071"/>
    <cellStyle name="Note 2 3 2 2 2 2 4" xfId="26072"/>
    <cellStyle name="Note 2 3 2 2 2 2 4 2" xfId="26073"/>
    <cellStyle name="Note 2 3 2 2 2 2 4 2 2" xfId="26074"/>
    <cellStyle name="Note 2 3 2 2 2 2 4 2 3" xfId="26075"/>
    <cellStyle name="Note 2 3 2 2 2 2 4 2 4" xfId="26076"/>
    <cellStyle name="Note 2 3 2 2 2 2 4 3" xfId="26077"/>
    <cellStyle name="Note 2 3 2 2 2 2 4 3 2" xfId="26078"/>
    <cellStyle name="Note 2 3 2 2 2 2 4 3 3" xfId="26079"/>
    <cellStyle name="Note 2 3 2 2 2 2 4 3 4" xfId="26080"/>
    <cellStyle name="Note 2 3 2 2 2 2 4 4" xfId="26081"/>
    <cellStyle name="Note 2 3 2 2 2 2 4 4 2" xfId="26082"/>
    <cellStyle name="Note 2 3 2 2 2 2 4 4 3" xfId="26083"/>
    <cellStyle name="Note 2 3 2 2 2 2 4 4 4" xfId="26084"/>
    <cellStyle name="Note 2 3 2 2 2 2 4 5" xfId="26085"/>
    <cellStyle name="Note 2 3 2 2 2 2 4 6" xfId="26086"/>
    <cellStyle name="Note 2 3 2 2 2 2 4 7" xfId="26087"/>
    <cellStyle name="Note 2 3 2 2 2 2 4 8" xfId="26088"/>
    <cellStyle name="Note 2 3 2 2 2 2 5" xfId="26089"/>
    <cellStyle name="Note 2 3 2 2 2 2 5 2" xfId="26090"/>
    <cellStyle name="Note 2 3 2 2 2 2 5 2 2" xfId="26091"/>
    <cellStyle name="Note 2 3 2 2 2 2 5 2 3" xfId="26092"/>
    <cellStyle name="Note 2 3 2 2 2 2 5 2 4" xfId="26093"/>
    <cellStyle name="Note 2 3 2 2 2 2 5 3" xfId="26094"/>
    <cellStyle name="Note 2 3 2 2 2 2 5 3 2" xfId="26095"/>
    <cellStyle name="Note 2 3 2 2 2 2 5 3 3" xfId="26096"/>
    <cellStyle name="Note 2 3 2 2 2 2 5 3 4" xfId="26097"/>
    <cellStyle name="Note 2 3 2 2 2 2 5 4" xfId="26098"/>
    <cellStyle name="Note 2 3 2 2 2 2 5 4 2" xfId="26099"/>
    <cellStyle name="Note 2 3 2 2 2 2 5 4 3" xfId="26100"/>
    <cellStyle name="Note 2 3 2 2 2 2 5 4 4" xfId="26101"/>
    <cellStyle name="Note 2 3 2 2 2 2 5 5" xfId="26102"/>
    <cellStyle name="Note 2 3 2 2 2 2 5 6" xfId="26103"/>
    <cellStyle name="Note 2 3 2 2 2 2 5 7" xfId="26104"/>
    <cellStyle name="Note 2 3 2 2 2 2 5 8" xfId="26105"/>
    <cellStyle name="Note 2 3 2 2 2 2 6" xfId="26106"/>
    <cellStyle name="Note 2 3 2 2 2 2 6 2" xfId="26107"/>
    <cellStyle name="Note 2 3 2 2 2 2 6 3" xfId="26108"/>
    <cellStyle name="Note 2 3 2 2 2 2 6 4" xfId="26109"/>
    <cellStyle name="Note 2 3 2 2 2 2 7" xfId="26110"/>
    <cellStyle name="Note 2 3 2 2 2 2 7 2" xfId="26111"/>
    <cellStyle name="Note 2 3 2 2 2 2 7 3" xfId="26112"/>
    <cellStyle name="Note 2 3 2 2 2 2 7 4" xfId="26113"/>
    <cellStyle name="Note 2 3 2 2 2 2 8" xfId="26114"/>
    <cellStyle name="Note 2 3 2 2 2 2 9" xfId="26115"/>
    <cellStyle name="Note 2 3 2 2 2 3" xfId="26116"/>
    <cellStyle name="Note 2 3 2 2 2 3 2" xfId="26117"/>
    <cellStyle name="Note 2 3 2 2 2 3 2 2" xfId="26118"/>
    <cellStyle name="Note 2 3 2 2 2 3 2 3" xfId="26119"/>
    <cellStyle name="Note 2 3 2 2 2 3 2 4" xfId="26120"/>
    <cellStyle name="Note 2 3 2 2 2 3 3" xfId="26121"/>
    <cellStyle name="Note 2 3 2 2 2 3 3 2" xfId="26122"/>
    <cellStyle name="Note 2 3 2 2 2 3 3 3" xfId="26123"/>
    <cellStyle name="Note 2 3 2 2 2 3 3 4" xfId="26124"/>
    <cellStyle name="Note 2 3 2 2 2 3 4" xfId="26125"/>
    <cellStyle name="Note 2 3 2 2 2 3 4 2" xfId="26126"/>
    <cellStyle name="Note 2 3 2 2 2 3 4 3" xfId="26127"/>
    <cellStyle name="Note 2 3 2 2 2 3 4 4" xfId="26128"/>
    <cellStyle name="Note 2 3 2 2 2 3 5" xfId="26129"/>
    <cellStyle name="Note 2 3 2 2 2 3 6" xfId="26130"/>
    <cellStyle name="Note 2 3 2 2 2 3 7" xfId="26131"/>
    <cellStyle name="Note 2 3 2 2 2 3 8" xfId="26132"/>
    <cellStyle name="Note 2 3 2 2 2 4" xfId="26133"/>
    <cellStyle name="Note 2 3 2 2 2 4 2" xfId="26134"/>
    <cellStyle name="Note 2 3 2 2 2 4 2 2" xfId="26135"/>
    <cellStyle name="Note 2 3 2 2 2 4 2 3" xfId="26136"/>
    <cellStyle name="Note 2 3 2 2 2 4 2 4" xfId="26137"/>
    <cellStyle name="Note 2 3 2 2 2 4 3" xfId="26138"/>
    <cellStyle name="Note 2 3 2 2 2 4 3 2" xfId="26139"/>
    <cellStyle name="Note 2 3 2 2 2 4 3 3" xfId="26140"/>
    <cellStyle name="Note 2 3 2 2 2 4 3 4" xfId="26141"/>
    <cellStyle name="Note 2 3 2 2 2 4 4" xfId="26142"/>
    <cellStyle name="Note 2 3 2 2 2 4 4 2" xfId="26143"/>
    <cellStyle name="Note 2 3 2 2 2 4 4 3" xfId="26144"/>
    <cellStyle name="Note 2 3 2 2 2 4 4 4" xfId="26145"/>
    <cellStyle name="Note 2 3 2 2 2 4 5" xfId="26146"/>
    <cellStyle name="Note 2 3 2 2 2 4 6" xfId="26147"/>
    <cellStyle name="Note 2 3 2 2 2 4 7" xfId="26148"/>
    <cellStyle name="Note 2 3 2 2 2 4 8" xfId="26149"/>
    <cellStyle name="Note 2 3 2 2 2 5" xfId="26150"/>
    <cellStyle name="Note 2 3 2 2 2 5 2" xfId="26151"/>
    <cellStyle name="Note 2 3 2 2 2 5 2 2" xfId="26152"/>
    <cellStyle name="Note 2 3 2 2 2 5 2 3" xfId="26153"/>
    <cellStyle name="Note 2 3 2 2 2 5 2 4" xfId="26154"/>
    <cellStyle name="Note 2 3 2 2 2 5 3" xfId="26155"/>
    <cellStyle name="Note 2 3 2 2 2 5 3 2" xfId="26156"/>
    <cellStyle name="Note 2 3 2 2 2 5 3 3" xfId="26157"/>
    <cellStyle name="Note 2 3 2 2 2 5 3 4" xfId="26158"/>
    <cellStyle name="Note 2 3 2 2 2 5 4" xfId="26159"/>
    <cellStyle name="Note 2 3 2 2 2 5 4 2" xfId="26160"/>
    <cellStyle name="Note 2 3 2 2 2 5 4 3" xfId="26161"/>
    <cellStyle name="Note 2 3 2 2 2 5 4 4" xfId="26162"/>
    <cellStyle name="Note 2 3 2 2 2 5 5" xfId="26163"/>
    <cellStyle name="Note 2 3 2 2 2 5 6" xfId="26164"/>
    <cellStyle name="Note 2 3 2 2 2 5 7" xfId="26165"/>
    <cellStyle name="Note 2 3 2 2 2 5 8" xfId="26166"/>
    <cellStyle name="Note 2 3 2 2 2 6" xfId="26167"/>
    <cellStyle name="Note 2 3 2 2 2 6 2" xfId="26168"/>
    <cellStyle name="Note 2 3 2 2 2 6 2 2" xfId="26169"/>
    <cellStyle name="Note 2 3 2 2 2 6 2 3" xfId="26170"/>
    <cellStyle name="Note 2 3 2 2 2 6 2 4" xfId="26171"/>
    <cellStyle name="Note 2 3 2 2 2 6 3" xfId="26172"/>
    <cellStyle name="Note 2 3 2 2 2 6 3 2" xfId="26173"/>
    <cellStyle name="Note 2 3 2 2 2 6 3 3" xfId="26174"/>
    <cellStyle name="Note 2 3 2 2 2 6 3 4" xfId="26175"/>
    <cellStyle name="Note 2 3 2 2 2 6 4" xfId="26176"/>
    <cellStyle name="Note 2 3 2 2 2 6 4 2" xfId="26177"/>
    <cellStyle name="Note 2 3 2 2 2 6 4 3" xfId="26178"/>
    <cellStyle name="Note 2 3 2 2 2 6 4 4" xfId="26179"/>
    <cellStyle name="Note 2 3 2 2 2 6 5" xfId="26180"/>
    <cellStyle name="Note 2 3 2 2 2 6 6" xfId="26181"/>
    <cellStyle name="Note 2 3 2 2 2 6 7" xfId="26182"/>
    <cellStyle name="Note 2 3 2 2 2 6 8" xfId="26183"/>
    <cellStyle name="Note 2 3 2 2 2 7" xfId="26184"/>
    <cellStyle name="Note 2 3 2 2 2 7 2" xfId="26185"/>
    <cellStyle name="Note 2 3 2 2 2 7 2 2" xfId="26186"/>
    <cellStyle name="Note 2 3 2 2 2 7 2 3" xfId="26187"/>
    <cellStyle name="Note 2 3 2 2 2 7 2 4" xfId="26188"/>
    <cellStyle name="Note 2 3 2 2 2 7 3" xfId="26189"/>
    <cellStyle name="Note 2 3 2 2 2 7 3 2" xfId="26190"/>
    <cellStyle name="Note 2 3 2 2 2 7 3 3" xfId="26191"/>
    <cellStyle name="Note 2 3 2 2 2 7 3 4" xfId="26192"/>
    <cellStyle name="Note 2 3 2 2 2 7 4" xfId="26193"/>
    <cellStyle name="Note 2 3 2 2 2 7 4 2" xfId="26194"/>
    <cellStyle name="Note 2 3 2 2 2 7 4 3" xfId="26195"/>
    <cellStyle name="Note 2 3 2 2 2 7 4 4" xfId="26196"/>
    <cellStyle name="Note 2 3 2 2 2 7 5" xfId="26197"/>
    <cellStyle name="Note 2 3 2 2 2 7 6" xfId="26198"/>
    <cellStyle name="Note 2 3 2 2 2 7 7" xfId="26199"/>
    <cellStyle name="Note 2 3 2 2 2 7 8" xfId="26200"/>
    <cellStyle name="Note 2 3 2 2 2 8" xfId="26201"/>
    <cellStyle name="Note 2 3 2 2 2 8 2" xfId="26202"/>
    <cellStyle name="Note 2 3 2 2 2 8 3" xfId="26203"/>
    <cellStyle name="Note 2 3 2 2 2 8 4" xfId="26204"/>
    <cellStyle name="Note 2 3 2 2 2 9" xfId="26205"/>
    <cellStyle name="Note 2 3 2 2 2 9 2" xfId="26206"/>
    <cellStyle name="Note 2 3 2 2 2 9 3" xfId="26207"/>
    <cellStyle name="Note 2 3 2 2 2 9 4" xfId="26208"/>
    <cellStyle name="Note 2 3 2 2 3" xfId="26209"/>
    <cellStyle name="Note 2 3 2 2 3 2" xfId="26210"/>
    <cellStyle name="Note 2 3 2 2 3 2 2" xfId="26211"/>
    <cellStyle name="Note 2 3 2 2 3 2 2 2" xfId="26212"/>
    <cellStyle name="Note 2 3 2 2 3 2 2 3" xfId="26213"/>
    <cellStyle name="Note 2 3 2 2 3 2 2 4" xfId="26214"/>
    <cellStyle name="Note 2 3 2 2 3 2 3" xfId="26215"/>
    <cellStyle name="Note 2 3 2 2 3 2 3 2" xfId="26216"/>
    <cellStyle name="Note 2 3 2 2 3 2 3 3" xfId="26217"/>
    <cellStyle name="Note 2 3 2 2 3 2 3 4" xfId="26218"/>
    <cellStyle name="Note 2 3 2 2 3 2 4" xfId="26219"/>
    <cellStyle name="Note 2 3 2 2 3 2 4 2" xfId="26220"/>
    <cellStyle name="Note 2 3 2 2 3 2 4 3" xfId="26221"/>
    <cellStyle name="Note 2 3 2 2 3 2 4 4" xfId="26222"/>
    <cellStyle name="Note 2 3 2 2 3 2 5" xfId="26223"/>
    <cellStyle name="Note 2 3 2 2 3 2 6" xfId="26224"/>
    <cellStyle name="Note 2 3 2 2 3 2 7" xfId="26225"/>
    <cellStyle name="Note 2 3 2 2 3 2 8" xfId="26226"/>
    <cellStyle name="Note 2 3 2 2 3 3" xfId="26227"/>
    <cellStyle name="Note 2 3 2 2 3 3 2" xfId="26228"/>
    <cellStyle name="Note 2 3 2 2 3 3 2 2" xfId="26229"/>
    <cellStyle name="Note 2 3 2 2 3 3 2 3" xfId="26230"/>
    <cellStyle name="Note 2 3 2 2 3 3 2 4" xfId="26231"/>
    <cellStyle name="Note 2 3 2 2 3 3 3" xfId="26232"/>
    <cellStyle name="Note 2 3 2 2 3 3 3 2" xfId="26233"/>
    <cellStyle name="Note 2 3 2 2 3 3 3 3" xfId="26234"/>
    <cellStyle name="Note 2 3 2 2 3 3 3 4" xfId="26235"/>
    <cellStyle name="Note 2 3 2 2 3 3 4" xfId="26236"/>
    <cellStyle name="Note 2 3 2 2 3 3 4 2" xfId="26237"/>
    <cellStyle name="Note 2 3 2 2 3 3 4 3" xfId="26238"/>
    <cellStyle name="Note 2 3 2 2 3 3 4 4" xfId="26239"/>
    <cellStyle name="Note 2 3 2 2 3 3 5" xfId="26240"/>
    <cellStyle name="Note 2 3 2 2 3 3 6" xfId="26241"/>
    <cellStyle name="Note 2 3 2 2 3 3 7" xfId="26242"/>
    <cellStyle name="Note 2 3 2 2 3 3 8" xfId="26243"/>
    <cellStyle name="Note 2 3 2 2 3 4" xfId="26244"/>
    <cellStyle name="Note 2 3 2 2 3 4 2" xfId="26245"/>
    <cellStyle name="Note 2 3 2 2 3 4 2 2" xfId="26246"/>
    <cellStyle name="Note 2 3 2 2 3 4 2 3" xfId="26247"/>
    <cellStyle name="Note 2 3 2 2 3 4 2 4" xfId="26248"/>
    <cellStyle name="Note 2 3 2 2 3 4 3" xfId="26249"/>
    <cellStyle name="Note 2 3 2 2 3 4 3 2" xfId="26250"/>
    <cellStyle name="Note 2 3 2 2 3 4 3 3" xfId="26251"/>
    <cellStyle name="Note 2 3 2 2 3 4 3 4" xfId="26252"/>
    <cellStyle name="Note 2 3 2 2 3 4 4" xfId="26253"/>
    <cellStyle name="Note 2 3 2 2 3 4 4 2" xfId="26254"/>
    <cellStyle name="Note 2 3 2 2 3 4 4 3" xfId="26255"/>
    <cellStyle name="Note 2 3 2 2 3 4 4 4" xfId="26256"/>
    <cellStyle name="Note 2 3 2 2 3 4 5" xfId="26257"/>
    <cellStyle name="Note 2 3 2 2 3 4 6" xfId="26258"/>
    <cellStyle name="Note 2 3 2 2 3 4 7" xfId="26259"/>
    <cellStyle name="Note 2 3 2 2 3 4 8" xfId="26260"/>
    <cellStyle name="Note 2 3 2 2 3 5" xfId="26261"/>
    <cellStyle name="Note 2 3 2 2 3 5 2" xfId="26262"/>
    <cellStyle name="Note 2 3 2 2 3 5 2 2" xfId="26263"/>
    <cellStyle name="Note 2 3 2 2 3 5 2 3" xfId="26264"/>
    <cellStyle name="Note 2 3 2 2 3 5 2 4" xfId="26265"/>
    <cellStyle name="Note 2 3 2 2 3 5 3" xfId="26266"/>
    <cellStyle name="Note 2 3 2 2 3 5 3 2" xfId="26267"/>
    <cellStyle name="Note 2 3 2 2 3 5 3 3" xfId="26268"/>
    <cellStyle name="Note 2 3 2 2 3 5 3 4" xfId="26269"/>
    <cellStyle name="Note 2 3 2 2 3 5 4" xfId="26270"/>
    <cellStyle name="Note 2 3 2 2 3 5 4 2" xfId="26271"/>
    <cellStyle name="Note 2 3 2 2 3 5 4 3" xfId="26272"/>
    <cellStyle name="Note 2 3 2 2 3 5 4 4" xfId="26273"/>
    <cellStyle name="Note 2 3 2 2 3 5 5" xfId="26274"/>
    <cellStyle name="Note 2 3 2 2 3 5 6" xfId="26275"/>
    <cellStyle name="Note 2 3 2 2 3 5 7" xfId="26276"/>
    <cellStyle name="Note 2 3 2 2 3 5 8" xfId="26277"/>
    <cellStyle name="Note 2 3 2 2 3 6" xfId="26278"/>
    <cellStyle name="Note 2 3 2 2 3 6 2" xfId="26279"/>
    <cellStyle name="Note 2 3 2 2 3 6 3" xfId="26280"/>
    <cellStyle name="Note 2 3 2 2 3 6 4" xfId="26281"/>
    <cellStyle name="Note 2 3 2 2 3 7" xfId="26282"/>
    <cellStyle name="Note 2 3 2 2 3 7 2" xfId="26283"/>
    <cellStyle name="Note 2 3 2 2 3 7 3" xfId="26284"/>
    <cellStyle name="Note 2 3 2 2 3 7 4" xfId="26285"/>
    <cellStyle name="Note 2 3 2 2 3 8" xfId="26286"/>
    <cellStyle name="Note 2 3 2 2 3 9" xfId="26287"/>
    <cellStyle name="Note 2 3 2 2 4" xfId="26288"/>
    <cellStyle name="Note 2 3 2 2 4 2" xfId="26289"/>
    <cellStyle name="Note 2 3 2 2 4 2 2" xfId="26290"/>
    <cellStyle name="Note 2 3 2 2 4 2 3" xfId="26291"/>
    <cellStyle name="Note 2 3 2 2 4 2 4" xfId="26292"/>
    <cellStyle name="Note 2 3 2 2 4 3" xfId="26293"/>
    <cellStyle name="Note 2 3 2 2 4 3 2" xfId="26294"/>
    <cellStyle name="Note 2 3 2 2 4 3 3" xfId="26295"/>
    <cellStyle name="Note 2 3 2 2 4 3 4" xfId="26296"/>
    <cellStyle name="Note 2 3 2 2 4 4" xfId="26297"/>
    <cellStyle name="Note 2 3 2 2 4 4 2" xfId="26298"/>
    <cellStyle name="Note 2 3 2 2 4 4 3" xfId="26299"/>
    <cellStyle name="Note 2 3 2 2 4 4 4" xfId="26300"/>
    <cellStyle name="Note 2 3 2 2 4 5" xfId="26301"/>
    <cellStyle name="Note 2 3 2 2 4 6" xfId="26302"/>
    <cellStyle name="Note 2 3 2 2 4 7" xfId="26303"/>
    <cellStyle name="Note 2 3 2 2 4 8" xfId="26304"/>
    <cellStyle name="Note 2 3 2 2 5" xfId="26305"/>
    <cellStyle name="Note 2 3 2 2 5 2" xfId="26306"/>
    <cellStyle name="Note 2 3 2 2 5 2 2" xfId="26307"/>
    <cellStyle name="Note 2 3 2 2 5 2 3" xfId="26308"/>
    <cellStyle name="Note 2 3 2 2 5 2 4" xfId="26309"/>
    <cellStyle name="Note 2 3 2 2 5 3" xfId="26310"/>
    <cellStyle name="Note 2 3 2 2 5 3 2" xfId="26311"/>
    <cellStyle name="Note 2 3 2 2 5 3 3" xfId="26312"/>
    <cellStyle name="Note 2 3 2 2 5 3 4" xfId="26313"/>
    <cellStyle name="Note 2 3 2 2 5 4" xfId="26314"/>
    <cellStyle name="Note 2 3 2 2 5 4 2" xfId="26315"/>
    <cellStyle name="Note 2 3 2 2 5 4 3" xfId="26316"/>
    <cellStyle name="Note 2 3 2 2 5 4 4" xfId="26317"/>
    <cellStyle name="Note 2 3 2 2 5 5" xfId="26318"/>
    <cellStyle name="Note 2 3 2 2 5 6" xfId="26319"/>
    <cellStyle name="Note 2 3 2 2 5 7" xfId="26320"/>
    <cellStyle name="Note 2 3 2 2 5 8" xfId="26321"/>
    <cellStyle name="Note 2 3 2 2 6" xfId="26322"/>
    <cellStyle name="Note 2 3 2 2 6 2" xfId="26323"/>
    <cellStyle name="Note 2 3 2 2 6 2 2" xfId="26324"/>
    <cellStyle name="Note 2 3 2 2 6 2 3" xfId="26325"/>
    <cellStyle name="Note 2 3 2 2 6 2 4" xfId="26326"/>
    <cellStyle name="Note 2 3 2 2 6 3" xfId="26327"/>
    <cellStyle name="Note 2 3 2 2 6 3 2" xfId="26328"/>
    <cellStyle name="Note 2 3 2 2 6 3 3" xfId="26329"/>
    <cellStyle name="Note 2 3 2 2 6 3 4" xfId="26330"/>
    <cellStyle name="Note 2 3 2 2 6 4" xfId="26331"/>
    <cellStyle name="Note 2 3 2 2 6 4 2" xfId="26332"/>
    <cellStyle name="Note 2 3 2 2 6 4 3" xfId="26333"/>
    <cellStyle name="Note 2 3 2 2 6 4 4" xfId="26334"/>
    <cellStyle name="Note 2 3 2 2 6 5" xfId="26335"/>
    <cellStyle name="Note 2 3 2 2 6 6" xfId="26336"/>
    <cellStyle name="Note 2 3 2 2 6 7" xfId="26337"/>
    <cellStyle name="Note 2 3 2 2 6 8" xfId="26338"/>
    <cellStyle name="Note 2 3 2 2 7" xfId="26339"/>
    <cellStyle name="Note 2 3 2 2 7 2" xfId="26340"/>
    <cellStyle name="Note 2 3 2 2 7 2 2" xfId="26341"/>
    <cellStyle name="Note 2 3 2 2 7 2 3" xfId="26342"/>
    <cellStyle name="Note 2 3 2 2 7 2 4" xfId="26343"/>
    <cellStyle name="Note 2 3 2 2 7 3" xfId="26344"/>
    <cellStyle name="Note 2 3 2 2 7 3 2" xfId="26345"/>
    <cellStyle name="Note 2 3 2 2 7 3 3" xfId="26346"/>
    <cellStyle name="Note 2 3 2 2 7 3 4" xfId="26347"/>
    <cellStyle name="Note 2 3 2 2 7 4" xfId="26348"/>
    <cellStyle name="Note 2 3 2 2 7 4 2" xfId="26349"/>
    <cellStyle name="Note 2 3 2 2 7 4 3" xfId="26350"/>
    <cellStyle name="Note 2 3 2 2 7 4 4" xfId="26351"/>
    <cellStyle name="Note 2 3 2 2 7 5" xfId="26352"/>
    <cellStyle name="Note 2 3 2 2 7 6" xfId="26353"/>
    <cellStyle name="Note 2 3 2 2 7 7" xfId="26354"/>
    <cellStyle name="Note 2 3 2 2 7 8" xfId="26355"/>
    <cellStyle name="Note 2 3 2 2 8" xfId="26356"/>
    <cellStyle name="Note 2 3 2 2 8 2" xfId="26357"/>
    <cellStyle name="Note 2 3 2 2 8 2 2" xfId="26358"/>
    <cellStyle name="Note 2 3 2 2 8 2 3" xfId="26359"/>
    <cellStyle name="Note 2 3 2 2 8 2 4" xfId="26360"/>
    <cellStyle name="Note 2 3 2 2 8 3" xfId="26361"/>
    <cellStyle name="Note 2 3 2 2 8 3 2" xfId="26362"/>
    <cellStyle name="Note 2 3 2 2 8 3 3" xfId="26363"/>
    <cellStyle name="Note 2 3 2 2 8 3 4" xfId="26364"/>
    <cellStyle name="Note 2 3 2 2 8 4" xfId="26365"/>
    <cellStyle name="Note 2 3 2 2 8 4 2" xfId="26366"/>
    <cellStyle name="Note 2 3 2 2 8 4 3" xfId="26367"/>
    <cellStyle name="Note 2 3 2 2 8 4 4" xfId="26368"/>
    <cellStyle name="Note 2 3 2 2 8 5" xfId="26369"/>
    <cellStyle name="Note 2 3 2 2 8 6" xfId="26370"/>
    <cellStyle name="Note 2 3 2 2 8 7" xfId="26371"/>
    <cellStyle name="Note 2 3 2 2 8 8" xfId="26372"/>
    <cellStyle name="Note 2 3 2 2 9" xfId="26373"/>
    <cellStyle name="Note 2 3 2 2 9 2" xfId="26374"/>
    <cellStyle name="Note 2 3 2 2 9 3" xfId="26375"/>
    <cellStyle name="Note 2 3 2 2 9 4" xfId="26376"/>
    <cellStyle name="Note 2 3 2 3" xfId="26377"/>
    <cellStyle name="Note 2 3 2 3 10" xfId="26378"/>
    <cellStyle name="Note 2 3 2 3 11" xfId="26379"/>
    <cellStyle name="Note 2 3 2 3 2" xfId="26380"/>
    <cellStyle name="Note 2 3 2 3 2 2" xfId="26381"/>
    <cellStyle name="Note 2 3 2 3 2 2 2" xfId="26382"/>
    <cellStyle name="Note 2 3 2 3 2 2 2 2" xfId="26383"/>
    <cellStyle name="Note 2 3 2 3 2 2 2 3" xfId="26384"/>
    <cellStyle name="Note 2 3 2 3 2 2 2 4" xfId="26385"/>
    <cellStyle name="Note 2 3 2 3 2 2 3" xfId="26386"/>
    <cellStyle name="Note 2 3 2 3 2 2 3 2" xfId="26387"/>
    <cellStyle name="Note 2 3 2 3 2 2 3 3" xfId="26388"/>
    <cellStyle name="Note 2 3 2 3 2 2 3 4" xfId="26389"/>
    <cellStyle name="Note 2 3 2 3 2 2 4" xfId="26390"/>
    <cellStyle name="Note 2 3 2 3 2 2 4 2" xfId="26391"/>
    <cellStyle name="Note 2 3 2 3 2 2 4 3" xfId="26392"/>
    <cellStyle name="Note 2 3 2 3 2 2 4 4" xfId="26393"/>
    <cellStyle name="Note 2 3 2 3 2 2 5" xfId="26394"/>
    <cellStyle name="Note 2 3 2 3 2 2 6" xfId="26395"/>
    <cellStyle name="Note 2 3 2 3 2 2 7" xfId="26396"/>
    <cellStyle name="Note 2 3 2 3 2 2 8" xfId="26397"/>
    <cellStyle name="Note 2 3 2 3 2 3" xfId="26398"/>
    <cellStyle name="Note 2 3 2 3 2 3 2" xfId="26399"/>
    <cellStyle name="Note 2 3 2 3 2 3 2 2" xfId="26400"/>
    <cellStyle name="Note 2 3 2 3 2 3 2 3" xfId="26401"/>
    <cellStyle name="Note 2 3 2 3 2 3 2 4" xfId="26402"/>
    <cellStyle name="Note 2 3 2 3 2 3 3" xfId="26403"/>
    <cellStyle name="Note 2 3 2 3 2 3 3 2" xfId="26404"/>
    <cellStyle name="Note 2 3 2 3 2 3 3 3" xfId="26405"/>
    <cellStyle name="Note 2 3 2 3 2 3 3 4" xfId="26406"/>
    <cellStyle name="Note 2 3 2 3 2 3 4" xfId="26407"/>
    <cellStyle name="Note 2 3 2 3 2 3 4 2" xfId="26408"/>
    <cellStyle name="Note 2 3 2 3 2 3 4 3" xfId="26409"/>
    <cellStyle name="Note 2 3 2 3 2 3 4 4" xfId="26410"/>
    <cellStyle name="Note 2 3 2 3 2 3 5" xfId="26411"/>
    <cellStyle name="Note 2 3 2 3 2 3 6" xfId="26412"/>
    <cellStyle name="Note 2 3 2 3 2 3 7" xfId="26413"/>
    <cellStyle name="Note 2 3 2 3 2 3 8" xfId="26414"/>
    <cellStyle name="Note 2 3 2 3 2 4" xfId="26415"/>
    <cellStyle name="Note 2 3 2 3 2 4 2" xfId="26416"/>
    <cellStyle name="Note 2 3 2 3 2 4 2 2" xfId="26417"/>
    <cellStyle name="Note 2 3 2 3 2 4 2 3" xfId="26418"/>
    <cellStyle name="Note 2 3 2 3 2 4 2 4" xfId="26419"/>
    <cellStyle name="Note 2 3 2 3 2 4 3" xfId="26420"/>
    <cellStyle name="Note 2 3 2 3 2 4 3 2" xfId="26421"/>
    <cellStyle name="Note 2 3 2 3 2 4 3 3" xfId="26422"/>
    <cellStyle name="Note 2 3 2 3 2 4 3 4" xfId="26423"/>
    <cellStyle name="Note 2 3 2 3 2 4 4" xfId="26424"/>
    <cellStyle name="Note 2 3 2 3 2 4 4 2" xfId="26425"/>
    <cellStyle name="Note 2 3 2 3 2 4 4 3" xfId="26426"/>
    <cellStyle name="Note 2 3 2 3 2 4 4 4" xfId="26427"/>
    <cellStyle name="Note 2 3 2 3 2 4 5" xfId="26428"/>
    <cellStyle name="Note 2 3 2 3 2 4 6" xfId="26429"/>
    <cellStyle name="Note 2 3 2 3 2 4 7" xfId="26430"/>
    <cellStyle name="Note 2 3 2 3 2 4 8" xfId="26431"/>
    <cellStyle name="Note 2 3 2 3 2 5" xfId="26432"/>
    <cellStyle name="Note 2 3 2 3 2 5 2" xfId="26433"/>
    <cellStyle name="Note 2 3 2 3 2 5 2 2" xfId="26434"/>
    <cellStyle name="Note 2 3 2 3 2 5 2 3" xfId="26435"/>
    <cellStyle name="Note 2 3 2 3 2 5 2 4" xfId="26436"/>
    <cellStyle name="Note 2 3 2 3 2 5 3" xfId="26437"/>
    <cellStyle name="Note 2 3 2 3 2 5 3 2" xfId="26438"/>
    <cellStyle name="Note 2 3 2 3 2 5 3 3" xfId="26439"/>
    <cellStyle name="Note 2 3 2 3 2 5 3 4" xfId="26440"/>
    <cellStyle name="Note 2 3 2 3 2 5 4" xfId="26441"/>
    <cellStyle name="Note 2 3 2 3 2 5 4 2" xfId="26442"/>
    <cellStyle name="Note 2 3 2 3 2 5 4 3" xfId="26443"/>
    <cellStyle name="Note 2 3 2 3 2 5 4 4" xfId="26444"/>
    <cellStyle name="Note 2 3 2 3 2 5 5" xfId="26445"/>
    <cellStyle name="Note 2 3 2 3 2 5 6" xfId="26446"/>
    <cellStyle name="Note 2 3 2 3 2 5 7" xfId="26447"/>
    <cellStyle name="Note 2 3 2 3 2 5 8" xfId="26448"/>
    <cellStyle name="Note 2 3 2 3 2 6" xfId="26449"/>
    <cellStyle name="Note 2 3 2 3 2 6 2" xfId="26450"/>
    <cellStyle name="Note 2 3 2 3 2 6 3" xfId="26451"/>
    <cellStyle name="Note 2 3 2 3 2 6 4" xfId="26452"/>
    <cellStyle name="Note 2 3 2 3 2 7" xfId="26453"/>
    <cellStyle name="Note 2 3 2 3 2 7 2" xfId="26454"/>
    <cellStyle name="Note 2 3 2 3 2 7 3" xfId="26455"/>
    <cellStyle name="Note 2 3 2 3 2 7 4" xfId="26456"/>
    <cellStyle name="Note 2 3 2 3 2 8" xfId="26457"/>
    <cellStyle name="Note 2 3 2 3 2 9" xfId="26458"/>
    <cellStyle name="Note 2 3 2 3 3" xfId="26459"/>
    <cellStyle name="Note 2 3 2 3 3 2" xfId="26460"/>
    <cellStyle name="Note 2 3 2 3 3 2 2" xfId="26461"/>
    <cellStyle name="Note 2 3 2 3 3 2 3" xfId="26462"/>
    <cellStyle name="Note 2 3 2 3 3 2 4" xfId="26463"/>
    <cellStyle name="Note 2 3 2 3 3 3" xfId="26464"/>
    <cellStyle name="Note 2 3 2 3 3 3 2" xfId="26465"/>
    <cellStyle name="Note 2 3 2 3 3 3 3" xfId="26466"/>
    <cellStyle name="Note 2 3 2 3 3 3 4" xfId="26467"/>
    <cellStyle name="Note 2 3 2 3 3 4" xfId="26468"/>
    <cellStyle name="Note 2 3 2 3 3 4 2" xfId="26469"/>
    <cellStyle name="Note 2 3 2 3 3 4 3" xfId="26470"/>
    <cellStyle name="Note 2 3 2 3 3 4 4" xfId="26471"/>
    <cellStyle name="Note 2 3 2 3 3 5" xfId="26472"/>
    <cellStyle name="Note 2 3 2 3 3 6" xfId="26473"/>
    <cellStyle name="Note 2 3 2 3 3 7" xfId="26474"/>
    <cellStyle name="Note 2 3 2 3 3 8" xfId="26475"/>
    <cellStyle name="Note 2 3 2 3 4" xfId="26476"/>
    <cellStyle name="Note 2 3 2 3 4 2" xfId="26477"/>
    <cellStyle name="Note 2 3 2 3 4 2 2" xfId="26478"/>
    <cellStyle name="Note 2 3 2 3 4 2 3" xfId="26479"/>
    <cellStyle name="Note 2 3 2 3 4 2 4" xfId="26480"/>
    <cellStyle name="Note 2 3 2 3 4 3" xfId="26481"/>
    <cellStyle name="Note 2 3 2 3 4 3 2" xfId="26482"/>
    <cellStyle name="Note 2 3 2 3 4 3 3" xfId="26483"/>
    <cellStyle name="Note 2 3 2 3 4 3 4" xfId="26484"/>
    <cellStyle name="Note 2 3 2 3 4 4" xfId="26485"/>
    <cellStyle name="Note 2 3 2 3 4 4 2" xfId="26486"/>
    <cellStyle name="Note 2 3 2 3 4 4 3" xfId="26487"/>
    <cellStyle name="Note 2 3 2 3 4 4 4" xfId="26488"/>
    <cellStyle name="Note 2 3 2 3 4 5" xfId="26489"/>
    <cellStyle name="Note 2 3 2 3 4 6" xfId="26490"/>
    <cellStyle name="Note 2 3 2 3 4 7" xfId="26491"/>
    <cellStyle name="Note 2 3 2 3 4 8" xfId="26492"/>
    <cellStyle name="Note 2 3 2 3 5" xfId="26493"/>
    <cellStyle name="Note 2 3 2 3 5 2" xfId="26494"/>
    <cellStyle name="Note 2 3 2 3 5 2 2" xfId="26495"/>
    <cellStyle name="Note 2 3 2 3 5 2 3" xfId="26496"/>
    <cellStyle name="Note 2 3 2 3 5 2 4" xfId="26497"/>
    <cellStyle name="Note 2 3 2 3 5 3" xfId="26498"/>
    <cellStyle name="Note 2 3 2 3 5 3 2" xfId="26499"/>
    <cellStyle name="Note 2 3 2 3 5 3 3" xfId="26500"/>
    <cellStyle name="Note 2 3 2 3 5 3 4" xfId="26501"/>
    <cellStyle name="Note 2 3 2 3 5 4" xfId="26502"/>
    <cellStyle name="Note 2 3 2 3 5 4 2" xfId="26503"/>
    <cellStyle name="Note 2 3 2 3 5 4 3" xfId="26504"/>
    <cellStyle name="Note 2 3 2 3 5 4 4" xfId="26505"/>
    <cellStyle name="Note 2 3 2 3 5 5" xfId="26506"/>
    <cellStyle name="Note 2 3 2 3 5 6" xfId="26507"/>
    <cellStyle name="Note 2 3 2 3 5 7" xfId="26508"/>
    <cellStyle name="Note 2 3 2 3 5 8" xfId="26509"/>
    <cellStyle name="Note 2 3 2 3 6" xfId="26510"/>
    <cellStyle name="Note 2 3 2 3 6 2" xfId="26511"/>
    <cellStyle name="Note 2 3 2 3 6 2 2" xfId="26512"/>
    <cellStyle name="Note 2 3 2 3 6 2 3" xfId="26513"/>
    <cellStyle name="Note 2 3 2 3 6 2 4" xfId="26514"/>
    <cellStyle name="Note 2 3 2 3 6 3" xfId="26515"/>
    <cellStyle name="Note 2 3 2 3 6 3 2" xfId="26516"/>
    <cellStyle name="Note 2 3 2 3 6 3 3" xfId="26517"/>
    <cellStyle name="Note 2 3 2 3 6 3 4" xfId="26518"/>
    <cellStyle name="Note 2 3 2 3 6 4" xfId="26519"/>
    <cellStyle name="Note 2 3 2 3 6 4 2" xfId="26520"/>
    <cellStyle name="Note 2 3 2 3 6 4 3" xfId="26521"/>
    <cellStyle name="Note 2 3 2 3 6 4 4" xfId="26522"/>
    <cellStyle name="Note 2 3 2 3 6 5" xfId="26523"/>
    <cellStyle name="Note 2 3 2 3 6 6" xfId="26524"/>
    <cellStyle name="Note 2 3 2 3 6 7" xfId="26525"/>
    <cellStyle name="Note 2 3 2 3 6 8" xfId="26526"/>
    <cellStyle name="Note 2 3 2 3 7" xfId="26527"/>
    <cellStyle name="Note 2 3 2 3 7 2" xfId="26528"/>
    <cellStyle name="Note 2 3 2 3 7 2 2" xfId="26529"/>
    <cellStyle name="Note 2 3 2 3 7 2 3" xfId="26530"/>
    <cellStyle name="Note 2 3 2 3 7 2 4" xfId="26531"/>
    <cellStyle name="Note 2 3 2 3 7 3" xfId="26532"/>
    <cellStyle name="Note 2 3 2 3 7 3 2" xfId="26533"/>
    <cellStyle name="Note 2 3 2 3 7 3 3" xfId="26534"/>
    <cellStyle name="Note 2 3 2 3 7 3 4" xfId="26535"/>
    <cellStyle name="Note 2 3 2 3 7 4" xfId="26536"/>
    <cellStyle name="Note 2 3 2 3 7 4 2" xfId="26537"/>
    <cellStyle name="Note 2 3 2 3 7 4 3" xfId="26538"/>
    <cellStyle name="Note 2 3 2 3 7 4 4" xfId="26539"/>
    <cellStyle name="Note 2 3 2 3 7 5" xfId="26540"/>
    <cellStyle name="Note 2 3 2 3 7 6" xfId="26541"/>
    <cellStyle name="Note 2 3 2 3 7 7" xfId="26542"/>
    <cellStyle name="Note 2 3 2 3 7 8" xfId="26543"/>
    <cellStyle name="Note 2 3 2 3 8" xfId="26544"/>
    <cellStyle name="Note 2 3 2 3 8 2" xfId="26545"/>
    <cellStyle name="Note 2 3 2 3 8 3" xfId="26546"/>
    <cellStyle name="Note 2 3 2 3 8 4" xfId="26547"/>
    <cellStyle name="Note 2 3 2 3 9" xfId="26548"/>
    <cellStyle name="Note 2 3 2 3 9 2" xfId="26549"/>
    <cellStyle name="Note 2 3 2 3 9 3" xfId="26550"/>
    <cellStyle name="Note 2 3 2 3 9 4" xfId="26551"/>
    <cellStyle name="Note 2 3 2 4" xfId="26552"/>
    <cellStyle name="Note 2 3 2 4 2" xfId="26553"/>
    <cellStyle name="Note 2 3 2 4 2 2" xfId="26554"/>
    <cellStyle name="Note 2 3 2 4 2 2 2" xfId="26555"/>
    <cellStyle name="Note 2 3 2 4 2 2 3" xfId="26556"/>
    <cellStyle name="Note 2 3 2 4 2 2 4" xfId="26557"/>
    <cellStyle name="Note 2 3 2 4 2 3" xfId="26558"/>
    <cellStyle name="Note 2 3 2 4 2 3 2" xfId="26559"/>
    <cellStyle name="Note 2 3 2 4 2 3 3" xfId="26560"/>
    <cellStyle name="Note 2 3 2 4 2 3 4" xfId="26561"/>
    <cellStyle name="Note 2 3 2 4 2 4" xfId="26562"/>
    <cellStyle name="Note 2 3 2 4 2 4 2" xfId="26563"/>
    <cellStyle name="Note 2 3 2 4 2 4 3" xfId="26564"/>
    <cellStyle name="Note 2 3 2 4 2 4 4" xfId="26565"/>
    <cellStyle name="Note 2 3 2 4 2 5" xfId="26566"/>
    <cellStyle name="Note 2 3 2 4 2 6" xfId="26567"/>
    <cellStyle name="Note 2 3 2 4 2 7" xfId="26568"/>
    <cellStyle name="Note 2 3 2 4 2 8" xfId="26569"/>
    <cellStyle name="Note 2 3 2 4 3" xfId="26570"/>
    <cellStyle name="Note 2 3 2 4 3 2" xfId="26571"/>
    <cellStyle name="Note 2 3 2 4 3 2 2" xfId="26572"/>
    <cellStyle name="Note 2 3 2 4 3 2 3" xfId="26573"/>
    <cellStyle name="Note 2 3 2 4 3 2 4" xfId="26574"/>
    <cellStyle name="Note 2 3 2 4 3 3" xfId="26575"/>
    <cellStyle name="Note 2 3 2 4 3 3 2" xfId="26576"/>
    <cellStyle name="Note 2 3 2 4 3 3 3" xfId="26577"/>
    <cellStyle name="Note 2 3 2 4 3 3 4" xfId="26578"/>
    <cellStyle name="Note 2 3 2 4 3 4" xfId="26579"/>
    <cellStyle name="Note 2 3 2 4 3 4 2" xfId="26580"/>
    <cellStyle name="Note 2 3 2 4 3 4 3" xfId="26581"/>
    <cellStyle name="Note 2 3 2 4 3 4 4" xfId="26582"/>
    <cellStyle name="Note 2 3 2 4 3 5" xfId="26583"/>
    <cellStyle name="Note 2 3 2 4 3 6" xfId="26584"/>
    <cellStyle name="Note 2 3 2 4 3 7" xfId="26585"/>
    <cellStyle name="Note 2 3 2 4 3 8" xfId="26586"/>
    <cellStyle name="Note 2 3 2 4 4" xfId="26587"/>
    <cellStyle name="Note 2 3 2 4 4 2" xfId="26588"/>
    <cellStyle name="Note 2 3 2 4 4 2 2" xfId="26589"/>
    <cellStyle name="Note 2 3 2 4 4 2 3" xfId="26590"/>
    <cellStyle name="Note 2 3 2 4 4 2 4" xfId="26591"/>
    <cellStyle name="Note 2 3 2 4 4 3" xfId="26592"/>
    <cellStyle name="Note 2 3 2 4 4 3 2" xfId="26593"/>
    <cellStyle name="Note 2 3 2 4 4 3 3" xfId="26594"/>
    <cellStyle name="Note 2 3 2 4 4 3 4" xfId="26595"/>
    <cellStyle name="Note 2 3 2 4 4 4" xfId="26596"/>
    <cellStyle name="Note 2 3 2 4 4 4 2" xfId="26597"/>
    <cellStyle name="Note 2 3 2 4 4 4 3" xfId="26598"/>
    <cellStyle name="Note 2 3 2 4 4 4 4" xfId="26599"/>
    <cellStyle name="Note 2 3 2 4 4 5" xfId="26600"/>
    <cellStyle name="Note 2 3 2 4 4 6" xfId="26601"/>
    <cellStyle name="Note 2 3 2 4 4 7" xfId="26602"/>
    <cellStyle name="Note 2 3 2 4 4 8" xfId="26603"/>
    <cellStyle name="Note 2 3 2 4 5" xfId="26604"/>
    <cellStyle name="Note 2 3 2 4 5 2" xfId="26605"/>
    <cellStyle name="Note 2 3 2 4 5 2 2" xfId="26606"/>
    <cellStyle name="Note 2 3 2 4 5 2 3" xfId="26607"/>
    <cellStyle name="Note 2 3 2 4 5 2 4" xfId="26608"/>
    <cellStyle name="Note 2 3 2 4 5 3" xfId="26609"/>
    <cellStyle name="Note 2 3 2 4 5 3 2" xfId="26610"/>
    <cellStyle name="Note 2 3 2 4 5 3 3" xfId="26611"/>
    <cellStyle name="Note 2 3 2 4 5 3 4" xfId="26612"/>
    <cellStyle name="Note 2 3 2 4 5 4" xfId="26613"/>
    <cellStyle name="Note 2 3 2 4 5 4 2" xfId="26614"/>
    <cellStyle name="Note 2 3 2 4 5 4 3" xfId="26615"/>
    <cellStyle name="Note 2 3 2 4 5 4 4" xfId="26616"/>
    <cellStyle name="Note 2 3 2 4 5 5" xfId="26617"/>
    <cellStyle name="Note 2 3 2 4 5 6" xfId="26618"/>
    <cellStyle name="Note 2 3 2 4 5 7" xfId="26619"/>
    <cellStyle name="Note 2 3 2 4 5 8" xfId="26620"/>
    <cellStyle name="Note 2 3 2 4 6" xfId="26621"/>
    <cellStyle name="Note 2 3 2 4 6 2" xfId="26622"/>
    <cellStyle name="Note 2 3 2 4 6 3" xfId="26623"/>
    <cellStyle name="Note 2 3 2 4 6 4" xfId="26624"/>
    <cellStyle name="Note 2 3 2 4 7" xfId="26625"/>
    <cellStyle name="Note 2 3 2 4 7 2" xfId="26626"/>
    <cellStyle name="Note 2 3 2 4 7 3" xfId="26627"/>
    <cellStyle name="Note 2 3 2 4 7 4" xfId="26628"/>
    <cellStyle name="Note 2 3 2 4 8" xfId="26629"/>
    <cellStyle name="Note 2 3 2 4 9" xfId="26630"/>
    <cellStyle name="Note 2 3 2 5" xfId="26631"/>
    <cellStyle name="Note 2 3 2 5 2" xfId="26632"/>
    <cellStyle name="Note 2 3 2 5 2 2" xfId="26633"/>
    <cellStyle name="Note 2 3 2 5 2 3" xfId="26634"/>
    <cellStyle name="Note 2 3 2 5 2 4" xfId="26635"/>
    <cellStyle name="Note 2 3 2 5 3" xfId="26636"/>
    <cellStyle name="Note 2 3 2 5 3 2" xfId="26637"/>
    <cellStyle name="Note 2 3 2 5 3 3" xfId="26638"/>
    <cellStyle name="Note 2 3 2 5 3 4" xfId="26639"/>
    <cellStyle name="Note 2 3 2 5 4" xfId="26640"/>
    <cellStyle name="Note 2 3 2 5 4 2" xfId="26641"/>
    <cellStyle name="Note 2 3 2 5 4 3" xfId="26642"/>
    <cellStyle name="Note 2 3 2 5 4 4" xfId="26643"/>
    <cellStyle name="Note 2 3 2 5 5" xfId="26644"/>
    <cellStyle name="Note 2 3 2 5 6" xfId="26645"/>
    <cellStyle name="Note 2 3 2 5 7" xfId="26646"/>
    <cellStyle name="Note 2 3 2 5 8" xfId="26647"/>
    <cellStyle name="Note 2 3 2 6" xfId="26648"/>
    <cellStyle name="Note 2 3 2 6 2" xfId="26649"/>
    <cellStyle name="Note 2 3 2 6 2 2" xfId="26650"/>
    <cellStyle name="Note 2 3 2 6 2 3" xfId="26651"/>
    <cellStyle name="Note 2 3 2 6 2 4" xfId="26652"/>
    <cellStyle name="Note 2 3 2 6 3" xfId="26653"/>
    <cellStyle name="Note 2 3 2 6 3 2" xfId="26654"/>
    <cellStyle name="Note 2 3 2 6 3 3" xfId="26655"/>
    <cellStyle name="Note 2 3 2 6 3 4" xfId="26656"/>
    <cellStyle name="Note 2 3 2 6 4" xfId="26657"/>
    <cellStyle name="Note 2 3 2 6 4 2" xfId="26658"/>
    <cellStyle name="Note 2 3 2 6 4 3" xfId="26659"/>
    <cellStyle name="Note 2 3 2 6 4 4" xfId="26660"/>
    <cellStyle name="Note 2 3 2 6 5" xfId="26661"/>
    <cellStyle name="Note 2 3 2 6 6" xfId="26662"/>
    <cellStyle name="Note 2 3 2 6 7" xfId="26663"/>
    <cellStyle name="Note 2 3 2 6 8" xfId="26664"/>
    <cellStyle name="Note 2 3 2 7" xfId="26665"/>
    <cellStyle name="Note 2 3 2 7 2" xfId="26666"/>
    <cellStyle name="Note 2 3 2 7 2 2" xfId="26667"/>
    <cellStyle name="Note 2 3 2 7 2 3" xfId="26668"/>
    <cellStyle name="Note 2 3 2 7 2 4" xfId="26669"/>
    <cellStyle name="Note 2 3 2 7 3" xfId="26670"/>
    <cellStyle name="Note 2 3 2 7 3 2" xfId="26671"/>
    <cellStyle name="Note 2 3 2 7 3 3" xfId="26672"/>
    <cellStyle name="Note 2 3 2 7 3 4" xfId="26673"/>
    <cellStyle name="Note 2 3 2 7 4" xfId="26674"/>
    <cellStyle name="Note 2 3 2 7 4 2" xfId="26675"/>
    <cellStyle name="Note 2 3 2 7 4 3" xfId="26676"/>
    <cellStyle name="Note 2 3 2 7 4 4" xfId="26677"/>
    <cellStyle name="Note 2 3 2 7 5" xfId="26678"/>
    <cellStyle name="Note 2 3 2 7 6" xfId="26679"/>
    <cellStyle name="Note 2 3 2 7 7" xfId="26680"/>
    <cellStyle name="Note 2 3 2 7 8" xfId="26681"/>
    <cellStyle name="Note 2 3 2 8" xfId="26682"/>
    <cellStyle name="Note 2 3 2 8 2" xfId="26683"/>
    <cellStyle name="Note 2 3 2 8 2 2" xfId="26684"/>
    <cellStyle name="Note 2 3 2 8 2 3" xfId="26685"/>
    <cellStyle name="Note 2 3 2 8 2 4" xfId="26686"/>
    <cellStyle name="Note 2 3 2 8 3" xfId="26687"/>
    <cellStyle name="Note 2 3 2 8 3 2" xfId="26688"/>
    <cellStyle name="Note 2 3 2 8 3 3" xfId="26689"/>
    <cellStyle name="Note 2 3 2 8 3 4" xfId="26690"/>
    <cellStyle name="Note 2 3 2 8 4" xfId="26691"/>
    <cellStyle name="Note 2 3 2 8 4 2" xfId="26692"/>
    <cellStyle name="Note 2 3 2 8 4 3" xfId="26693"/>
    <cellStyle name="Note 2 3 2 8 4 4" xfId="26694"/>
    <cellStyle name="Note 2 3 2 8 5" xfId="26695"/>
    <cellStyle name="Note 2 3 2 8 6" xfId="26696"/>
    <cellStyle name="Note 2 3 2 8 7" xfId="26697"/>
    <cellStyle name="Note 2 3 2 8 8" xfId="26698"/>
    <cellStyle name="Note 2 3 2 9" xfId="26699"/>
    <cellStyle name="Note 2 3 2 9 2" xfId="26700"/>
    <cellStyle name="Note 2 3 2 9 2 2" xfId="26701"/>
    <cellStyle name="Note 2 3 2 9 2 3" xfId="26702"/>
    <cellStyle name="Note 2 3 2 9 2 4" xfId="26703"/>
    <cellStyle name="Note 2 3 2 9 3" xfId="26704"/>
    <cellStyle name="Note 2 3 2 9 3 2" xfId="26705"/>
    <cellStyle name="Note 2 3 2 9 3 3" xfId="26706"/>
    <cellStyle name="Note 2 3 2 9 3 4" xfId="26707"/>
    <cellStyle name="Note 2 3 2 9 4" xfId="26708"/>
    <cellStyle name="Note 2 3 2 9 4 2" xfId="26709"/>
    <cellStyle name="Note 2 3 2 9 4 3" xfId="26710"/>
    <cellStyle name="Note 2 3 2 9 4 4" xfId="26711"/>
    <cellStyle name="Note 2 3 2 9 5" xfId="26712"/>
    <cellStyle name="Note 2 3 2 9 6" xfId="26713"/>
    <cellStyle name="Note 2 3 2 9 7" xfId="26714"/>
    <cellStyle name="Note 2 3 2 9 8" xfId="26715"/>
    <cellStyle name="Note 2 3 3" xfId="26716"/>
    <cellStyle name="Note 2 3 3 10" xfId="26717"/>
    <cellStyle name="Note 2 3 3 10 2" xfId="26718"/>
    <cellStyle name="Note 2 3 3 10 3" xfId="26719"/>
    <cellStyle name="Note 2 3 3 10 4" xfId="26720"/>
    <cellStyle name="Note 2 3 3 11" xfId="26721"/>
    <cellStyle name="Note 2 3 3 12" xfId="26722"/>
    <cellStyle name="Note 2 3 3 2" xfId="26723"/>
    <cellStyle name="Note 2 3 3 2 10" xfId="26724"/>
    <cellStyle name="Note 2 3 3 2 11" xfId="26725"/>
    <cellStyle name="Note 2 3 3 2 2" xfId="26726"/>
    <cellStyle name="Note 2 3 3 2 2 2" xfId="26727"/>
    <cellStyle name="Note 2 3 3 2 2 2 2" xfId="26728"/>
    <cellStyle name="Note 2 3 3 2 2 2 2 2" xfId="26729"/>
    <cellStyle name="Note 2 3 3 2 2 2 2 3" xfId="26730"/>
    <cellStyle name="Note 2 3 3 2 2 2 2 4" xfId="26731"/>
    <cellStyle name="Note 2 3 3 2 2 2 3" xfId="26732"/>
    <cellStyle name="Note 2 3 3 2 2 2 3 2" xfId="26733"/>
    <cellStyle name="Note 2 3 3 2 2 2 3 3" xfId="26734"/>
    <cellStyle name="Note 2 3 3 2 2 2 3 4" xfId="26735"/>
    <cellStyle name="Note 2 3 3 2 2 2 4" xfId="26736"/>
    <cellStyle name="Note 2 3 3 2 2 2 4 2" xfId="26737"/>
    <cellStyle name="Note 2 3 3 2 2 2 4 3" xfId="26738"/>
    <cellStyle name="Note 2 3 3 2 2 2 4 4" xfId="26739"/>
    <cellStyle name="Note 2 3 3 2 2 2 5" xfId="26740"/>
    <cellStyle name="Note 2 3 3 2 2 2 6" xfId="26741"/>
    <cellStyle name="Note 2 3 3 2 2 2 7" xfId="26742"/>
    <cellStyle name="Note 2 3 3 2 2 2 8" xfId="26743"/>
    <cellStyle name="Note 2 3 3 2 2 3" xfId="26744"/>
    <cellStyle name="Note 2 3 3 2 2 3 2" xfId="26745"/>
    <cellStyle name="Note 2 3 3 2 2 3 2 2" xfId="26746"/>
    <cellStyle name="Note 2 3 3 2 2 3 2 3" xfId="26747"/>
    <cellStyle name="Note 2 3 3 2 2 3 2 4" xfId="26748"/>
    <cellStyle name="Note 2 3 3 2 2 3 3" xfId="26749"/>
    <cellStyle name="Note 2 3 3 2 2 3 3 2" xfId="26750"/>
    <cellStyle name="Note 2 3 3 2 2 3 3 3" xfId="26751"/>
    <cellStyle name="Note 2 3 3 2 2 3 3 4" xfId="26752"/>
    <cellStyle name="Note 2 3 3 2 2 3 4" xfId="26753"/>
    <cellStyle name="Note 2 3 3 2 2 3 4 2" xfId="26754"/>
    <cellStyle name="Note 2 3 3 2 2 3 4 3" xfId="26755"/>
    <cellStyle name="Note 2 3 3 2 2 3 4 4" xfId="26756"/>
    <cellStyle name="Note 2 3 3 2 2 3 5" xfId="26757"/>
    <cellStyle name="Note 2 3 3 2 2 3 6" xfId="26758"/>
    <cellStyle name="Note 2 3 3 2 2 3 7" xfId="26759"/>
    <cellStyle name="Note 2 3 3 2 2 3 8" xfId="26760"/>
    <cellStyle name="Note 2 3 3 2 2 4" xfId="26761"/>
    <cellStyle name="Note 2 3 3 2 2 4 2" xfId="26762"/>
    <cellStyle name="Note 2 3 3 2 2 4 2 2" xfId="26763"/>
    <cellStyle name="Note 2 3 3 2 2 4 2 3" xfId="26764"/>
    <cellStyle name="Note 2 3 3 2 2 4 2 4" xfId="26765"/>
    <cellStyle name="Note 2 3 3 2 2 4 3" xfId="26766"/>
    <cellStyle name="Note 2 3 3 2 2 4 3 2" xfId="26767"/>
    <cellStyle name="Note 2 3 3 2 2 4 3 3" xfId="26768"/>
    <cellStyle name="Note 2 3 3 2 2 4 3 4" xfId="26769"/>
    <cellStyle name="Note 2 3 3 2 2 4 4" xfId="26770"/>
    <cellStyle name="Note 2 3 3 2 2 4 4 2" xfId="26771"/>
    <cellStyle name="Note 2 3 3 2 2 4 4 3" xfId="26772"/>
    <cellStyle name="Note 2 3 3 2 2 4 4 4" xfId="26773"/>
    <cellStyle name="Note 2 3 3 2 2 4 5" xfId="26774"/>
    <cellStyle name="Note 2 3 3 2 2 4 6" xfId="26775"/>
    <cellStyle name="Note 2 3 3 2 2 4 7" xfId="26776"/>
    <cellStyle name="Note 2 3 3 2 2 4 8" xfId="26777"/>
    <cellStyle name="Note 2 3 3 2 2 5" xfId="26778"/>
    <cellStyle name="Note 2 3 3 2 2 5 2" xfId="26779"/>
    <cellStyle name="Note 2 3 3 2 2 5 2 2" xfId="26780"/>
    <cellStyle name="Note 2 3 3 2 2 5 2 3" xfId="26781"/>
    <cellStyle name="Note 2 3 3 2 2 5 2 4" xfId="26782"/>
    <cellStyle name="Note 2 3 3 2 2 5 3" xfId="26783"/>
    <cellStyle name="Note 2 3 3 2 2 5 3 2" xfId="26784"/>
    <cellStyle name="Note 2 3 3 2 2 5 3 3" xfId="26785"/>
    <cellStyle name="Note 2 3 3 2 2 5 3 4" xfId="26786"/>
    <cellStyle name="Note 2 3 3 2 2 5 4" xfId="26787"/>
    <cellStyle name="Note 2 3 3 2 2 5 4 2" xfId="26788"/>
    <cellStyle name="Note 2 3 3 2 2 5 4 3" xfId="26789"/>
    <cellStyle name="Note 2 3 3 2 2 5 4 4" xfId="26790"/>
    <cellStyle name="Note 2 3 3 2 2 5 5" xfId="26791"/>
    <cellStyle name="Note 2 3 3 2 2 5 6" xfId="26792"/>
    <cellStyle name="Note 2 3 3 2 2 5 7" xfId="26793"/>
    <cellStyle name="Note 2 3 3 2 2 5 8" xfId="26794"/>
    <cellStyle name="Note 2 3 3 2 2 6" xfId="26795"/>
    <cellStyle name="Note 2 3 3 2 2 6 2" xfId="26796"/>
    <cellStyle name="Note 2 3 3 2 2 6 3" xfId="26797"/>
    <cellStyle name="Note 2 3 3 2 2 6 4" xfId="26798"/>
    <cellStyle name="Note 2 3 3 2 2 7" xfId="26799"/>
    <cellStyle name="Note 2 3 3 2 2 7 2" xfId="26800"/>
    <cellStyle name="Note 2 3 3 2 2 7 3" xfId="26801"/>
    <cellStyle name="Note 2 3 3 2 2 7 4" xfId="26802"/>
    <cellStyle name="Note 2 3 3 2 2 8" xfId="26803"/>
    <cellStyle name="Note 2 3 3 2 2 9" xfId="26804"/>
    <cellStyle name="Note 2 3 3 2 3" xfId="26805"/>
    <cellStyle name="Note 2 3 3 2 3 2" xfId="26806"/>
    <cellStyle name="Note 2 3 3 2 3 2 2" xfId="26807"/>
    <cellStyle name="Note 2 3 3 2 3 2 3" xfId="26808"/>
    <cellStyle name="Note 2 3 3 2 3 2 4" xfId="26809"/>
    <cellStyle name="Note 2 3 3 2 3 3" xfId="26810"/>
    <cellStyle name="Note 2 3 3 2 3 3 2" xfId="26811"/>
    <cellStyle name="Note 2 3 3 2 3 3 3" xfId="26812"/>
    <cellStyle name="Note 2 3 3 2 3 3 4" xfId="26813"/>
    <cellStyle name="Note 2 3 3 2 3 4" xfId="26814"/>
    <cellStyle name="Note 2 3 3 2 3 4 2" xfId="26815"/>
    <cellStyle name="Note 2 3 3 2 3 4 3" xfId="26816"/>
    <cellStyle name="Note 2 3 3 2 3 4 4" xfId="26817"/>
    <cellStyle name="Note 2 3 3 2 3 5" xfId="26818"/>
    <cellStyle name="Note 2 3 3 2 3 6" xfId="26819"/>
    <cellStyle name="Note 2 3 3 2 3 7" xfId="26820"/>
    <cellStyle name="Note 2 3 3 2 3 8" xfId="26821"/>
    <cellStyle name="Note 2 3 3 2 4" xfId="26822"/>
    <cellStyle name="Note 2 3 3 2 4 2" xfId="26823"/>
    <cellStyle name="Note 2 3 3 2 4 2 2" xfId="26824"/>
    <cellStyle name="Note 2 3 3 2 4 2 3" xfId="26825"/>
    <cellStyle name="Note 2 3 3 2 4 2 4" xfId="26826"/>
    <cellStyle name="Note 2 3 3 2 4 3" xfId="26827"/>
    <cellStyle name="Note 2 3 3 2 4 3 2" xfId="26828"/>
    <cellStyle name="Note 2 3 3 2 4 3 3" xfId="26829"/>
    <cellStyle name="Note 2 3 3 2 4 3 4" xfId="26830"/>
    <cellStyle name="Note 2 3 3 2 4 4" xfId="26831"/>
    <cellStyle name="Note 2 3 3 2 4 4 2" xfId="26832"/>
    <cellStyle name="Note 2 3 3 2 4 4 3" xfId="26833"/>
    <cellStyle name="Note 2 3 3 2 4 4 4" xfId="26834"/>
    <cellStyle name="Note 2 3 3 2 4 5" xfId="26835"/>
    <cellStyle name="Note 2 3 3 2 4 6" xfId="26836"/>
    <cellStyle name="Note 2 3 3 2 4 7" xfId="26837"/>
    <cellStyle name="Note 2 3 3 2 4 8" xfId="26838"/>
    <cellStyle name="Note 2 3 3 2 5" xfId="26839"/>
    <cellStyle name="Note 2 3 3 2 5 2" xfId="26840"/>
    <cellStyle name="Note 2 3 3 2 5 2 2" xfId="26841"/>
    <cellStyle name="Note 2 3 3 2 5 2 3" xfId="26842"/>
    <cellStyle name="Note 2 3 3 2 5 2 4" xfId="26843"/>
    <cellStyle name="Note 2 3 3 2 5 3" xfId="26844"/>
    <cellStyle name="Note 2 3 3 2 5 3 2" xfId="26845"/>
    <cellStyle name="Note 2 3 3 2 5 3 3" xfId="26846"/>
    <cellStyle name="Note 2 3 3 2 5 3 4" xfId="26847"/>
    <cellStyle name="Note 2 3 3 2 5 4" xfId="26848"/>
    <cellStyle name="Note 2 3 3 2 5 4 2" xfId="26849"/>
    <cellStyle name="Note 2 3 3 2 5 4 3" xfId="26850"/>
    <cellStyle name="Note 2 3 3 2 5 4 4" xfId="26851"/>
    <cellStyle name="Note 2 3 3 2 5 5" xfId="26852"/>
    <cellStyle name="Note 2 3 3 2 5 6" xfId="26853"/>
    <cellStyle name="Note 2 3 3 2 5 7" xfId="26854"/>
    <cellStyle name="Note 2 3 3 2 5 8" xfId="26855"/>
    <cellStyle name="Note 2 3 3 2 6" xfId="26856"/>
    <cellStyle name="Note 2 3 3 2 6 2" xfId="26857"/>
    <cellStyle name="Note 2 3 3 2 6 2 2" xfId="26858"/>
    <cellStyle name="Note 2 3 3 2 6 2 3" xfId="26859"/>
    <cellStyle name="Note 2 3 3 2 6 2 4" xfId="26860"/>
    <cellStyle name="Note 2 3 3 2 6 3" xfId="26861"/>
    <cellStyle name="Note 2 3 3 2 6 3 2" xfId="26862"/>
    <cellStyle name="Note 2 3 3 2 6 3 3" xfId="26863"/>
    <cellStyle name="Note 2 3 3 2 6 3 4" xfId="26864"/>
    <cellStyle name="Note 2 3 3 2 6 4" xfId="26865"/>
    <cellStyle name="Note 2 3 3 2 6 4 2" xfId="26866"/>
    <cellStyle name="Note 2 3 3 2 6 4 3" xfId="26867"/>
    <cellStyle name="Note 2 3 3 2 6 4 4" xfId="26868"/>
    <cellStyle name="Note 2 3 3 2 6 5" xfId="26869"/>
    <cellStyle name="Note 2 3 3 2 6 6" xfId="26870"/>
    <cellStyle name="Note 2 3 3 2 6 7" xfId="26871"/>
    <cellStyle name="Note 2 3 3 2 6 8" xfId="26872"/>
    <cellStyle name="Note 2 3 3 2 7" xfId="26873"/>
    <cellStyle name="Note 2 3 3 2 7 2" xfId="26874"/>
    <cellStyle name="Note 2 3 3 2 7 2 2" xfId="26875"/>
    <cellStyle name="Note 2 3 3 2 7 2 3" xfId="26876"/>
    <cellStyle name="Note 2 3 3 2 7 2 4" xfId="26877"/>
    <cellStyle name="Note 2 3 3 2 7 3" xfId="26878"/>
    <cellStyle name="Note 2 3 3 2 7 3 2" xfId="26879"/>
    <cellStyle name="Note 2 3 3 2 7 3 3" xfId="26880"/>
    <cellStyle name="Note 2 3 3 2 7 3 4" xfId="26881"/>
    <cellStyle name="Note 2 3 3 2 7 4" xfId="26882"/>
    <cellStyle name="Note 2 3 3 2 7 4 2" xfId="26883"/>
    <cellStyle name="Note 2 3 3 2 7 4 3" xfId="26884"/>
    <cellStyle name="Note 2 3 3 2 7 4 4" xfId="26885"/>
    <cellStyle name="Note 2 3 3 2 7 5" xfId="26886"/>
    <cellStyle name="Note 2 3 3 2 7 6" xfId="26887"/>
    <cellStyle name="Note 2 3 3 2 7 7" xfId="26888"/>
    <cellStyle name="Note 2 3 3 2 7 8" xfId="26889"/>
    <cellStyle name="Note 2 3 3 2 8" xfId="26890"/>
    <cellStyle name="Note 2 3 3 2 8 2" xfId="26891"/>
    <cellStyle name="Note 2 3 3 2 8 3" xfId="26892"/>
    <cellStyle name="Note 2 3 3 2 8 4" xfId="26893"/>
    <cellStyle name="Note 2 3 3 2 9" xfId="26894"/>
    <cellStyle name="Note 2 3 3 2 9 2" xfId="26895"/>
    <cellStyle name="Note 2 3 3 2 9 3" xfId="26896"/>
    <cellStyle name="Note 2 3 3 2 9 4" xfId="26897"/>
    <cellStyle name="Note 2 3 3 3" xfId="26898"/>
    <cellStyle name="Note 2 3 3 3 2" xfId="26899"/>
    <cellStyle name="Note 2 3 3 3 2 2" xfId="26900"/>
    <cellStyle name="Note 2 3 3 3 2 2 2" xfId="26901"/>
    <cellStyle name="Note 2 3 3 3 2 2 3" xfId="26902"/>
    <cellStyle name="Note 2 3 3 3 2 2 4" xfId="26903"/>
    <cellStyle name="Note 2 3 3 3 2 3" xfId="26904"/>
    <cellStyle name="Note 2 3 3 3 2 3 2" xfId="26905"/>
    <cellStyle name="Note 2 3 3 3 2 3 3" xfId="26906"/>
    <cellStyle name="Note 2 3 3 3 2 3 4" xfId="26907"/>
    <cellStyle name="Note 2 3 3 3 2 4" xfId="26908"/>
    <cellStyle name="Note 2 3 3 3 2 4 2" xfId="26909"/>
    <cellStyle name="Note 2 3 3 3 2 4 3" xfId="26910"/>
    <cellStyle name="Note 2 3 3 3 2 4 4" xfId="26911"/>
    <cellStyle name="Note 2 3 3 3 2 5" xfId="26912"/>
    <cellStyle name="Note 2 3 3 3 2 6" xfId="26913"/>
    <cellStyle name="Note 2 3 3 3 2 7" xfId="26914"/>
    <cellStyle name="Note 2 3 3 3 2 8" xfId="26915"/>
    <cellStyle name="Note 2 3 3 3 3" xfId="26916"/>
    <cellStyle name="Note 2 3 3 3 3 2" xfId="26917"/>
    <cellStyle name="Note 2 3 3 3 3 2 2" xfId="26918"/>
    <cellStyle name="Note 2 3 3 3 3 2 3" xfId="26919"/>
    <cellStyle name="Note 2 3 3 3 3 2 4" xfId="26920"/>
    <cellStyle name="Note 2 3 3 3 3 3" xfId="26921"/>
    <cellStyle name="Note 2 3 3 3 3 3 2" xfId="26922"/>
    <cellStyle name="Note 2 3 3 3 3 3 3" xfId="26923"/>
    <cellStyle name="Note 2 3 3 3 3 3 4" xfId="26924"/>
    <cellStyle name="Note 2 3 3 3 3 4" xfId="26925"/>
    <cellStyle name="Note 2 3 3 3 3 4 2" xfId="26926"/>
    <cellStyle name="Note 2 3 3 3 3 4 3" xfId="26927"/>
    <cellStyle name="Note 2 3 3 3 3 4 4" xfId="26928"/>
    <cellStyle name="Note 2 3 3 3 3 5" xfId="26929"/>
    <cellStyle name="Note 2 3 3 3 3 6" xfId="26930"/>
    <cellStyle name="Note 2 3 3 3 3 7" xfId="26931"/>
    <cellStyle name="Note 2 3 3 3 3 8" xfId="26932"/>
    <cellStyle name="Note 2 3 3 3 4" xfId="26933"/>
    <cellStyle name="Note 2 3 3 3 4 2" xfId="26934"/>
    <cellStyle name="Note 2 3 3 3 4 2 2" xfId="26935"/>
    <cellStyle name="Note 2 3 3 3 4 2 3" xfId="26936"/>
    <cellStyle name="Note 2 3 3 3 4 2 4" xfId="26937"/>
    <cellStyle name="Note 2 3 3 3 4 3" xfId="26938"/>
    <cellStyle name="Note 2 3 3 3 4 3 2" xfId="26939"/>
    <cellStyle name="Note 2 3 3 3 4 3 3" xfId="26940"/>
    <cellStyle name="Note 2 3 3 3 4 3 4" xfId="26941"/>
    <cellStyle name="Note 2 3 3 3 4 4" xfId="26942"/>
    <cellStyle name="Note 2 3 3 3 4 4 2" xfId="26943"/>
    <cellStyle name="Note 2 3 3 3 4 4 3" xfId="26944"/>
    <cellStyle name="Note 2 3 3 3 4 4 4" xfId="26945"/>
    <cellStyle name="Note 2 3 3 3 4 5" xfId="26946"/>
    <cellStyle name="Note 2 3 3 3 4 6" xfId="26947"/>
    <cellStyle name="Note 2 3 3 3 4 7" xfId="26948"/>
    <cellStyle name="Note 2 3 3 3 4 8" xfId="26949"/>
    <cellStyle name="Note 2 3 3 3 5" xfId="26950"/>
    <cellStyle name="Note 2 3 3 3 5 2" xfId="26951"/>
    <cellStyle name="Note 2 3 3 3 5 2 2" xfId="26952"/>
    <cellStyle name="Note 2 3 3 3 5 2 3" xfId="26953"/>
    <cellStyle name="Note 2 3 3 3 5 2 4" xfId="26954"/>
    <cellStyle name="Note 2 3 3 3 5 3" xfId="26955"/>
    <cellStyle name="Note 2 3 3 3 5 3 2" xfId="26956"/>
    <cellStyle name="Note 2 3 3 3 5 3 3" xfId="26957"/>
    <cellStyle name="Note 2 3 3 3 5 3 4" xfId="26958"/>
    <cellStyle name="Note 2 3 3 3 5 4" xfId="26959"/>
    <cellStyle name="Note 2 3 3 3 5 4 2" xfId="26960"/>
    <cellStyle name="Note 2 3 3 3 5 4 3" xfId="26961"/>
    <cellStyle name="Note 2 3 3 3 5 4 4" xfId="26962"/>
    <cellStyle name="Note 2 3 3 3 5 5" xfId="26963"/>
    <cellStyle name="Note 2 3 3 3 5 6" xfId="26964"/>
    <cellStyle name="Note 2 3 3 3 5 7" xfId="26965"/>
    <cellStyle name="Note 2 3 3 3 5 8" xfId="26966"/>
    <cellStyle name="Note 2 3 3 3 6" xfId="26967"/>
    <cellStyle name="Note 2 3 3 3 6 2" xfId="26968"/>
    <cellStyle name="Note 2 3 3 3 6 3" xfId="26969"/>
    <cellStyle name="Note 2 3 3 3 6 4" xfId="26970"/>
    <cellStyle name="Note 2 3 3 3 7" xfId="26971"/>
    <cellStyle name="Note 2 3 3 3 7 2" xfId="26972"/>
    <cellStyle name="Note 2 3 3 3 7 3" xfId="26973"/>
    <cellStyle name="Note 2 3 3 3 7 4" xfId="26974"/>
    <cellStyle name="Note 2 3 3 3 8" xfId="26975"/>
    <cellStyle name="Note 2 3 3 3 9" xfId="26976"/>
    <cellStyle name="Note 2 3 3 4" xfId="26977"/>
    <cellStyle name="Note 2 3 3 4 2" xfId="26978"/>
    <cellStyle name="Note 2 3 3 4 2 2" xfId="26979"/>
    <cellStyle name="Note 2 3 3 4 2 3" xfId="26980"/>
    <cellStyle name="Note 2 3 3 4 2 4" xfId="26981"/>
    <cellStyle name="Note 2 3 3 4 3" xfId="26982"/>
    <cellStyle name="Note 2 3 3 4 3 2" xfId="26983"/>
    <cellStyle name="Note 2 3 3 4 3 3" xfId="26984"/>
    <cellStyle name="Note 2 3 3 4 3 4" xfId="26985"/>
    <cellStyle name="Note 2 3 3 4 4" xfId="26986"/>
    <cellStyle name="Note 2 3 3 4 4 2" xfId="26987"/>
    <cellStyle name="Note 2 3 3 4 4 3" xfId="26988"/>
    <cellStyle name="Note 2 3 3 4 4 4" xfId="26989"/>
    <cellStyle name="Note 2 3 3 4 5" xfId="26990"/>
    <cellStyle name="Note 2 3 3 4 6" xfId="26991"/>
    <cellStyle name="Note 2 3 3 4 7" xfId="26992"/>
    <cellStyle name="Note 2 3 3 4 8" xfId="26993"/>
    <cellStyle name="Note 2 3 3 5" xfId="26994"/>
    <cellStyle name="Note 2 3 3 5 2" xfId="26995"/>
    <cellStyle name="Note 2 3 3 5 2 2" xfId="26996"/>
    <cellStyle name="Note 2 3 3 5 2 3" xfId="26997"/>
    <cellStyle name="Note 2 3 3 5 2 4" xfId="26998"/>
    <cellStyle name="Note 2 3 3 5 3" xfId="26999"/>
    <cellStyle name="Note 2 3 3 5 3 2" xfId="27000"/>
    <cellStyle name="Note 2 3 3 5 3 3" xfId="27001"/>
    <cellStyle name="Note 2 3 3 5 3 4" xfId="27002"/>
    <cellStyle name="Note 2 3 3 5 4" xfId="27003"/>
    <cellStyle name="Note 2 3 3 5 4 2" xfId="27004"/>
    <cellStyle name="Note 2 3 3 5 4 3" xfId="27005"/>
    <cellStyle name="Note 2 3 3 5 4 4" xfId="27006"/>
    <cellStyle name="Note 2 3 3 5 5" xfId="27007"/>
    <cellStyle name="Note 2 3 3 5 6" xfId="27008"/>
    <cellStyle name="Note 2 3 3 5 7" xfId="27009"/>
    <cellStyle name="Note 2 3 3 5 8" xfId="27010"/>
    <cellStyle name="Note 2 3 3 6" xfId="27011"/>
    <cellStyle name="Note 2 3 3 6 2" xfId="27012"/>
    <cellStyle name="Note 2 3 3 6 2 2" xfId="27013"/>
    <cellStyle name="Note 2 3 3 6 2 3" xfId="27014"/>
    <cellStyle name="Note 2 3 3 6 2 4" xfId="27015"/>
    <cellStyle name="Note 2 3 3 6 3" xfId="27016"/>
    <cellStyle name="Note 2 3 3 6 3 2" xfId="27017"/>
    <cellStyle name="Note 2 3 3 6 3 3" xfId="27018"/>
    <cellStyle name="Note 2 3 3 6 3 4" xfId="27019"/>
    <cellStyle name="Note 2 3 3 6 4" xfId="27020"/>
    <cellStyle name="Note 2 3 3 6 4 2" xfId="27021"/>
    <cellStyle name="Note 2 3 3 6 4 3" xfId="27022"/>
    <cellStyle name="Note 2 3 3 6 4 4" xfId="27023"/>
    <cellStyle name="Note 2 3 3 6 5" xfId="27024"/>
    <cellStyle name="Note 2 3 3 6 6" xfId="27025"/>
    <cellStyle name="Note 2 3 3 6 7" xfId="27026"/>
    <cellStyle name="Note 2 3 3 6 8" xfId="27027"/>
    <cellStyle name="Note 2 3 3 7" xfId="27028"/>
    <cellStyle name="Note 2 3 3 7 2" xfId="27029"/>
    <cellStyle name="Note 2 3 3 7 2 2" xfId="27030"/>
    <cellStyle name="Note 2 3 3 7 2 3" xfId="27031"/>
    <cellStyle name="Note 2 3 3 7 2 4" xfId="27032"/>
    <cellStyle name="Note 2 3 3 7 3" xfId="27033"/>
    <cellStyle name="Note 2 3 3 7 3 2" xfId="27034"/>
    <cellStyle name="Note 2 3 3 7 3 3" xfId="27035"/>
    <cellStyle name="Note 2 3 3 7 3 4" xfId="27036"/>
    <cellStyle name="Note 2 3 3 7 4" xfId="27037"/>
    <cellStyle name="Note 2 3 3 7 4 2" xfId="27038"/>
    <cellStyle name="Note 2 3 3 7 4 3" xfId="27039"/>
    <cellStyle name="Note 2 3 3 7 4 4" xfId="27040"/>
    <cellStyle name="Note 2 3 3 7 5" xfId="27041"/>
    <cellStyle name="Note 2 3 3 7 6" xfId="27042"/>
    <cellStyle name="Note 2 3 3 7 7" xfId="27043"/>
    <cellStyle name="Note 2 3 3 7 8" xfId="27044"/>
    <cellStyle name="Note 2 3 3 8" xfId="27045"/>
    <cellStyle name="Note 2 3 3 8 2" xfId="27046"/>
    <cellStyle name="Note 2 3 3 8 2 2" xfId="27047"/>
    <cellStyle name="Note 2 3 3 8 2 3" xfId="27048"/>
    <cellStyle name="Note 2 3 3 8 2 4" xfId="27049"/>
    <cellStyle name="Note 2 3 3 8 3" xfId="27050"/>
    <cellStyle name="Note 2 3 3 8 3 2" xfId="27051"/>
    <cellStyle name="Note 2 3 3 8 3 3" xfId="27052"/>
    <cellStyle name="Note 2 3 3 8 3 4" xfId="27053"/>
    <cellStyle name="Note 2 3 3 8 4" xfId="27054"/>
    <cellStyle name="Note 2 3 3 8 4 2" xfId="27055"/>
    <cellStyle name="Note 2 3 3 8 4 3" xfId="27056"/>
    <cellStyle name="Note 2 3 3 8 4 4" xfId="27057"/>
    <cellStyle name="Note 2 3 3 8 5" xfId="27058"/>
    <cellStyle name="Note 2 3 3 8 6" xfId="27059"/>
    <cellStyle name="Note 2 3 3 8 7" xfId="27060"/>
    <cellStyle name="Note 2 3 3 8 8" xfId="27061"/>
    <cellStyle name="Note 2 3 3 9" xfId="27062"/>
    <cellStyle name="Note 2 3 3 9 2" xfId="27063"/>
    <cellStyle name="Note 2 3 3 9 3" xfId="27064"/>
    <cellStyle name="Note 2 3 3 9 4" xfId="27065"/>
    <cellStyle name="Note 2 3 4" xfId="27066"/>
    <cellStyle name="Note 2 3 4 10" xfId="27067"/>
    <cellStyle name="Note 2 3 4 11" xfId="27068"/>
    <cellStyle name="Note 2 3 4 2" xfId="27069"/>
    <cellStyle name="Note 2 3 4 2 2" xfId="27070"/>
    <cellStyle name="Note 2 3 4 2 2 2" xfId="27071"/>
    <cellStyle name="Note 2 3 4 2 2 2 2" xfId="27072"/>
    <cellStyle name="Note 2 3 4 2 2 2 3" xfId="27073"/>
    <cellStyle name="Note 2 3 4 2 2 2 4" xfId="27074"/>
    <cellStyle name="Note 2 3 4 2 2 3" xfId="27075"/>
    <cellStyle name="Note 2 3 4 2 2 3 2" xfId="27076"/>
    <cellStyle name="Note 2 3 4 2 2 3 3" xfId="27077"/>
    <cellStyle name="Note 2 3 4 2 2 3 4" xfId="27078"/>
    <cellStyle name="Note 2 3 4 2 2 4" xfId="27079"/>
    <cellStyle name="Note 2 3 4 2 2 4 2" xfId="27080"/>
    <cellStyle name="Note 2 3 4 2 2 4 3" xfId="27081"/>
    <cellStyle name="Note 2 3 4 2 2 4 4" xfId="27082"/>
    <cellStyle name="Note 2 3 4 2 2 5" xfId="27083"/>
    <cellStyle name="Note 2 3 4 2 2 6" xfId="27084"/>
    <cellStyle name="Note 2 3 4 2 2 7" xfId="27085"/>
    <cellStyle name="Note 2 3 4 2 2 8" xfId="27086"/>
    <cellStyle name="Note 2 3 4 2 3" xfId="27087"/>
    <cellStyle name="Note 2 3 4 2 3 2" xfId="27088"/>
    <cellStyle name="Note 2 3 4 2 3 2 2" xfId="27089"/>
    <cellStyle name="Note 2 3 4 2 3 2 3" xfId="27090"/>
    <cellStyle name="Note 2 3 4 2 3 2 4" xfId="27091"/>
    <cellStyle name="Note 2 3 4 2 3 3" xfId="27092"/>
    <cellStyle name="Note 2 3 4 2 3 3 2" xfId="27093"/>
    <cellStyle name="Note 2 3 4 2 3 3 3" xfId="27094"/>
    <cellStyle name="Note 2 3 4 2 3 3 4" xfId="27095"/>
    <cellStyle name="Note 2 3 4 2 3 4" xfId="27096"/>
    <cellStyle name="Note 2 3 4 2 3 4 2" xfId="27097"/>
    <cellStyle name="Note 2 3 4 2 3 4 3" xfId="27098"/>
    <cellStyle name="Note 2 3 4 2 3 4 4" xfId="27099"/>
    <cellStyle name="Note 2 3 4 2 3 5" xfId="27100"/>
    <cellStyle name="Note 2 3 4 2 3 6" xfId="27101"/>
    <cellStyle name="Note 2 3 4 2 3 7" xfId="27102"/>
    <cellStyle name="Note 2 3 4 2 3 8" xfId="27103"/>
    <cellStyle name="Note 2 3 4 2 4" xfId="27104"/>
    <cellStyle name="Note 2 3 4 2 4 2" xfId="27105"/>
    <cellStyle name="Note 2 3 4 2 4 2 2" xfId="27106"/>
    <cellStyle name="Note 2 3 4 2 4 2 3" xfId="27107"/>
    <cellStyle name="Note 2 3 4 2 4 2 4" xfId="27108"/>
    <cellStyle name="Note 2 3 4 2 4 3" xfId="27109"/>
    <cellStyle name="Note 2 3 4 2 4 3 2" xfId="27110"/>
    <cellStyle name="Note 2 3 4 2 4 3 3" xfId="27111"/>
    <cellStyle name="Note 2 3 4 2 4 3 4" xfId="27112"/>
    <cellStyle name="Note 2 3 4 2 4 4" xfId="27113"/>
    <cellStyle name="Note 2 3 4 2 4 4 2" xfId="27114"/>
    <cellStyle name="Note 2 3 4 2 4 4 3" xfId="27115"/>
    <cellStyle name="Note 2 3 4 2 4 4 4" xfId="27116"/>
    <cellStyle name="Note 2 3 4 2 4 5" xfId="27117"/>
    <cellStyle name="Note 2 3 4 2 4 6" xfId="27118"/>
    <cellStyle name="Note 2 3 4 2 4 7" xfId="27119"/>
    <cellStyle name="Note 2 3 4 2 4 8" xfId="27120"/>
    <cellStyle name="Note 2 3 4 2 5" xfId="27121"/>
    <cellStyle name="Note 2 3 4 2 5 2" xfId="27122"/>
    <cellStyle name="Note 2 3 4 2 5 2 2" xfId="27123"/>
    <cellStyle name="Note 2 3 4 2 5 2 3" xfId="27124"/>
    <cellStyle name="Note 2 3 4 2 5 2 4" xfId="27125"/>
    <cellStyle name="Note 2 3 4 2 5 3" xfId="27126"/>
    <cellStyle name="Note 2 3 4 2 5 3 2" xfId="27127"/>
    <cellStyle name="Note 2 3 4 2 5 3 3" xfId="27128"/>
    <cellStyle name="Note 2 3 4 2 5 3 4" xfId="27129"/>
    <cellStyle name="Note 2 3 4 2 5 4" xfId="27130"/>
    <cellStyle name="Note 2 3 4 2 5 4 2" xfId="27131"/>
    <cellStyle name="Note 2 3 4 2 5 4 3" xfId="27132"/>
    <cellStyle name="Note 2 3 4 2 5 4 4" xfId="27133"/>
    <cellStyle name="Note 2 3 4 2 5 5" xfId="27134"/>
    <cellStyle name="Note 2 3 4 2 5 6" xfId="27135"/>
    <cellStyle name="Note 2 3 4 2 5 7" xfId="27136"/>
    <cellStyle name="Note 2 3 4 2 5 8" xfId="27137"/>
    <cellStyle name="Note 2 3 4 2 6" xfId="27138"/>
    <cellStyle name="Note 2 3 4 2 6 2" xfId="27139"/>
    <cellStyle name="Note 2 3 4 2 6 3" xfId="27140"/>
    <cellStyle name="Note 2 3 4 2 6 4" xfId="27141"/>
    <cellStyle name="Note 2 3 4 2 7" xfId="27142"/>
    <cellStyle name="Note 2 3 4 2 7 2" xfId="27143"/>
    <cellStyle name="Note 2 3 4 2 7 3" xfId="27144"/>
    <cellStyle name="Note 2 3 4 2 7 4" xfId="27145"/>
    <cellStyle name="Note 2 3 4 2 8" xfId="27146"/>
    <cellStyle name="Note 2 3 4 2 9" xfId="27147"/>
    <cellStyle name="Note 2 3 4 3" xfId="27148"/>
    <cellStyle name="Note 2 3 4 3 2" xfId="27149"/>
    <cellStyle name="Note 2 3 4 3 2 2" xfId="27150"/>
    <cellStyle name="Note 2 3 4 3 2 3" xfId="27151"/>
    <cellStyle name="Note 2 3 4 3 2 4" xfId="27152"/>
    <cellStyle name="Note 2 3 4 3 3" xfId="27153"/>
    <cellStyle name="Note 2 3 4 3 3 2" xfId="27154"/>
    <cellStyle name="Note 2 3 4 3 3 3" xfId="27155"/>
    <cellStyle name="Note 2 3 4 3 3 4" xfId="27156"/>
    <cellStyle name="Note 2 3 4 3 4" xfId="27157"/>
    <cellStyle name="Note 2 3 4 3 4 2" xfId="27158"/>
    <cellStyle name="Note 2 3 4 3 4 3" xfId="27159"/>
    <cellStyle name="Note 2 3 4 3 4 4" xfId="27160"/>
    <cellStyle name="Note 2 3 4 3 5" xfId="27161"/>
    <cellStyle name="Note 2 3 4 3 6" xfId="27162"/>
    <cellStyle name="Note 2 3 4 3 7" xfId="27163"/>
    <cellStyle name="Note 2 3 4 3 8" xfId="27164"/>
    <cellStyle name="Note 2 3 4 4" xfId="27165"/>
    <cellStyle name="Note 2 3 4 4 2" xfId="27166"/>
    <cellStyle name="Note 2 3 4 4 2 2" xfId="27167"/>
    <cellStyle name="Note 2 3 4 4 2 3" xfId="27168"/>
    <cellStyle name="Note 2 3 4 4 2 4" xfId="27169"/>
    <cellStyle name="Note 2 3 4 4 3" xfId="27170"/>
    <cellStyle name="Note 2 3 4 4 3 2" xfId="27171"/>
    <cellStyle name="Note 2 3 4 4 3 3" xfId="27172"/>
    <cellStyle name="Note 2 3 4 4 3 4" xfId="27173"/>
    <cellStyle name="Note 2 3 4 4 4" xfId="27174"/>
    <cellStyle name="Note 2 3 4 4 4 2" xfId="27175"/>
    <cellStyle name="Note 2 3 4 4 4 3" xfId="27176"/>
    <cellStyle name="Note 2 3 4 4 4 4" xfId="27177"/>
    <cellStyle name="Note 2 3 4 4 5" xfId="27178"/>
    <cellStyle name="Note 2 3 4 4 6" xfId="27179"/>
    <cellStyle name="Note 2 3 4 4 7" xfId="27180"/>
    <cellStyle name="Note 2 3 4 4 8" xfId="27181"/>
    <cellStyle name="Note 2 3 4 5" xfId="27182"/>
    <cellStyle name="Note 2 3 4 5 2" xfId="27183"/>
    <cellStyle name="Note 2 3 4 5 2 2" xfId="27184"/>
    <cellStyle name="Note 2 3 4 5 2 3" xfId="27185"/>
    <cellStyle name="Note 2 3 4 5 2 4" xfId="27186"/>
    <cellStyle name="Note 2 3 4 5 3" xfId="27187"/>
    <cellStyle name="Note 2 3 4 5 3 2" xfId="27188"/>
    <cellStyle name="Note 2 3 4 5 3 3" xfId="27189"/>
    <cellStyle name="Note 2 3 4 5 3 4" xfId="27190"/>
    <cellStyle name="Note 2 3 4 5 4" xfId="27191"/>
    <cellStyle name="Note 2 3 4 5 4 2" xfId="27192"/>
    <cellStyle name="Note 2 3 4 5 4 3" xfId="27193"/>
    <cellStyle name="Note 2 3 4 5 4 4" xfId="27194"/>
    <cellStyle name="Note 2 3 4 5 5" xfId="27195"/>
    <cellStyle name="Note 2 3 4 5 6" xfId="27196"/>
    <cellStyle name="Note 2 3 4 5 7" xfId="27197"/>
    <cellStyle name="Note 2 3 4 5 8" xfId="27198"/>
    <cellStyle name="Note 2 3 4 6" xfId="27199"/>
    <cellStyle name="Note 2 3 4 6 2" xfId="27200"/>
    <cellStyle name="Note 2 3 4 6 2 2" xfId="27201"/>
    <cellStyle name="Note 2 3 4 6 2 3" xfId="27202"/>
    <cellStyle name="Note 2 3 4 6 2 4" xfId="27203"/>
    <cellStyle name="Note 2 3 4 6 3" xfId="27204"/>
    <cellStyle name="Note 2 3 4 6 3 2" xfId="27205"/>
    <cellStyle name="Note 2 3 4 6 3 3" xfId="27206"/>
    <cellStyle name="Note 2 3 4 6 3 4" xfId="27207"/>
    <cellStyle name="Note 2 3 4 6 4" xfId="27208"/>
    <cellStyle name="Note 2 3 4 6 4 2" xfId="27209"/>
    <cellStyle name="Note 2 3 4 6 4 3" xfId="27210"/>
    <cellStyle name="Note 2 3 4 6 4 4" xfId="27211"/>
    <cellStyle name="Note 2 3 4 6 5" xfId="27212"/>
    <cellStyle name="Note 2 3 4 6 6" xfId="27213"/>
    <cellStyle name="Note 2 3 4 6 7" xfId="27214"/>
    <cellStyle name="Note 2 3 4 6 8" xfId="27215"/>
    <cellStyle name="Note 2 3 4 7" xfId="27216"/>
    <cellStyle name="Note 2 3 4 7 2" xfId="27217"/>
    <cellStyle name="Note 2 3 4 7 2 2" xfId="27218"/>
    <cellStyle name="Note 2 3 4 7 2 3" xfId="27219"/>
    <cellStyle name="Note 2 3 4 7 2 4" xfId="27220"/>
    <cellStyle name="Note 2 3 4 7 3" xfId="27221"/>
    <cellStyle name="Note 2 3 4 7 3 2" xfId="27222"/>
    <cellStyle name="Note 2 3 4 7 3 3" xfId="27223"/>
    <cellStyle name="Note 2 3 4 7 3 4" xfId="27224"/>
    <cellStyle name="Note 2 3 4 7 4" xfId="27225"/>
    <cellStyle name="Note 2 3 4 7 4 2" xfId="27226"/>
    <cellStyle name="Note 2 3 4 7 4 3" xfId="27227"/>
    <cellStyle name="Note 2 3 4 7 4 4" xfId="27228"/>
    <cellStyle name="Note 2 3 4 7 5" xfId="27229"/>
    <cellStyle name="Note 2 3 4 7 6" xfId="27230"/>
    <cellStyle name="Note 2 3 4 7 7" xfId="27231"/>
    <cellStyle name="Note 2 3 4 7 8" xfId="27232"/>
    <cellStyle name="Note 2 3 4 8" xfId="27233"/>
    <cellStyle name="Note 2 3 4 8 2" xfId="27234"/>
    <cellStyle name="Note 2 3 4 8 3" xfId="27235"/>
    <cellStyle name="Note 2 3 4 8 4" xfId="27236"/>
    <cellStyle name="Note 2 3 4 9" xfId="27237"/>
    <cellStyle name="Note 2 3 4 9 2" xfId="27238"/>
    <cellStyle name="Note 2 3 4 9 3" xfId="27239"/>
    <cellStyle name="Note 2 3 4 9 4" xfId="27240"/>
    <cellStyle name="Note 2 3 5" xfId="27241"/>
    <cellStyle name="Note 2 3 5 2" xfId="27242"/>
    <cellStyle name="Note 2 3 5 2 2" xfId="27243"/>
    <cellStyle name="Note 2 3 5 2 2 2" xfId="27244"/>
    <cellStyle name="Note 2 3 5 2 2 3" xfId="27245"/>
    <cellStyle name="Note 2 3 5 2 2 4" xfId="27246"/>
    <cellStyle name="Note 2 3 5 2 3" xfId="27247"/>
    <cellStyle name="Note 2 3 5 2 3 2" xfId="27248"/>
    <cellStyle name="Note 2 3 5 2 3 3" xfId="27249"/>
    <cellStyle name="Note 2 3 5 2 3 4" xfId="27250"/>
    <cellStyle name="Note 2 3 5 2 4" xfId="27251"/>
    <cellStyle name="Note 2 3 5 2 4 2" xfId="27252"/>
    <cellStyle name="Note 2 3 5 2 4 3" xfId="27253"/>
    <cellStyle name="Note 2 3 5 2 4 4" xfId="27254"/>
    <cellStyle name="Note 2 3 5 2 5" xfId="27255"/>
    <cellStyle name="Note 2 3 5 2 6" xfId="27256"/>
    <cellStyle name="Note 2 3 5 2 7" xfId="27257"/>
    <cellStyle name="Note 2 3 5 2 8" xfId="27258"/>
    <cellStyle name="Note 2 3 5 3" xfId="27259"/>
    <cellStyle name="Note 2 3 5 3 2" xfId="27260"/>
    <cellStyle name="Note 2 3 5 3 2 2" xfId="27261"/>
    <cellStyle name="Note 2 3 5 3 2 3" xfId="27262"/>
    <cellStyle name="Note 2 3 5 3 2 4" xfId="27263"/>
    <cellStyle name="Note 2 3 5 3 3" xfId="27264"/>
    <cellStyle name="Note 2 3 5 3 3 2" xfId="27265"/>
    <cellStyle name="Note 2 3 5 3 3 3" xfId="27266"/>
    <cellStyle name="Note 2 3 5 3 3 4" xfId="27267"/>
    <cellStyle name="Note 2 3 5 3 4" xfId="27268"/>
    <cellStyle name="Note 2 3 5 3 4 2" xfId="27269"/>
    <cellStyle name="Note 2 3 5 3 4 3" xfId="27270"/>
    <cellStyle name="Note 2 3 5 3 4 4" xfId="27271"/>
    <cellStyle name="Note 2 3 5 3 5" xfId="27272"/>
    <cellStyle name="Note 2 3 5 3 6" xfId="27273"/>
    <cellStyle name="Note 2 3 5 3 7" xfId="27274"/>
    <cellStyle name="Note 2 3 5 3 8" xfId="27275"/>
    <cellStyle name="Note 2 3 5 4" xfId="27276"/>
    <cellStyle name="Note 2 3 5 4 2" xfId="27277"/>
    <cellStyle name="Note 2 3 5 4 2 2" xfId="27278"/>
    <cellStyle name="Note 2 3 5 4 2 3" xfId="27279"/>
    <cellStyle name="Note 2 3 5 4 2 4" xfId="27280"/>
    <cellStyle name="Note 2 3 5 4 3" xfId="27281"/>
    <cellStyle name="Note 2 3 5 4 3 2" xfId="27282"/>
    <cellStyle name="Note 2 3 5 4 3 3" xfId="27283"/>
    <cellStyle name="Note 2 3 5 4 3 4" xfId="27284"/>
    <cellStyle name="Note 2 3 5 4 4" xfId="27285"/>
    <cellStyle name="Note 2 3 5 4 4 2" xfId="27286"/>
    <cellStyle name="Note 2 3 5 4 4 3" xfId="27287"/>
    <cellStyle name="Note 2 3 5 4 4 4" xfId="27288"/>
    <cellStyle name="Note 2 3 5 4 5" xfId="27289"/>
    <cellStyle name="Note 2 3 5 4 6" xfId="27290"/>
    <cellStyle name="Note 2 3 5 4 7" xfId="27291"/>
    <cellStyle name="Note 2 3 5 4 8" xfId="27292"/>
    <cellStyle name="Note 2 3 5 5" xfId="27293"/>
    <cellStyle name="Note 2 3 5 5 2" xfId="27294"/>
    <cellStyle name="Note 2 3 5 5 2 2" xfId="27295"/>
    <cellStyle name="Note 2 3 5 5 2 3" xfId="27296"/>
    <cellStyle name="Note 2 3 5 5 2 4" xfId="27297"/>
    <cellStyle name="Note 2 3 5 5 3" xfId="27298"/>
    <cellStyle name="Note 2 3 5 5 3 2" xfId="27299"/>
    <cellStyle name="Note 2 3 5 5 3 3" xfId="27300"/>
    <cellStyle name="Note 2 3 5 5 3 4" xfId="27301"/>
    <cellStyle name="Note 2 3 5 5 4" xfId="27302"/>
    <cellStyle name="Note 2 3 5 5 4 2" xfId="27303"/>
    <cellStyle name="Note 2 3 5 5 4 3" xfId="27304"/>
    <cellStyle name="Note 2 3 5 5 4 4" xfId="27305"/>
    <cellStyle name="Note 2 3 5 5 5" xfId="27306"/>
    <cellStyle name="Note 2 3 5 5 6" xfId="27307"/>
    <cellStyle name="Note 2 3 5 5 7" xfId="27308"/>
    <cellStyle name="Note 2 3 5 5 8" xfId="27309"/>
    <cellStyle name="Note 2 3 5 6" xfId="27310"/>
    <cellStyle name="Note 2 3 5 6 2" xfId="27311"/>
    <cellStyle name="Note 2 3 5 6 3" xfId="27312"/>
    <cellStyle name="Note 2 3 5 6 4" xfId="27313"/>
    <cellStyle name="Note 2 3 5 7" xfId="27314"/>
    <cellStyle name="Note 2 3 5 7 2" xfId="27315"/>
    <cellStyle name="Note 2 3 5 7 3" xfId="27316"/>
    <cellStyle name="Note 2 3 5 7 4" xfId="27317"/>
    <cellStyle name="Note 2 3 5 8" xfId="27318"/>
    <cellStyle name="Note 2 3 5 9" xfId="27319"/>
    <cellStyle name="Note 2 3 6" xfId="27320"/>
    <cellStyle name="Note 2 3 6 2" xfId="27321"/>
    <cellStyle name="Note 2 3 6 2 2" xfId="27322"/>
    <cellStyle name="Note 2 3 6 2 3" xfId="27323"/>
    <cellStyle name="Note 2 3 6 2 4" xfId="27324"/>
    <cellStyle name="Note 2 3 6 3" xfId="27325"/>
    <cellStyle name="Note 2 3 6 3 2" xfId="27326"/>
    <cellStyle name="Note 2 3 6 3 3" xfId="27327"/>
    <cellStyle name="Note 2 3 6 3 4" xfId="27328"/>
    <cellStyle name="Note 2 3 6 4" xfId="27329"/>
    <cellStyle name="Note 2 3 6 4 2" xfId="27330"/>
    <cellStyle name="Note 2 3 6 4 3" xfId="27331"/>
    <cellStyle name="Note 2 3 6 4 4" xfId="27332"/>
    <cellStyle name="Note 2 3 6 5" xfId="27333"/>
    <cellStyle name="Note 2 3 6 6" xfId="27334"/>
    <cellStyle name="Note 2 3 6 7" xfId="27335"/>
    <cellStyle name="Note 2 3 6 8" xfId="27336"/>
    <cellStyle name="Note 2 3 7" xfId="27337"/>
    <cellStyle name="Note 2 3 7 2" xfId="27338"/>
    <cellStyle name="Note 2 3 7 2 2" xfId="27339"/>
    <cellStyle name="Note 2 3 7 2 3" xfId="27340"/>
    <cellStyle name="Note 2 3 7 2 4" xfId="27341"/>
    <cellStyle name="Note 2 3 7 3" xfId="27342"/>
    <cellStyle name="Note 2 3 7 3 2" xfId="27343"/>
    <cellStyle name="Note 2 3 7 3 3" xfId="27344"/>
    <cellStyle name="Note 2 3 7 3 4" xfId="27345"/>
    <cellStyle name="Note 2 3 7 4" xfId="27346"/>
    <cellStyle name="Note 2 3 7 4 2" xfId="27347"/>
    <cellStyle name="Note 2 3 7 4 3" xfId="27348"/>
    <cellStyle name="Note 2 3 7 4 4" xfId="27349"/>
    <cellStyle name="Note 2 3 7 5" xfId="27350"/>
    <cellStyle name="Note 2 3 7 6" xfId="27351"/>
    <cellStyle name="Note 2 3 7 7" xfId="27352"/>
    <cellStyle name="Note 2 3 7 8" xfId="27353"/>
    <cellStyle name="Note 2 3 8" xfId="27354"/>
    <cellStyle name="Note 2 3 8 2" xfId="27355"/>
    <cellStyle name="Note 2 3 8 2 2" xfId="27356"/>
    <cellStyle name="Note 2 3 8 2 3" xfId="27357"/>
    <cellStyle name="Note 2 3 8 2 4" xfId="27358"/>
    <cellStyle name="Note 2 3 8 3" xfId="27359"/>
    <cellStyle name="Note 2 3 8 3 2" xfId="27360"/>
    <cellStyle name="Note 2 3 8 3 3" xfId="27361"/>
    <cellStyle name="Note 2 3 8 3 4" xfId="27362"/>
    <cellStyle name="Note 2 3 8 4" xfId="27363"/>
    <cellStyle name="Note 2 3 8 4 2" xfId="27364"/>
    <cellStyle name="Note 2 3 8 4 3" xfId="27365"/>
    <cellStyle name="Note 2 3 8 4 4" xfId="27366"/>
    <cellStyle name="Note 2 3 8 5" xfId="27367"/>
    <cellStyle name="Note 2 3 8 6" xfId="27368"/>
    <cellStyle name="Note 2 3 8 7" xfId="27369"/>
    <cellStyle name="Note 2 3 8 8" xfId="27370"/>
    <cellStyle name="Note 2 3 9" xfId="27371"/>
    <cellStyle name="Note 2 3 9 2" xfId="27372"/>
    <cellStyle name="Note 2 3 9 2 2" xfId="27373"/>
    <cellStyle name="Note 2 3 9 2 3" xfId="27374"/>
    <cellStyle name="Note 2 3 9 2 4" xfId="27375"/>
    <cellStyle name="Note 2 3 9 3" xfId="27376"/>
    <cellStyle name="Note 2 3 9 3 2" xfId="27377"/>
    <cellStyle name="Note 2 3 9 3 3" xfId="27378"/>
    <cellStyle name="Note 2 3 9 3 4" xfId="27379"/>
    <cellStyle name="Note 2 3 9 4" xfId="27380"/>
    <cellStyle name="Note 2 3 9 4 2" xfId="27381"/>
    <cellStyle name="Note 2 3 9 4 3" xfId="27382"/>
    <cellStyle name="Note 2 3 9 4 4" xfId="27383"/>
    <cellStyle name="Note 2 3 9 5" xfId="27384"/>
    <cellStyle name="Note 2 3 9 6" xfId="27385"/>
    <cellStyle name="Note 2 3 9 7" xfId="27386"/>
    <cellStyle name="Note 2 3 9 8" xfId="27387"/>
    <cellStyle name="Note 2 4" xfId="27388"/>
    <cellStyle name="Note 2 4 10" xfId="27389"/>
    <cellStyle name="Note 2 4 10 2" xfId="27390"/>
    <cellStyle name="Note 2 4 10 3" xfId="27391"/>
    <cellStyle name="Note 2 4 10 4" xfId="27392"/>
    <cellStyle name="Note 2 4 11" xfId="27393"/>
    <cellStyle name="Note 2 4 11 2" xfId="27394"/>
    <cellStyle name="Note 2 4 11 3" xfId="27395"/>
    <cellStyle name="Note 2 4 11 4" xfId="27396"/>
    <cellStyle name="Note 2 4 12" xfId="27397"/>
    <cellStyle name="Note 2 4 13" xfId="27398"/>
    <cellStyle name="Note 2 4 2" xfId="27399"/>
    <cellStyle name="Note 2 4 2 10" xfId="27400"/>
    <cellStyle name="Note 2 4 2 10 2" xfId="27401"/>
    <cellStyle name="Note 2 4 2 10 3" xfId="27402"/>
    <cellStyle name="Note 2 4 2 10 4" xfId="27403"/>
    <cellStyle name="Note 2 4 2 11" xfId="27404"/>
    <cellStyle name="Note 2 4 2 12" xfId="27405"/>
    <cellStyle name="Note 2 4 2 2" xfId="27406"/>
    <cellStyle name="Note 2 4 2 2 10" xfId="27407"/>
    <cellStyle name="Note 2 4 2 2 11" xfId="27408"/>
    <cellStyle name="Note 2 4 2 2 2" xfId="27409"/>
    <cellStyle name="Note 2 4 2 2 2 2" xfId="27410"/>
    <cellStyle name="Note 2 4 2 2 2 2 2" xfId="27411"/>
    <cellStyle name="Note 2 4 2 2 2 2 2 2" xfId="27412"/>
    <cellStyle name="Note 2 4 2 2 2 2 2 3" xfId="27413"/>
    <cellStyle name="Note 2 4 2 2 2 2 2 4" xfId="27414"/>
    <cellStyle name="Note 2 4 2 2 2 2 3" xfId="27415"/>
    <cellStyle name="Note 2 4 2 2 2 2 3 2" xfId="27416"/>
    <cellStyle name="Note 2 4 2 2 2 2 3 3" xfId="27417"/>
    <cellStyle name="Note 2 4 2 2 2 2 3 4" xfId="27418"/>
    <cellStyle name="Note 2 4 2 2 2 2 4" xfId="27419"/>
    <cellStyle name="Note 2 4 2 2 2 2 4 2" xfId="27420"/>
    <cellStyle name="Note 2 4 2 2 2 2 4 3" xfId="27421"/>
    <cellStyle name="Note 2 4 2 2 2 2 4 4" xfId="27422"/>
    <cellStyle name="Note 2 4 2 2 2 2 5" xfId="27423"/>
    <cellStyle name="Note 2 4 2 2 2 2 6" xfId="27424"/>
    <cellStyle name="Note 2 4 2 2 2 2 7" xfId="27425"/>
    <cellStyle name="Note 2 4 2 2 2 2 8" xfId="27426"/>
    <cellStyle name="Note 2 4 2 2 2 3" xfId="27427"/>
    <cellStyle name="Note 2 4 2 2 2 3 2" xfId="27428"/>
    <cellStyle name="Note 2 4 2 2 2 3 2 2" xfId="27429"/>
    <cellStyle name="Note 2 4 2 2 2 3 2 3" xfId="27430"/>
    <cellStyle name="Note 2 4 2 2 2 3 2 4" xfId="27431"/>
    <cellStyle name="Note 2 4 2 2 2 3 3" xfId="27432"/>
    <cellStyle name="Note 2 4 2 2 2 3 3 2" xfId="27433"/>
    <cellStyle name="Note 2 4 2 2 2 3 3 3" xfId="27434"/>
    <cellStyle name="Note 2 4 2 2 2 3 3 4" xfId="27435"/>
    <cellStyle name="Note 2 4 2 2 2 3 4" xfId="27436"/>
    <cellStyle name="Note 2 4 2 2 2 3 4 2" xfId="27437"/>
    <cellStyle name="Note 2 4 2 2 2 3 4 3" xfId="27438"/>
    <cellStyle name="Note 2 4 2 2 2 3 4 4" xfId="27439"/>
    <cellStyle name="Note 2 4 2 2 2 3 5" xfId="27440"/>
    <cellStyle name="Note 2 4 2 2 2 3 6" xfId="27441"/>
    <cellStyle name="Note 2 4 2 2 2 3 7" xfId="27442"/>
    <cellStyle name="Note 2 4 2 2 2 3 8" xfId="27443"/>
    <cellStyle name="Note 2 4 2 2 2 4" xfId="27444"/>
    <cellStyle name="Note 2 4 2 2 2 4 2" xfId="27445"/>
    <cellStyle name="Note 2 4 2 2 2 4 2 2" xfId="27446"/>
    <cellStyle name="Note 2 4 2 2 2 4 2 3" xfId="27447"/>
    <cellStyle name="Note 2 4 2 2 2 4 2 4" xfId="27448"/>
    <cellStyle name="Note 2 4 2 2 2 4 3" xfId="27449"/>
    <cellStyle name="Note 2 4 2 2 2 4 3 2" xfId="27450"/>
    <cellStyle name="Note 2 4 2 2 2 4 3 3" xfId="27451"/>
    <cellStyle name="Note 2 4 2 2 2 4 3 4" xfId="27452"/>
    <cellStyle name="Note 2 4 2 2 2 4 4" xfId="27453"/>
    <cellStyle name="Note 2 4 2 2 2 4 4 2" xfId="27454"/>
    <cellStyle name="Note 2 4 2 2 2 4 4 3" xfId="27455"/>
    <cellStyle name="Note 2 4 2 2 2 4 4 4" xfId="27456"/>
    <cellStyle name="Note 2 4 2 2 2 4 5" xfId="27457"/>
    <cellStyle name="Note 2 4 2 2 2 4 6" xfId="27458"/>
    <cellStyle name="Note 2 4 2 2 2 4 7" xfId="27459"/>
    <cellStyle name="Note 2 4 2 2 2 4 8" xfId="27460"/>
    <cellStyle name="Note 2 4 2 2 2 5" xfId="27461"/>
    <cellStyle name="Note 2 4 2 2 2 5 2" xfId="27462"/>
    <cellStyle name="Note 2 4 2 2 2 5 2 2" xfId="27463"/>
    <cellStyle name="Note 2 4 2 2 2 5 2 3" xfId="27464"/>
    <cellStyle name="Note 2 4 2 2 2 5 2 4" xfId="27465"/>
    <cellStyle name="Note 2 4 2 2 2 5 3" xfId="27466"/>
    <cellStyle name="Note 2 4 2 2 2 5 3 2" xfId="27467"/>
    <cellStyle name="Note 2 4 2 2 2 5 3 3" xfId="27468"/>
    <cellStyle name="Note 2 4 2 2 2 5 3 4" xfId="27469"/>
    <cellStyle name="Note 2 4 2 2 2 5 4" xfId="27470"/>
    <cellStyle name="Note 2 4 2 2 2 5 4 2" xfId="27471"/>
    <cellStyle name="Note 2 4 2 2 2 5 4 3" xfId="27472"/>
    <cellStyle name="Note 2 4 2 2 2 5 4 4" xfId="27473"/>
    <cellStyle name="Note 2 4 2 2 2 5 5" xfId="27474"/>
    <cellStyle name="Note 2 4 2 2 2 5 6" xfId="27475"/>
    <cellStyle name="Note 2 4 2 2 2 5 7" xfId="27476"/>
    <cellStyle name="Note 2 4 2 2 2 5 8" xfId="27477"/>
    <cellStyle name="Note 2 4 2 2 2 6" xfId="27478"/>
    <cellStyle name="Note 2 4 2 2 2 6 2" xfId="27479"/>
    <cellStyle name="Note 2 4 2 2 2 6 3" xfId="27480"/>
    <cellStyle name="Note 2 4 2 2 2 6 4" xfId="27481"/>
    <cellStyle name="Note 2 4 2 2 2 7" xfId="27482"/>
    <cellStyle name="Note 2 4 2 2 2 7 2" xfId="27483"/>
    <cellStyle name="Note 2 4 2 2 2 7 3" xfId="27484"/>
    <cellStyle name="Note 2 4 2 2 2 7 4" xfId="27485"/>
    <cellStyle name="Note 2 4 2 2 2 8" xfId="27486"/>
    <cellStyle name="Note 2 4 2 2 2 9" xfId="27487"/>
    <cellStyle name="Note 2 4 2 2 3" xfId="27488"/>
    <cellStyle name="Note 2 4 2 2 3 2" xfId="27489"/>
    <cellStyle name="Note 2 4 2 2 3 2 2" xfId="27490"/>
    <cellStyle name="Note 2 4 2 2 3 2 3" xfId="27491"/>
    <cellStyle name="Note 2 4 2 2 3 2 4" xfId="27492"/>
    <cellStyle name="Note 2 4 2 2 3 3" xfId="27493"/>
    <cellStyle name="Note 2 4 2 2 3 3 2" xfId="27494"/>
    <cellStyle name="Note 2 4 2 2 3 3 3" xfId="27495"/>
    <cellStyle name="Note 2 4 2 2 3 3 4" xfId="27496"/>
    <cellStyle name="Note 2 4 2 2 3 4" xfId="27497"/>
    <cellStyle name="Note 2 4 2 2 3 4 2" xfId="27498"/>
    <cellStyle name="Note 2 4 2 2 3 4 3" xfId="27499"/>
    <cellStyle name="Note 2 4 2 2 3 4 4" xfId="27500"/>
    <cellStyle name="Note 2 4 2 2 3 5" xfId="27501"/>
    <cellStyle name="Note 2 4 2 2 3 6" xfId="27502"/>
    <cellStyle name="Note 2 4 2 2 3 7" xfId="27503"/>
    <cellStyle name="Note 2 4 2 2 3 8" xfId="27504"/>
    <cellStyle name="Note 2 4 2 2 4" xfId="27505"/>
    <cellStyle name="Note 2 4 2 2 4 2" xfId="27506"/>
    <cellStyle name="Note 2 4 2 2 4 2 2" xfId="27507"/>
    <cellStyle name="Note 2 4 2 2 4 2 3" xfId="27508"/>
    <cellStyle name="Note 2 4 2 2 4 2 4" xfId="27509"/>
    <cellStyle name="Note 2 4 2 2 4 3" xfId="27510"/>
    <cellStyle name="Note 2 4 2 2 4 3 2" xfId="27511"/>
    <cellStyle name="Note 2 4 2 2 4 3 3" xfId="27512"/>
    <cellStyle name="Note 2 4 2 2 4 3 4" xfId="27513"/>
    <cellStyle name="Note 2 4 2 2 4 4" xfId="27514"/>
    <cellStyle name="Note 2 4 2 2 4 4 2" xfId="27515"/>
    <cellStyle name="Note 2 4 2 2 4 4 3" xfId="27516"/>
    <cellStyle name="Note 2 4 2 2 4 4 4" xfId="27517"/>
    <cellStyle name="Note 2 4 2 2 4 5" xfId="27518"/>
    <cellStyle name="Note 2 4 2 2 4 6" xfId="27519"/>
    <cellStyle name="Note 2 4 2 2 4 7" xfId="27520"/>
    <cellStyle name="Note 2 4 2 2 4 8" xfId="27521"/>
    <cellStyle name="Note 2 4 2 2 5" xfId="27522"/>
    <cellStyle name="Note 2 4 2 2 5 2" xfId="27523"/>
    <cellStyle name="Note 2 4 2 2 5 2 2" xfId="27524"/>
    <cellStyle name="Note 2 4 2 2 5 2 3" xfId="27525"/>
    <cellStyle name="Note 2 4 2 2 5 2 4" xfId="27526"/>
    <cellStyle name="Note 2 4 2 2 5 3" xfId="27527"/>
    <cellStyle name="Note 2 4 2 2 5 3 2" xfId="27528"/>
    <cellStyle name="Note 2 4 2 2 5 3 3" xfId="27529"/>
    <cellStyle name="Note 2 4 2 2 5 3 4" xfId="27530"/>
    <cellStyle name="Note 2 4 2 2 5 4" xfId="27531"/>
    <cellStyle name="Note 2 4 2 2 5 4 2" xfId="27532"/>
    <cellStyle name="Note 2 4 2 2 5 4 3" xfId="27533"/>
    <cellStyle name="Note 2 4 2 2 5 4 4" xfId="27534"/>
    <cellStyle name="Note 2 4 2 2 5 5" xfId="27535"/>
    <cellStyle name="Note 2 4 2 2 5 6" xfId="27536"/>
    <cellStyle name="Note 2 4 2 2 5 7" xfId="27537"/>
    <cellStyle name="Note 2 4 2 2 5 8" xfId="27538"/>
    <cellStyle name="Note 2 4 2 2 6" xfId="27539"/>
    <cellStyle name="Note 2 4 2 2 6 2" xfId="27540"/>
    <cellStyle name="Note 2 4 2 2 6 2 2" xfId="27541"/>
    <cellStyle name="Note 2 4 2 2 6 2 3" xfId="27542"/>
    <cellStyle name="Note 2 4 2 2 6 2 4" xfId="27543"/>
    <cellStyle name="Note 2 4 2 2 6 3" xfId="27544"/>
    <cellStyle name="Note 2 4 2 2 6 3 2" xfId="27545"/>
    <cellStyle name="Note 2 4 2 2 6 3 3" xfId="27546"/>
    <cellStyle name="Note 2 4 2 2 6 3 4" xfId="27547"/>
    <cellStyle name="Note 2 4 2 2 6 4" xfId="27548"/>
    <cellStyle name="Note 2 4 2 2 6 4 2" xfId="27549"/>
    <cellStyle name="Note 2 4 2 2 6 4 3" xfId="27550"/>
    <cellStyle name="Note 2 4 2 2 6 4 4" xfId="27551"/>
    <cellStyle name="Note 2 4 2 2 6 5" xfId="27552"/>
    <cellStyle name="Note 2 4 2 2 6 6" xfId="27553"/>
    <cellStyle name="Note 2 4 2 2 6 7" xfId="27554"/>
    <cellStyle name="Note 2 4 2 2 6 8" xfId="27555"/>
    <cellStyle name="Note 2 4 2 2 7" xfId="27556"/>
    <cellStyle name="Note 2 4 2 2 7 2" xfId="27557"/>
    <cellStyle name="Note 2 4 2 2 7 2 2" xfId="27558"/>
    <cellStyle name="Note 2 4 2 2 7 2 3" xfId="27559"/>
    <cellStyle name="Note 2 4 2 2 7 2 4" xfId="27560"/>
    <cellStyle name="Note 2 4 2 2 7 3" xfId="27561"/>
    <cellStyle name="Note 2 4 2 2 7 3 2" xfId="27562"/>
    <cellStyle name="Note 2 4 2 2 7 3 3" xfId="27563"/>
    <cellStyle name="Note 2 4 2 2 7 3 4" xfId="27564"/>
    <cellStyle name="Note 2 4 2 2 7 4" xfId="27565"/>
    <cellStyle name="Note 2 4 2 2 7 4 2" xfId="27566"/>
    <cellStyle name="Note 2 4 2 2 7 4 3" xfId="27567"/>
    <cellStyle name="Note 2 4 2 2 7 4 4" xfId="27568"/>
    <cellStyle name="Note 2 4 2 2 7 5" xfId="27569"/>
    <cellStyle name="Note 2 4 2 2 7 6" xfId="27570"/>
    <cellStyle name="Note 2 4 2 2 7 7" xfId="27571"/>
    <cellStyle name="Note 2 4 2 2 7 8" xfId="27572"/>
    <cellStyle name="Note 2 4 2 2 8" xfId="27573"/>
    <cellStyle name="Note 2 4 2 2 8 2" xfId="27574"/>
    <cellStyle name="Note 2 4 2 2 8 3" xfId="27575"/>
    <cellStyle name="Note 2 4 2 2 8 4" xfId="27576"/>
    <cellStyle name="Note 2 4 2 2 9" xfId="27577"/>
    <cellStyle name="Note 2 4 2 2 9 2" xfId="27578"/>
    <cellStyle name="Note 2 4 2 2 9 3" xfId="27579"/>
    <cellStyle name="Note 2 4 2 2 9 4" xfId="27580"/>
    <cellStyle name="Note 2 4 2 3" xfId="27581"/>
    <cellStyle name="Note 2 4 2 3 2" xfId="27582"/>
    <cellStyle name="Note 2 4 2 3 2 2" xfId="27583"/>
    <cellStyle name="Note 2 4 2 3 2 2 2" xfId="27584"/>
    <cellStyle name="Note 2 4 2 3 2 2 3" xfId="27585"/>
    <cellStyle name="Note 2 4 2 3 2 2 4" xfId="27586"/>
    <cellStyle name="Note 2 4 2 3 2 3" xfId="27587"/>
    <cellStyle name="Note 2 4 2 3 2 3 2" xfId="27588"/>
    <cellStyle name="Note 2 4 2 3 2 3 3" xfId="27589"/>
    <cellStyle name="Note 2 4 2 3 2 3 4" xfId="27590"/>
    <cellStyle name="Note 2 4 2 3 2 4" xfId="27591"/>
    <cellStyle name="Note 2 4 2 3 2 4 2" xfId="27592"/>
    <cellStyle name="Note 2 4 2 3 2 4 3" xfId="27593"/>
    <cellStyle name="Note 2 4 2 3 2 4 4" xfId="27594"/>
    <cellStyle name="Note 2 4 2 3 2 5" xfId="27595"/>
    <cellStyle name="Note 2 4 2 3 2 6" xfId="27596"/>
    <cellStyle name="Note 2 4 2 3 2 7" xfId="27597"/>
    <cellStyle name="Note 2 4 2 3 2 8" xfId="27598"/>
    <cellStyle name="Note 2 4 2 3 3" xfId="27599"/>
    <cellStyle name="Note 2 4 2 3 3 2" xfId="27600"/>
    <cellStyle name="Note 2 4 2 3 3 2 2" xfId="27601"/>
    <cellStyle name="Note 2 4 2 3 3 2 3" xfId="27602"/>
    <cellStyle name="Note 2 4 2 3 3 2 4" xfId="27603"/>
    <cellStyle name="Note 2 4 2 3 3 3" xfId="27604"/>
    <cellStyle name="Note 2 4 2 3 3 3 2" xfId="27605"/>
    <cellStyle name="Note 2 4 2 3 3 3 3" xfId="27606"/>
    <cellStyle name="Note 2 4 2 3 3 3 4" xfId="27607"/>
    <cellStyle name="Note 2 4 2 3 3 4" xfId="27608"/>
    <cellStyle name="Note 2 4 2 3 3 4 2" xfId="27609"/>
    <cellStyle name="Note 2 4 2 3 3 4 3" xfId="27610"/>
    <cellStyle name="Note 2 4 2 3 3 4 4" xfId="27611"/>
    <cellStyle name="Note 2 4 2 3 3 5" xfId="27612"/>
    <cellStyle name="Note 2 4 2 3 3 6" xfId="27613"/>
    <cellStyle name="Note 2 4 2 3 3 7" xfId="27614"/>
    <cellStyle name="Note 2 4 2 3 3 8" xfId="27615"/>
    <cellStyle name="Note 2 4 2 3 4" xfId="27616"/>
    <cellStyle name="Note 2 4 2 3 4 2" xfId="27617"/>
    <cellStyle name="Note 2 4 2 3 4 2 2" xfId="27618"/>
    <cellStyle name="Note 2 4 2 3 4 2 3" xfId="27619"/>
    <cellStyle name="Note 2 4 2 3 4 2 4" xfId="27620"/>
    <cellStyle name="Note 2 4 2 3 4 3" xfId="27621"/>
    <cellStyle name="Note 2 4 2 3 4 3 2" xfId="27622"/>
    <cellStyle name="Note 2 4 2 3 4 3 3" xfId="27623"/>
    <cellStyle name="Note 2 4 2 3 4 3 4" xfId="27624"/>
    <cellStyle name="Note 2 4 2 3 4 4" xfId="27625"/>
    <cellStyle name="Note 2 4 2 3 4 4 2" xfId="27626"/>
    <cellStyle name="Note 2 4 2 3 4 4 3" xfId="27627"/>
    <cellStyle name="Note 2 4 2 3 4 4 4" xfId="27628"/>
    <cellStyle name="Note 2 4 2 3 4 5" xfId="27629"/>
    <cellStyle name="Note 2 4 2 3 4 6" xfId="27630"/>
    <cellStyle name="Note 2 4 2 3 4 7" xfId="27631"/>
    <cellStyle name="Note 2 4 2 3 4 8" xfId="27632"/>
    <cellStyle name="Note 2 4 2 3 5" xfId="27633"/>
    <cellStyle name="Note 2 4 2 3 5 2" xfId="27634"/>
    <cellStyle name="Note 2 4 2 3 5 2 2" xfId="27635"/>
    <cellStyle name="Note 2 4 2 3 5 2 3" xfId="27636"/>
    <cellStyle name="Note 2 4 2 3 5 2 4" xfId="27637"/>
    <cellStyle name="Note 2 4 2 3 5 3" xfId="27638"/>
    <cellStyle name="Note 2 4 2 3 5 3 2" xfId="27639"/>
    <cellStyle name="Note 2 4 2 3 5 3 3" xfId="27640"/>
    <cellStyle name="Note 2 4 2 3 5 3 4" xfId="27641"/>
    <cellStyle name="Note 2 4 2 3 5 4" xfId="27642"/>
    <cellStyle name="Note 2 4 2 3 5 4 2" xfId="27643"/>
    <cellStyle name="Note 2 4 2 3 5 4 3" xfId="27644"/>
    <cellStyle name="Note 2 4 2 3 5 4 4" xfId="27645"/>
    <cellStyle name="Note 2 4 2 3 5 5" xfId="27646"/>
    <cellStyle name="Note 2 4 2 3 5 6" xfId="27647"/>
    <cellStyle name="Note 2 4 2 3 5 7" xfId="27648"/>
    <cellStyle name="Note 2 4 2 3 5 8" xfId="27649"/>
    <cellStyle name="Note 2 4 2 3 6" xfId="27650"/>
    <cellStyle name="Note 2 4 2 3 6 2" xfId="27651"/>
    <cellStyle name="Note 2 4 2 3 6 3" xfId="27652"/>
    <cellStyle name="Note 2 4 2 3 6 4" xfId="27653"/>
    <cellStyle name="Note 2 4 2 3 7" xfId="27654"/>
    <cellStyle name="Note 2 4 2 3 7 2" xfId="27655"/>
    <cellStyle name="Note 2 4 2 3 7 3" xfId="27656"/>
    <cellStyle name="Note 2 4 2 3 7 4" xfId="27657"/>
    <cellStyle name="Note 2 4 2 3 8" xfId="27658"/>
    <cellStyle name="Note 2 4 2 3 9" xfId="27659"/>
    <cellStyle name="Note 2 4 2 4" xfId="27660"/>
    <cellStyle name="Note 2 4 2 4 2" xfId="27661"/>
    <cellStyle name="Note 2 4 2 4 2 2" xfId="27662"/>
    <cellStyle name="Note 2 4 2 4 2 3" xfId="27663"/>
    <cellStyle name="Note 2 4 2 4 2 4" xfId="27664"/>
    <cellStyle name="Note 2 4 2 4 3" xfId="27665"/>
    <cellStyle name="Note 2 4 2 4 3 2" xfId="27666"/>
    <cellStyle name="Note 2 4 2 4 3 3" xfId="27667"/>
    <cellStyle name="Note 2 4 2 4 3 4" xfId="27668"/>
    <cellStyle name="Note 2 4 2 4 4" xfId="27669"/>
    <cellStyle name="Note 2 4 2 4 4 2" xfId="27670"/>
    <cellStyle name="Note 2 4 2 4 4 3" xfId="27671"/>
    <cellStyle name="Note 2 4 2 4 4 4" xfId="27672"/>
    <cellStyle name="Note 2 4 2 4 5" xfId="27673"/>
    <cellStyle name="Note 2 4 2 4 6" xfId="27674"/>
    <cellStyle name="Note 2 4 2 4 7" xfId="27675"/>
    <cellStyle name="Note 2 4 2 4 8" xfId="27676"/>
    <cellStyle name="Note 2 4 2 5" xfId="27677"/>
    <cellStyle name="Note 2 4 2 5 2" xfId="27678"/>
    <cellStyle name="Note 2 4 2 5 2 2" xfId="27679"/>
    <cellStyle name="Note 2 4 2 5 2 3" xfId="27680"/>
    <cellStyle name="Note 2 4 2 5 2 4" xfId="27681"/>
    <cellStyle name="Note 2 4 2 5 3" xfId="27682"/>
    <cellStyle name="Note 2 4 2 5 3 2" xfId="27683"/>
    <cellStyle name="Note 2 4 2 5 3 3" xfId="27684"/>
    <cellStyle name="Note 2 4 2 5 3 4" xfId="27685"/>
    <cellStyle name="Note 2 4 2 5 4" xfId="27686"/>
    <cellStyle name="Note 2 4 2 5 4 2" xfId="27687"/>
    <cellStyle name="Note 2 4 2 5 4 3" xfId="27688"/>
    <cellStyle name="Note 2 4 2 5 4 4" xfId="27689"/>
    <cellStyle name="Note 2 4 2 5 5" xfId="27690"/>
    <cellStyle name="Note 2 4 2 5 6" xfId="27691"/>
    <cellStyle name="Note 2 4 2 5 7" xfId="27692"/>
    <cellStyle name="Note 2 4 2 5 8" xfId="27693"/>
    <cellStyle name="Note 2 4 2 6" xfId="27694"/>
    <cellStyle name="Note 2 4 2 6 2" xfId="27695"/>
    <cellStyle name="Note 2 4 2 6 2 2" xfId="27696"/>
    <cellStyle name="Note 2 4 2 6 2 3" xfId="27697"/>
    <cellStyle name="Note 2 4 2 6 2 4" xfId="27698"/>
    <cellStyle name="Note 2 4 2 6 3" xfId="27699"/>
    <cellStyle name="Note 2 4 2 6 3 2" xfId="27700"/>
    <cellStyle name="Note 2 4 2 6 3 3" xfId="27701"/>
    <cellStyle name="Note 2 4 2 6 3 4" xfId="27702"/>
    <cellStyle name="Note 2 4 2 6 4" xfId="27703"/>
    <cellStyle name="Note 2 4 2 6 4 2" xfId="27704"/>
    <cellStyle name="Note 2 4 2 6 4 3" xfId="27705"/>
    <cellStyle name="Note 2 4 2 6 4 4" xfId="27706"/>
    <cellStyle name="Note 2 4 2 6 5" xfId="27707"/>
    <cellStyle name="Note 2 4 2 6 6" xfId="27708"/>
    <cellStyle name="Note 2 4 2 6 7" xfId="27709"/>
    <cellStyle name="Note 2 4 2 6 8" xfId="27710"/>
    <cellStyle name="Note 2 4 2 7" xfId="27711"/>
    <cellStyle name="Note 2 4 2 7 2" xfId="27712"/>
    <cellStyle name="Note 2 4 2 7 2 2" xfId="27713"/>
    <cellStyle name="Note 2 4 2 7 2 3" xfId="27714"/>
    <cellStyle name="Note 2 4 2 7 2 4" xfId="27715"/>
    <cellStyle name="Note 2 4 2 7 3" xfId="27716"/>
    <cellStyle name="Note 2 4 2 7 3 2" xfId="27717"/>
    <cellStyle name="Note 2 4 2 7 3 3" xfId="27718"/>
    <cellStyle name="Note 2 4 2 7 3 4" xfId="27719"/>
    <cellStyle name="Note 2 4 2 7 4" xfId="27720"/>
    <cellStyle name="Note 2 4 2 7 4 2" xfId="27721"/>
    <cellStyle name="Note 2 4 2 7 4 3" xfId="27722"/>
    <cellStyle name="Note 2 4 2 7 4 4" xfId="27723"/>
    <cellStyle name="Note 2 4 2 7 5" xfId="27724"/>
    <cellStyle name="Note 2 4 2 7 6" xfId="27725"/>
    <cellStyle name="Note 2 4 2 7 7" xfId="27726"/>
    <cellStyle name="Note 2 4 2 7 8" xfId="27727"/>
    <cellStyle name="Note 2 4 2 8" xfId="27728"/>
    <cellStyle name="Note 2 4 2 8 2" xfId="27729"/>
    <cellStyle name="Note 2 4 2 8 2 2" xfId="27730"/>
    <cellStyle name="Note 2 4 2 8 2 3" xfId="27731"/>
    <cellStyle name="Note 2 4 2 8 2 4" xfId="27732"/>
    <cellStyle name="Note 2 4 2 8 3" xfId="27733"/>
    <cellStyle name="Note 2 4 2 8 3 2" xfId="27734"/>
    <cellStyle name="Note 2 4 2 8 3 3" xfId="27735"/>
    <cellStyle name="Note 2 4 2 8 3 4" xfId="27736"/>
    <cellStyle name="Note 2 4 2 8 4" xfId="27737"/>
    <cellStyle name="Note 2 4 2 8 4 2" xfId="27738"/>
    <cellStyle name="Note 2 4 2 8 4 3" xfId="27739"/>
    <cellStyle name="Note 2 4 2 8 4 4" xfId="27740"/>
    <cellStyle name="Note 2 4 2 8 5" xfId="27741"/>
    <cellStyle name="Note 2 4 2 8 6" xfId="27742"/>
    <cellStyle name="Note 2 4 2 8 7" xfId="27743"/>
    <cellStyle name="Note 2 4 2 8 8" xfId="27744"/>
    <cellStyle name="Note 2 4 2 9" xfId="27745"/>
    <cellStyle name="Note 2 4 2 9 2" xfId="27746"/>
    <cellStyle name="Note 2 4 2 9 3" xfId="27747"/>
    <cellStyle name="Note 2 4 2 9 4" xfId="27748"/>
    <cellStyle name="Note 2 4 3" xfId="27749"/>
    <cellStyle name="Note 2 4 3 10" xfId="27750"/>
    <cellStyle name="Note 2 4 3 11" xfId="27751"/>
    <cellStyle name="Note 2 4 3 2" xfId="27752"/>
    <cellStyle name="Note 2 4 3 2 2" xfId="27753"/>
    <cellStyle name="Note 2 4 3 2 2 2" xfId="27754"/>
    <cellStyle name="Note 2 4 3 2 2 2 2" xfId="27755"/>
    <cellStyle name="Note 2 4 3 2 2 2 3" xfId="27756"/>
    <cellStyle name="Note 2 4 3 2 2 2 4" xfId="27757"/>
    <cellStyle name="Note 2 4 3 2 2 3" xfId="27758"/>
    <cellStyle name="Note 2 4 3 2 2 3 2" xfId="27759"/>
    <cellStyle name="Note 2 4 3 2 2 3 3" xfId="27760"/>
    <cellStyle name="Note 2 4 3 2 2 3 4" xfId="27761"/>
    <cellStyle name="Note 2 4 3 2 2 4" xfId="27762"/>
    <cellStyle name="Note 2 4 3 2 2 4 2" xfId="27763"/>
    <cellStyle name="Note 2 4 3 2 2 4 3" xfId="27764"/>
    <cellStyle name="Note 2 4 3 2 2 4 4" xfId="27765"/>
    <cellStyle name="Note 2 4 3 2 2 5" xfId="27766"/>
    <cellStyle name="Note 2 4 3 2 2 6" xfId="27767"/>
    <cellStyle name="Note 2 4 3 2 2 7" xfId="27768"/>
    <cellStyle name="Note 2 4 3 2 2 8" xfId="27769"/>
    <cellStyle name="Note 2 4 3 2 3" xfId="27770"/>
    <cellStyle name="Note 2 4 3 2 3 2" xfId="27771"/>
    <cellStyle name="Note 2 4 3 2 3 2 2" xfId="27772"/>
    <cellStyle name="Note 2 4 3 2 3 2 3" xfId="27773"/>
    <cellStyle name="Note 2 4 3 2 3 2 4" xfId="27774"/>
    <cellStyle name="Note 2 4 3 2 3 3" xfId="27775"/>
    <cellStyle name="Note 2 4 3 2 3 3 2" xfId="27776"/>
    <cellStyle name="Note 2 4 3 2 3 3 3" xfId="27777"/>
    <cellStyle name="Note 2 4 3 2 3 3 4" xfId="27778"/>
    <cellStyle name="Note 2 4 3 2 3 4" xfId="27779"/>
    <cellStyle name="Note 2 4 3 2 3 4 2" xfId="27780"/>
    <cellStyle name="Note 2 4 3 2 3 4 3" xfId="27781"/>
    <cellStyle name="Note 2 4 3 2 3 4 4" xfId="27782"/>
    <cellStyle name="Note 2 4 3 2 3 5" xfId="27783"/>
    <cellStyle name="Note 2 4 3 2 3 6" xfId="27784"/>
    <cellStyle name="Note 2 4 3 2 3 7" xfId="27785"/>
    <cellStyle name="Note 2 4 3 2 3 8" xfId="27786"/>
    <cellStyle name="Note 2 4 3 2 4" xfId="27787"/>
    <cellStyle name="Note 2 4 3 2 4 2" xfId="27788"/>
    <cellStyle name="Note 2 4 3 2 4 2 2" xfId="27789"/>
    <cellStyle name="Note 2 4 3 2 4 2 3" xfId="27790"/>
    <cellStyle name="Note 2 4 3 2 4 2 4" xfId="27791"/>
    <cellStyle name="Note 2 4 3 2 4 3" xfId="27792"/>
    <cellStyle name="Note 2 4 3 2 4 3 2" xfId="27793"/>
    <cellStyle name="Note 2 4 3 2 4 3 3" xfId="27794"/>
    <cellStyle name="Note 2 4 3 2 4 3 4" xfId="27795"/>
    <cellStyle name="Note 2 4 3 2 4 4" xfId="27796"/>
    <cellStyle name="Note 2 4 3 2 4 4 2" xfId="27797"/>
    <cellStyle name="Note 2 4 3 2 4 4 3" xfId="27798"/>
    <cellStyle name="Note 2 4 3 2 4 4 4" xfId="27799"/>
    <cellStyle name="Note 2 4 3 2 4 5" xfId="27800"/>
    <cellStyle name="Note 2 4 3 2 4 6" xfId="27801"/>
    <cellStyle name="Note 2 4 3 2 4 7" xfId="27802"/>
    <cellStyle name="Note 2 4 3 2 4 8" xfId="27803"/>
    <cellStyle name="Note 2 4 3 2 5" xfId="27804"/>
    <cellStyle name="Note 2 4 3 2 5 2" xfId="27805"/>
    <cellStyle name="Note 2 4 3 2 5 2 2" xfId="27806"/>
    <cellStyle name="Note 2 4 3 2 5 2 3" xfId="27807"/>
    <cellStyle name="Note 2 4 3 2 5 2 4" xfId="27808"/>
    <cellStyle name="Note 2 4 3 2 5 3" xfId="27809"/>
    <cellStyle name="Note 2 4 3 2 5 3 2" xfId="27810"/>
    <cellStyle name="Note 2 4 3 2 5 3 3" xfId="27811"/>
    <cellStyle name="Note 2 4 3 2 5 3 4" xfId="27812"/>
    <cellStyle name="Note 2 4 3 2 5 4" xfId="27813"/>
    <cellStyle name="Note 2 4 3 2 5 4 2" xfId="27814"/>
    <cellStyle name="Note 2 4 3 2 5 4 3" xfId="27815"/>
    <cellStyle name="Note 2 4 3 2 5 4 4" xfId="27816"/>
    <cellStyle name="Note 2 4 3 2 5 5" xfId="27817"/>
    <cellStyle name="Note 2 4 3 2 5 6" xfId="27818"/>
    <cellStyle name="Note 2 4 3 2 5 7" xfId="27819"/>
    <cellStyle name="Note 2 4 3 2 5 8" xfId="27820"/>
    <cellStyle name="Note 2 4 3 2 6" xfId="27821"/>
    <cellStyle name="Note 2 4 3 2 6 2" xfId="27822"/>
    <cellStyle name="Note 2 4 3 2 6 3" xfId="27823"/>
    <cellStyle name="Note 2 4 3 2 6 4" xfId="27824"/>
    <cellStyle name="Note 2 4 3 2 7" xfId="27825"/>
    <cellStyle name="Note 2 4 3 2 7 2" xfId="27826"/>
    <cellStyle name="Note 2 4 3 2 7 3" xfId="27827"/>
    <cellStyle name="Note 2 4 3 2 7 4" xfId="27828"/>
    <cellStyle name="Note 2 4 3 2 8" xfId="27829"/>
    <cellStyle name="Note 2 4 3 2 9" xfId="27830"/>
    <cellStyle name="Note 2 4 3 3" xfId="27831"/>
    <cellStyle name="Note 2 4 3 3 2" xfId="27832"/>
    <cellStyle name="Note 2 4 3 3 2 2" xfId="27833"/>
    <cellStyle name="Note 2 4 3 3 2 3" xfId="27834"/>
    <cellStyle name="Note 2 4 3 3 2 4" xfId="27835"/>
    <cellStyle name="Note 2 4 3 3 3" xfId="27836"/>
    <cellStyle name="Note 2 4 3 3 3 2" xfId="27837"/>
    <cellStyle name="Note 2 4 3 3 3 3" xfId="27838"/>
    <cellStyle name="Note 2 4 3 3 3 4" xfId="27839"/>
    <cellStyle name="Note 2 4 3 3 4" xfId="27840"/>
    <cellStyle name="Note 2 4 3 3 4 2" xfId="27841"/>
    <cellStyle name="Note 2 4 3 3 4 3" xfId="27842"/>
    <cellStyle name="Note 2 4 3 3 4 4" xfId="27843"/>
    <cellStyle name="Note 2 4 3 3 5" xfId="27844"/>
    <cellStyle name="Note 2 4 3 3 6" xfId="27845"/>
    <cellStyle name="Note 2 4 3 3 7" xfId="27846"/>
    <cellStyle name="Note 2 4 3 3 8" xfId="27847"/>
    <cellStyle name="Note 2 4 3 4" xfId="27848"/>
    <cellStyle name="Note 2 4 3 4 2" xfId="27849"/>
    <cellStyle name="Note 2 4 3 4 2 2" xfId="27850"/>
    <cellStyle name="Note 2 4 3 4 2 3" xfId="27851"/>
    <cellStyle name="Note 2 4 3 4 2 4" xfId="27852"/>
    <cellStyle name="Note 2 4 3 4 3" xfId="27853"/>
    <cellStyle name="Note 2 4 3 4 3 2" xfId="27854"/>
    <cellStyle name="Note 2 4 3 4 3 3" xfId="27855"/>
    <cellStyle name="Note 2 4 3 4 3 4" xfId="27856"/>
    <cellStyle name="Note 2 4 3 4 4" xfId="27857"/>
    <cellStyle name="Note 2 4 3 4 4 2" xfId="27858"/>
    <cellStyle name="Note 2 4 3 4 4 3" xfId="27859"/>
    <cellStyle name="Note 2 4 3 4 4 4" xfId="27860"/>
    <cellStyle name="Note 2 4 3 4 5" xfId="27861"/>
    <cellStyle name="Note 2 4 3 4 6" xfId="27862"/>
    <cellStyle name="Note 2 4 3 4 7" xfId="27863"/>
    <cellStyle name="Note 2 4 3 4 8" xfId="27864"/>
    <cellStyle name="Note 2 4 3 5" xfId="27865"/>
    <cellStyle name="Note 2 4 3 5 2" xfId="27866"/>
    <cellStyle name="Note 2 4 3 5 2 2" xfId="27867"/>
    <cellStyle name="Note 2 4 3 5 2 3" xfId="27868"/>
    <cellStyle name="Note 2 4 3 5 2 4" xfId="27869"/>
    <cellStyle name="Note 2 4 3 5 3" xfId="27870"/>
    <cellStyle name="Note 2 4 3 5 3 2" xfId="27871"/>
    <cellStyle name="Note 2 4 3 5 3 3" xfId="27872"/>
    <cellStyle name="Note 2 4 3 5 3 4" xfId="27873"/>
    <cellStyle name="Note 2 4 3 5 4" xfId="27874"/>
    <cellStyle name="Note 2 4 3 5 4 2" xfId="27875"/>
    <cellStyle name="Note 2 4 3 5 4 3" xfId="27876"/>
    <cellStyle name="Note 2 4 3 5 4 4" xfId="27877"/>
    <cellStyle name="Note 2 4 3 5 5" xfId="27878"/>
    <cellStyle name="Note 2 4 3 5 6" xfId="27879"/>
    <cellStyle name="Note 2 4 3 5 7" xfId="27880"/>
    <cellStyle name="Note 2 4 3 5 8" xfId="27881"/>
    <cellStyle name="Note 2 4 3 6" xfId="27882"/>
    <cellStyle name="Note 2 4 3 6 2" xfId="27883"/>
    <cellStyle name="Note 2 4 3 6 2 2" xfId="27884"/>
    <cellStyle name="Note 2 4 3 6 2 3" xfId="27885"/>
    <cellStyle name="Note 2 4 3 6 2 4" xfId="27886"/>
    <cellStyle name="Note 2 4 3 6 3" xfId="27887"/>
    <cellStyle name="Note 2 4 3 6 3 2" xfId="27888"/>
    <cellStyle name="Note 2 4 3 6 3 3" xfId="27889"/>
    <cellStyle name="Note 2 4 3 6 3 4" xfId="27890"/>
    <cellStyle name="Note 2 4 3 6 4" xfId="27891"/>
    <cellStyle name="Note 2 4 3 6 4 2" xfId="27892"/>
    <cellStyle name="Note 2 4 3 6 4 3" xfId="27893"/>
    <cellStyle name="Note 2 4 3 6 4 4" xfId="27894"/>
    <cellStyle name="Note 2 4 3 6 5" xfId="27895"/>
    <cellStyle name="Note 2 4 3 6 6" xfId="27896"/>
    <cellStyle name="Note 2 4 3 6 7" xfId="27897"/>
    <cellStyle name="Note 2 4 3 6 8" xfId="27898"/>
    <cellStyle name="Note 2 4 3 7" xfId="27899"/>
    <cellStyle name="Note 2 4 3 7 2" xfId="27900"/>
    <cellStyle name="Note 2 4 3 7 2 2" xfId="27901"/>
    <cellStyle name="Note 2 4 3 7 2 3" xfId="27902"/>
    <cellStyle name="Note 2 4 3 7 2 4" xfId="27903"/>
    <cellStyle name="Note 2 4 3 7 3" xfId="27904"/>
    <cellStyle name="Note 2 4 3 7 3 2" xfId="27905"/>
    <cellStyle name="Note 2 4 3 7 3 3" xfId="27906"/>
    <cellStyle name="Note 2 4 3 7 3 4" xfId="27907"/>
    <cellStyle name="Note 2 4 3 7 4" xfId="27908"/>
    <cellStyle name="Note 2 4 3 7 4 2" xfId="27909"/>
    <cellStyle name="Note 2 4 3 7 4 3" xfId="27910"/>
    <cellStyle name="Note 2 4 3 7 4 4" xfId="27911"/>
    <cellStyle name="Note 2 4 3 7 5" xfId="27912"/>
    <cellStyle name="Note 2 4 3 7 6" xfId="27913"/>
    <cellStyle name="Note 2 4 3 7 7" xfId="27914"/>
    <cellStyle name="Note 2 4 3 7 8" xfId="27915"/>
    <cellStyle name="Note 2 4 3 8" xfId="27916"/>
    <cellStyle name="Note 2 4 3 8 2" xfId="27917"/>
    <cellStyle name="Note 2 4 3 8 3" xfId="27918"/>
    <cellStyle name="Note 2 4 3 8 4" xfId="27919"/>
    <cellStyle name="Note 2 4 3 9" xfId="27920"/>
    <cellStyle name="Note 2 4 3 9 2" xfId="27921"/>
    <cellStyle name="Note 2 4 3 9 3" xfId="27922"/>
    <cellStyle name="Note 2 4 3 9 4" xfId="27923"/>
    <cellStyle name="Note 2 4 4" xfId="27924"/>
    <cellStyle name="Note 2 4 4 2" xfId="27925"/>
    <cellStyle name="Note 2 4 4 2 2" xfId="27926"/>
    <cellStyle name="Note 2 4 4 2 2 2" xfId="27927"/>
    <cellStyle name="Note 2 4 4 2 2 3" xfId="27928"/>
    <cellStyle name="Note 2 4 4 2 2 4" xfId="27929"/>
    <cellStyle name="Note 2 4 4 2 3" xfId="27930"/>
    <cellStyle name="Note 2 4 4 2 3 2" xfId="27931"/>
    <cellStyle name="Note 2 4 4 2 3 3" xfId="27932"/>
    <cellStyle name="Note 2 4 4 2 3 4" xfId="27933"/>
    <cellStyle name="Note 2 4 4 2 4" xfId="27934"/>
    <cellStyle name="Note 2 4 4 2 4 2" xfId="27935"/>
    <cellStyle name="Note 2 4 4 2 4 3" xfId="27936"/>
    <cellStyle name="Note 2 4 4 2 4 4" xfId="27937"/>
    <cellStyle name="Note 2 4 4 2 5" xfId="27938"/>
    <cellStyle name="Note 2 4 4 2 6" xfId="27939"/>
    <cellStyle name="Note 2 4 4 2 7" xfId="27940"/>
    <cellStyle name="Note 2 4 4 2 8" xfId="27941"/>
    <cellStyle name="Note 2 4 4 3" xfId="27942"/>
    <cellStyle name="Note 2 4 4 3 2" xfId="27943"/>
    <cellStyle name="Note 2 4 4 3 2 2" xfId="27944"/>
    <cellStyle name="Note 2 4 4 3 2 3" xfId="27945"/>
    <cellStyle name="Note 2 4 4 3 2 4" xfId="27946"/>
    <cellStyle name="Note 2 4 4 3 3" xfId="27947"/>
    <cellStyle name="Note 2 4 4 3 3 2" xfId="27948"/>
    <cellStyle name="Note 2 4 4 3 3 3" xfId="27949"/>
    <cellStyle name="Note 2 4 4 3 3 4" xfId="27950"/>
    <cellStyle name="Note 2 4 4 3 4" xfId="27951"/>
    <cellStyle name="Note 2 4 4 3 4 2" xfId="27952"/>
    <cellStyle name="Note 2 4 4 3 4 3" xfId="27953"/>
    <cellStyle name="Note 2 4 4 3 4 4" xfId="27954"/>
    <cellStyle name="Note 2 4 4 3 5" xfId="27955"/>
    <cellStyle name="Note 2 4 4 3 6" xfId="27956"/>
    <cellStyle name="Note 2 4 4 3 7" xfId="27957"/>
    <cellStyle name="Note 2 4 4 3 8" xfId="27958"/>
    <cellStyle name="Note 2 4 4 4" xfId="27959"/>
    <cellStyle name="Note 2 4 4 4 2" xfId="27960"/>
    <cellStyle name="Note 2 4 4 4 2 2" xfId="27961"/>
    <cellStyle name="Note 2 4 4 4 2 3" xfId="27962"/>
    <cellStyle name="Note 2 4 4 4 2 4" xfId="27963"/>
    <cellStyle name="Note 2 4 4 4 3" xfId="27964"/>
    <cellStyle name="Note 2 4 4 4 3 2" xfId="27965"/>
    <cellStyle name="Note 2 4 4 4 3 3" xfId="27966"/>
    <cellStyle name="Note 2 4 4 4 3 4" xfId="27967"/>
    <cellStyle name="Note 2 4 4 4 4" xfId="27968"/>
    <cellStyle name="Note 2 4 4 4 4 2" xfId="27969"/>
    <cellStyle name="Note 2 4 4 4 4 3" xfId="27970"/>
    <cellStyle name="Note 2 4 4 4 4 4" xfId="27971"/>
    <cellStyle name="Note 2 4 4 4 5" xfId="27972"/>
    <cellStyle name="Note 2 4 4 4 6" xfId="27973"/>
    <cellStyle name="Note 2 4 4 4 7" xfId="27974"/>
    <cellStyle name="Note 2 4 4 4 8" xfId="27975"/>
    <cellStyle name="Note 2 4 4 5" xfId="27976"/>
    <cellStyle name="Note 2 4 4 5 2" xfId="27977"/>
    <cellStyle name="Note 2 4 4 5 2 2" xfId="27978"/>
    <cellStyle name="Note 2 4 4 5 2 3" xfId="27979"/>
    <cellStyle name="Note 2 4 4 5 2 4" xfId="27980"/>
    <cellStyle name="Note 2 4 4 5 3" xfId="27981"/>
    <cellStyle name="Note 2 4 4 5 3 2" xfId="27982"/>
    <cellStyle name="Note 2 4 4 5 3 3" xfId="27983"/>
    <cellStyle name="Note 2 4 4 5 3 4" xfId="27984"/>
    <cellStyle name="Note 2 4 4 5 4" xfId="27985"/>
    <cellStyle name="Note 2 4 4 5 4 2" xfId="27986"/>
    <cellStyle name="Note 2 4 4 5 4 3" xfId="27987"/>
    <cellStyle name="Note 2 4 4 5 4 4" xfId="27988"/>
    <cellStyle name="Note 2 4 4 5 5" xfId="27989"/>
    <cellStyle name="Note 2 4 4 5 6" xfId="27990"/>
    <cellStyle name="Note 2 4 4 5 7" xfId="27991"/>
    <cellStyle name="Note 2 4 4 5 8" xfId="27992"/>
    <cellStyle name="Note 2 4 4 6" xfId="27993"/>
    <cellStyle name="Note 2 4 4 6 2" xfId="27994"/>
    <cellStyle name="Note 2 4 4 6 3" xfId="27995"/>
    <cellStyle name="Note 2 4 4 6 4" xfId="27996"/>
    <cellStyle name="Note 2 4 4 7" xfId="27997"/>
    <cellStyle name="Note 2 4 4 7 2" xfId="27998"/>
    <cellStyle name="Note 2 4 4 7 3" xfId="27999"/>
    <cellStyle name="Note 2 4 4 7 4" xfId="28000"/>
    <cellStyle name="Note 2 4 4 8" xfId="28001"/>
    <cellStyle name="Note 2 4 4 9" xfId="28002"/>
    <cellStyle name="Note 2 4 5" xfId="28003"/>
    <cellStyle name="Note 2 4 5 2" xfId="28004"/>
    <cellStyle name="Note 2 4 5 2 2" xfId="28005"/>
    <cellStyle name="Note 2 4 5 2 3" xfId="28006"/>
    <cellStyle name="Note 2 4 5 2 4" xfId="28007"/>
    <cellStyle name="Note 2 4 5 3" xfId="28008"/>
    <cellStyle name="Note 2 4 5 3 2" xfId="28009"/>
    <cellStyle name="Note 2 4 5 3 3" xfId="28010"/>
    <cellStyle name="Note 2 4 5 3 4" xfId="28011"/>
    <cellStyle name="Note 2 4 5 4" xfId="28012"/>
    <cellStyle name="Note 2 4 5 4 2" xfId="28013"/>
    <cellStyle name="Note 2 4 5 4 3" xfId="28014"/>
    <cellStyle name="Note 2 4 5 4 4" xfId="28015"/>
    <cellStyle name="Note 2 4 5 5" xfId="28016"/>
    <cellStyle name="Note 2 4 5 6" xfId="28017"/>
    <cellStyle name="Note 2 4 5 7" xfId="28018"/>
    <cellStyle name="Note 2 4 5 8" xfId="28019"/>
    <cellStyle name="Note 2 4 6" xfId="28020"/>
    <cellStyle name="Note 2 4 6 2" xfId="28021"/>
    <cellStyle name="Note 2 4 6 2 2" xfId="28022"/>
    <cellStyle name="Note 2 4 6 2 3" xfId="28023"/>
    <cellStyle name="Note 2 4 6 2 4" xfId="28024"/>
    <cellStyle name="Note 2 4 6 3" xfId="28025"/>
    <cellStyle name="Note 2 4 6 3 2" xfId="28026"/>
    <cellStyle name="Note 2 4 6 3 3" xfId="28027"/>
    <cellStyle name="Note 2 4 6 3 4" xfId="28028"/>
    <cellStyle name="Note 2 4 6 4" xfId="28029"/>
    <cellStyle name="Note 2 4 6 4 2" xfId="28030"/>
    <cellStyle name="Note 2 4 6 4 3" xfId="28031"/>
    <cellStyle name="Note 2 4 6 4 4" xfId="28032"/>
    <cellStyle name="Note 2 4 6 5" xfId="28033"/>
    <cellStyle name="Note 2 4 6 6" xfId="28034"/>
    <cellStyle name="Note 2 4 6 7" xfId="28035"/>
    <cellStyle name="Note 2 4 6 8" xfId="28036"/>
    <cellStyle name="Note 2 4 7" xfId="28037"/>
    <cellStyle name="Note 2 4 7 2" xfId="28038"/>
    <cellStyle name="Note 2 4 7 2 2" xfId="28039"/>
    <cellStyle name="Note 2 4 7 2 3" xfId="28040"/>
    <cellStyle name="Note 2 4 7 2 4" xfId="28041"/>
    <cellStyle name="Note 2 4 7 3" xfId="28042"/>
    <cellStyle name="Note 2 4 7 3 2" xfId="28043"/>
    <cellStyle name="Note 2 4 7 3 3" xfId="28044"/>
    <cellStyle name="Note 2 4 7 3 4" xfId="28045"/>
    <cellStyle name="Note 2 4 7 4" xfId="28046"/>
    <cellStyle name="Note 2 4 7 4 2" xfId="28047"/>
    <cellStyle name="Note 2 4 7 4 3" xfId="28048"/>
    <cellStyle name="Note 2 4 7 4 4" xfId="28049"/>
    <cellStyle name="Note 2 4 7 5" xfId="28050"/>
    <cellStyle name="Note 2 4 7 6" xfId="28051"/>
    <cellStyle name="Note 2 4 7 7" xfId="28052"/>
    <cellStyle name="Note 2 4 7 8" xfId="28053"/>
    <cellStyle name="Note 2 4 8" xfId="28054"/>
    <cellStyle name="Note 2 4 8 2" xfId="28055"/>
    <cellStyle name="Note 2 4 8 2 2" xfId="28056"/>
    <cellStyle name="Note 2 4 8 2 3" xfId="28057"/>
    <cellStyle name="Note 2 4 8 2 4" xfId="28058"/>
    <cellStyle name="Note 2 4 8 3" xfId="28059"/>
    <cellStyle name="Note 2 4 8 3 2" xfId="28060"/>
    <cellStyle name="Note 2 4 8 3 3" xfId="28061"/>
    <cellStyle name="Note 2 4 8 3 4" xfId="28062"/>
    <cellStyle name="Note 2 4 8 4" xfId="28063"/>
    <cellStyle name="Note 2 4 8 4 2" xfId="28064"/>
    <cellStyle name="Note 2 4 8 4 3" xfId="28065"/>
    <cellStyle name="Note 2 4 8 4 4" xfId="28066"/>
    <cellStyle name="Note 2 4 8 5" xfId="28067"/>
    <cellStyle name="Note 2 4 8 6" xfId="28068"/>
    <cellStyle name="Note 2 4 8 7" xfId="28069"/>
    <cellStyle name="Note 2 4 8 8" xfId="28070"/>
    <cellStyle name="Note 2 4 9" xfId="28071"/>
    <cellStyle name="Note 2 4 9 2" xfId="28072"/>
    <cellStyle name="Note 2 4 9 2 2" xfId="28073"/>
    <cellStyle name="Note 2 4 9 2 3" xfId="28074"/>
    <cellStyle name="Note 2 4 9 2 4" xfId="28075"/>
    <cellStyle name="Note 2 4 9 3" xfId="28076"/>
    <cellStyle name="Note 2 4 9 3 2" xfId="28077"/>
    <cellStyle name="Note 2 4 9 3 3" xfId="28078"/>
    <cellStyle name="Note 2 4 9 3 4" xfId="28079"/>
    <cellStyle name="Note 2 4 9 4" xfId="28080"/>
    <cellStyle name="Note 2 4 9 4 2" xfId="28081"/>
    <cellStyle name="Note 2 4 9 4 3" xfId="28082"/>
    <cellStyle name="Note 2 4 9 4 4" xfId="28083"/>
    <cellStyle name="Note 2 4 9 5" xfId="28084"/>
    <cellStyle name="Note 2 4 9 6" xfId="28085"/>
    <cellStyle name="Note 2 4 9 7" xfId="28086"/>
    <cellStyle name="Note 2 4 9 8" xfId="28087"/>
    <cellStyle name="Note 2 5" xfId="28088"/>
    <cellStyle name="Note 2 5 10" xfId="28089"/>
    <cellStyle name="Note 2 5 10 2" xfId="28090"/>
    <cellStyle name="Note 2 5 10 3" xfId="28091"/>
    <cellStyle name="Note 2 5 10 4" xfId="28092"/>
    <cellStyle name="Note 2 5 11" xfId="28093"/>
    <cellStyle name="Note 2 5 11 2" xfId="28094"/>
    <cellStyle name="Note 2 5 11 3" xfId="28095"/>
    <cellStyle name="Note 2 5 11 4" xfId="28096"/>
    <cellStyle name="Note 2 5 12" xfId="28097"/>
    <cellStyle name="Note 2 5 13" xfId="28098"/>
    <cellStyle name="Note 2 5 2" xfId="28099"/>
    <cellStyle name="Note 2 5 2 10" xfId="28100"/>
    <cellStyle name="Note 2 5 2 11" xfId="28101"/>
    <cellStyle name="Note 2 5 2 2" xfId="28102"/>
    <cellStyle name="Note 2 5 2 2 2" xfId="28103"/>
    <cellStyle name="Note 2 5 2 2 2 2" xfId="28104"/>
    <cellStyle name="Note 2 5 2 2 2 2 2" xfId="28105"/>
    <cellStyle name="Note 2 5 2 2 2 2 3" xfId="28106"/>
    <cellStyle name="Note 2 5 2 2 2 2 4" xfId="28107"/>
    <cellStyle name="Note 2 5 2 2 2 3" xfId="28108"/>
    <cellStyle name="Note 2 5 2 2 2 3 2" xfId="28109"/>
    <cellStyle name="Note 2 5 2 2 2 3 3" xfId="28110"/>
    <cellStyle name="Note 2 5 2 2 2 3 4" xfId="28111"/>
    <cellStyle name="Note 2 5 2 2 2 4" xfId="28112"/>
    <cellStyle name="Note 2 5 2 2 2 4 2" xfId="28113"/>
    <cellStyle name="Note 2 5 2 2 2 4 3" xfId="28114"/>
    <cellStyle name="Note 2 5 2 2 2 4 4" xfId="28115"/>
    <cellStyle name="Note 2 5 2 2 2 5" xfId="28116"/>
    <cellStyle name="Note 2 5 2 2 2 6" xfId="28117"/>
    <cellStyle name="Note 2 5 2 2 2 7" xfId="28118"/>
    <cellStyle name="Note 2 5 2 2 2 8" xfId="28119"/>
    <cellStyle name="Note 2 5 2 2 3" xfId="28120"/>
    <cellStyle name="Note 2 5 2 2 3 2" xfId="28121"/>
    <cellStyle name="Note 2 5 2 2 3 2 2" xfId="28122"/>
    <cellStyle name="Note 2 5 2 2 3 2 3" xfId="28123"/>
    <cellStyle name="Note 2 5 2 2 3 2 4" xfId="28124"/>
    <cellStyle name="Note 2 5 2 2 3 3" xfId="28125"/>
    <cellStyle name="Note 2 5 2 2 3 3 2" xfId="28126"/>
    <cellStyle name="Note 2 5 2 2 3 3 3" xfId="28127"/>
    <cellStyle name="Note 2 5 2 2 3 3 4" xfId="28128"/>
    <cellStyle name="Note 2 5 2 2 3 4" xfId="28129"/>
    <cellStyle name="Note 2 5 2 2 3 4 2" xfId="28130"/>
    <cellStyle name="Note 2 5 2 2 3 4 3" xfId="28131"/>
    <cellStyle name="Note 2 5 2 2 3 4 4" xfId="28132"/>
    <cellStyle name="Note 2 5 2 2 3 5" xfId="28133"/>
    <cellStyle name="Note 2 5 2 2 3 6" xfId="28134"/>
    <cellStyle name="Note 2 5 2 2 3 7" xfId="28135"/>
    <cellStyle name="Note 2 5 2 2 3 8" xfId="28136"/>
    <cellStyle name="Note 2 5 2 2 4" xfId="28137"/>
    <cellStyle name="Note 2 5 2 2 4 2" xfId="28138"/>
    <cellStyle name="Note 2 5 2 2 4 2 2" xfId="28139"/>
    <cellStyle name="Note 2 5 2 2 4 2 3" xfId="28140"/>
    <cellStyle name="Note 2 5 2 2 4 2 4" xfId="28141"/>
    <cellStyle name="Note 2 5 2 2 4 3" xfId="28142"/>
    <cellStyle name="Note 2 5 2 2 4 3 2" xfId="28143"/>
    <cellStyle name="Note 2 5 2 2 4 3 3" xfId="28144"/>
    <cellStyle name="Note 2 5 2 2 4 3 4" xfId="28145"/>
    <cellStyle name="Note 2 5 2 2 4 4" xfId="28146"/>
    <cellStyle name="Note 2 5 2 2 4 4 2" xfId="28147"/>
    <cellStyle name="Note 2 5 2 2 4 4 3" xfId="28148"/>
    <cellStyle name="Note 2 5 2 2 4 4 4" xfId="28149"/>
    <cellStyle name="Note 2 5 2 2 4 5" xfId="28150"/>
    <cellStyle name="Note 2 5 2 2 4 6" xfId="28151"/>
    <cellStyle name="Note 2 5 2 2 4 7" xfId="28152"/>
    <cellStyle name="Note 2 5 2 2 4 8" xfId="28153"/>
    <cellStyle name="Note 2 5 2 2 5" xfId="28154"/>
    <cellStyle name="Note 2 5 2 2 5 2" xfId="28155"/>
    <cellStyle name="Note 2 5 2 2 5 2 2" xfId="28156"/>
    <cellStyle name="Note 2 5 2 2 5 2 3" xfId="28157"/>
    <cellStyle name="Note 2 5 2 2 5 2 4" xfId="28158"/>
    <cellStyle name="Note 2 5 2 2 5 3" xfId="28159"/>
    <cellStyle name="Note 2 5 2 2 5 3 2" xfId="28160"/>
    <cellStyle name="Note 2 5 2 2 5 3 3" xfId="28161"/>
    <cellStyle name="Note 2 5 2 2 5 3 4" xfId="28162"/>
    <cellStyle name="Note 2 5 2 2 5 4" xfId="28163"/>
    <cellStyle name="Note 2 5 2 2 5 4 2" xfId="28164"/>
    <cellStyle name="Note 2 5 2 2 5 4 3" xfId="28165"/>
    <cellStyle name="Note 2 5 2 2 5 4 4" xfId="28166"/>
    <cellStyle name="Note 2 5 2 2 5 5" xfId="28167"/>
    <cellStyle name="Note 2 5 2 2 5 6" xfId="28168"/>
    <cellStyle name="Note 2 5 2 2 5 7" xfId="28169"/>
    <cellStyle name="Note 2 5 2 2 5 8" xfId="28170"/>
    <cellStyle name="Note 2 5 2 2 6" xfId="28171"/>
    <cellStyle name="Note 2 5 2 2 6 2" xfId="28172"/>
    <cellStyle name="Note 2 5 2 2 6 3" xfId="28173"/>
    <cellStyle name="Note 2 5 2 2 6 4" xfId="28174"/>
    <cellStyle name="Note 2 5 2 2 7" xfId="28175"/>
    <cellStyle name="Note 2 5 2 2 7 2" xfId="28176"/>
    <cellStyle name="Note 2 5 2 2 7 3" xfId="28177"/>
    <cellStyle name="Note 2 5 2 2 7 4" xfId="28178"/>
    <cellStyle name="Note 2 5 2 2 8" xfId="28179"/>
    <cellStyle name="Note 2 5 2 2 9" xfId="28180"/>
    <cellStyle name="Note 2 5 2 3" xfId="28181"/>
    <cellStyle name="Note 2 5 2 3 2" xfId="28182"/>
    <cellStyle name="Note 2 5 2 3 2 2" xfId="28183"/>
    <cellStyle name="Note 2 5 2 3 2 3" xfId="28184"/>
    <cellStyle name="Note 2 5 2 3 2 4" xfId="28185"/>
    <cellStyle name="Note 2 5 2 3 3" xfId="28186"/>
    <cellStyle name="Note 2 5 2 3 3 2" xfId="28187"/>
    <cellStyle name="Note 2 5 2 3 3 3" xfId="28188"/>
    <cellStyle name="Note 2 5 2 3 3 4" xfId="28189"/>
    <cellStyle name="Note 2 5 2 3 4" xfId="28190"/>
    <cellStyle name="Note 2 5 2 3 4 2" xfId="28191"/>
    <cellStyle name="Note 2 5 2 3 4 3" xfId="28192"/>
    <cellStyle name="Note 2 5 2 3 4 4" xfId="28193"/>
    <cellStyle name="Note 2 5 2 3 5" xfId="28194"/>
    <cellStyle name="Note 2 5 2 3 6" xfId="28195"/>
    <cellStyle name="Note 2 5 2 3 7" xfId="28196"/>
    <cellStyle name="Note 2 5 2 3 8" xfId="28197"/>
    <cellStyle name="Note 2 5 2 4" xfId="28198"/>
    <cellStyle name="Note 2 5 2 4 2" xfId="28199"/>
    <cellStyle name="Note 2 5 2 4 2 2" xfId="28200"/>
    <cellStyle name="Note 2 5 2 4 2 3" xfId="28201"/>
    <cellStyle name="Note 2 5 2 4 2 4" xfId="28202"/>
    <cellStyle name="Note 2 5 2 4 3" xfId="28203"/>
    <cellStyle name="Note 2 5 2 4 3 2" xfId="28204"/>
    <cellStyle name="Note 2 5 2 4 3 3" xfId="28205"/>
    <cellStyle name="Note 2 5 2 4 3 4" xfId="28206"/>
    <cellStyle name="Note 2 5 2 4 4" xfId="28207"/>
    <cellStyle name="Note 2 5 2 4 4 2" xfId="28208"/>
    <cellStyle name="Note 2 5 2 4 4 3" xfId="28209"/>
    <cellStyle name="Note 2 5 2 4 4 4" xfId="28210"/>
    <cellStyle name="Note 2 5 2 4 5" xfId="28211"/>
    <cellStyle name="Note 2 5 2 4 6" xfId="28212"/>
    <cellStyle name="Note 2 5 2 4 7" xfId="28213"/>
    <cellStyle name="Note 2 5 2 4 8" xfId="28214"/>
    <cellStyle name="Note 2 5 2 5" xfId="28215"/>
    <cellStyle name="Note 2 5 2 5 2" xfId="28216"/>
    <cellStyle name="Note 2 5 2 5 2 2" xfId="28217"/>
    <cellStyle name="Note 2 5 2 5 2 3" xfId="28218"/>
    <cellStyle name="Note 2 5 2 5 2 4" xfId="28219"/>
    <cellStyle name="Note 2 5 2 5 3" xfId="28220"/>
    <cellStyle name="Note 2 5 2 5 3 2" xfId="28221"/>
    <cellStyle name="Note 2 5 2 5 3 3" xfId="28222"/>
    <cellStyle name="Note 2 5 2 5 3 4" xfId="28223"/>
    <cellStyle name="Note 2 5 2 5 4" xfId="28224"/>
    <cellStyle name="Note 2 5 2 5 4 2" xfId="28225"/>
    <cellStyle name="Note 2 5 2 5 4 3" xfId="28226"/>
    <cellStyle name="Note 2 5 2 5 4 4" xfId="28227"/>
    <cellStyle name="Note 2 5 2 5 5" xfId="28228"/>
    <cellStyle name="Note 2 5 2 5 6" xfId="28229"/>
    <cellStyle name="Note 2 5 2 5 7" xfId="28230"/>
    <cellStyle name="Note 2 5 2 5 8" xfId="28231"/>
    <cellStyle name="Note 2 5 2 6" xfId="28232"/>
    <cellStyle name="Note 2 5 2 6 2" xfId="28233"/>
    <cellStyle name="Note 2 5 2 6 2 2" xfId="28234"/>
    <cellStyle name="Note 2 5 2 6 2 3" xfId="28235"/>
    <cellStyle name="Note 2 5 2 6 2 4" xfId="28236"/>
    <cellStyle name="Note 2 5 2 6 3" xfId="28237"/>
    <cellStyle name="Note 2 5 2 6 3 2" xfId="28238"/>
    <cellStyle name="Note 2 5 2 6 3 3" xfId="28239"/>
    <cellStyle name="Note 2 5 2 6 3 4" xfId="28240"/>
    <cellStyle name="Note 2 5 2 6 4" xfId="28241"/>
    <cellStyle name="Note 2 5 2 6 4 2" xfId="28242"/>
    <cellStyle name="Note 2 5 2 6 4 3" xfId="28243"/>
    <cellStyle name="Note 2 5 2 6 4 4" xfId="28244"/>
    <cellStyle name="Note 2 5 2 6 5" xfId="28245"/>
    <cellStyle name="Note 2 5 2 6 6" xfId="28246"/>
    <cellStyle name="Note 2 5 2 6 7" xfId="28247"/>
    <cellStyle name="Note 2 5 2 6 8" xfId="28248"/>
    <cellStyle name="Note 2 5 2 7" xfId="28249"/>
    <cellStyle name="Note 2 5 2 7 2" xfId="28250"/>
    <cellStyle name="Note 2 5 2 7 2 2" xfId="28251"/>
    <cellStyle name="Note 2 5 2 7 2 3" xfId="28252"/>
    <cellStyle name="Note 2 5 2 7 2 4" xfId="28253"/>
    <cellStyle name="Note 2 5 2 7 3" xfId="28254"/>
    <cellStyle name="Note 2 5 2 7 3 2" xfId="28255"/>
    <cellStyle name="Note 2 5 2 7 3 3" xfId="28256"/>
    <cellStyle name="Note 2 5 2 7 3 4" xfId="28257"/>
    <cellStyle name="Note 2 5 2 7 4" xfId="28258"/>
    <cellStyle name="Note 2 5 2 7 4 2" xfId="28259"/>
    <cellStyle name="Note 2 5 2 7 4 3" xfId="28260"/>
    <cellStyle name="Note 2 5 2 7 4 4" xfId="28261"/>
    <cellStyle name="Note 2 5 2 7 5" xfId="28262"/>
    <cellStyle name="Note 2 5 2 7 6" xfId="28263"/>
    <cellStyle name="Note 2 5 2 7 7" xfId="28264"/>
    <cellStyle name="Note 2 5 2 7 8" xfId="28265"/>
    <cellStyle name="Note 2 5 2 8" xfId="28266"/>
    <cellStyle name="Note 2 5 2 8 2" xfId="28267"/>
    <cellStyle name="Note 2 5 2 8 3" xfId="28268"/>
    <cellStyle name="Note 2 5 2 8 4" xfId="28269"/>
    <cellStyle name="Note 2 5 2 9" xfId="28270"/>
    <cellStyle name="Note 2 5 2 9 2" xfId="28271"/>
    <cellStyle name="Note 2 5 2 9 3" xfId="28272"/>
    <cellStyle name="Note 2 5 2 9 4" xfId="28273"/>
    <cellStyle name="Note 2 5 3" xfId="28274"/>
    <cellStyle name="Note 2 5 3 10" xfId="28275"/>
    <cellStyle name="Note 2 5 3 11" xfId="28276"/>
    <cellStyle name="Note 2 5 3 2" xfId="28277"/>
    <cellStyle name="Note 2 5 3 2 2" xfId="28278"/>
    <cellStyle name="Note 2 5 3 2 2 2" xfId="28279"/>
    <cellStyle name="Note 2 5 3 2 2 2 2" xfId="28280"/>
    <cellStyle name="Note 2 5 3 2 2 2 3" xfId="28281"/>
    <cellStyle name="Note 2 5 3 2 2 2 4" xfId="28282"/>
    <cellStyle name="Note 2 5 3 2 2 3" xfId="28283"/>
    <cellStyle name="Note 2 5 3 2 2 3 2" xfId="28284"/>
    <cellStyle name="Note 2 5 3 2 2 3 3" xfId="28285"/>
    <cellStyle name="Note 2 5 3 2 2 3 4" xfId="28286"/>
    <cellStyle name="Note 2 5 3 2 2 4" xfId="28287"/>
    <cellStyle name="Note 2 5 3 2 2 4 2" xfId="28288"/>
    <cellStyle name="Note 2 5 3 2 2 4 3" xfId="28289"/>
    <cellStyle name="Note 2 5 3 2 2 4 4" xfId="28290"/>
    <cellStyle name="Note 2 5 3 2 2 5" xfId="28291"/>
    <cellStyle name="Note 2 5 3 2 2 6" xfId="28292"/>
    <cellStyle name="Note 2 5 3 2 2 7" xfId="28293"/>
    <cellStyle name="Note 2 5 3 2 2 8" xfId="28294"/>
    <cellStyle name="Note 2 5 3 2 3" xfId="28295"/>
    <cellStyle name="Note 2 5 3 2 3 2" xfId="28296"/>
    <cellStyle name="Note 2 5 3 2 3 2 2" xfId="28297"/>
    <cellStyle name="Note 2 5 3 2 3 2 3" xfId="28298"/>
    <cellStyle name="Note 2 5 3 2 3 2 4" xfId="28299"/>
    <cellStyle name="Note 2 5 3 2 3 3" xfId="28300"/>
    <cellStyle name="Note 2 5 3 2 3 3 2" xfId="28301"/>
    <cellStyle name="Note 2 5 3 2 3 3 3" xfId="28302"/>
    <cellStyle name="Note 2 5 3 2 3 3 4" xfId="28303"/>
    <cellStyle name="Note 2 5 3 2 3 4" xfId="28304"/>
    <cellStyle name="Note 2 5 3 2 3 4 2" xfId="28305"/>
    <cellStyle name="Note 2 5 3 2 3 4 3" xfId="28306"/>
    <cellStyle name="Note 2 5 3 2 3 4 4" xfId="28307"/>
    <cellStyle name="Note 2 5 3 2 3 5" xfId="28308"/>
    <cellStyle name="Note 2 5 3 2 3 6" xfId="28309"/>
    <cellStyle name="Note 2 5 3 2 3 7" xfId="28310"/>
    <cellStyle name="Note 2 5 3 2 3 8" xfId="28311"/>
    <cellStyle name="Note 2 5 3 2 4" xfId="28312"/>
    <cellStyle name="Note 2 5 3 2 4 2" xfId="28313"/>
    <cellStyle name="Note 2 5 3 2 4 2 2" xfId="28314"/>
    <cellStyle name="Note 2 5 3 2 4 2 3" xfId="28315"/>
    <cellStyle name="Note 2 5 3 2 4 2 4" xfId="28316"/>
    <cellStyle name="Note 2 5 3 2 4 3" xfId="28317"/>
    <cellStyle name="Note 2 5 3 2 4 3 2" xfId="28318"/>
    <cellStyle name="Note 2 5 3 2 4 3 3" xfId="28319"/>
    <cellStyle name="Note 2 5 3 2 4 3 4" xfId="28320"/>
    <cellStyle name="Note 2 5 3 2 4 4" xfId="28321"/>
    <cellStyle name="Note 2 5 3 2 4 4 2" xfId="28322"/>
    <cellStyle name="Note 2 5 3 2 4 4 3" xfId="28323"/>
    <cellStyle name="Note 2 5 3 2 4 4 4" xfId="28324"/>
    <cellStyle name="Note 2 5 3 2 4 5" xfId="28325"/>
    <cellStyle name="Note 2 5 3 2 4 6" xfId="28326"/>
    <cellStyle name="Note 2 5 3 2 4 7" xfId="28327"/>
    <cellStyle name="Note 2 5 3 2 4 8" xfId="28328"/>
    <cellStyle name="Note 2 5 3 2 5" xfId="28329"/>
    <cellStyle name="Note 2 5 3 2 5 2" xfId="28330"/>
    <cellStyle name="Note 2 5 3 2 5 2 2" xfId="28331"/>
    <cellStyle name="Note 2 5 3 2 5 2 3" xfId="28332"/>
    <cellStyle name="Note 2 5 3 2 5 2 4" xfId="28333"/>
    <cellStyle name="Note 2 5 3 2 5 3" xfId="28334"/>
    <cellStyle name="Note 2 5 3 2 5 3 2" xfId="28335"/>
    <cellStyle name="Note 2 5 3 2 5 3 3" xfId="28336"/>
    <cellStyle name="Note 2 5 3 2 5 3 4" xfId="28337"/>
    <cellStyle name="Note 2 5 3 2 5 4" xfId="28338"/>
    <cellStyle name="Note 2 5 3 2 5 4 2" xfId="28339"/>
    <cellStyle name="Note 2 5 3 2 5 4 3" xfId="28340"/>
    <cellStyle name="Note 2 5 3 2 5 4 4" xfId="28341"/>
    <cellStyle name="Note 2 5 3 2 5 5" xfId="28342"/>
    <cellStyle name="Note 2 5 3 2 5 6" xfId="28343"/>
    <cellStyle name="Note 2 5 3 2 5 7" xfId="28344"/>
    <cellStyle name="Note 2 5 3 2 5 8" xfId="28345"/>
    <cellStyle name="Note 2 5 3 2 6" xfId="28346"/>
    <cellStyle name="Note 2 5 3 2 6 2" xfId="28347"/>
    <cellStyle name="Note 2 5 3 2 6 3" xfId="28348"/>
    <cellStyle name="Note 2 5 3 2 6 4" xfId="28349"/>
    <cellStyle name="Note 2 5 3 2 7" xfId="28350"/>
    <cellStyle name="Note 2 5 3 2 7 2" xfId="28351"/>
    <cellStyle name="Note 2 5 3 2 7 3" xfId="28352"/>
    <cellStyle name="Note 2 5 3 2 7 4" xfId="28353"/>
    <cellStyle name="Note 2 5 3 2 8" xfId="28354"/>
    <cellStyle name="Note 2 5 3 2 9" xfId="28355"/>
    <cellStyle name="Note 2 5 3 3" xfId="28356"/>
    <cellStyle name="Note 2 5 3 3 2" xfId="28357"/>
    <cellStyle name="Note 2 5 3 3 2 2" xfId="28358"/>
    <cellStyle name="Note 2 5 3 3 2 3" xfId="28359"/>
    <cellStyle name="Note 2 5 3 3 2 4" xfId="28360"/>
    <cellStyle name="Note 2 5 3 3 3" xfId="28361"/>
    <cellStyle name="Note 2 5 3 3 3 2" xfId="28362"/>
    <cellStyle name="Note 2 5 3 3 3 3" xfId="28363"/>
    <cellStyle name="Note 2 5 3 3 3 4" xfId="28364"/>
    <cellStyle name="Note 2 5 3 3 4" xfId="28365"/>
    <cellStyle name="Note 2 5 3 3 4 2" xfId="28366"/>
    <cellStyle name="Note 2 5 3 3 4 3" xfId="28367"/>
    <cellStyle name="Note 2 5 3 3 4 4" xfId="28368"/>
    <cellStyle name="Note 2 5 3 3 5" xfId="28369"/>
    <cellStyle name="Note 2 5 3 3 6" xfId="28370"/>
    <cellStyle name="Note 2 5 3 3 7" xfId="28371"/>
    <cellStyle name="Note 2 5 3 3 8" xfId="28372"/>
    <cellStyle name="Note 2 5 3 4" xfId="28373"/>
    <cellStyle name="Note 2 5 3 4 2" xfId="28374"/>
    <cellStyle name="Note 2 5 3 4 2 2" xfId="28375"/>
    <cellStyle name="Note 2 5 3 4 2 3" xfId="28376"/>
    <cellStyle name="Note 2 5 3 4 2 4" xfId="28377"/>
    <cellStyle name="Note 2 5 3 4 3" xfId="28378"/>
    <cellStyle name="Note 2 5 3 4 3 2" xfId="28379"/>
    <cellStyle name="Note 2 5 3 4 3 3" xfId="28380"/>
    <cellStyle name="Note 2 5 3 4 3 4" xfId="28381"/>
    <cellStyle name="Note 2 5 3 4 4" xfId="28382"/>
    <cellStyle name="Note 2 5 3 4 4 2" xfId="28383"/>
    <cellStyle name="Note 2 5 3 4 4 3" xfId="28384"/>
    <cellStyle name="Note 2 5 3 4 4 4" xfId="28385"/>
    <cellStyle name="Note 2 5 3 4 5" xfId="28386"/>
    <cellStyle name="Note 2 5 3 4 6" xfId="28387"/>
    <cellStyle name="Note 2 5 3 4 7" xfId="28388"/>
    <cellStyle name="Note 2 5 3 4 8" xfId="28389"/>
    <cellStyle name="Note 2 5 3 5" xfId="28390"/>
    <cellStyle name="Note 2 5 3 5 2" xfId="28391"/>
    <cellStyle name="Note 2 5 3 5 2 2" xfId="28392"/>
    <cellStyle name="Note 2 5 3 5 2 3" xfId="28393"/>
    <cellStyle name="Note 2 5 3 5 2 4" xfId="28394"/>
    <cellStyle name="Note 2 5 3 5 3" xfId="28395"/>
    <cellStyle name="Note 2 5 3 5 3 2" xfId="28396"/>
    <cellStyle name="Note 2 5 3 5 3 3" xfId="28397"/>
    <cellStyle name="Note 2 5 3 5 3 4" xfId="28398"/>
    <cellStyle name="Note 2 5 3 5 4" xfId="28399"/>
    <cellStyle name="Note 2 5 3 5 4 2" xfId="28400"/>
    <cellStyle name="Note 2 5 3 5 4 3" xfId="28401"/>
    <cellStyle name="Note 2 5 3 5 4 4" xfId="28402"/>
    <cellStyle name="Note 2 5 3 5 5" xfId="28403"/>
    <cellStyle name="Note 2 5 3 5 6" xfId="28404"/>
    <cellStyle name="Note 2 5 3 5 7" xfId="28405"/>
    <cellStyle name="Note 2 5 3 5 8" xfId="28406"/>
    <cellStyle name="Note 2 5 3 6" xfId="28407"/>
    <cellStyle name="Note 2 5 3 6 2" xfId="28408"/>
    <cellStyle name="Note 2 5 3 6 2 2" xfId="28409"/>
    <cellStyle name="Note 2 5 3 6 2 3" xfId="28410"/>
    <cellStyle name="Note 2 5 3 6 2 4" xfId="28411"/>
    <cellStyle name="Note 2 5 3 6 3" xfId="28412"/>
    <cellStyle name="Note 2 5 3 6 3 2" xfId="28413"/>
    <cellStyle name="Note 2 5 3 6 3 3" xfId="28414"/>
    <cellStyle name="Note 2 5 3 6 3 4" xfId="28415"/>
    <cellStyle name="Note 2 5 3 6 4" xfId="28416"/>
    <cellStyle name="Note 2 5 3 6 4 2" xfId="28417"/>
    <cellStyle name="Note 2 5 3 6 4 3" xfId="28418"/>
    <cellStyle name="Note 2 5 3 6 4 4" xfId="28419"/>
    <cellStyle name="Note 2 5 3 6 5" xfId="28420"/>
    <cellStyle name="Note 2 5 3 6 6" xfId="28421"/>
    <cellStyle name="Note 2 5 3 6 7" xfId="28422"/>
    <cellStyle name="Note 2 5 3 6 8" xfId="28423"/>
    <cellStyle name="Note 2 5 3 7" xfId="28424"/>
    <cellStyle name="Note 2 5 3 7 2" xfId="28425"/>
    <cellStyle name="Note 2 5 3 7 2 2" xfId="28426"/>
    <cellStyle name="Note 2 5 3 7 2 3" xfId="28427"/>
    <cellStyle name="Note 2 5 3 7 2 4" xfId="28428"/>
    <cellStyle name="Note 2 5 3 7 3" xfId="28429"/>
    <cellStyle name="Note 2 5 3 7 3 2" xfId="28430"/>
    <cellStyle name="Note 2 5 3 7 3 3" xfId="28431"/>
    <cellStyle name="Note 2 5 3 7 3 4" xfId="28432"/>
    <cellStyle name="Note 2 5 3 7 4" xfId="28433"/>
    <cellStyle name="Note 2 5 3 7 4 2" xfId="28434"/>
    <cellStyle name="Note 2 5 3 7 4 3" xfId="28435"/>
    <cellStyle name="Note 2 5 3 7 4 4" xfId="28436"/>
    <cellStyle name="Note 2 5 3 7 5" xfId="28437"/>
    <cellStyle name="Note 2 5 3 7 6" xfId="28438"/>
    <cellStyle name="Note 2 5 3 7 7" xfId="28439"/>
    <cellStyle name="Note 2 5 3 7 8" xfId="28440"/>
    <cellStyle name="Note 2 5 3 8" xfId="28441"/>
    <cellStyle name="Note 2 5 3 8 2" xfId="28442"/>
    <cellStyle name="Note 2 5 3 8 3" xfId="28443"/>
    <cellStyle name="Note 2 5 3 8 4" xfId="28444"/>
    <cellStyle name="Note 2 5 3 9" xfId="28445"/>
    <cellStyle name="Note 2 5 3 9 2" xfId="28446"/>
    <cellStyle name="Note 2 5 3 9 3" xfId="28447"/>
    <cellStyle name="Note 2 5 3 9 4" xfId="28448"/>
    <cellStyle name="Note 2 5 4" xfId="28449"/>
    <cellStyle name="Note 2 5 4 2" xfId="28450"/>
    <cellStyle name="Note 2 5 4 2 2" xfId="28451"/>
    <cellStyle name="Note 2 5 4 2 2 2" xfId="28452"/>
    <cellStyle name="Note 2 5 4 2 2 3" xfId="28453"/>
    <cellStyle name="Note 2 5 4 2 2 4" xfId="28454"/>
    <cellStyle name="Note 2 5 4 2 3" xfId="28455"/>
    <cellStyle name="Note 2 5 4 2 3 2" xfId="28456"/>
    <cellStyle name="Note 2 5 4 2 3 3" xfId="28457"/>
    <cellStyle name="Note 2 5 4 2 3 4" xfId="28458"/>
    <cellStyle name="Note 2 5 4 2 4" xfId="28459"/>
    <cellStyle name="Note 2 5 4 2 4 2" xfId="28460"/>
    <cellStyle name="Note 2 5 4 2 4 3" xfId="28461"/>
    <cellStyle name="Note 2 5 4 2 4 4" xfId="28462"/>
    <cellStyle name="Note 2 5 4 2 5" xfId="28463"/>
    <cellStyle name="Note 2 5 4 2 6" xfId="28464"/>
    <cellStyle name="Note 2 5 4 2 7" xfId="28465"/>
    <cellStyle name="Note 2 5 4 2 8" xfId="28466"/>
    <cellStyle name="Note 2 5 4 3" xfId="28467"/>
    <cellStyle name="Note 2 5 4 3 2" xfId="28468"/>
    <cellStyle name="Note 2 5 4 3 2 2" xfId="28469"/>
    <cellStyle name="Note 2 5 4 3 2 3" xfId="28470"/>
    <cellStyle name="Note 2 5 4 3 2 4" xfId="28471"/>
    <cellStyle name="Note 2 5 4 3 3" xfId="28472"/>
    <cellStyle name="Note 2 5 4 3 3 2" xfId="28473"/>
    <cellStyle name="Note 2 5 4 3 3 3" xfId="28474"/>
    <cellStyle name="Note 2 5 4 3 3 4" xfId="28475"/>
    <cellStyle name="Note 2 5 4 3 4" xfId="28476"/>
    <cellStyle name="Note 2 5 4 3 4 2" xfId="28477"/>
    <cellStyle name="Note 2 5 4 3 4 3" xfId="28478"/>
    <cellStyle name="Note 2 5 4 3 4 4" xfId="28479"/>
    <cellStyle name="Note 2 5 4 3 5" xfId="28480"/>
    <cellStyle name="Note 2 5 4 3 6" xfId="28481"/>
    <cellStyle name="Note 2 5 4 3 7" xfId="28482"/>
    <cellStyle name="Note 2 5 4 3 8" xfId="28483"/>
    <cellStyle name="Note 2 5 4 4" xfId="28484"/>
    <cellStyle name="Note 2 5 4 4 2" xfId="28485"/>
    <cellStyle name="Note 2 5 4 4 2 2" xfId="28486"/>
    <cellStyle name="Note 2 5 4 4 2 3" xfId="28487"/>
    <cellStyle name="Note 2 5 4 4 2 4" xfId="28488"/>
    <cellStyle name="Note 2 5 4 4 3" xfId="28489"/>
    <cellStyle name="Note 2 5 4 4 3 2" xfId="28490"/>
    <cellStyle name="Note 2 5 4 4 3 3" xfId="28491"/>
    <cellStyle name="Note 2 5 4 4 3 4" xfId="28492"/>
    <cellStyle name="Note 2 5 4 4 4" xfId="28493"/>
    <cellStyle name="Note 2 5 4 4 4 2" xfId="28494"/>
    <cellStyle name="Note 2 5 4 4 4 3" xfId="28495"/>
    <cellStyle name="Note 2 5 4 4 4 4" xfId="28496"/>
    <cellStyle name="Note 2 5 4 4 5" xfId="28497"/>
    <cellStyle name="Note 2 5 4 4 6" xfId="28498"/>
    <cellStyle name="Note 2 5 4 4 7" xfId="28499"/>
    <cellStyle name="Note 2 5 4 4 8" xfId="28500"/>
    <cellStyle name="Note 2 5 4 5" xfId="28501"/>
    <cellStyle name="Note 2 5 4 5 2" xfId="28502"/>
    <cellStyle name="Note 2 5 4 5 2 2" xfId="28503"/>
    <cellStyle name="Note 2 5 4 5 2 3" xfId="28504"/>
    <cellStyle name="Note 2 5 4 5 2 4" xfId="28505"/>
    <cellStyle name="Note 2 5 4 5 3" xfId="28506"/>
    <cellStyle name="Note 2 5 4 5 3 2" xfId="28507"/>
    <cellStyle name="Note 2 5 4 5 3 3" xfId="28508"/>
    <cellStyle name="Note 2 5 4 5 3 4" xfId="28509"/>
    <cellStyle name="Note 2 5 4 5 4" xfId="28510"/>
    <cellStyle name="Note 2 5 4 5 4 2" xfId="28511"/>
    <cellStyle name="Note 2 5 4 5 4 3" xfId="28512"/>
    <cellStyle name="Note 2 5 4 5 4 4" xfId="28513"/>
    <cellStyle name="Note 2 5 4 5 5" xfId="28514"/>
    <cellStyle name="Note 2 5 4 5 6" xfId="28515"/>
    <cellStyle name="Note 2 5 4 5 7" xfId="28516"/>
    <cellStyle name="Note 2 5 4 5 8" xfId="28517"/>
    <cellStyle name="Note 2 5 4 6" xfId="28518"/>
    <cellStyle name="Note 2 5 4 6 2" xfId="28519"/>
    <cellStyle name="Note 2 5 4 6 3" xfId="28520"/>
    <cellStyle name="Note 2 5 4 6 4" xfId="28521"/>
    <cellStyle name="Note 2 5 4 7" xfId="28522"/>
    <cellStyle name="Note 2 5 4 7 2" xfId="28523"/>
    <cellStyle name="Note 2 5 4 7 3" xfId="28524"/>
    <cellStyle name="Note 2 5 4 7 4" xfId="28525"/>
    <cellStyle name="Note 2 5 4 8" xfId="28526"/>
    <cellStyle name="Note 2 5 4 9" xfId="28527"/>
    <cellStyle name="Note 2 5 5" xfId="28528"/>
    <cellStyle name="Note 2 5 5 2" xfId="28529"/>
    <cellStyle name="Note 2 5 5 2 2" xfId="28530"/>
    <cellStyle name="Note 2 5 5 2 3" xfId="28531"/>
    <cellStyle name="Note 2 5 5 2 4" xfId="28532"/>
    <cellStyle name="Note 2 5 5 3" xfId="28533"/>
    <cellStyle name="Note 2 5 5 3 2" xfId="28534"/>
    <cellStyle name="Note 2 5 5 3 3" xfId="28535"/>
    <cellStyle name="Note 2 5 5 3 4" xfId="28536"/>
    <cellStyle name="Note 2 5 5 4" xfId="28537"/>
    <cellStyle name="Note 2 5 5 4 2" xfId="28538"/>
    <cellStyle name="Note 2 5 5 4 3" xfId="28539"/>
    <cellStyle name="Note 2 5 5 4 4" xfId="28540"/>
    <cellStyle name="Note 2 5 5 5" xfId="28541"/>
    <cellStyle name="Note 2 5 5 6" xfId="28542"/>
    <cellStyle name="Note 2 5 5 7" xfId="28543"/>
    <cellStyle name="Note 2 5 5 8" xfId="28544"/>
    <cellStyle name="Note 2 5 6" xfId="28545"/>
    <cellStyle name="Note 2 5 6 2" xfId="28546"/>
    <cellStyle name="Note 2 5 6 2 2" xfId="28547"/>
    <cellStyle name="Note 2 5 6 2 3" xfId="28548"/>
    <cellStyle name="Note 2 5 6 2 4" xfId="28549"/>
    <cellStyle name="Note 2 5 6 3" xfId="28550"/>
    <cellStyle name="Note 2 5 6 3 2" xfId="28551"/>
    <cellStyle name="Note 2 5 6 3 3" xfId="28552"/>
    <cellStyle name="Note 2 5 6 3 4" xfId="28553"/>
    <cellStyle name="Note 2 5 6 4" xfId="28554"/>
    <cellStyle name="Note 2 5 6 4 2" xfId="28555"/>
    <cellStyle name="Note 2 5 6 4 3" xfId="28556"/>
    <cellStyle name="Note 2 5 6 4 4" xfId="28557"/>
    <cellStyle name="Note 2 5 6 5" xfId="28558"/>
    <cellStyle name="Note 2 5 6 6" xfId="28559"/>
    <cellStyle name="Note 2 5 6 7" xfId="28560"/>
    <cellStyle name="Note 2 5 6 8" xfId="28561"/>
    <cellStyle name="Note 2 5 7" xfId="28562"/>
    <cellStyle name="Note 2 5 7 2" xfId="28563"/>
    <cellStyle name="Note 2 5 7 2 2" xfId="28564"/>
    <cellStyle name="Note 2 5 7 2 3" xfId="28565"/>
    <cellStyle name="Note 2 5 7 2 4" xfId="28566"/>
    <cellStyle name="Note 2 5 7 3" xfId="28567"/>
    <cellStyle name="Note 2 5 7 3 2" xfId="28568"/>
    <cellStyle name="Note 2 5 7 3 3" xfId="28569"/>
    <cellStyle name="Note 2 5 7 3 4" xfId="28570"/>
    <cellStyle name="Note 2 5 7 4" xfId="28571"/>
    <cellStyle name="Note 2 5 7 4 2" xfId="28572"/>
    <cellStyle name="Note 2 5 7 4 3" xfId="28573"/>
    <cellStyle name="Note 2 5 7 4 4" xfId="28574"/>
    <cellStyle name="Note 2 5 7 5" xfId="28575"/>
    <cellStyle name="Note 2 5 7 6" xfId="28576"/>
    <cellStyle name="Note 2 5 7 7" xfId="28577"/>
    <cellStyle name="Note 2 5 7 8" xfId="28578"/>
    <cellStyle name="Note 2 5 8" xfId="28579"/>
    <cellStyle name="Note 2 5 8 2" xfId="28580"/>
    <cellStyle name="Note 2 5 8 2 2" xfId="28581"/>
    <cellStyle name="Note 2 5 8 2 3" xfId="28582"/>
    <cellStyle name="Note 2 5 8 2 4" xfId="28583"/>
    <cellStyle name="Note 2 5 8 3" xfId="28584"/>
    <cellStyle name="Note 2 5 8 3 2" xfId="28585"/>
    <cellStyle name="Note 2 5 8 3 3" xfId="28586"/>
    <cellStyle name="Note 2 5 8 3 4" xfId="28587"/>
    <cellStyle name="Note 2 5 8 4" xfId="28588"/>
    <cellStyle name="Note 2 5 8 4 2" xfId="28589"/>
    <cellStyle name="Note 2 5 8 4 3" xfId="28590"/>
    <cellStyle name="Note 2 5 8 4 4" xfId="28591"/>
    <cellStyle name="Note 2 5 8 5" xfId="28592"/>
    <cellStyle name="Note 2 5 8 6" xfId="28593"/>
    <cellStyle name="Note 2 5 8 7" xfId="28594"/>
    <cellStyle name="Note 2 5 8 8" xfId="28595"/>
    <cellStyle name="Note 2 5 9" xfId="28596"/>
    <cellStyle name="Note 2 5 9 2" xfId="28597"/>
    <cellStyle name="Note 2 5 9 2 2" xfId="28598"/>
    <cellStyle name="Note 2 5 9 2 3" xfId="28599"/>
    <cellStyle name="Note 2 5 9 2 4" xfId="28600"/>
    <cellStyle name="Note 2 5 9 3" xfId="28601"/>
    <cellStyle name="Note 2 5 9 3 2" xfId="28602"/>
    <cellStyle name="Note 2 5 9 3 3" xfId="28603"/>
    <cellStyle name="Note 2 5 9 3 4" xfId="28604"/>
    <cellStyle name="Note 2 5 9 4" xfId="28605"/>
    <cellStyle name="Note 2 5 9 4 2" xfId="28606"/>
    <cellStyle name="Note 2 5 9 4 3" xfId="28607"/>
    <cellStyle name="Note 2 5 9 4 4" xfId="28608"/>
    <cellStyle name="Note 2 5 9 5" xfId="28609"/>
    <cellStyle name="Note 2 5 9 6" xfId="28610"/>
    <cellStyle name="Note 2 5 9 7" xfId="28611"/>
    <cellStyle name="Note 2 5 9 8" xfId="28612"/>
    <cellStyle name="Note 2 6" xfId="28613"/>
    <cellStyle name="Note 2 6 10" xfId="28614"/>
    <cellStyle name="Note 2 6 10 2" xfId="28615"/>
    <cellStyle name="Note 2 6 10 3" xfId="28616"/>
    <cellStyle name="Note 2 6 10 4" xfId="28617"/>
    <cellStyle name="Note 2 6 11" xfId="28618"/>
    <cellStyle name="Note 2 6 11 2" xfId="28619"/>
    <cellStyle name="Note 2 6 11 3" xfId="28620"/>
    <cellStyle name="Note 2 6 11 4" xfId="28621"/>
    <cellStyle name="Note 2 6 12" xfId="28622"/>
    <cellStyle name="Note 2 6 13" xfId="28623"/>
    <cellStyle name="Note 2 6 2" xfId="28624"/>
    <cellStyle name="Note 2 6 2 10" xfId="28625"/>
    <cellStyle name="Note 2 6 2 11" xfId="28626"/>
    <cellStyle name="Note 2 6 2 2" xfId="28627"/>
    <cellStyle name="Note 2 6 2 2 2" xfId="28628"/>
    <cellStyle name="Note 2 6 2 2 2 2" xfId="28629"/>
    <cellStyle name="Note 2 6 2 2 2 2 2" xfId="28630"/>
    <cellStyle name="Note 2 6 2 2 2 2 3" xfId="28631"/>
    <cellStyle name="Note 2 6 2 2 2 2 4" xfId="28632"/>
    <cellStyle name="Note 2 6 2 2 2 3" xfId="28633"/>
    <cellStyle name="Note 2 6 2 2 2 3 2" xfId="28634"/>
    <cellStyle name="Note 2 6 2 2 2 3 3" xfId="28635"/>
    <cellStyle name="Note 2 6 2 2 2 3 4" xfId="28636"/>
    <cellStyle name="Note 2 6 2 2 2 4" xfId="28637"/>
    <cellStyle name="Note 2 6 2 2 2 4 2" xfId="28638"/>
    <cellStyle name="Note 2 6 2 2 2 4 3" xfId="28639"/>
    <cellStyle name="Note 2 6 2 2 2 4 4" xfId="28640"/>
    <cellStyle name="Note 2 6 2 2 2 5" xfId="28641"/>
    <cellStyle name="Note 2 6 2 2 2 6" xfId="28642"/>
    <cellStyle name="Note 2 6 2 2 2 7" xfId="28643"/>
    <cellStyle name="Note 2 6 2 2 2 8" xfId="28644"/>
    <cellStyle name="Note 2 6 2 2 3" xfId="28645"/>
    <cellStyle name="Note 2 6 2 2 3 2" xfId="28646"/>
    <cellStyle name="Note 2 6 2 2 3 2 2" xfId="28647"/>
    <cellStyle name="Note 2 6 2 2 3 2 3" xfId="28648"/>
    <cellStyle name="Note 2 6 2 2 3 2 4" xfId="28649"/>
    <cellStyle name="Note 2 6 2 2 3 3" xfId="28650"/>
    <cellStyle name="Note 2 6 2 2 3 3 2" xfId="28651"/>
    <cellStyle name="Note 2 6 2 2 3 3 3" xfId="28652"/>
    <cellStyle name="Note 2 6 2 2 3 3 4" xfId="28653"/>
    <cellStyle name="Note 2 6 2 2 3 4" xfId="28654"/>
    <cellStyle name="Note 2 6 2 2 3 4 2" xfId="28655"/>
    <cellStyle name="Note 2 6 2 2 3 4 3" xfId="28656"/>
    <cellStyle name="Note 2 6 2 2 3 4 4" xfId="28657"/>
    <cellStyle name="Note 2 6 2 2 3 5" xfId="28658"/>
    <cellStyle name="Note 2 6 2 2 3 6" xfId="28659"/>
    <cellStyle name="Note 2 6 2 2 3 7" xfId="28660"/>
    <cellStyle name="Note 2 6 2 2 3 8" xfId="28661"/>
    <cellStyle name="Note 2 6 2 2 4" xfId="28662"/>
    <cellStyle name="Note 2 6 2 2 4 2" xfId="28663"/>
    <cellStyle name="Note 2 6 2 2 4 2 2" xfId="28664"/>
    <cellStyle name="Note 2 6 2 2 4 2 3" xfId="28665"/>
    <cellStyle name="Note 2 6 2 2 4 2 4" xfId="28666"/>
    <cellStyle name="Note 2 6 2 2 4 3" xfId="28667"/>
    <cellStyle name="Note 2 6 2 2 4 3 2" xfId="28668"/>
    <cellStyle name="Note 2 6 2 2 4 3 3" xfId="28669"/>
    <cellStyle name="Note 2 6 2 2 4 3 4" xfId="28670"/>
    <cellStyle name="Note 2 6 2 2 4 4" xfId="28671"/>
    <cellStyle name="Note 2 6 2 2 4 4 2" xfId="28672"/>
    <cellStyle name="Note 2 6 2 2 4 4 3" xfId="28673"/>
    <cellStyle name="Note 2 6 2 2 4 4 4" xfId="28674"/>
    <cellStyle name="Note 2 6 2 2 4 5" xfId="28675"/>
    <cellStyle name="Note 2 6 2 2 4 6" xfId="28676"/>
    <cellStyle name="Note 2 6 2 2 4 7" xfId="28677"/>
    <cellStyle name="Note 2 6 2 2 4 8" xfId="28678"/>
    <cellStyle name="Note 2 6 2 2 5" xfId="28679"/>
    <cellStyle name="Note 2 6 2 2 5 2" xfId="28680"/>
    <cellStyle name="Note 2 6 2 2 5 2 2" xfId="28681"/>
    <cellStyle name="Note 2 6 2 2 5 2 3" xfId="28682"/>
    <cellStyle name="Note 2 6 2 2 5 2 4" xfId="28683"/>
    <cellStyle name="Note 2 6 2 2 5 3" xfId="28684"/>
    <cellStyle name="Note 2 6 2 2 5 3 2" xfId="28685"/>
    <cellStyle name="Note 2 6 2 2 5 3 3" xfId="28686"/>
    <cellStyle name="Note 2 6 2 2 5 3 4" xfId="28687"/>
    <cellStyle name="Note 2 6 2 2 5 4" xfId="28688"/>
    <cellStyle name="Note 2 6 2 2 5 4 2" xfId="28689"/>
    <cellStyle name="Note 2 6 2 2 5 4 3" xfId="28690"/>
    <cellStyle name="Note 2 6 2 2 5 4 4" xfId="28691"/>
    <cellStyle name="Note 2 6 2 2 5 5" xfId="28692"/>
    <cellStyle name="Note 2 6 2 2 5 6" xfId="28693"/>
    <cellStyle name="Note 2 6 2 2 5 7" xfId="28694"/>
    <cellStyle name="Note 2 6 2 2 5 8" xfId="28695"/>
    <cellStyle name="Note 2 6 2 2 6" xfId="28696"/>
    <cellStyle name="Note 2 6 2 2 6 2" xfId="28697"/>
    <cellStyle name="Note 2 6 2 2 6 3" xfId="28698"/>
    <cellStyle name="Note 2 6 2 2 6 4" xfId="28699"/>
    <cellStyle name="Note 2 6 2 2 7" xfId="28700"/>
    <cellStyle name="Note 2 6 2 2 7 2" xfId="28701"/>
    <cellStyle name="Note 2 6 2 2 7 3" xfId="28702"/>
    <cellStyle name="Note 2 6 2 2 7 4" xfId="28703"/>
    <cellStyle name="Note 2 6 2 2 8" xfId="28704"/>
    <cellStyle name="Note 2 6 2 2 9" xfId="28705"/>
    <cellStyle name="Note 2 6 2 3" xfId="28706"/>
    <cellStyle name="Note 2 6 2 3 2" xfId="28707"/>
    <cellStyle name="Note 2 6 2 3 2 2" xfId="28708"/>
    <cellStyle name="Note 2 6 2 3 2 3" xfId="28709"/>
    <cellStyle name="Note 2 6 2 3 2 4" xfId="28710"/>
    <cellStyle name="Note 2 6 2 3 3" xfId="28711"/>
    <cellStyle name="Note 2 6 2 3 3 2" xfId="28712"/>
    <cellStyle name="Note 2 6 2 3 3 3" xfId="28713"/>
    <cellStyle name="Note 2 6 2 3 3 4" xfId="28714"/>
    <cellStyle name="Note 2 6 2 3 4" xfId="28715"/>
    <cellStyle name="Note 2 6 2 3 4 2" xfId="28716"/>
    <cellStyle name="Note 2 6 2 3 4 3" xfId="28717"/>
    <cellStyle name="Note 2 6 2 3 4 4" xfId="28718"/>
    <cellStyle name="Note 2 6 2 3 5" xfId="28719"/>
    <cellStyle name="Note 2 6 2 3 6" xfId="28720"/>
    <cellStyle name="Note 2 6 2 3 7" xfId="28721"/>
    <cellStyle name="Note 2 6 2 3 8" xfId="28722"/>
    <cellStyle name="Note 2 6 2 4" xfId="28723"/>
    <cellStyle name="Note 2 6 2 4 2" xfId="28724"/>
    <cellStyle name="Note 2 6 2 4 2 2" xfId="28725"/>
    <cellStyle name="Note 2 6 2 4 2 3" xfId="28726"/>
    <cellStyle name="Note 2 6 2 4 2 4" xfId="28727"/>
    <cellStyle name="Note 2 6 2 4 3" xfId="28728"/>
    <cellStyle name="Note 2 6 2 4 3 2" xfId="28729"/>
    <cellStyle name="Note 2 6 2 4 3 3" xfId="28730"/>
    <cellStyle name="Note 2 6 2 4 3 4" xfId="28731"/>
    <cellStyle name="Note 2 6 2 4 4" xfId="28732"/>
    <cellStyle name="Note 2 6 2 4 4 2" xfId="28733"/>
    <cellStyle name="Note 2 6 2 4 4 3" xfId="28734"/>
    <cellStyle name="Note 2 6 2 4 4 4" xfId="28735"/>
    <cellStyle name="Note 2 6 2 4 5" xfId="28736"/>
    <cellStyle name="Note 2 6 2 4 6" xfId="28737"/>
    <cellStyle name="Note 2 6 2 4 7" xfId="28738"/>
    <cellStyle name="Note 2 6 2 4 8" xfId="28739"/>
    <cellStyle name="Note 2 6 2 5" xfId="28740"/>
    <cellStyle name="Note 2 6 2 5 2" xfId="28741"/>
    <cellStyle name="Note 2 6 2 5 2 2" xfId="28742"/>
    <cellStyle name="Note 2 6 2 5 2 3" xfId="28743"/>
    <cellStyle name="Note 2 6 2 5 2 4" xfId="28744"/>
    <cellStyle name="Note 2 6 2 5 3" xfId="28745"/>
    <cellStyle name="Note 2 6 2 5 3 2" xfId="28746"/>
    <cellStyle name="Note 2 6 2 5 3 3" xfId="28747"/>
    <cellStyle name="Note 2 6 2 5 3 4" xfId="28748"/>
    <cellStyle name="Note 2 6 2 5 4" xfId="28749"/>
    <cellStyle name="Note 2 6 2 5 4 2" xfId="28750"/>
    <cellStyle name="Note 2 6 2 5 4 3" xfId="28751"/>
    <cellStyle name="Note 2 6 2 5 4 4" xfId="28752"/>
    <cellStyle name="Note 2 6 2 5 5" xfId="28753"/>
    <cellStyle name="Note 2 6 2 5 6" xfId="28754"/>
    <cellStyle name="Note 2 6 2 5 7" xfId="28755"/>
    <cellStyle name="Note 2 6 2 5 8" xfId="28756"/>
    <cellStyle name="Note 2 6 2 6" xfId="28757"/>
    <cellStyle name="Note 2 6 2 6 2" xfId="28758"/>
    <cellStyle name="Note 2 6 2 6 2 2" xfId="28759"/>
    <cellStyle name="Note 2 6 2 6 2 3" xfId="28760"/>
    <cellStyle name="Note 2 6 2 6 2 4" xfId="28761"/>
    <cellStyle name="Note 2 6 2 6 3" xfId="28762"/>
    <cellStyle name="Note 2 6 2 6 3 2" xfId="28763"/>
    <cellStyle name="Note 2 6 2 6 3 3" xfId="28764"/>
    <cellStyle name="Note 2 6 2 6 3 4" xfId="28765"/>
    <cellStyle name="Note 2 6 2 6 4" xfId="28766"/>
    <cellStyle name="Note 2 6 2 6 4 2" xfId="28767"/>
    <cellStyle name="Note 2 6 2 6 4 3" xfId="28768"/>
    <cellStyle name="Note 2 6 2 6 4 4" xfId="28769"/>
    <cellStyle name="Note 2 6 2 6 5" xfId="28770"/>
    <cellStyle name="Note 2 6 2 6 6" xfId="28771"/>
    <cellStyle name="Note 2 6 2 6 7" xfId="28772"/>
    <cellStyle name="Note 2 6 2 6 8" xfId="28773"/>
    <cellStyle name="Note 2 6 2 7" xfId="28774"/>
    <cellStyle name="Note 2 6 2 7 2" xfId="28775"/>
    <cellStyle name="Note 2 6 2 7 2 2" xfId="28776"/>
    <cellStyle name="Note 2 6 2 7 2 3" xfId="28777"/>
    <cellStyle name="Note 2 6 2 7 2 4" xfId="28778"/>
    <cellStyle name="Note 2 6 2 7 3" xfId="28779"/>
    <cellStyle name="Note 2 6 2 7 3 2" xfId="28780"/>
    <cellStyle name="Note 2 6 2 7 3 3" xfId="28781"/>
    <cellStyle name="Note 2 6 2 7 3 4" xfId="28782"/>
    <cellStyle name="Note 2 6 2 7 4" xfId="28783"/>
    <cellStyle name="Note 2 6 2 7 4 2" xfId="28784"/>
    <cellStyle name="Note 2 6 2 7 4 3" xfId="28785"/>
    <cellStyle name="Note 2 6 2 7 4 4" xfId="28786"/>
    <cellStyle name="Note 2 6 2 7 5" xfId="28787"/>
    <cellStyle name="Note 2 6 2 7 6" xfId="28788"/>
    <cellStyle name="Note 2 6 2 7 7" xfId="28789"/>
    <cellStyle name="Note 2 6 2 7 8" xfId="28790"/>
    <cellStyle name="Note 2 6 2 8" xfId="28791"/>
    <cellStyle name="Note 2 6 2 8 2" xfId="28792"/>
    <cellStyle name="Note 2 6 2 8 3" xfId="28793"/>
    <cellStyle name="Note 2 6 2 8 4" xfId="28794"/>
    <cellStyle name="Note 2 6 2 9" xfId="28795"/>
    <cellStyle name="Note 2 6 2 9 2" xfId="28796"/>
    <cellStyle name="Note 2 6 2 9 3" xfId="28797"/>
    <cellStyle name="Note 2 6 2 9 4" xfId="28798"/>
    <cellStyle name="Note 2 6 3" xfId="28799"/>
    <cellStyle name="Note 2 6 3 10" xfId="28800"/>
    <cellStyle name="Note 2 6 3 11" xfId="28801"/>
    <cellStyle name="Note 2 6 3 2" xfId="28802"/>
    <cellStyle name="Note 2 6 3 2 2" xfId="28803"/>
    <cellStyle name="Note 2 6 3 2 2 2" xfId="28804"/>
    <cellStyle name="Note 2 6 3 2 2 2 2" xfId="28805"/>
    <cellStyle name="Note 2 6 3 2 2 2 3" xfId="28806"/>
    <cellStyle name="Note 2 6 3 2 2 2 4" xfId="28807"/>
    <cellStyle name="Note 2 6 3 2 2 3" xfId="28808"/>
    <cellStyle name="Note 2 6 3 2 2 3 2" xfId="28809"/>
    <cellStyle name="Note 2 6 3 2 2 3 3" xfId="28810"/>
    <cellStyle name="Note 2 6 3 2 2 3 4" xfId="28811"/>
    <cellStyle name="Note 2 6 3 2 2 4" xfId="28812"/>
    <cellStyle name="Note 2 6 3 2 2 4 2" xfId="28813"/>
    <cellStyle name="Note 2 6 3 2 2 4 3" xfId="28814"/>
    <cellStyle name="Note 2 6 3 2 2 4 4" xfId="28815"/>
    <cellStyle name="Note 2 6 3 2 2 5" xfId="28816"/>
    <cellStyle name="Note 2 6 3 2 2 6" xfId="28817"/>
    <cellStyle name="Note 2 6 3 2 2 7" xfId="28818"/>
    <cellStyle name="Note 2 6 3 2 2 8" xfId="28819"/>
    <cellStyle name="Note 2 6 3 2 3" xfId="28820"/>
    <cellStyle name="Note 2 6 3 2 3 2" xfId="28821"/>
    <cellStyle name="Note 2 6 3 2 3 2 2" xfId="28822"/>
    <cellStyle name="Note 2 6 3 2 3 2 3" xfId="28823"/>
    <cellStyle name="Note 2 6 3 2 3 2 4" xfId="28824"/>
    <cellStyle name="Note 2 6 3 2 3 3" xfId="28825"/>
    <cellStyle name="Note 2 6 3 2 3 3 2" xfId="28826"/>
    <cellStyle name="Note 2 6 3 2 3 3 3" xfId="28827"/>
    <cellStyle name="Note 2 6 3 2 3 3 4" xfId="28828"/>
    <cellStyle name="Note 2 6 3 2 3 4" xfId="28829"/>
    <cellStyle name="Note 2 6 3 2 3 4 2" xfId="28830"/>
    <cellStyle name="Note 2 6 3 2 3 4 3" xfId="28831"/>
    <cellStyle name="Note 2 6 3 2 3 4 4" xfId="28832"/>
    <cellStyle name="Note 2 6 3 2 3 5" xfId="28833"/>
    <cellStyle name="Note 2 6 3 2 3 6" xfId="28834"/>
    <cellStyle name="Note 2 6 3 2 3 7" xfId="28835"/>
    <cellStyle name="Note 2 6 3 2 3 8" xfId="28836"/>
    <cellStyle name="Note 2 6 3 2 4" xfId="28837"/>
    <cellStyle name="Note 2 6 3 2 4 2" xfId="28838"/>
    <cellStyle name="Note 2 6 3 2 4 2 2" xfId="28839"/>
    <cellStyle name="Note 2 6 3 2 4 2 3" xfId="28840"/>
    <cellStyle name="Note 2 6 3 2 4 2 4" xfId="28841"/>
    <cellStyle name="Note 2 6 3 2 4 3" xfId="28842"/>
    <cellStyle name="Note 2 6 3 2 4 3 2" xfId="28843"/>
    <cellStyle name="Note 2 6 3 2 4 3 3" xfId="28844"/>
    <cellStyle name="Note 2 6 3 2 4 3 4" xfId="28845"/>
    <cellStyle name="Note 2 6 3 2 4 4" xfId="28846"/>
    <cellStyle name="Note 2 6 3 2 4 4 2" xfId="28847"/>
    <cellStyle name="Note 2 6 3 2 4 4 3" xfId="28848"/>
    <cellStyle name="Note 2 6 3 2 4 4 4" xfId="28849"/>
    <cellStyle name="Note 2 6 3 2 4 5" xfId="28850"/>
    <cellStyle name="Note 2 6 3 2 4 6" xfId="28851"/>
    <cellStyle name="Note 2 6 3 2 4 7" xfId="28852"/>
    <cellStyle name="Note 2 6 3 2 4 8" xfId="28853"/>
    <cellStyle name="Note 2 6 3 2 5" xfId="28854"/>
    <cellStyle name="Note 2 6 3 2 5 2" xfId="28855"/>
    <cellStyle name="Note 2 6 3 2 5 2 2" xfId="28856"/>
    <cellStyle name="Note 2 6 3 2 5 2 3" xfId="28857"/>
    <cellStyle name="Note 2 6 3 2 5 2 4" xfId="28858"/>
    <cellStyle name="Note 2 6 3 2 5 3" xfId="28859"/>
    <cellStyle name="Note 2 6 3 2 5 3 2" xfId="28860"/>
    <cellStyle name="Note 2 6 3 2 5 3 3" xfId="28861"/>
    <cellStyle name="Note 2 6 3 2 5 3 4" xfId="28862"/>
    <cellStyle name="Note 2 6 3 2 5 4" xfId="28863"/>
    <cellStyle name="Note 2 6 3 2 5 4 2" xfId="28864"/>
    <cellStyle name="Note 2 6 3 2 5 4 3" xfId="28865"/>
    <cellStyle name="Note 2 6 3 2 5 4 4" xfId="28866"/>
    <cellStyle name="Note 2 6 3 2 5 5" xfId="28867"/>
    <cellStyle name="Note 2 6 3 2 5 6" xfId="28868"/>
    <cellStyle name="Note 2 6 3 2 5 7" xfId="28869"/>
    <cellStyle name="Note 2 6 3 2 5 8" xfId="28870"/>
    <cellStyle name="Note 2 6 3 2 6" xfId="28871"/>
    <cellStyle name="Note 2 6 3 2 6 2" xfId="28872"/>
    <cellStyle name="Note 2 6 3 2 6 3" xfId="28873"/>
    <cellStyle name="Note 2 6 3 2 6 4" xfId="28874"/>
    <cellStyle name="Note 2 6 3 2 7" xfId="28875"/>
    <cellStyle name="Note 2 6 3 2 7 2" xfId="28876"/>
    <cellStyle name="Note 2 6 3 2 7 3" xfId="28877"/>
    <cellStyle name="Note 2 6 3 2 7 4" xfId="28878"/>
    <cellStyle name="Note 2 6 3 2 8" xfId="28879"/>
    <cellStyle name="Note 2 6 3 2 9" xfId="28880"/>
    <cellStyle name="Note 2 6 3 3" xfId="28881"/>
    <cellStyle name="Note 2 6 3 3 2" xfId="28882"/>
    <cellStyle name="Note 2 6 3 3 2 2" xfId="28883"/>
    <cellStyle name="Note 2 6 3 3 2 3" xfId="28884"/>
    <cellStyle name="Note 2 6 3 3 2 4" xfId="28885"/>
    <cellStyle name="Note 2 6 3 3 3" xfId="28886"/>
    <cellStyle name="Note 2 6 3 3 3 2" xfId="28887"/>
    <cellStyle name="Note 2 6 3 3 3 3" xfId="28888"/>
    <cellStyle name="Note 2 6 3 3 3 4" xfId="28889"/>
    <cellStyle name="Note 2 6 3 3 4" xfId="28890"/>
    <cellStyle name="Note 2 6 3 3 4 2" xfId="28891"/>
    <cellStyle name="Note 2 6 3 3 4 3" xfId="28892"/>
    <cellStyle name="Note 2 6 3 3 4 4" xfId="28893"/>
    <cellStyle name="Note 2 6 3 3 5" xfId="28894"/>
    <cellStyle name="Note 2 6 3 3 6" xfId="28895"/>
    <cellStyle name="Note 2 6 3 3 7" xfId="28896"/>
    <cellStyle name="Note 2 6 3 3 8" xfId="28897"/>
    <cellStyle name="Note 2 6 3 4" xfId="28898"/>
    <cellStyle name="Note 2 6 3 4 2" xfId="28899"/>
    <cellStyle name="Note 2 6 3 4 2 2" xfId="28900"/>
    <cellStyle name="Note 2 6 3 4 2 3" xfId="28901"/>
    <cellStyle name="Note 2 6 3 4 2 4" xfId="28902"/>
    <cellStyle name="Note 2 6 3 4 3" xfId="28903"/>
    <cellStyle name="Note 2 6 3 4 3 2" xfId="28904"/>
    <cellStyle name="Note 2 6 3 4 3 3" xfId="28905"/>
    <cellStyle name="Note 2 6 3 4 3 4" xfId="28906"/>
    <cellStyle name="Note 2 6 3 4 4" xfId="28907"/>
    <cellStyle name="Note 2 6 3 4 4 2" xfId="28908"/>
    <cellStyle name="Note 2 6 3 4 4 3" xfId="28909"/>
    <cellStyle name="Note 2 6 3 4 4 4" xfId="28910"/>
    <cellStyle name="Note 2 6 3 4 5" xfId="28911"/>
    <cellStyle name="Note 2 6 3 4 6" xfId="28912"/>
    <cellStyle name="Note 2 6 3 4 7" xfId="28913"/>
    <cellStyle name="Note 2 6 3 4 8" xfId="28914"/>
    <cellStyle name="Note 2 6 3 5" xfId="28915"/>
    <cellStyle name="Note 2 6 3 5 2" xfId="28916"/>
    <cellStyle name="Note 2 6 3 5 2 2" xfId="28917"/>
    <cellStyle name="Note 2 6 3 5 2 3" xfId="28918"/>
    <cellStyle name="Note 2 6 3 5 2 4" xfId="28919"/>
    <cellStyle name="Note 2 6 3 5 3" xfId="28920"/>
    <cellStyle name="Note 2 6 3 5 3 2" xfId="28921"/>
    <cellStyle name="Note 2 6 3 5 3 3" xfId="28922"/>
    <cellStyle name="Note 2 6 3 5 3 4" xfId="28923"/>
    <cellStyle name="Note 2 6 3 5 4" xfId="28924"/>
    <cellStyle name="Note 2 6 3 5 4 2" xfId="28925"/>
    <cellStyle name="Note 2 6 3 5 4 3" xfId="28926"/>
    <cellStyle name="Note 2 6 3 5 4 4" xfId="28927"/>
    <cellStyle name="Note 2 6 3 5 5" xfId="28928"/>
    <cellStyle name="Note 2 6 3 5 6" xfId="28929"/>
    <cellStyle name="Note 2 6 3 5 7" xfId="28930"/>
    <cellStyle name="Note 2 6 3 5 8" xfId="28931"/>
    <cellStyle name="Note 2 6 3 6" xfId="28932"/>
    <cellStyle name="Note 2 6 3 6 2" xfId="28933"/>
    <cellStyle name="Note 2 6 3 6 2 2" xfId="28934"/>
    <cellStyle name="Note 2 6 3 6 2 3" xfId="28935"/>
    <cellStyle name="Note 2 6 3 6 2 4" xfId="28936"/>
    <cellStyle name="Note 2 6 3 6 3" xfId="28937"/>
    <cellStyle name="Note 2 6 3 6 3 2" xfId="28938"/>
    <cellStyle name="Note 2 6 3 6 3 3" xfId="28939"/>
    <cellStyle name="Note 2 6 3 6 3 4" xfId="28940"/>
    <cellStyle name="Note 2 6 3 6 4" xfId="28941"/>
    <cellStyle name="Note 2 6 3 6 4 2" xfId="28942"/>
    <cellStyle name="Note 2 6 3 6 4 3" xfId="28943"/>
    <cellStyle name="Note 2 6 3 6 4 4" xfId="28944"/>
    <cellStyle name="Note 2 6 3 6 5" xfId="28945"/>
    <cellStyle name="Note 2 6 3 6 6" xfId="28946"/>
    <cellStyle name="Note 2 6 3 6 7" xfId="28947"/>
    <cellStyle name="Note 2 6 3 6 8" xfId="28948"/>
    <cellStyle name="Note 2 6 3 7" xfId="28949"/>
    <cellStyle name="Note 2 6 3 7 2" xfId="28950"/>
    <cellStyle name="Note 2 6 3 7 2 2" xfId="28951"/>
    <cellStyle name="Note 2 6 3 7 2 3" xfId="28952"/>
    <cellStyle name="Note 2 6 3 7 2 4" xfId="28953"/>
    <cellStyle name="Note 2 6 3 7 3" xfId="28954"/>
    <cellStyle name="Note 2 6 3 7 3 2" xfId="28955"/>
    <cellStyle name="Note 2 6 3 7 3 3" xfId="28956"/>
    <cellStyle name="Note 2 6 3 7 3 4" xfId="28957"/>
    <cellStyle name="Note 2 6 3 7 4" xfId="28958"/>
    <cellStyle name="Note 2 6 3 7 4 2" xfId="28959"/>
    <cellStyle name="Note 2 6 3 7 4 3" xfId="28960"/>
    <cellStyle name="Note 2 6 3 7 4 4" xfId="28961"/>
    <cellStyle name="Note 2 6 3 7 5" xfId="28962"/>
    <cellStyle name="Note 2 6 3 7 6" xfId="28963"/>
    <cellStyle name="Note 2 6 3 7 7" xfId="28964"/>
    <cellStyle name="Note 2 6 3 7 8" xfId="28965"/>
    <cellStyle name="Note 2 6 3 8" xfId="28966"/>
    <cellStyle name="Note 2 6 3 8 2" xfId="28967"/>
    <cellStyle name="Note 2 6 3 8 3" xfId="28968"/>
    <cellStyle name="Note 2 6 3 8 4" xfId="28969"/>
    <cellStyle name="Note 2 6 3 9" xfId="28970"/>
    <cellStyle name="Note 2 6 3 9 2" xfId="28971"/>
    <cellStyle name="Note 2 6 3 9 3" xfId="28972"/>
    <cellStyle name="Note 2 6 3 9 4" xfId="28973"/>
    <cellStyle name="Note 2 6 4" xfId="28974"/>
    <cellStyle name="Note 2 6 4 2" xfId="28975"/>
    <cellStyle name="Note 2 6 4 2 2" xfId="28976"/>
    <cellStyle name="Note 2 6 4 2 2 2" xfId="28977"/>
    <cellStyle name="Note 2 6 4 2 2 3" xfId="28978"/>
    <cellStyle name="Note 2 6 4 2 2 4" xfId="28979"/>
    <cellStyle name="Note 2 6 4 2 3" xfId="28980"/>
    <cellStyle name="Note 2 6 4 2 3 2" xfId="28981"/>
    <cellStyle name="Note 2 6 4 2 3 3" xfId="28982"/>
    <cellStyle name="Note 2 6 4 2 3 4" xfId="28983"/>
    <cellStyle name="Note 2 6 4 2 4" xfId="28984"/>
    <cellStyle name="Note 2 6 4 2 4 2" xfId="28985"/>
    <cellStyle name="Note 2 6 4 2 4 3" xfId="28986"/>
    <cellStyle name="Note 2 6 4 2 4 4" xfId="28987"/>
    <cellStyle name="Note 2 6 4 2 5" xfId="28988"/>
    <cellStyle name="Note 2 6 4 2 6" xfId="28989"/>
    <cellStyle name="Note 2 6 4 2 7" xfId="28990"/>
    <cellStyle name="Note 2 6 4 2 8" xfId="28991"/>
    <cellStyle name="Note 2 6 4 3" xfId="28992"/>
    <cellStyle name="Note 2 6 4 3 2" xfId="28993"/>
    <cellStyle name="Note 2 6 4 3 2 2" xfId="28994"/>
    <cellStyle name="Note 2 6 4 3 2 3" xfId="28995"/>
    <cellStyle name="Note 2 6 4 3 2 4" xfId="28996"/>
    <cellStyle name="Note 2 6 4 3 3" xfId="28997"/>
    <cellStyle name="Note 2 6 4 3 3 2" xfId="28998"/>
    <cellStyle name="Note 2 6 4 3 3 3" xfId="28999"/>
    <cellStyle name="Note 2 6 4 3 3 4" xfId="29000"/>
    <cellStyle name="Note 2 6 4 3 4" xfId="29001"/>
    <cellStyle name="Note 2 6 4 3 4 2" xfId="29002"/>
    <cellStyle name="Note 2 6 4 3 4 3" xfId="29003"/>
    <cellStyle name="Note 2 6 4 3 4 4" xfId="29004"/>
    <cellStyle name="Note 2 6 4 3 5" xfId="29005"/>
    <cellStyle name="Note 2 6 4 3 6" xfId="29006"/>
    <cellStyle name="Note 2 6 4 3 7" xfId="29007"/>
    <cellStyle name="Note 2 6 4 3 8" xfId="29008"/>
    <cellStyle name="Note 2 6 4 4" xfId="29009"/>
    <cellStyle name="Note 2 6 4 4 2" xfId="29010"/>
    <cellStyle name="Note 2 6 4 4 2 2" xfId="29011"/>
    <cellStyle name="Note 2 6 4 4 2 3" xfId="29012"/>
    <cellStyle name="Note 2 6 4 4 2 4" xfId="29013"/>
    <cellStyle name="Note 2 6 4 4 3" xfId="29014"/>
    <cellStyle name="Note 2 6 4 4 3 2" xfId="29015"/>
    <cellStyle name="Note 2 6 4 4 3 3" xfId="29016"/>
    <cellStyle name="Note 2 6 4 4 3 4" xfId="29017"/>
    <cellStyle name="Note 2 6 4 4 4" xfId="29018"/>
    <cellStyle name="Note 2 6 4 4 4 2" xfId="29019"/>
    <cellStyle name="Note 2 6 4 4 4 3" xfId="29020"/>
    <cellStyle name="Note 2 6 4 4 4 4" xfId="29021"/>
    <cellStyle name="Note 2 6 4 4 5" xfId="29022"/>
    <cellStyle name="Note 2 6 4 4 6" xfId="29023"/>
    <cellStyle name="Note 2 6 4 4 7" xfId="29024"/>
    <cellStyle name="Note 2 6 4 4 8" xfId="29025"/>
    <cellStyle name="Note 2 6 4 5" xfId="29026"/>
    <cellStyle name="Note 2 6 4 5 2" xfId="29027"/>
    <cellStyle name="Note 2 6 4 5 2 2" xfId="29028"/>
    <cellStyle name="Note 2 6 4 5 2 3" xfId="29029"/>
    <cellStyle name="Note 2 6 4 5 2 4" xfId="29030"/>
    <cellStyle name="Note 2 6 4 5 3" xfId="29031"/>
    <cellStyle name="Note 2 6 4 5 3 2" xfId="29032"/>
    <cellStyle name="Note 2 6 4 5 3 3" xfId="29033"/>
    <cellStyle name="Note 2 6 4 5 3 4" xfId="29034"/>
    <cellStyle name="Note 2 6 4 5 4" xfId="29035"/>
    <cellStyle name="Note 2 6 4 5 4 2" xfId="29036"/>
    <cellStyle name="Note 2 6 4 5 4 3" xfId="29037"/>
    <cellStyle name="Note 2 6 4 5 4 4" xfId="29038"/>
    <cellStyle name="Note 2 6 4 5 5" xfId="29039"/>
    <cellStyle name="Note 2 6 4 5 6" xfId="29040"/>
    <cellStyle name="Note 2 6 4 5 7" xfId="29041"/>
    <cellStyle name="Note 2 6 4 5 8" xfId="29042"/>
    <cellStyle name="Note 2 6 4 6" xfId="29043"/>
    <cellStyle name="Note 2 6 4 6 2" xfId="29044"/>
    <cellStyle name="Note 2 6 4 6 3" xfId="29045"/>
    <cellStyle name="Note 2 6 4 6 4" xfId="29046"/>
    <cellStyle name="Note 2 6 4 7" xfId="29047"/>
    <cellStyle name="Note 2 6 4 7 2" xfId="29048"/>
    <cellStyle name="Note 2 6 4 7 3" xfId="29049"/>
    <cellStyle name="Note 2 6 4 7 4" xfId="29050"/>
    <cellStyle name="Note 2 6 4 8" xfId="29051"/>
    <cellStyle name="Note 2 6 4 9" xfId="29052"/>
    <cellStyle name="Note 2 6 5" xfId="29053"/>
    <cellStyle name="Note 2 6 5 2" xfId="29054"/>
    <cellStyle name="Note 2 6 5 2 2" xfId="29055"/>
    <cellStyle name="Note 2 6 5 2 3" xfId="29056"/>
    <cellStyle name="Note 2 6 5 2 4" xfId="29057"/>
    <cellStyle name="Note 2 6 5 3" xfId="29058"/>
    <cellStyle name="Note 2 6 5 3 2" xfId="29059"/>
    <cellStyle name="Note 2 6 5 3 3" xfId="29060"/>
    <cellStyle name="Note 2 6 5 3 4" xfId="29061"/>
    <cellStyle name="Note 2 6 5 4" xfId="29062"/>
    <cellStyle name="Note 2 6 5 4 2" xfId="29063"/>
    <cellStyle name="Note 2 6 5 4 3" xfId="29064"/>
    <cellStyle name="Note 2 6 5 4 4" xfId="29065"/>
    <cellStyle name="Note 2 6 5 5" xfId="29066"/>
    <cellStyle name="Note 2 6 5 6" xfId="29067"/>
    <cellStyle name="Note 2 6 5 7" xfId="29068"/>
    <cellStyle name="Note 2 6 5 8" xfId="29069"/>
    <cellStyle name="Note 2 6 6" xfId="29070"/>
    <cellStyle name="Note 2 6 6 2" xfId="29071"/>
    <cellStyle name="Note 2 6 6 2 2" xfId="29072"/>
    <cellStyle name="Note 2 6 6 2 3" xfId="29073"/>
    <cellStyle name="Note 2 6 6 2 4" xfId="29074"/>
    <cellStyle name="Note 2 6 6 3" xfId="29075"/>
    <cellStyle name="Note 2 6 6 3 2" xfId="29076"/>
    <cellStyle name="Note 2 6 6 3 3" xfId="29077"/>
    <cellStyle name="Note 2 6 6 3 4" xfId="29078"/>
    <cellStyle name="Note 2 6 6 4" xfId="29079"/>
    <cellStyle name="Note 2 6 6 4 2" xfId="29080"/>
    <cellStyle name="Note 2 6 6 4 3" xfId="29081"/>
    <cellStyle name="Note 2 6 6 4 4" xfId="29082"/>
    <cellStyle name="Note 2 6 6 5" xfId="29083"/>
    <cellStyle name="Note 2 6 6 6" xfId="29084"/>
    <cellStyle name="Note 2 6 6 7" xfId="29085"/>
    <cellStyle name="Note 2 6 6 8" xfId="29086"/>
    <cellStyle name="Note 2 6 7" xfId="29087"/>
    <cellStyle name="Note 2 6 7 2" xfId="29088"/>
    <cellStyle name="Note 2 6 7 2 2" xfId="29089"/>
    <cellStyle name="Note 2 6 7 2 3" xfId="29090"/>
    <cellStyle name="Note 2 6 7 2 4" xfId="29091"/>
    <cellStyle name="Note 2 6 7 3" xfId="29092"/>
    <cellStyle name="Note 2 6 7 3 2" xfId="29093"/>
    <cellStyle name="Note 2 6 7 3 3" xfId="29094"/>
    <cellStyle name="Note 2 6 7 3 4" xfId="29095"/>
    <cellStyle name="Note 2 6 7 4" xfId="29096"/>
    <cellStyle name="Note 2 6 7 4 2" xfId="29097"/>
    <cellStyle name="Note 2 6 7 4 3" xfId="29098"/>
    <cellStyle name="Note 2 6 7 4 4" xfId="29099"/>
    <cellStyle name="Note 2 6 7 5" xfId="29100"/>
    <cellStyle name="Note 2 6 7 6" xfId="29101"/>
    <cellStyle name="Note 2 6 7 7" xfId="29102"/>
    <cellStyle name="Note 2 6 7 8" xfId="29103"/>
    <cellStyle name="Note 2 6 8" xfId="29104"/>
    <cellStyle name="Note 2 6 8 2" xfId="29105"/>
    <cellStyle name="Note 2 6 8 2 2" xfId="29106"/>
    <cellStyle name="Note 2 6 8 2 3" xfId="29107"/>
    <cellStyle name="Note 2 6 8 2 4" xfId="29108"/>
    <cellStyle name="Note 2 6 8 3" xfId="29109"/>
    <cellStyle name="Note 2 6 8 3 2" xfId="29110"/>
    <cellStyle name="Note 2 6 8 3 3" xfId="29111"/>
    <cellStyle name="Note 2 6 8 3 4" xfId="29112"/>
    <cellStyle name="Note 2 6 8 4" xfId="29113"/>
    <cellStyle name="Note 2 6 8 4 2" xfId="29114"/>
    <cellStyle name="Note 2 6 8 4 3" xfId="29115"/>
    <cellStyle name="Note 2 6 8 4 4" xfId="29116"/>
    <cellStyle name="Note 2 6 8 5" xfId="29117"/>
    <cellStyle name="Note 2 6 8 6" xfId="29118"/>
    <cellStyle name="Note 2 6 8 7" xfId="29119"/>
    <cellStyle name="Note 2 6 8 8" xfId="29120"/>
    <cellStyle name="Note 2 6 9" xfId="29121"/>
    <cellStyle name="Note 2 6 9 2" xfId="29122"/>
    <cellStyle name="Note 2 6 9 2 2" xfId="29123"/>
    <cellStyle name="Note 2 6 9 2 3" xfId="29124"/>
    <cellStyle name="Note 2 6 9 2 4" xfId="29125"/>
    <cellStyle name="Note 2 6 9 3" xfId="29126"/>
    <cellStyle name="Note 2 6 9 3 2" xfId="29127"/>
    <cellStyle name="Note 2 6 9 3 3" xfId="29128"/>
    <cellStyle name="Note 2 6 9 3 4" xfId="29129"/>
    <cellStyle name="Note 2 6 9 4" xfId="29130"/>
    <cellStyle name="Note 2 6 9 4 2" xfId="29131"/>
    <cellStyle name="Note 2 6 9 4 3" xfId="29132"/>
    <cellStyle name="Note 2 6 9 4 4" xfId="29133"/>
    <cellStyle name="Note 2 6 9 5" xfId="29134"/>
    <cellStyle name="Note 2 6 9 6" xfId="29135"/>
    <cellStyle name="Note 2 6 9 7" xfId="29136"/>
    <cellStyle name="Note 2 6 9 8" xfId="29137"/>
    <cellStyle name="Note 2 7" xfId="29138"/>
    <cellStyle name="Note 2 7 10" xfId="29139"/>
    <cellStyle name="Note 2 7 10 2" xfId="29140"/>
    <cellStyle name="Note 2 7 10 3" xfId="29141"/>
    <cellStyle name="Note 2 7 10 4" xfId="29142"/>
    <cellStyle name="Note 2 7 11" xfId="29143"/>
    <cellStyle name="Note 2 7 11 2" xfId="29144"/>
    <cellStyle name="Note 2 7 11 3" xfId="29145"/>
    <cellStyle name="Note 2 7 11 4" xfId="29146"/>
    <cellStyle name="Note 2 7 12" xfId="29147"/>
    <cellStyle name="Note 2 7 13" xfId="29148"/>
    <cellStyle name="Note 2 7 2" xfId="29149"/>
    <cellStyle name="Note 2 7 2 10" xfId="29150"/>
    <cellStyle name="Note 2 7 2 11" xfId="29151"/>
    <cellStyle name="Note 2 7 2 2" xfId="29152"/>
    <cellStyle name="Note 2 7 2 2 2" xfId="29153"/>
    <cellStyle name="Note 2 7 2 2 2 2" xfId="29154"/>
    <cellStyle name="Note 2 7 2 2 2 2 2" xfId="29155"/>
    <cellStyle name="Note 2 7 2 2 2 2 3" xfId="29156"/>
    <cellStyle name="Note 2 7 2 2 2 2 4" xfId="29157"/>
    <cellStyle name="Note 2 7 2 2 2 3" xfId="29158"/>
    <cellStyle name="Note 2 7 2 2 2 3 2" xfId="29159"/>
    <cellStyle name="Note 2 7 2 2 2 3 3" xfId="29160"/>
    <cellStyle name="Note 2 7 2 2 2 3 4" xfId="29161"/>
    <cellStyle name="Note 2 7 2 2 2 4" xfId="29162"/>
    <cellStyle name="Note 2 7 2 2 2 4 2" xfId="29163"/>
    <cellStyle name="Note 2 7 2 2 2 4 3" xfId="29164"/>
    <cellStyle name="Note 2 7 2 2 2 4 4" xfId="29165"/>
    <cellStyle name="Note 2 7 2 2 2 5" xfId="29166"/>
    <cellStyle name="Note 2 7 2 2 2 6" xfId="29167"/>
    <cellStyle name="Note 2 7 2 2 2 7" xfId="29168"/>
    <cellStyle name="Note 2 7 2 2 2 8" xfId="29169"/>
    <cellStyle name="Note 2 7 2 2 3" xfId="29170"/>
    <cellStyle name="Note 2 7 2 2 3 2" xfId="29171"/>
    <cellStyle name="Note 2 7 2 2 3 2 2" xfId="29172"/>
    <cellStyle name="Note 2 7 2 2 3 2 3" xfId="29173"/>
    <cellStyle name="Note 2 7 2 2 3 2 4" xfId="29174"/>
    <cellStyle name="Note 2 7 2 2 3 3" xfId="29175"/>
    <cellStyle name="Note 2 7 2 2 3 3 2" xfId="29176"/>
    <cellStyle name="Note 2 7 2 2 3 3 3" xfId="29177"/>
    <cellStyle name="Note 2 7 2 2 3 3 4" xfId="29178"/>
    <cellStyle name="Note 2 7 2 2 3 4" xfId="29179"/>
    <cellStyle name="Note 2 7 2 2 3 4 2" xfId="29180"/>
    <cellStyle name="Note 2 7 2 2 3 4 3" xfId="29181"/>
    <cellStyle name="Note 2 7 2 2 3 4 4" xfId="29182"/>
    <cellStyle name="Note 2 7 2 2 3 5" xfId="29183"/>
    <cellStyle name="Note 2 7 2 2 3 6" xfId="29184"/>
    <cellStyle name="Note 2 7 2 2 3 7" xfId="29185"/>
    <cellStyle name="Note 2 7 2 2 3 8" xfId="29186"/>
    <cellStyle name="Note 2 7 2 2 4" xfId="29187"/>
    <cellStyle name="Note 2 7 2 2 4 2" xfId="29188"/>
    <cellStyle name="Note 2 7 2 2 4 2 2" xfId="29189"/>
    <cellStyle name="Note 2 7 2 2 4 2 3" xfId="29190"/>
    <cellStyle name="Note 2 7 2 2 4 2 4" xfId="29191"/>
    <cellStyle name="Note 2 7 2 2 4 3" xfId="29192"/>
    <cellStyle name="Note 2 7 2 2 4 3 2" xfId="29193"/>
    <cellStyle name="Note 2 7 2 2 4 3 3" xfId="29194"/>
    <cellStyle name="Note 2 7 2 2 4 3 4" xfId="29195"/>
    <cellStyle name="Note 2 7 2 2 4 4" xfId="29196"/>
    <cellStyle name="Note 2 7 2 2 4 4 2" xfId="29197"/>
    <cellStyle name="Note 2 7 2 2 4 4 3" xfId="29198"/>
    <cellStyle name="Note 2 7 2 2 4 4 4" xfId="29199"/>
    <cellStyle name="Note 2 7 2 2 4 5" xfId="29200"/>
    <cellStyle name="Note 2 7 2 2 4 6" xfId="29201"/>
    <cellStyle name="Note 2 7 2 2 4 7" xfId="29202"/>
    <cellStyle name="Note 2 7 2 2 4 8" xfId="29203"/>
    <cellStyle name="Note 2 7 2 2 5" xfId="29204"/>
    <cellStyle name="Note 2 7 2 2 5 2" xfId="29205"/>
    <cellStyle name="Note 2 7 2 2 5 2 2" xfId="29206"/>
    <cellStyle name="Note 2 7 2 2 5 2 3" xfId="29207"/>
    <cellStyle name="Note 2 7 2 2 5 2 4" xfId="29208"/>
    <cellStyle name="Note 2 7 2 2 5 3" xfId="29209"/>
    <cellStyle name="Note 2 7 2 2 5 3 2" xfId="29210"/>
    <cellStyle name="Note 2 7 2 2 5 3 3" xfId="29211"/>
    <cellStyle name="Note 2 7 2 2 5 3 4" xfId="29212"/>
    <cellStyle name="Note 2 7 2 2 5 4" xfId="29213"/>
    <cellStyle name="Note 2 7 2 2 5 4 2" xfId="29214"/>
    <cellStyle name="Note 2 7 2 2 5 4 3" xfId="29215"/>
    <cellStyle name="Note 2 7 2 2 5 4 4" xfId="29216"/>
    <cellStyle name="Note 2 7 2 2 5 5" xfId="29217"/>
    <cellStyle name="Note 2 7 2 2 5 6" xfId="29218"/>
    <cellStyle name="Note 2 7 2 2 5 7" xfId="29219"/>
    <cellStyle name="Note 2 7 2 2 5 8" xfId="29220"/>
    <cellStyle name="Note 2 7 2 2 6" xfId="29221"/>
    <cellStyle name="Note 2 7 2 2 6 2" xfId="29222"/>
    <cellStyle name="Note 2 7 2 2 6 3" xfId="29223"/>
    <cellStyle name="Note 2 7 2 2 6 4" xfId="29224"/>
    <cellStyle name="Note 2 7 2 2 7" xfId="29225"/>
    <cellStyle name="Note 2 7 2 2 7 2" xfId="29226"/>
    <cellStyle name="Note 2 7 2 2 7 3" xfId="29227"/>
    <cellStyle name="Note 2 7 2 2 7 4" xfId="29228"/>
    <cellStyle name="Note 2 7 2 2 8" xfId="29229"/>
    <cellStyle name="Note 2 7 2 2 9" xfId="29230"/>
    <cellStyle name="Note 2 7 2 3" xfId="29231"/>
    <cellStyle name="Note 2 7 2 3 2" xfId="29232"/>
    <cellStyle name="Note 2 7 2 3 2 2" xfId="29233"/>
    <cellStyle name="Note 2 7 2 3 2 3" xfId="29234"/>
    <cellStyle name="Note 2 7 2 3 2 4" xfId="29235"/>
    <cellStyle name="Note 2 7 2 3 3" xfId="29236"/>
    <cellStyle name="Note 2 7 2 3 3 2" xfId="29237"/>
    <cellStyle name="Note 2 7 2 3 3 3" xfId="29238"/>
    <cellStyle name="Note 2 7 2 3 3 4" xfId="29239"/>
    <cellStyle name="Note 2 7 2 3 4" xfId="29240"/>
    <cellStyle name="Note 2 7 2 3 4 2" xfId="29241"/>
    <cellStyle name="Note 2 7 2 3 4 3" xfId="29242"/>
    <cellStyle name="Note 2 7 2 3 4 4" xfId="29243"/>
    <cellStyle name="Note 2 7 2 3 5" xfId="29244"/>
    <cellStyle name="Note 2 7 2 3 6" xfId="29245"/>
    <cellStyle name="Note 2 7 2 3 7" xfId="29246"/>
    <cellStyle name="Note 2 7 2 3 8" xfId="29247"/>
    <cellStyle name="Note 2 7 2 4" xfId="29248"/>
    <cellStyle name="Note 2 7 2 4 2" xfId="29249"/>
    <cellStyle name="Note 2 7 2 4 2 2" xfId="29250"/>
    <cellStyle name="Note 2 7 2 4 2 3" xfId="29251"/>
    <cellStyle name="Note 2 7 2 4 2 4" xfId="29252"/>
    <cellStyle name="Note 2 7 2 4 3" xfId="29253"/>
    <cellStyle name="Note 2 7 2 4 3 2" xfId="29254"/>
    <cellStyle name="Note 2 7 2 4 3 3" xfId="29255"/>
    <cellStyle name="Note 2 7 2 4 3 4" xfId="29256"/>
    <cellStyle name="Note 2 7 2 4 4" xfId="29257"/>
    <cellStyle name="Note 2 7 2 4 4 2" xfId="29258"/>
    <cellStyle name="Note 2 7 2 4 4 3" xfId="29259"/>
    <cellStyle name="Note 2 7 2 4 4 4" xfId="29260"/>
    <cellStyle name="Note 2 7 2 4 5" xfId="29261"/>
    <cellStyle name="Note 2 7 2 4 6" xfId="29262"/>
    <cellStyle name="Note 2 7 2 4 7" xfId="29263"/>
    <cellStyle name="Note 2 7 2 4 8" xfId="29264"/>
    <cellStyle name="Note 2 7 2 5" xfId="29265"/>
    <cellStyle name="Note 2 7 2 5 2" xfId="29266"/>
    <cellStyle name="Note 2 7 2 5 2 2" xfId="29267"/>
    <cellStyle name="Note 2 7 2 5 2 3" xfId="29268"/>
    <cellStyle name="Note 2 7 2 5 2 4" xfId="29269"/>
    <cellStyle name="Note 2 7 2 5 3" xfId="29270"/>
    <cellStyle name="Note 2 7 2 5 3 2" xfId="29271"/>
    <cellStyle name="Note 2 7 2 5 3 3" xfId="29272"/>
    <cellStyle name="Note 2 7 2 5 3 4" xfId="29273"/>
    <cellStyle name="Note 2 7 2 5 4" xfId="29274"/>
    <cellStyle name="Note 2 7 2 5 4 2" xfId="29275"/>
    <cellStyle name="Note 2 7 2 5 4 3" xfId="29276"/>
    <cellStyle name="Note 2 7 2 5 4 4" xfId="29277"/>
    <cellStyle name="Note 2 7 2 5 5" xfId="29278"/>
    <cellStyle name="Note 2 7 2 5 6" xfId="29279"/>
    <cellStyle name="Note 2 7 2 5 7" xfId="29280"/>
    <cellStyle name="Note 2 7 2 5 8" xfId="29281"/>
    <cellStyle name="Note 2 7 2 6" xfId="29282"/>
    <cellStyle name="Note 2 7 2 6 2" xfId="29283"/>
    <cellStyle name="Note 2 7 2 6 2 2" xfId="29284"/>
    <cellStyle name="Note 2 7 2 6 2 3" xfId="29285"/>
    <cellStyle name="Note 2 7 2 6 2 4" xfId="29286"/>
    <cellStyle name="Note 2 7 2 6 3" xfId="29287"/>
    <cellStyle name="Note 2 7 2 6 3 2" xfId="29288"/>
    <cellStyle name="Note 2 7 2 6 3 3" xfId="29289"/>
    <cellStyle name="Note 2 7 2 6 3 4" xfId="29290"/>
    <cellStyle name="Note 2 7 2 6 4" xfId="29291"/>
    <cellStyle name="Note 2 7 2 6 4 2" xfId="29292"/>
    <cellStyle name="Note 2 7 2 6 4 3" xfId="29293"/>
    <cellStyle name="Note 2 7 2 6 4 4" xfId="29294"/>
    <cellStyle name="Note 2 7 2 6 5" xfId="29295"/>
    <cellStyle name="Note 2 7 2 6 6" xfId="29296"/>
    <cellStyle name="Note 2 7 2 6 7" xfId="29297"/>
    <cellStyle name="Note 2 7 2 6 8" xfId="29298"/>
    <cellStyle name="Note 2 7 2 7" xfId="29299"/>
    <cellStyle name="Note 2 7 2 7 2" xfId="29300"/>
    <cellStyle name="Note 2 7 2 7 2 2" xfId="29301"/>
    <cellStyle name="Note 2 7 2 7 2 3" xfId="29302"/>
    <cellStyle name="Note 2 7 2 7 2 4" xfId="29303"/>
    <cellStyle name="Note 2 7 2 7 3" xfId="29304"/>
    <cellStyle name="Note 2 7 2 7 3 2" xfId="29305"/>
    <cellStyle name="Note 2 7 2 7 3 3" xfId="29306"/>
    <cellStyle name="Note 2 7 2 7 3 4" xfId="29307"/>
    <cellStyle name="Note 2 7 2 7 4" xfId="29308"/>
    <cellStyle name="Note 2 7 2 7 4 2" xfId="29309"/>
    <cellStyle name="Note 2 7 2 7 4 3" xfId="29310"/>
    <cellStyle name="Note 2 7 2 7 4 4" xfId="29311"/>
    <cellStyle name="Note 2 7 2 7 5" xfId="29312"/>
    <cellStyle name="Note 2 7 2 7 6" xfId="29313"/>
    <cellStyle name="Note 2 7 2 7 7" xfId="29314"/>
    <cellStyle name="Note 2 7 2 7 8" xfId="29315"/>
    <cellStyle name="Note 2 7 2 8" xfId="29316"/>
    <cellStyle name="Note 2 7 2 8 2" xfId="29317"/>
    <cellStyle name="Note 2 7 2 8 3" xfId="29318"/>
    <cellStyle name="Note 2 7 2 8 4" xfId="29319"/>
    <cellStyle name="Note 2 7 2 9" xfId="29320"/>
    <cellStyle name="Note 2 7 2 9 2" xfId="29321"/>
    <cellStyle name="Note 2 7 2 9 3" xfId="29322"/>
    <cellStyle name="Note 2 7 2 9 4" xfId="29323"/>
    <cellStyle name="Note 2 7 3" xfId="29324"/>
    <cellStyle name="Note 2 7 3 10" xfId="29325"/>
    <cellStyle name="Note 2 7 3 11" xfId="29326"/>
    <cellStyle name="Note 2 7 3 2" xfId="29327"/>
    <cellStyle name="Note 2 7 3 2 2" xfId="29328"/>
    <cellStyle name="Note 2 7 3 2 2 2" xfId="29329"/>
    <cellStyle name="Note 2 7 3 2 2 2 2" xfId="29330"/>
    <cellStyle name="Note 2 7 3 2 2 2 3" xfId="29331"/>
    <cellStyle name="Note 2 7 3 2 2 2 4" xfId="29332"/>
    <cellStyle name="Note 2 7 3 2 2 3" xfId="29333"/>
    <cellStyle name="Note 2 7 3 2 2 3 2" xfId="29334"/>
    <cellStyle name="Note 2 7 3 2 2 3 3" xfId="29335"/>
    <cellStyle name="Note 2 7 3 2 2 3 4" xfId="29336"/>
    <cellStyle name="Note 2 7 3 2 2 4" xfId="29337"/>
    <cellStyle name="Note 2 7 3 2 2 4 2" xfId="29338"/>
    <cellStyle name="Note 2 7 3 2 2 4 3" xfId="29339"/>
    <cellStyle name="Note 2 7 3 2 2 4 4" xfId="29340"/>
    <cellStyle name="Note 2 7 3 2 2 5" xfId="29341"/>
    <cellStyle name="Note 2 7 3 2 2 6" xfId="29342"/>
    <cellStyle name="Note 2 7 3 2 2 7" xfId="29343"/>
    <cellStyle name="Note 2 7 3 2 2 8" xfId="29344"/>
    <cellStyle name="Note 2 7 3 2 3" xfId="29345"/>
    <cellStyle name="Note 2 7 3 2 3 2" xfId="29346"/>
    <cellStyle name="Note 2 7 3 2 3 2 2" xfId="29347"/>
    <cellStyle name="Note 2 7 3 2 3 2 3" xfId="29348"/>
    <cellStyle name="Note 2 7 3 2 3 2 4" xfId="29349"/>
    <cellStyle name="Note 2 7 3 2 3 3" xfId="29350"/>
    <cellStyle name="Note 2 7 3 2 3 3 2" xfId="29351"/>
    <cellStyle name="Note 2 7 3 2 3 3 3" xfId="29352"/>
    <cellStyle name="Note 2 7 3 2 3 3 4" xfId="29353"/>
    <cellStyle name="Note 2 7 3 2 3 4" xfId="29354"/>
    <cellStyle name="Note 2 7 3 2 3 4 2" xfId="29355"/>
    <cellStyle name="Note 2 7 3 2 3 4 3" xfId="29356"/>
    <cellStyle name="Note 2 7 3 2 3 4 4" xfId="29357"/>
    <cellStyle name="Note 2 7 3 2 3 5" xfId="29358"/>
    <cellStyle name="Note 2 7 3 2 3 6" xfId="29359"/>
    <cellStyle name="Note 2 7 3 2 3 7" xfId="29360"/>
    <cellStyle name="Note 2 7 3 2 3 8" xfId="29361"/>
    <cellStyle name="Note 2 7 3 2 4" xfId="29362"/>
    <cellStyle name="Note 2 7 3 2 4 2" xfId="29363"/>
    <cellStyle name="Note 2 7 3 2 4 2 2" xfId="29364"/>
    <cellStyle name="Note 2 7 3 2 4 2 3" xfId="29365"/>
    <cellStyle name="Note 2 7 3 2 4 2 4" xfId="29366"/>
    <cellStyle name="Note 2 7 3 2 4 3" xfId="29367"/>
    <cellStyle name="Note 2 7 3 2 4 3 2" xfId="29368"/>
    <cellStyle name="Note 2 7 3 2 4 3 3" xfId="29369"/>
    <cellStyle name="Note 2 7 3 2 4 3 4" xfId="29370"/>
    <cellStyle name="Note 2 7 3 2 4 4" xfId="29371"/>
    <cellStyle name="Note 2 7 3 2 4 4 2" xfId="29372"/>
    <cellStyle name="Note 2 7 3 2 4 4 3" xfId="29373"/>
    <cellStyle name="Note 2 7 3 2 4 4 4" xfId="29374"/>
    <cellStyle name="Note 2 7 3 2 4 5" xfId="29375"/>
    <cellStyle name="Note 2 7 3 2 4 6" xfId="29376"/>
    <cellStyle name="Note 2 7 3 2 4 7" xfId="29377"/>
    <cellStyle name="Note 2 7 3 2 4 8" xfId="29378"/>
    <cellStyle name="Note 2 7 3 2 5" xfId="29379"/>
    <cellStyle name="Note 2 7 3 2 5 2" xfId="29380"/>
    <cellStyle name="Note 2 7 3 2 5 2 2" xfId="29381"/>
    <cellStyle name="Note 2 7 3 2 5 2 3" xfId="29382"/>
    <cellStyle name="Note 2 7 3 2 5 2 4" xfId="29383"/>
    <cellStyle name="Note 2 7 3 2 5 3" xfId="29384"/>
    <cellStyle name="Note 2 7 3 2 5 3 2" xfId="29385"/>
    <cellStyle name="Note 2 7 3 2 5 3 3" xfId="29386"/>
    <cellStyle name="Note 2 7 3 2 5 3 4" xfId="29387"/>
    <cellStyle name="Note 2 7 3 2 5 4" xfId="29388"/>
    <cellStyle name="Note 2 7 3 2 5 4 2" xfId="29389"/>
    <cellStyle name="Note 2 7 3 2 5 4 3" xfId="29390"/>
    <cellStyle name="Note 2 7 3 2 5 4 4" xfId="29391"/>
    <cellStyle name="Note 2 7 3 2 5 5" xfId="29392"/>
    <cellStyle name="Note 2 7 3 2 5 6" xfId="29393"/>
    <cellStyle name="Note 2 7 3 2 5 7" xfId="29394"/>
    <cellStyle name="Note 2 7 3 2 5 8" xfId="29395"/>
    <cellStyle name="Note 2 7 3 2 6" xfId="29396"/>
    <cellStyle name="Note 2 7 3 2 6 2" xfId="29397"/>
    <cellStyle name="Note 2 7 3 2 6 3" xfId="29398"/>
    <cellStyle name="Note 2 7 3 2 6 4" xfId="29399"/>
    <cellStyle name="Note 2 7 3 2 7" xfId="29400"/>
    <cellStyle name="Note 2 7 3 2 7 2" xfId="29401"/>
    <cellStyle name="Note 2 7 3 2 7 3" xfId="29402"/>
    <cellStyle name="Note 2 7 3 2 7 4" xfId="29403"/>
    <cellStyle name="Note 2 7 3 2 8" xfId="29404"/>
    <cellStyle name="Note 2 7 3 2 9" xfId="29405"/>
    <cellStyle name="Note 2 7 3 3" xfId="29406"/>
    <cellStyle name="Note 2 7 3 3 2" xfId="29407"/>
    <cellStyle name="Note 2 7 3 3 2 2" xfId="29408"/>
    <cellStyle name="Note 2 7 3 3 2 3" xfId="29409"/>
    <cellStyle name="Note 2 7 3 3 2 4" xfId="29410"/>
    <cellStyle name="Note 2 7 3 3 3" xfId="29411"/>
    <cellStyle name="Note 2 7 3 3 3 2" xfId="29412"/>
    <cellStyle name="Note 2 7 3 3 3 3" xfId="29413"/>
    <cellStyle name="Note 2 7 3 3 3 4" xfId="29414"/>
    <cellStyle name="Note 2 7 3 3 4" xfId="29415"/>
    <cellStyle name="Note 2 7 3 3 4 2" xfId="29416"/>
    <cellStyle name="Note 2 7 3 3 4 3" xfId="29417"/>
    <cellStyle name="Note 2 7 3 3 4 4" xfId="29418"/>
    <cellStyle name="Note 2 7 3 3 5" xfId="29419"/>
    <cellStyle name="Note 2 7 3 3 6" xfId="29420"/>
    <cellStyle name="Note 2 7 3 3 7" xfId="29421"/>
    <cellStyle name="Note 2 7 3 3 8" xfId="29422"/>
    <cellStyle name="Note 2 7 3 4" xfId="29423"/>
    <cellStyle name="Note 2 7 3 4 2" xfId="29424"/>
    <cellStyle name="Note 2 7 3 4 2 2" xfId="29425"/>
    <cellStyle name="Note 2 7 3 4 2 3" xfId="29426"/>
    <cellStyle name="Note 2 7 3 4 2 4" xfId="29427"/>
    <cellStyle name="Note 2 7 3 4 3" xfId="29428"/>
    <cellStyle name="Note 2 7 3 4 3 2" xfId="29429"/>
    <cellStyle name="Note 2 7 3 4 3 3" xfId="29430"/>
    <cellStyle name="Note 2 7 3 4 3 4" xfId="29431"/>
    <cellStyle name="Note 2 7 3 4 4" xfId="29432"/>
    <cellStyle name="Note 2 7 3 4 4 2" xfId="29433"/>
    <cellStyle name="Note 2 7 3 4 4 3" xfId="29434"/>
    <cellStyle name="Note 2 7 3 4 4 4" xfId="29435"/>
    <cellStyle name="Note 2 7 3 4 5" xfId="29436"/>
    <cellStyle name="Note 2 7 3 4 6" xfId="29437"/>
    <cellStyle name="Note 2 7 3 4 7" xfId="29438"/>
    <cellStyle name="Note 2 7 3 4 8" xfId="29439"/>
    <cellStyle name="Note 2 7 3 5" xfId="29440"/>
    <cellStyle name="Note 2 7 3 5 2" xfId="29441"/>
    <cellStyle name="Note 2 7 3 5 2 2" xfId="29442"/>
    <cellStyle name="Note 2 7 3 5 2 3" xfId="29443"/>
    <cellStyle name="Note 2 7 3 5 2 4" xfId="29444"/>
    <cellStyle name="Note 2 7 3 5 3" xfId="29445"/>
    <cellStyle name="Note 2 7 3 5 3 2" xfId="29446"/>
    <cellStyle name="Note 2 7 3 5 3 3" xfId="29447"/>
    <cellStyle name="Note 2 7 3 5 3 4" xfId="29448"/>
    <cellStyle name="Note 2 7 3 5 4" xfId="29449"/>
    <cellStyle name="Note 2 7 3 5 4 2" xfId="29450"/>
    <cellStyle name="Note 2 7 3 5 4 3" xfId="29451"/>
    <cellStyle name="Note 2 7 3 5 4 4" xfId="29452"/>
    <cellStyle name="Note 2 7 3 5 5" xfId="29453"/>
    <cellStyle name="Note 2 7 3 5 6" xfId="29454"/>
    <cellStyle name="Note 2 7 3 5 7" xfId="29455"/>
    <cellStyle name="Note 2 7 3 5 8" xfId="29456"/>
    <cellStyle name="Note 2 7 3 6" xfId="29457"/>
    <cellStyle name="Note 2 7 3 6 2" xfId="29458"/>
    <cellStyle name="Note 2 7 3 6 2 2" xfId="29459"/>
    <cellStyle name="Note 2 7 3 6 2 3" xfId="29460"/>
    <cellStyle name="Note 2 7 3 6 2 4" xfId="29461"/>
    <cellStyle name="Note 2 7 3 6 3" xfId="29462"/>
    <cellStyle name="Note 2 7 3 6 3 2" xfId="29463"/>
    <cellStyle name="Note 2 7 3 6 3 3" xfId="29464"/>
    <cellStyle name="Note 2 7 3 6 3 4" xfId="29465"/>
    <cellStyle name="Note 2 7 3 6 4" xfId="29466"/>
    <cellStyle name="Note 2 7 3 6 4 2" xfId="29467"/>
    <cellStyle name="Note 2 7 3 6 4 3" xfId="29468"/>
    <cellStyle name="Note 2 7 3 6 4 4" xfId="29469"/>
    <cellStyle name="Note 2 7 3 6 5" xfId="29470"/>
    <cellStyle name="Note 2 7 3 6 6" xfId="29471"/>
    <cellStyle name="Note 2 7 3 6 7" xfId="29472"/>
    <cellStyle name="Note 2 7 3 6 8" xfId="29473"/>
    <cellStyle name="Note 2 7 3 7" xfId="29474"/>
    <cellStyle name="Note 2 7 3 7 2" xfId="29475"/>
    <cellStyle name="Note 2 7 3 7 2 2" xfId="29476"/>
    <cellStyle name="Note 2 7 3 7 2 3" xfId="29477"/>
    <cellStyle name="Note 2 7 3 7 2 4" xfId="29478"/>
    <cellStyle name="Note 2 7 3 7 3" xfId="29479"/>
    <cellStyle name="Note 2 7 3 7 3 2" xfId="29480"/>
    <cellStyle name="Note 2 7 3 7 3 3" xfId="29481"/>
    <cellStyle name="Note 2 7 3 7 3 4" xfId="29482"/>
    <cellStyle name="Note 2 7 3 7 4" xfId="29483"/>
    <cellStyle name="Note 2 7 3 7 4 2" xfId="29484"/>
    <cellStyle name="Note 2 7 3 7 4 3" xfId="29485"/>
    <cellStyle name="Note 2 7 3 7 4 4" xfId="29486"/>
    <cellStyle name="Note 2 7 3 7 5" xfId="29487"/>
    <cellStyle name="Note 2 7 3 7 6" xfId="29488"/>
    <cellStyle name="Note 2 7 3 7 7" xfId="29489"/>
    <cellStyle name="Note 2 7 3 7 8" xfId="29490"/>
    <cellStyle name="Note 2 7 3 8" xfId="29491"/>
    <cellStyle name="Note 2 7 3 8 2" xfId="29492"/>
    <cellStyle name="Note 2 7 3 8 3" xfId="29493"/>
    <cellStyle name="Note 2 7 3 8 4" xfId="29494"/>
    <cellStyle name="Note 2 7 3 9" xfId="29495"/>
    <cellStyle name="Note 2 7 3 9 2" xfId="29496"/>
    <cellStyle name="Note 2 7 3 9 3" xfId="29497"/>
    <cellStyle name="Note 2 7 3 9 4" xfId="29498"/>
    <cellStyle name="Note 2 7 4" xfId="29499"/>
    <cellStyle name="Note 2 7 4 2" xfId="29500"/>
    <cellStyle name="Note 2 7 4 2 2" xfId="29501"/>
    <cellStyle name="Note 2 7 4 2 2 2" xfId="29502"/>
    <cellStyle name="Note 2 7 4 2 2 3" xfId="29503"/>
    <cellStyle name="Note 2 7 4 2 2 4" xfId="29504"/>
    <cellStyle name="Note 2 7 4 2 3" xfId="29505"/>
    <cellStyle name="Note 2 7 4 2 3 2" xfId="29506"/>
    <cellStyle name="Note 2 7 4 2 3 3" xfId="29507"/>
    <cellStyle name="Note 2 7 4 2 3 4" xfId="29508"/>
    <cellStyle name="Note 2 7 4 2 4" xfId="29509"/>
    <cellStyle name="Note 2 7 4 2 4 2" xfId="29510"/>
    <cellStyle name="Note 2 7 4 2 4 3" xfId="29511"/>
    <cellStyle name="Note 2 7 4 2 4 4" xfId="29512"/>
    <cellStyle name="Note 2 7 4 2 5" xfId="29513"/>
    <cellStyle name="Note 2 7 4 2 6" xfId="29514"/>
    <cellStyle name="Note 2 7 4 2 7" xfId="29515"/>
    <cellStyle name="Note 2 7 4 2 8" xfId="29516"/>
    <cellStyle name="Note 2 7 4 3" xfId="29517"/>
    <cellStyle name="Note 2 7 4 3 2" xfId="29518"/>
    <cellStyle name="Note 2 7 4 3 2 2" xfId="29519"/>
    <cellStyle name="Note 2 7 4 3 2 3" xfId="29520"/>
    <cellStyle name="Note 2 7 4 3 2 4" xfId="29521"/>
    <cellStyle name="Note 2 7 4 3 3" xfId="29522"/>
    <cellStyle name="Note 2 7 4 3 3 2" xfId="29523"/>
    <cellStyle name="Note 2 7 4 3 3 3" xfId="29524"/>
    <cellStyle name="Note 2 7 4 3 3 4" xfId="29525"/>
    <cellStyle name="Note 2 7 4 3 4" xfId="29526"/>
    <cellStyle name="Note 2 7 4 3 4 2" xfId="29527"/>
    <cellStyle name="Note 2 7 4 3 4 3" xfId="29528"/>
    <cellStyle name="Note 2 7 4 3 4 4" xfId="29529"/>
    <cellStyle name="Note 2 7 4 3 5" xfId="29530"/>
    <cellStyle name="Note 2 7 4 3 6" xfId="29531"/>
    <cellStyle name="Note 2 7 4 3 7" xfId="29532"/>
    <cellStyle name="Note 2 7 4 3 8" xfId="29533"/>
    <cellStyle name="Note 2 7 4 4" xfId="29534"/>
    <cellStyle name="Note 2 7 4 4 2" xfId="29535"/>
    <cellStyle name="Note 2 7 4 4 2 2" xfId="29536"/>
    <cellStyle name="Note 2 7 4 4 2 3" xfId="29537"/>
    <cellStyle name="Note 2 7 4 4 2 4" xfId="29538"/>
    <cellStyle name="Note 2 7 4 4 3" xfId="29539"/>
    <cellStyle name="Note 2 7 4 4 3 2" xfId="29540"/>
    <cellStyle name="Note 2 7 4 4 3 3" xfId="29541"/>
    <cellStyle name="Note 2 7 4 4 3 4" xfId="29542"/>
    <cellStyle name="Note 2 7 4 4 4" xfId="29543"/>
    <cellStyle name="Note 2 7 4 4 4 2" xfId="29544"/>
    <cellStyle name="Note 2 7 4 4 4 3" xfId="29545"/>
    <cellStyle name="Note 2 7 4 4 4 4" xfId="29546"/>
    <cellStyle name="Note 2 7 4 4 5" xfId="29547"/>
    <cellStyle name="Note 2 7 4 4 6" xfId="29548"/>
    <cellStyle name="Note 2 7 4 4 7" xfId="29549"/>
    <cellStyle name="Note 2 7 4 4 8" xfId="29550"/>
    <cellStyle name="Note 2 7 4 5" xfId="29551"/>
    <cellStyle name="Note 2 7 4 5 2" xfId="29552"/>
    <cellStyle name="Note 2 7 4 5 2 2" xfId="29553"/>
    <cellStyle name="Note 2 7 4 5 2 3" xfId="29554"/>
    <cellStyle name="Note 2 7 4 5 2 4" xfId="29555"/>
    <cellStyle name="Note 2 7 4 5 3" xfId="29556"/>
    <cellStyle name="Note 2 7 4 5 3 2" xfId="29557"/>
    <cellStyle name="Note 2 7 4 5 3 3" xfId="29558"/>
    <cellStyle name="Note 2 7 4 5 3 4" xfId="29559"/>
    <cellStyle name="Note 2 7 4 5 4" xfId="29560"/>
    <cellStyle name="Note 2 7 4 5 4 2" xfId="29561"/>
    <cellStyle name="Note 2 7 4 5 4 3" xfId="29562"/>
    <cellStyle name="Note 2 7 4 5 4 4" xfId="29563"/>
    <cellStyle name="Note 2 7 4 5 5" xfId="29564"/>
    <cellStyle name="Note 2 7 4 5 6" xfId="29565"/>
    <cellStyle name="Note 2 7 4 5 7" xfId="29566"/>
    <cellStyle name="Note 2 7 4 5 8" xfId="29567"/>
    <cellStyle name="Note 2 7 4 6" xfId="29568"/>
    <cellStyle name="Note 2 7 4 6 2" xfId="29569"/>
    <cellStyle name="Note 2 7 4 6 3" xfId="29570"/>
    <cellStyle name="Note 2 7 4 6 4" xfId="29571"/>
    <cellStyle name="Note 2 7 4 7" xfId="29572"/>
    <cellStyle name="Note 2 7 4 7 2" xfId="29573"/>
    <cellStyle name="Note 2 7 4 7 3" xfId="29574"/>
    <cellStyle name="Note 2 7 4 7 4" xfId="29575"/>
    <cellStyle name="Note 2 7 4 8" xfId="29576"/>
    <cellStyle name="Note 2 7 4 9" xfId="29577"/>
    <cellStyle name="Note 2 7 5" xfId="29578"/>
    <cellStyle name="Note 2 7 5 2" xfId="29579"/>
    <cellStyle name="Note 2 7 5 2 2" xfId="29580"/>
    <cellStyle name="Note 2 7 5 2 3" xfId="29581"/>
    <cellStyle name="Note 2 7 5 2 4" xfId="29582"/>
    <cellStyle name="Note 2 7 5 3" xfId="29583"/>
    <cellStyle name="Note 2 7 5 3 2" xfId="29584"/>
    <cellStyle name="Note 2 7 5 3 3" xfId="29585"/>
    <cellStyle name="Note 2 7 5 3 4" xfId="29586"/>
    <cellStyle name="Note 2 7 5 4" xfId="29587"/>
    <cellStyle name="Note 2 7 5 4 2" xfId="29588"/>
    <cellStyle name="Note 2 7 5 4 3" xfId="29589"/>
    <cellStyle name="Note 2 7 5 4 4" xfId="29590"/>
    <cellStyle name="Note 2 7 5 5" xfId="29591"/>
    <cellStyle name="Note 2 7 5 6" xfId="29592"/>
    <cellStyle name="Note 2 7 5 7" xfId="29593"/>
    <cellStyle name="Note 2 7 5 8" xfId="29594"/>
    <cellStyle name="Note 2 7 6" xfId="29595"/>
    <cellStyle name="Note 2 7 6 2" xfId="29596"/>
    <cellStyle name="Note 2 7 6 2 2" xfId="29597"/>
    <cellStyle name="Note 2 7 6 2 3" xfId="29598"/>
    <cellStyle name="Note 2 7 6 2 4" xfId="29599"/>
    <cellStyle name="Note 2 7 6 3" xfId="29600"/>
    <cellStyle name="Note 2 7 6 3 2" xfId="29601"/>
    <cellStyle name="Note 2 7 6 3 3" xfId="29602"/>
    <cellStyle name="Note 2 7 6 3 4" xfId="29603"/>
    <cellStyle name="Note 2 7 6 4" xfId="29604"/>
    <cellStyle name="Note 2 7 6 4 2" xfId="29605"/>
    <cellStyle name="Note 2 7 6 4 3" xfId="29606"/>
    <cellStyle name="Note 2 7 6 4 4" xfId="29607"/>
    <cellStyle name="Note 2 7 6 5" xfId="29608"/>
    <cellStyle name="Note 2 7 6 6" xfId="29609"/>
    <cellStyle name="Note 2 7 6 7" xfId="29610"/>
    <cellStyle name="Note 2 7 6 8" xfId="29611"/>
    <cellStyle name="Note 2 7 7" xfId="29612"/>
    <cellStyle name="Note 2 7 7 2" xfId="29613"/>
    <cellStyle name="Note 2 7 7 2 2" xfId="29614"/>
    <cellStyle name="Note 2 7 7 2 3" xfId="29615"/>
    <cellStyle name="Note 2 7 7 2 4" xfId="29616"/>
    <cellStyle name="Note 2 7 7 3" xfId="29617"/>
    <cellStyle name="Note 2 7 7 3 2" xfId="29618"/>
    <cellStyle name="Note 2 7 7 3 3" xfId="29619"/>
    <cellStyle name="Note 2 7 7 3 4" xfId="29620"/>
    <cellStyle name="Note 2 7 7 4" xfId="29621"/>
    <cellStyle name="Note 2 7 7 4 2" xfId="29622"/>
    <cellStyle name="Note 2 7 7 4 3" xfId="29623"/>
    <cellStyle name="Note 2 7 7 4 4" xfId="29624"/>
    <cellStyle name="Note 2 7 7 5" xfId="29625"/>
    <cellStyle name="Note 2 7 7 6" xfId="29626"/>
    <cellStyle name="Note 2 7 7 7" xfId="29627"/>
    <cellStyle name="Note 2 7 7 8" xfId="29628"/>
    <cellStyle name="Note 2 7 8" xfId="29629"/>
    <cellStyle name="Note 2 7 8 2" xfId="29630"/>
    <cellStyle name="Note 2 7 8 2 2" xfId="29631"/>
    <cellStyle name="Note 2 7 8 2 3" xfId="29632"/>
    <cellStyle name="Note 2 7 8 2 4" xfId="29633"/>
    <cellStyle name="Note 2 7 8 3" xfId="29634"/>
    <cellStyle name="Note 2 7 8 3 2" xfId="29635"/>
    <cellStyle name="Note 2 7 8 3 3" xfId="29636"/>
    <cellStyle name="Note 2 7 8 3 4" xfId="29637"/>
    <cellStyle name="Note 2 7 8 4" xfId="29638"/>
    <cellStyle name="Note 2 7 8 4 2" xfId="29639"/>
    <cellStyle name="Note 2 7 8 4 3" xfId="29640"/>
    <cellStyle name="Note 2 7 8 4 4" xfId="29641"/>
    <cellStyle name="Note 2 7 8 5" xfId="29642"/>
    <cellStyle name="Note 2 7 8 6" xfId="29643"/>
    <cellStyle name="Note 2 7 8 7" xfId="29644"/>
    <cellStyle name="Note 2 7 8 8" xfId="29645"/>
    <cellStyle name="Note 2 7 9" xfId="29646"/>
    <cellStyle name="Note 2 7 9 2" xfId="29647"/>
    <cellStyle name="Note 2 7 9 2 2" xfId="29648"/>
    <cellStyle name="Note 2 7 9 2 3" xfId="29649"/>
    <cellStyle name="Note 2 7 9 2 4" xfId="29650"/>
    <cellStyle name="Note 2 7 9 3" xfId="29651"/>
    <cellStyle name="Note 2 7 9 3 2" xfId="29652"/>
    <cellStyle name="Note 2 7 9 3 3" xfId="29653"/>
    <cellStyle name="Note 2 7 9 3 4" xfId="29654"/>
    <cellStyle name="Note 2 7 9 4" xfId="29655"/>
    <cellStyle name="Note 2 7 9 4 2" xfId="29656"/>
    <cellStyle name="Note 2 7 9 4 3" xfId="29657"/>
    <cellStyle name="Note 2 7 9 4 4" xfId="29658"/>
    <cellStyle name="Note 2 7 9 5" xfId="29659"/>
    <cellStyle name="Note 2 7 9 6" xfId="29660"/>
    <cellStyle name="Note 2 7 9 7" xfId="29661"/>
    <cellStyle name="Note 2 7 9 8" xfId="29662"/>
    <cellStyle name="Note 2 8" xfId="29663"/>
    <cellStyle name="Note 2 8 10" xfId="29664"/>
    <cellStyle name="Note 2 8 11" xfId="29665"/>
    <cellStyle name="Note 2 8 2" xfId="29666"/>
    <cellStyle name="Note 2 8 2 2" xfId="29667"/>
    <cellStyle name="Note 2 8 2 2 2" xfId="29668"/>
    <cellStyle name="Note 2 8 2 2 2 2" xfId="29669"/>
    <cellStyle name="Note 2 8 2 2 2 3" xfId="29670"/>
    <cellStyle name="Note 2 8 2 2 2 4" xfId="29671"/>
    <cellStyle name="Note 2 8 2 2 3" xfId="29672"/>
    <cellStyle name="Note 2 8 2 2 3 2" xfId="29673"/>
    <cellStyle name="Note 2 8 2 2 3 3" xfId="29674"/>
    <cellStyle name="Note 2 8 2 2 3 4" xfId="29675"/>
    <cellStyle name="Note 2 8 2 2 4" xfId="29676"/>
    <cellStyle name="Note 2 8 2 2 4 2" xfId="29677"/>
    <cellStyle name="Note 2 8 2 2 4 3" xfId="29678"/>
    <cellStyle name="Note 2 8 2 2 4 4" xfId="29679"/>
    <cellStyle name="Note 2 8 2 2 5" xfId="29680"/>
    <cellStyle name="Note 2 8 2 2 6" xfId="29681"/>
    <cellStyle name="Note 2 8 2 2 7" xfId="29682"/>
    <cellStyle name="Note 2 8 2 2 8" xfId="29683"/>
    <cellStyle name="Note 2 8 2 3" xfId="29684"/>
    <cellStyle name="Note 2 8 2 3 2" xfId="29685"/>
    <cellStyle name="Note 2 8 2 3 2 2" xfId="29686"/>
    <cellStyle name="Note 2 8 2 3 2 3" xfId="29687"/>
    <cellStyle name="Note 2 8 2 3 2 4" xfId="29688"/>
    <cellStyle name="Note 2 8 2 3 3" xfId="29689"/>
    <cellStyle name="Note 2 8 2 3 3 2" xfId="29690"/>
    <cellStyle name="Note 2 8 2 3 3 3" xfId="29691"/>
    <cellStyle name="Note 2 8 2 3 3 4" xfId="29692"/>
    <cellStyle name="Note 2 8 2 3 4" xfId="29693"/>
    <cellStyle name="Note 2 8 2 3 4 2" xfId="29694"/>
    <cellStyle name="Note 2 8 2 3 4 3" xfId="29695"/>
    <cellStyle name="Note 2 8 2 3 4 4" xfId="29696"/>
    <cellStyle name="Note 2 8 2 3 5" xfId="29697"/>
    <cellStyle name="Note 2 8 2 3 6" xfId="29698"/>
    <cellStyle name="Note 2 8 2 3 7" xfId="29699"/>
    <cellStyle name="Note 2 8 2 3 8" xfId="29700"/>
    <cellStyle name="Note 2 8 2 4" xfId="29701"/>
    <cellStyle name="Note 2 8 2 4 2" xfId="29702"/>
    <cellStyle name="Note 2 8 2 4 2 2" xfId="29703"/>
    <cellStyle name="Note 2 8 2 4 2 3" xfId="29704"/>
    <cellStyle name="Note 2 8 2 4 2 4" xfId="29705"/>
    <cellStyle name="Note 2 8 2 4 3" xfId="29706"/>
    <cellStyle name="Note 2 8 2 4 3 2" xfId="29707"/>
    <cellStyle name="Note 2 8 2 4 3 3" xfId="29708"/>
    <cellStyle name="Note 2 8 2 4 3 4" xfId="29709"/>
    <cellStyle name="Note 2 8 2 4 4" xfId="29710"/>
    <cellStyle name="Note 2 8 2 4 4 2" xfId="29711"/>
    <cellStyle name="Note 2 8 2 4 4 3" xfId="29712"/>
    <cellStyle name="Note 2 8 2 4 4 4" xfId="29713"/>
    <cellStyle name="Note 2 8 2 4 5" xfId="29714"/>
    <cellStyle name="Note 2 8 2 4 6" xfId="29715"/>
    <cellStyle name="Note 2 8 2 4 7" xfId="29716"/>
    <cellStyle name="Note 2 8 2 4 8" xfId="29717"/>
    <cellStyle name="Note 2 8 2 5" xfId="29718"/>
    <cellStyle name="Note 2 8 2 5 2" xfId="29719"/>
    <cellStyle name="Note 2 8 2 5 2 2" xfId="29720"/>
    <cellStyle name="Note 2 8 2 5 2 3" xfId="29721"/>
    <cellStyle name="Note 2 8 2 5 2 4" xfId="29722"/>
    <cellStyle name="Note 2 8 2 5 3" xfId="29723"/>
    <cellStyle name="Note 2 8 2 5 3 2" xfId="29724"/>
    <cellStyle name="Note 2 8 2 5 3 3" xfId="29725"/>
    <cellStyle name="Note 2 8 2 5 3 4" xfId="29726"/>
    <cellStyle name="Note 2 8 2 5 4" xfId="29727"/>
    <cellStyle name="Note 2 8 2 5 4 2" xfId="29728"/>
    <cellStyle name="Note 2 8 2 5 4 3" xfId="29729"/>
    <cellStyle name="Note 2 8 2 5 4 4" xfId="29730"/>
    <cellStyle name="Note 2 8 2 5 5" xfId="29731"/>
    <cellStyle name="Note 2 8 2 5 6" xfId="29732"/>
    <cellStyle name="Note 2 8 2 5 7" xfId="29733"/>
    <cellStyle name="Note 2 8 2 5 8" xfId="29734"/>
    <cellStyle name="Note 2 8 2 6" xfId="29735"/>
    <cellStyle name="Note 2 8 2 6 2" xfId="29736"/>
    <cellStyle name="Note 2 8 2 6 3" xfId="29737"/>
    <cellStyle name="Note 2 8 2 6 4" xfId="29738"/>
    <cellStyle name="Note 2 8 2 7" xfId="29739"/>
    <cellStyle name="Note 2 8 2 7 2" xfId="29740"/>
    <cellStyle name="Note 2 8 2 7 3" xfId="29741"/>
    <cellStyle name="Note 2 8 2 7 4" xfId="29742"/>
    <cellStyle name="Note 2 8 2 8" xfId="29743"/>
    <cellStyle name="Note 2 8 2 9" xfId="29744"/>
    <cellStyle name="Note 2 8 3" xfId="29745"/>
    <cellStyle name="Note 2 8 3 2" xfId="29746"/>
    <cellStyle name="Note 2 8 3 2 2" xfId="29747"/>
    <cellStyle name="Note 2 8 3 2 3" xfId="29748"/>
    <cellStyle name="Note 2 8 3 2 4" xfId="29749"/>
    <cellStyle name="Note 2 8 3 3" xfId="29750"/>
    <cellStyle name="Note 2 8 3 3 2" xfId="29751"/>
    <cellStyle name="Note 2 8 3 3 3" xfId="29752"/>
    <cellStyle name="Note 2 8 3 3 4" xfId="29753"/>
    <cellStyle name="Note 2 8 3 4" xfId="29754"/>
    <cellStyle name="Note 2 8 3 4 2" xfId="29755"/>
    <cellStyle name="Note 2 8 3 4 3" xfId="29756"/>
    <cellStyle name="Note 2 8 3 4 4" xfId="29757"/>
    <cellStyle name="Note 2 8 3 5" xfId="29758"/>
    <cellStyle name="Note 2 8 3 6" xfId="29759"/>
    <cellStyle name="Note 2 8 3 7" xfId="29760"/>
    <cellStyle name="Note 2 8 3 8" xfId="29761"/>
    <cellStyle name="Note 2 8 4" xfId="29762"/>
    <cellStyle name="Note 2 8 4 2" xfId="29763"/>
    <cellStyle name="Note 2 8 4 2 2" xfId="29764"/>
    <cellStyle name="Note 2 8 4 2 3" xfId="29765"/>
    <cellStyle name="Note 2 8 4 2 4" xfId="29766"/>
    <cellStyle name="Note 2 8 4 3" xfId="29767"/>
    <cellStyle name="Note 2 8 4 3 2" xfId="29768"/>
    <cellStyle name="Note 2 8 4 3 3" xfId="29769"/>
    <cellStyle name="Note 2 8 4 3 4" xfId="29770"/>
    <cellStyle name="Note 2 8 4 4" xfId="29771"/>
    <cellStyle name="Note 2 8 4 4 2" xfId="29772"/>
    <cellStyle name="Note 2 8 4 4 3" xfId="29773"/>
    <cellStyle name="Note 2 8 4 4 4" xfId="29774"/>
    <cellStyle name="Note 2 8 4 5" xfId="29775"/>
    <cellStyle name="Note 2 8 4 6" xfId="29776"/>
    <cellStyle name="Note 2 8 4 7" xfId="29777"/>
    <cellStyle name="Note 2 8 4 8" xfId="29778"/>
    <cellStyle name="Note 2 8 5" xfId="29779"/>
    <cellStyle name="Note 2 8 5 2" xfId="29780"/>
    <cellStyle name="Note 2 8 5 2 2" xfId="29781"/>
    <cellStyle name="Note 2 8 5 2 3" xfId="29782"/>
    <cellStyle name="Note 2 8 5 2 4" xfId="29783"/>
    <cellStyle name="Note 2 8 5 3" xfId="29784"/>
    <cellStyle name="Note 2 8 5 3 2" xfId="29785"/>
    <cellStyle name="Note 2 8 5 3 3" xfId="29786"/>
    <cellStyle name="Note 2 8 5 3 4" xfId="29787"/>
    <cellStyle name="Note 2 8 5 4" xfId="29788"/>
    <cellStyle name="Note 2 8 5 4 2" xfId="29789"/>
    <cellStyle name="Note 2 8 5 4 3" xfId="29790"/>
    <cellStyle name="Note 2 8 5 4 4" xfId="29791"/>
    <cellStyle name="Note 2 8 5 5" xfId="29792"/>
    <cellStyle name="Note 2 8 5 6" xfId="29793"/>
    <cellStyle name="Note 2 8 5 7" xfId="29794"/>
    <cellStyle name="Note 2 8 5 8" xfId="29795"/>
    <cellStyle name="Note 2 8 6" xfId="29796"/>
    <cellStyle name="Note 2 8 6 2" xfId="29797"/>
    <cellStyle name="Note 2 8 6 2 2" xfId="29798"/>
    <cellStyle name="Note 2 8 6 2 3" xfId="29799"/>
    <cellStyle name="Note 2 8 6 2 4" xfId="29800"/>
    <cellStyle name="Note 2 8 6 3" xfId="29801"/>
    <cellStyle name="Note 2 8 6 3 2" xfId="29802"/>
    <cellStyle name="Note 2 8 6 3 3" xfId="29803"/>
    <cellStyle name="Note 2 8 6 3 4" xfId="29804"/>
    <cellStyle name="Note 2 8 6 4" xfId="29805"/>
    <cellStyle name="Note 2 8 6 4 2" xfId="29806"/>
    <cellStyle name="Note 2 8 6 4 3" xfId="29807"/>
    <cellStyle name="Note 2 8 6 4 4" xfId="29808"/>
    <cellStyle name="Note 2 8 6 5" xfId="29809"/>
    <cellStyle name="Note 2 8 6 6" xfId="29810"/>
    <cellStyle name="Note 2 8 6 7" xfId="29811"/>
    <cellStyle name="Note 2 8 6 8" xfId="29812"/>
    <cellStyle name="Note 2 8 7" xfId="29813"/>
    <cellStyle name="Note 2 8 7 2" xfId="29814"/>
    <cellStyle name="Note 2 8 7 2 2" xfId="29815"/>
    <cellStyle name="Note 2 8 7 2 3" xfId="29816"/>
    <cellStyle name="Note 2 8 7 2 4" xfId="29817"/>
    <cellStyle name="Note 2 8 7 3" xfId="29818"/>
    <cellStyle name="Note 2 8 7 3 2" xfId="29819"/>
    <cellStyle name="Note 2 8 7 3 3" xfId="29820"/>
    <cellStyle name="Note 2 8 7 3 4" xfId="29821"/>
    <cellStyle name="Note 2 8 7 4" xfId="29822"/>
    <cellStyle name="Note 2 8 7 4 2" xfId="29823"/>
    <cellStyle name="Note 2 8 7 4 3" xfId="29824"/>
    <cellStyle name="Note 2 8 7 4 4" xfId="29825"/>
    <cellStyle name="Note 2 8 7 5" xfId="29826"/>
    <cellStyle name="Note 2 8 7 6" xfId="29827"/>
    <cellStyle name="Note 2 8 7 7" xfId="29828"/>
    <cellStyle name="Note 2 8 7 8" xfId="29829"/>
    <cellStyle name="Note 2 8 8" xfId="29830"/>
    <cellStyle name="Note 2 8 8 2" xfId="29831"/>
    <cellStyle name="Note 2 8 8 3" xfId="29832"/>
    <cellStyle name="Note 2 8 8 4" xfId="29833"/>
    <cellStyle name="Note 2 8 9" xfId="29834"/>
    <cellStyle name="Note 2 8 9 2" xfId="29835"/>
    <cellStyle name="Note 2 8 9 3" xfId="29836"/>
    <cellStyle name="Note 2 8 9 4" xfId="29837"/>
    <cellStyle name="Note 2 9" xfId="29838"/>
    <cellStyle name="Note 2 9 2" xfId="29839"/>
    <cellStyle name="Note 2 9 2 2" xfId="29840"/>
    <cellStyle name="Note 2 9 2 2 2" xfId="29841"/>
    <cellStyle name="Note 2 9 2 2 3" xfId="29842"/>
    <cellStyle name="Note 2 9 2 2 4" xfId="29843"/>
    <cellStyle name="Note 2 9 2 3" xfId="29844"/>
    <cellStyle name="Note 2 9 2 3 2" xfId="29845"/>
    <cellStyle name="Note 2 9 2 3 3" xfId="29846"/>
    <cellStyle name="Note 2 9 2 3 4" xfId="29847"/>
    <cellStyle name="Note 2 9 2 4" xfId="29848"/>
    <cellStyle name="Note 2 9 2 4 2" xfId="29849"/>
    <cellStyle name="Note 2 9 2 4 3" xfId="29850"/>
    <cellStyle name="Note 2 9 2 4 4" xfId="29851"/>
    <cellStyle name="Note 2 9 2 5" xfId="29852"/>
    <cellStyle name="Note 2 9 2 6" xfId="29853"/>
    <cellStyle name="Note 2 9 2 7" xfId="29854"/>
    <cellStyle name="Note 2 9 2 8" xfId="29855"/>
    <cellStyle name="Note 2 9 3" xfId="29856"/>
    <cellStyle name="Note 2 9 3 2" xfId="29857"/>
    <cellStyle name="Note 2 9 3 2 2" xfId="29858"/>
    <cellStyle name="Note 2 9 3 2 3" xfId="29859"/>
    <cellStyle name="Note 2 9 3 2 4" xfId="29860"/>
    <cellStyle name="Note 2 9 3 3" xfId="29861"/>
    <cellStyle name="Note 2 9 3 3 2" xfId="29862"/>
    <cellStyle name="Note 2 9 3 3 3" xfId="29863"/>
    <cellStyle name="Note 2 9 3 3 4" xfId="29864"/>
    <cellStyle name="Note 2 9 3 4" xfId="29865"/>
    <cellStyle name="Note 2 9 3 4 2" xfId="29866"/>
    <cellStyle name="Note 2 9 3 4 3" xfId="29867"/>
    <cellStyle name="Note 2 9 3 4 4" xfId="29868"/>
    <cellStyle name="Note 2 9 3 5" xfId="29869"/>
    <cellStyle name="Note 2 9 3 6" xfId="29870"/>
    <cellStyle name="Note 2 9 3 7" xfId="29871"/>
    <cellStyle name="Note 2 9 3 8" xfId="29872"/>
    <cellStyle name="Note 2 9 4" xfId="29873"/>
    <cellStyle name="Note 2 9 4 2" xfId="29874"/>
    <cellStyle name="Note 2 9 4 2 2" xfId="29875"/>
    <cellStyle name="Note 2 9 4 2 3" xfId="29876"/>
    <cellStyle name="Note 2 9 4 2 4" xfId="29877"/>
    <cellStyle name="Note 2 9 4 3" xfId="29878"/>
    <cellStyle name="Note 2 9 4 3 2" xfId="29879"/>
    <cellStyle name="Note 2 9 4 3 3" xfId="29880"/>
    <cellStyle name="Note 2 9 4 3 4" xfId="29881"/>
    <cellStyle name="Note 2 9 4 4" xfId="29882"/>
    <cellStyle name="Note 2 9 4 4 2" xfId="29883"/>
    <cellStyle name="Note 2 9 4 4 3" xfId="29884"/>
    <cellStyle name="Note 2 9 4 4 4" xfId="29885"/>
    <cellStyle name="Note 2 9 4 5" xfId="29886"/>
    <cellStyle name="Note 2 9 4 6" xfId="29887"/>
    <cellStyle name="Note 2 9 4 7" xfId="29888"/>
    <cellStyle name="Note 2 9 4 8" xfId="29889"/>
    <cellStyle name="Note 2 9 5" xfId="29890"/>
    <cellStyle name="Note 2 9 5 2" xfId="29891"/>
    <cellStyle name="Note 2 9 5 2 2" xfId="29892"/>
    <cellStyle name="Note 2 9 5 2 3" xfId="29893"/>
    <cellStyle name="Note 2 9 5 2 4" xfId="29894"/>
    <cellStyle name="Note 2 9 5 3" xfId="29895"/>
    <cellStyle name="Note 2 9 5 3 2" xfId="29896"/>
    <cellStyle name="Note 2 9 5 3 3" xfId="29897"/>
    <cellStyle name="Note 2 9 5 3 4" xfId="29898"/>
    <cellStyle name="Note 2 9 5 4" xfId="29899"/>
    <cellStyle name="Note 2 9 5 4 2" xfId="29900"/>
    <cellStyle name="Note 2 9 5 4 3" xfId="29901"/>
    <cellStyle name="Note 2 9 5 4 4" xfId="29902"/>
    <cellStyle name="Note 2 9 5 5" xfId="29903"/>
    <cellStyle name="Note 2 9 5 6" xfId="29904"/>
    <cellStyle name="Note 2 9 5 7" xfId="29905"/>
    <cellStyle name="Note 2 9 5 8" xfId="29906"/>
    <cellStyle name="Note 2 9 6" xfId="29907"/>
    <cellStyle name="Note 2 9 6 2" xfId="29908"/>
    <cellStyle name="Note 2 9 6 3" xfId="29909"/>
    <cellStyle name="Note 2 9 6 4" xfId="29910"/>
    <cellStyle name="Note 2 9 7" xfId="29911"/>
    <cellStyle name="Note 2 9 7 2" xfId="29912"/>
    <cellStyle name="Note 2 9 7 3" xfId="29913"/>
    <cellStyle name="Note 2 9 7 4" xfId="29914"/>
    <cellStyle name="Note 2 9 8" xfId="29915"/>
    <cellStyle name="Note 2 9 9" xfId="29916"/>
    <cellStyle name="Note 3" xfId="29917"/>
    <cellStyle name="Note 3 10" xfId="29918"/>
    <cellStyle name="Note 3 10 2" xfId="29919"/>
    <cellStyle name="Note 3 10 2 2" xfId="29920"/>
    <cellStyle name="Note 3 10 2 2 2" xfId="29921"/>
    <cellStyle name="Note 3 10 2 2 3" xfId="29922"/>
    <cellStyle name="Note 3 10 2 2 4" xfId="29923"/>
    <cellStyle name="Note 3 10 2 3" xfId="29924"/>
    <cellStyle name="Note 3 10 2 3 2" xfId="29925"/>
    <cellStyle name="Note 3 10 2 3 3" xfId="29926"/>
    <cellStyle name="Note 3 10 2 3 4" xfId="29927"/>
    <cellStyle name="Note 3 10 2 4" xfId="29928"/>
    <cellStyle name="Note 3 10 2 4 2" xfId="29929"/>
    <cellStyle name="Note 3 10 2 4 3" xfId="29930"/>
    <cellStyle name="Note 3 10 2 4 4" xfId="29931"/>
    <cellStyle name="Note 3 10 2 5" xfId="29932"/>
    <cellStyle name="Note 3 10 2 6" xfId="29933"/>
    <cellStyle name="Note 3 10 2 7" xfId="29934"/>
    <cellStyle name="Note 3 10 2 8" xfId="29935"/>
    <cellStyle name="Note 3 10 3" xfId="29936"/>
    <cellStyle name="Note 3 10 3 2" xfId="29937"/>
    <cellStyle name="Note 3 10 3 2 2" xfId="29938"/>
    <cellStyle name="Note 3 10 3 2 3" xfId="29939"/>
    <cellStyle name="Note 3 10 3 2 4" xfId="29940"/>
    <cellStyle name="Note 3 10 3 3" xfId="29941"/>
    <cellStyle name="Note 3 10 3 3 2" xfId="29942"/>
    <cellStyle name="Note 3 10 3 3 3" xfId="29943"/>
    <cellStyle name="Note 3 10 3 3 4" xfId="29944"/>
    <cellStyle name="Note 3 10 3 4" xfId="29945"/>
    <cellStyle name="Note 3 10 3 4 2" xfId="29946"/>
    <cellStyle name="Note 3 10 3 4 3" xfId="29947"/>
    <cellStyle name="Note 3 10 3 4 4" xfId="29948"/>
    <cellStyle name="Note 3 10 3 5" xfId="29949"/>
    <cellStyle name="Note 3 10 3 6" xfId="29950"/>
    <cellStyle name="Note 3 10 3 7" xfId="29951"/>
    <cellStyle name="Note 3 10 3 8" xfId="29952"/>
    <cellStyle name="Note 3 10 4" xfId="29953"/>
    <cellStyle name="Note 3 10 4 2" xfId="29954"/>
    <cellStyle name="Note 3 10 4 2 2" xfId="29955"/>
    <cellStyle name="Note 3 10 4 2 3" xfId="29956"/>
    <cellStyle name="Note 3 10 4 2 4" xfId="29957"/>
    <cellStyle name="Note 3 10 4 3" xfId="29958"/>
    <cellStyle name="Note 3 10 4 3 2" xfId="29959"/>
    <cellStyle name="Note 3 10 4 3 3" xfId="29960"/>
    <cellStyle name="Note 3 10 4 3 4" xfId="29961"/>
    <cellStyle name="Note 3 10 4 4" xfId="29962"/>
    <cellStyle name="Note 3 10 4 4 2" xfId="29963"/>
    <cellStyle name="Note 3 10 4 4 3" xfId="29964"/>
    <cellStyle name="Note 3 10 4 4 4" xfId="29965"/>
    <cellStyle name="Note 3 10 4 5" xfId="29966"/>
    <cellStyle name="Note 3 10 4 6" xfId="29967"/>
    <cellStyle name="Note 3 10 4 7" xfId="29968"/>
    <cellStyle name="Note 3 10 4 8" xfId="29969"/>
    <cellStyle name="Note 3 10 5" xfId="29970"/>
    <cellStyle name="Note 3 10 5 2" xfId="29971"/>
    <cellStyle name="Note 3 10 5 2 2" xfId="29972"/>
    <cellStyle name="Note 3 10 5 2 3" xfId="29973"/>
    <cellStyle name="Note 3 10 5 2 4" xfId="29974"/>
    <cellStyle name="Note 3 10 5 3" xfId="29975"/>
    <cellStyle name="Note 3 10 5 3 2" xfId="29976"/>
    <cellStyle name="Note 3 10 5 3 3" xfId="29977"/>
    <cellStyle name="Note 3 10 5 3 4" xfId="29978"/>
    <cellStyle name="Note 3 10 5 4" xfId="29979"/>
    <cellStyle name="Note 3 10 5 4 2" xfId="29980"/>
    <cellStyle name="Note 3 10 5 4 3" xfId="29981"/>
    <cellStyle name="Note 3 10 5 4 4" xfId="29982"/>
    <cellStyle name="Note 3 10 5 5" xfId="29983"/>
    <cellStyle name="Note 3 10 5 6" xfId="29984"/>
    <cellStyle name="Note 3 10 5 7" xfId="29985"/>
    <cellStyle name="Note 3 10 5 8" xfId="29986"/>
    <cellStyle name="Note 3 10 6" xfId="29987"/>
    <cellStyle name="Note 3 10 6 2" xfId="29988"/>
    <cellStyle name="Note 3 10 6 3" xfId="29989"/>
    <cellStyle name="Note 3 10 6 4" xfId="29990"/>
    <cellStyle name="Note 3 10 7" xfId="29991"/>
    <cellStyle name="Note 3 10 7 2" xfId="29992"/>
    <cellStyle name="Note 3 10 7 3" xfId="29993"/>
    <cellStyle name="Note 3 10 7 4" xfId="29994"/>
    <cellStyle name="Note 3 10 8" xfId="29995"/>
    <cellStyle name="Note 3 10 9" xfId="29996"/>
    <cellStyle name="Note 3 11" xfId="29997"/>
    <cellStyle name="Note 3 11 2" xfId="29998"/>
    <cellStyle name="Note 3 11 2 2" xfId="29999"/>
    <cellStyle name="Note 3 11 2 3" xfId="30000"/>
    <cellStyle name="Note 3 11 2 4" xfId="30001"/>
    <cellStyle name="Note 3 11 3" xfId="30002"/>
    <cellStyle name="Note 3 11 3 2" xfId="30003"/>
    <cellStyle name="Note 3 11 3 3" xfId="30004"/>
    <cellStyle name="Note 3 11 3 4" xfId="30005"/>
    <cellStyle name="Note 3 11 4" xfId="30006"/>
    <cellStyle name="Note 3 11 4 2" xfId="30007"/>
    <cellStyle name="Note 3 11 4 3" xfId="30008"/>
    <cellStyle name="Note 3 11 4 4" xfId="30009"/>
    <cellStyle name="Note 3 11 5" xfId="30010"/>
    <cellStyle name="Note 3 11 6" xfId="30011"/>
    <cellStyle name="Note 3 11 7" xfId="30012"/>
    <cellStyle name="Note 3 11 8" xfId="30013"/>
    <cellStyle name="Note 3 12" xfId="30014"/>
    <cellStyle name="Note 3 12 2" xfId="30015"/>
    <cellStyle name="Note 3 12 2 2" xfId="30016"/>
    <cellStyle name="Note 3 12 2 3" xfId="30017"/>
    <cellStyle name="Note 3 12 2 4" xfId="30018"/>
    <cellStyle name="Note 3 12 3" xfId="30019"/>
    <cellStyle name="Note 3 12 3 2" xfId="30020"/>
    <cellStyle name="Note 3 12 3 3" xfId="30021"/>
    <cellStyle name="Note 3 12 3 4" xfId="30022"/>
    <cellStyle name="Note 3 12 4" xfId="30023"/>
    <cellStyle name="Note 3 12 4 2" xfId="30024"/>
    <cellStyle name="Note 3 12 4 3" xfId="30025"/>
    <cellStyle name="Note 3 12 4 4" xfId="30026"/>
    <cellStyle name="Note 3 12 5" xfId="30027"/>
    <cellStyle name="Note 3 12 6" xfId="30028"/>
    <cellStyle name="Note 3 12 7" xfId="30029"/>
    <cellStyle name="Note 3 12 8" xfId="30030"/>
    <cellStyle name="Note 3 13" xfId="30031"/>
    <cellStyle name="Note 3 13 2" xfId="30032"/>
    <cellStyle name="Note 3 13 2 2" xfId="30033"/>
    <cellStyle name="Note 3 13 2 3" xfId="30034"/>
    <cellStyle name="Note 3 13 2 4" xfId="30035"/>
    <cellStyle name="Note 3 13 3" xfId="30036"/>
    <cellStyle name="Note 3 13 3 2" xfId="30037"/>
    <cellStyle name="Note 3 13 3 3" xfId="30038"/>
    <cellStyle name="Note 3 13 3 4" xfId="30039"/>
    <cellStyle name="Note 3 13 4" xfId="30040"/>
    <cellStyle name="Note 3 13 4 2" xfId="30041"/>
    <cellStyle name="Note 3 13 4 3" xfId="30042"/>
    <cellStyle name="Note 3 13 4 4" xfId="30043"/>
    <cellStyle name="Note 3 13 5" xfId="30044"/>
    <cellStyle name="Note 3 13 6" xfId="30045"/>
    <cellStyle name="Note 3 13 7" xfId="30046"/>
    <cellStyle name="Note 3 13 8" xfId="30047"/>
    <cellStyle name="Note 3 14" xfId="30048"/>
    <cellStyle name="Note 3 14 2" xfId="30049"/>
    <cellStyle name="Note 3 14 2 2" xfId="30050"/>
    <cellStyle name="Note 3 14 2 3" xfId="30051"/>
    <cellStyle name="Note 3 14 2 4" xfId="30052"/>
    <cellStyle name="Note 3 14 3" xfId="30053"/>
    <cellStyle name="Note 3 14 3 2" xfId="30054"/>
    <cellStyle name="Note 3 14 3 3" xfId="30055"/>
    <cellStyle name="Note 3 14 3 4" xfId="30056"/>
    <cellStyle name="Note 3 14 4" xfId="30057"/>
    <cellStyle name="Note 3 14 4 2" xfId="30058"/>
    <cellStyle name="Note 3 14 4 3" xfId="30059"/>
    <cellStyle name="Note 3 14 4 4" xfId="30060"/>
    <cellStyle name="Note 3 14 5" xfId="30061"/>
    <cellStyle name="Note 3 14 6" xfId="30062"/>
    <cellStyle name="Note 3 14 7" xfId="30063"/>
    <cellStyle name="Note 3 14 8" xfId="30064"/>
    <cellStyle name="Note 3 15" xfId="30065"/>
    <cellStyle name="Note 3 15 2" xfId="30066"/>
    <cellStyle name="Note 3 15 2 2" xfId="30067"/>
    <cellStyle name="Note 3 15 2 3" xfId="30068"/>
    <cellStyle name="Note 3 15 2 4" xfId="30069"/>
    <cellStyle name="Note 3 15 3" xfId="30070"/>
    <cellStyle name="Note 3 15 3 2" xfId="30071"/>
    <cellStyle name="Note 3 15 3 3" xfId="30072"/>
    <cellStyle name="Note 3 15 3 4" xfId="30073"/>
    <cellStyle name="Note 3 15 4" xfId="30074"/>
    <cellStyle name="Note 3 15 4 2" xfId="30075"/>
    <cellStyle name="Note 3 15 4 3" xfId="30076"/>
    <cellStyle name="Note 3 15 4 4" xfId="30077"/>
    <cellStyle name="Note 3 15 5" xfId="30078"/>
    <cellStyle name="Note 3 15 6" xfId="30079"/>
    <cellStyle name="Note 3 15 7" xfId="30080"/>
    <cellStyle name="Note 3 15 8" xfId="30081"/>
    <cellStyle name="Note 3 16" xfId="30082"/>
    <cellStyle name="Note 3 16 2" xfId="30083"/>
    <cellStyle name="Note 3 16 3" xfId="30084"/>
    <cellStyle name="Note 3 16 4" xfId="30085"/>
    <cellStyle name="Note 3 17" xfId="30086"/>
    <cellStyle name="Note 3 17 2" xfId="30087"/>
    <cellStyle name="Note 3 17 3" xfId="30088"/>
    <cellStyle name="Note 3 17 4" xfId="30089"/>
    <cellStyle name="Note 3 18" xfId="30090"/>
    <cellStyle name="Note 3 19" xfId="30091"/>
    <cellStyle name="Note 3 2" xfId="30092"/>
    <cellStyle name="Note 3 2 10" xfId="30093"/>
    <cellStyle name="Note 3 2 10 2" xfId="30094"/>
    <cellStyle name="Note 3 2 10 2 2" xfId="30095"/>
    <cellStyle name="Note 3 2 10 2 3" xfId="30096"/>
    <cellStyle name="Note 3 2 10 2 4" xfId="30097"/>
    <cellStyle name="Note 3 2 10 3" xfId="30098"/>
    <cellStyle name="Note 3 2 10 3 2" xfId="30099"/>
    <cellStyle name="Note 3 2 10 3 3" xfId="30100"/>
    <cellStyle name="Note 3 2 10 3 4" xfId="30101"/>
    <cellStyle name="Note 3 2 10 4" xfId="30102"/>
    <cellStyle name="Note 3 2 10 4 2" xfId="30103"/>
    <cellStyle name="Note 3 2 10 4 3" xfId="30104"/>
    <cellStyle name="Note 3 2 10 4 4" xfId="30105"/>
    <cellStyle name="Note 3 2 10 5" xfId="30106"/>
    <cellStyle name="Note 3 2 10 6" xfId="30107"/>
    <cellStyle name="Note 3 2 10 7" xfId="30108"/>
    <cellStyle name="Note 3 2 10 8" xfId="30109"/>
    <cellStyle name="Note 3 2 11" xfId="30110"/>
    <cellStyle name="Note 3 2 11 2" xfId="30111"/>
    <cellStyle name="Note 3 2 11 2 2" xfId="30112"/>
    <cellStyle name="Note 3 2 11 2 3" xfId="30113"/>
    <cellStyle name="Note 3 2 11 2 4" xfId="30114"/>
    <cellStyle name="Note 3 2 11 3" xfId="30115"/>
    <cellStyle name="Note 3 2 11 3 2" xfId="30116"/>
    <cellStyle name="Note 3 2 11 3 3" xfId="30117"/>
    <cellStyle name="Note 3 2 11 3 4" xfId="30118"/>
    <cellStyle name="Note 3 2 11 4" xfId="30119"/>
    <cellStyle name="Note 3 2 11 4 2" xfId="30120"/>
    <cellStyle name="Note 3 2 11 4 3" xfId="30121"/>
    <cellStyle name="Note 3 2 11 4 4" xfId="30122"/>
    <cellStyle name="Note 3 2 11 5" xfId="30123"/>
    <cellStyle name="Note 3 2 11 6" xfId="30124"/>
    <cellStyle name="Note 3 2 11 7" xfId="30125"/>
    <cellStyle name="Note 3 2 11 8" xfId="30126"/>
    <cellStyle name="Note 3 2 12" xfId="30127"/>
    <cellStyle name="Note 3 2 12 2" xfId="30128"/>
    <cellStyle name="Note 3 2 12 3" xfId="30129"/>
    <cellStyle name="Note 3 2 12 4" xfId="30130"/>
    <cellStyle name="Note 3 2 13" xfId="30131"/>
    <cellStyle name="Note 3 2 13 2" xfId="30132"/>
    <cellStyle name="Note 3 2 13 3" xfId="30133"/>
    <cellStyle name="Note 3 2 13 4" xfId="30134"/>
    <cellStyle name="Note 3 2 14" xfId="30135"/>
    <cellStyle name="Note 3 2 15" xfId="30136"/>
    <cellStyle name="Note 3 2 2" xfId="30137"/>
    <cellStyle name="Note 3 2 2 10" xfId="30138"/>
    <cellStyle name="Note 3 2 2 10 2" xfId="30139"/>
    <cellStyle name="Note 3 2 2 10 2 2" xfId="30140"/>
    <cellStyle name="Note 3 2 2 10 2 3" xfId="30141"/>
    <cellStyle name="Note 3 2 2 10 2 4" xfId="30142"/>
    <cellStyle name="Note 3 2 2 10 3" xfId="30143"/>
    <cellStyle name="Note 3 2 2 10 3 2" xfId="30144"/>
    <cellStyle name="Note 3 2 2 10 3 3" xfId="30145"/>
    <cellStyle name="Note 3 2 2 10 3 4" xfId="30146"/>
    <cellStyle name="Note 3 2 2 10 4" xfId="30147"/>
    <cellStyle name="Note 3 2 2 10 4 2" xfId="30148"/>
    <cellStyle name="Note 3 2 2 10 4 3" xfId="30149"/>
    <cellStyle name="Note 3 2 2 10 4 4" xfId="30150"/>
    <cellStyle name="Note 3 2 2 10 5" xfId="30151"/>
    <cellStyle name="Note 3 2 2 10 6" xfId="30152"/>
    <cellStyle name="Note 3 2 2 10 7" xfId="30153"/>
    <cellStyle name="Note 3 2 2 10 8" xfId="30154"/>
    <cellStyle name="Note 3 2 2 11" xfId="30155"/>
    <cellStyle name="Note 3 2 2 11 2" xfId="30156"/>
    <cellStyle name="Note 3 2 2 11 3" xfId="30157"/>
    <cellStyle name="Note 3 2 2 11 4" xfId="30158"/>
    <cellStyle name="Note 3 2 2 12" xfId="30159"/>
    <cellStyle name="Note 3 2 2 12 2" xfId="30160"/>
    <cellStyle name="Note 3 2 2 12 3" xfId="30161"/>
    <cellStyle name="Note 3 2 2 12 4" xfId="30162"/>
    <cellStyle name="Note 3 2 2 13" xfId="30163"/>
    <cellStyle name="Note 3 2 2 14" xfId="30164"/>
    <cellStyle name="Note 3 2 2 2" xfId="30165"/>
    <cellStyle name="Note 3 2 2 2 10" xfId="30166"/>
    <cellStyle name="Note 3 2 2 2 10 2" xfId="30167"/>
    <cellStyle name="Note 3 2 2 2 10 3" xfId="30168"/>
    <cellStyle name="Note 3 2 2 2 10 4" xfId="30169"/>
    <cellStyle name="Note 3 2 2 2 11" xfId="30170"/>
    <cellStyle name="Note 3 2 2 2 11 2" xfId="30171"/>
    <cellStyle name="Note 3 2 2 2 11 3" xfId="30172"/>
    <cellStyle name="Note 3 2 2 2 11 4" xfId="30173"/>
    <cellStyle name="Note 3 2 2 2 12" xfId="30174"/>
    <cellStyle name="Note 3 2 2 2 13" xfId="30175"/>
    <cellStyle name="Note 3 2 2 2 2" xfId="30176"/>
    <cellStyle name="Note 3 2 2 2 2 10" xfId="30177"/>
    <cellStyle name="Note 3 2 2 2 2 10 2" xfId="30178"/>
    <cellStyle name="Note 3 2 2 2 2 10 3" xfId="30179"/>
    <cellStyle name="Note 3 2 2 2 2 10 4" xfId="30180"/>
    <cellStyle name="Note 3 2 2 2 2 11" xfId="30181"/>
    <cellStyle name="Note 3 2 2 2 2 12" xfId="30182"/>
    <cellStyle name="Note 3 2 2 2 2 2" xfId="30183"/>
    <cellStyle name="Note 3 2 2 2 2 2 10" xfId="30184"/>
    <cellStyle name="Note 3 2 2 2 2 2 11" xfId="30185"/>
    <cellStyle name="Note 3 2 2 2 2 2 2" xfId="30186"/>
    <cellStyle name="Note 3 2 2 2 2 2 2 2" xfId="30187"/>
    <cellStyle name="Note 3 2 2 2 2 2 2 2 2" xfId="30188"/>
    <cellStyle name="Note 3 2 2 2 2 2 2 2 2 2" xfId="30189"/>
    <cellStyle name="Note 3 2 2 2 2 2 2 2 2 3" xfId="30190"/>
    <cellStyle name="Note 3 2 2 2 2 2 2 2 2 4" xfId="30191"/>
    <cellStyle name="Note 3 2 2 2 2 2 2 2 3" xfId="30192"/>
    <cellStyle name="Note 3 2 2 2 2 2 2 2 3 2" xfId="30193"/>
    <cellStyle name="Note 3 2 2 2 2 2 2 2 3 3" xfId="30194"/>
    <cellStyle name="Note 3 2 2 2 2 2 2 2 3 4" xfId="30195"/>
    <cellStyle name="Note 3 2 2 2 2 2 2 2 4" xfId="30196"/>
    <cellStyle name="Note 3 2 2 2 2 2 2 2 4 2" xfId="30197"/>
    <cellStyle name="Note 3 2 2 2 2 2 2 2 4 3" xfId="30198"/>
    <cellStyle name="Note 3 2 2 2 2 2 2 2 4 4" xfId="30199"/>
    <cellStyle name="Note 3 2 2 2 2 2 2 2 5" xfId="30200"/>
    <cellStyle name="Note 3 2 2 2 2 2 2 2 6" xfId="30201"/>
    <cellStyle name="Note 3 2 2 2 2 2 2 2 7" xfId="30202"/>
    <cellStyle name="Note 3 2 2 2 2 2 2 2 8" xfId="30203"/>
    <cellStyle name="Note 3 2 2 2 2 2 2 3" xfId="30204"/>
    <cellStyle name="Note 3 2 2 2 2 2 2 3 2" xfId="30205"/>
    <cellStyle name="Note 3 2 2 2 2 2 2 3 2 2" xfId="30206"/>
    <cellStyle name="Note 3 2 2 2 2 2 2 3 2 3" xfId="30207"/>
    <cellStyle name="Note 3 2 2 2 2 2 2 3 2 4" xfId="30208"/>
    <cellStyle name="Note 3 2 2 2 2 2 2 3 3" xfId="30209"/>
    <cellStyle name="Note 3 2 2 2 2 2 2 3 3 2" xfId="30210"/>
    <cellStyle name="Note 3 2 2 2 2 2 2 3 3 3" xfId="30211"/>
    <cellStyle name="Note 3 2 2 2 2 2 2 3 3 4" xfId="30212"/>
    <cellStyle name="Note 3 2 2 2 2 2 2 3 4" xfId="30213"/>
    <cellStyle name="Note 3 2 2 2 2 2 2 3 4 2" xfId="30214"/>
    <cellStyle name="Note 3 2 2 2 2 2 2 3 4 3" xfId="30215"/>
    <cellStyle name="Note 3 2 2 2 2 2 2 3 4 4" xfId="30216"/>
    <cellStyle name="Note 3 2 2 2 2 2 2 3 5" xfId="30217"/>
    <cellStyle name="Note 3 2 2 2 2 2 2 3 6" xfId="30218"/>
    <cellStyle name="Note 3 2 2 2 2 2 2 3 7" xfId="30219"/>
    <cellStyle name="Note 3 2 2 2 2 2 2 3 8" xfId="30220"/>
    <cellStyle name="Note 3 2 2 2 2 2 2 4" xfId="30221"/>
    <cellStyle name="Note 3 2 2 2 2 2 2 4 2" xfId="30222"/>
    <cellStyle name="Note 3 2 2 2 2 2 2 4 2 2" xfId="30223"/>
    <cellStyle name="Note 3 2 2 2 2 2 2 4 2 3" xfId="30224"/>
    <cellStyle name="Note 3 2 2 2 2 2 2 4 2 4" xfId="30225"/>
    <cellStyle name="Note 3 2 2 2 2 2 2 4 3" xfId="30226"/>
    <cellStyle name="Note 3 2 2 2 2 2 2 4 3 2" xfId="30227"/>
    <cellStyle name="Note 3 2 2 2 2 2 2 4 3 3" xfId="30228"/>
    <cellStyle name="Note 3 2 2 2 2 2 2 4 3 4" xfId="30229"/>
    <cellStyle name="Note 3 2 2 2 2 2 2 4 4" xfId="30230"/>
    <cellStyle name="Note 3 2 2 2 2 2 2 4 4 2" xfId="30231"/>
    <cellStyle name="Note 3 2 2 2 2 2 2 4 4 3" xfId="30232"/>
    <cellStyle name="Note 3 2 2 2 2 2 2 4 4 4" xfId="30233"/>
    <cellStyle name="Note 3 2 2 2 2 2 2 4 5" xfId="30234"/>
    <cellStyle name="Note 3 2 2 2 2 2 2 4 6" xfId="30235"/>
    <cellStyle name="Note 3 2 2 2 2 2 2 4 7" xfId="30236"/>
    <cellStyle name="Note 3 2 2 2 2 2 2 4 8" xfId="30237"/>
    <cellStyle name="Note 3 2 2 2 2 2 2 5" xfId="30238"/>
    <cellStyle name="Note 3 2 2 2 2 2 2 5 2" xfId="30239"/>
    <cellStyle name="Note 3 2 2 2 2 2 2 5 2 2" xfId="30240"/>
    <cellStyle name="Note 3 2 2 2 2 2 2 5 2 3" xfId="30241"/>
    <cellStyle name="Note 3 2 2 2 2 2 2 5 2 4" xfId="30242"/>
    <cellStyle name="Note 3 2 2 2 2 2 2 5 3" xfId="30243"/>
    <cellStyle name="Note 3 2 2 2 2 2 2 5 3 2" xfId="30244"/>
    <cellStyle name="Note 3 2 2 2 2 2 2 5 3 3" xfId="30245"/>
    <cellStyle name="Note 3 2 2 2 2 2 2 5 3 4" xfId="30246"/>
    <cellStyle name="Note 3 2 2 2 2 2 2 5 4" xfId="30247"/>
    <cellStyle name="Note 3 2 2 2 2 2 2 5 4 2" xfId="30248"/>
    <cellStyle name="Note 3 2 2 2 2 2 2 5 4 3" xfId="30249"/>
    <cellStyle name="Note 3 2 2 2 2 2 2 5 4 4" xfId="30250"/>
    <cellStyle name="Note 3 2 2 2 2 2 2 5 5" xfId="30251"/>
    <cellStyle name="Note 3 2 2 2 2 2 2 5 6" xfId="30252"/>
    <cellStyle name="Note 3 2 2 2 2 2 2 5 7" xfId="30253"/>
    <cellStyle name="Note 3 2 2 2 2 2 2 5 8" xfId="30254"/>
    <cellStyle name="Note 3 2 2 2 2 2 2 6" xfId="30255"/>
    <cellStyle name="Note 3 2 2 2 2 2 2 6 2" xfId="30256"/>
    <cellStyle name="Note 3 2 2 2 2 2 2 6 3" xfId="30257"/>
    <cellStyle name="Note 3 2 2 2 2 2 2 6 4" xfId="30258"/>
    <cellStyle name="Note 3 2 2 2 2 2 2 7" xfId="30259"/>
    <cellStyle name="Note 3 2 2 2 2 2 2 7 2" xfId="30260"/>
    <cellStyle name="Note 3 2 2 2 2 2 2 7 3" xfId="30261"/>
    <cellStyle name="Note 3 2 2 2 2 2 2 7 4" xfId="30262"/>
    <cellStyle name="Note 3 2 2 2 2 2 2 8" xfId="30263"/>
    <cellStyle name="Note 3 2 2 2 2 2 2 9" xfId="30264"/>
    <cellStyle name="Note 3 2 2 2 2 2 3" xfId="30265"/>
    <cellStyle name="Note 3 2 2 2 2 2 3 2" xfId="30266"/>
    <cellStyle name="Note 3 2 2 2 2 2 3 2 2" xfId="30267"/>
    <cellStyle name="Note 3 2 2 2 2 2 3 2 3" xfId="30268"/>
    <cellStyle name="Note 3 2 2 2 2 2 3 2 4" xfId="30269"/>
    <cellStyle name="Note 3 2 2 2 2 2 3 3" xfId="30270"/>
    <cellStyle name="Note 3 2 2 2 2 2 3 3 2" xfId="30271"/>
    <cellStyle name="Note 3 2 2 2 2 2 3 3 3" xfId="30272"/>
    <cellStyle name="Note 3 2 2 2 2 2 3 3 4" xfId="30273"/>
    <cellStyle name="Note 3 2 2 2 2 2 3 4" xfId="30274"/>
    <cellStyle name="Note 3 2 2 2 2 2 3 4 2" xfId="30275"/>
    <cellStyle name="Note 3 2 2 2 2 2 3 4 3" xfId="30276"/>
    <cellStyle name="Note 3 2 2 2 2 2 3 4 4" xfId="30277"/>
    <cellStyle name="Note 3 2 2 2 2 2 3 5" xfId="30278"/>
    <cellStyle name="Note 3 2 2 2 2 2 3 6" xfId="30279"/>
    <cellStyle name="Note 3 2 2 2 2 2 3 7" xfId="30280"/>
    <cellStyle name="Note 3 2 2 2 2 2 3 8" xfId="30281"/>
    <cellStyle name="Note 3 2 2 2 2 2 4" xfId="30282"/>
    <cellStyle name="Note 3 2 2 2 2 2 4 2" xfId="30283"/>
    <cellStyle name="Note 3 2 2 2 2 2 4 2 2" xfId="30284"/>
    <cellStyle name="Note 3 2 2 2 2 2 4 2 3" xfId="30285"/>
    <cellStyle name="Note 3 2 2 2 2 2 4 2 4" xfId="30286"/>
    <cellStyle name="Note 3 2 2 2 2 2 4 3" xfId="30287"/>
    <cellStyle name="Note 3 2 2 2 2 2 4 3 2" xfId="30288"/>
    <cellStyle name="Note 3 2 2 2 2 2 4 3 3" xfId="30289"/>
    <cellStyle name="Note 3 2 2 2 2 2 4 3 4" xfId="30290"/>
    <cellStyle name="Note 3 2 2 2 2 2 4 4" xfId="30291"/>
    <cellStyle name="Note 3 2 2 2 2 2 4 4 2" xfId="30292"/>
    <cellStyle name="Note 3 2 2 2 2 2 4 4 3" xfId="30293"/>
    <cellStyle name="Note 3 2 2 2 2 2 4 4 4" xfId="30294"/>
    <cellStyle name="Note 3 2 2 2 2 2 4 5" xfId="30295"/>
    <cellStyle name="Note 3 2 2 2 2 2 4 6" xfId="30296"/>
    <cellStyle name="Note 3 2 2 2 2 2 4 7" xfId="30297"/>
    <cellStyle name="Note 3 2 2 2 2 2 4 8" xfId="30298"/>
    <cellStyle name="Note 3 2 2 2 2 2 5" xfId="30299"/>
    <cellStyle name="Note 3 2 2 2 2 2 5 2" xfId="30300"/>
    <cellStyle name="Note 3 2 2 2 2 2 5 2 2" xfId="30301"/>
    <cellStyle name="Note 3 2 2 2 2 2 5 2 3" xfId="30302"/>
    <cellStyle name="Note 3 2 2 2 2 2 5 2 4" xfId="30303"/>
    <cellStyle name="Note 3 2 2 2 2 2 5 3" xfId="30304"/>
    <cellStyle name="Note 3 2 2 2 2 2 5 3 2" xfId="30305"/>
    <cellStyle name="Note 3 2 2 2 2 2 5 3 3" xfId="30306"/>
    <cellStyle name="Note 3 2 2 2 2 2 5 3 4" xfId="30307"/>
    <cellStyle name="Note 3 2 2 2 2 2 5 4" xfId="30308"/>
    <cellStyle name="Note 3 2 2 2 2 2 5 4 2" xfId="30309"/>
    <cellStyle name="Note 3 2 2 2 2 2 5 4 3" xfId="30310"/>
    <cellStyle name="Note 3 2 2 2 2 2 5 4 4" xfId="30311"/>
    <cellStyle name="Note 3 2 2 2 2 2 5 5" xfId="30312"/>
    <cellStyle name="Note 3 2 2 2 2 2 5 6" xfId="30313"/>
    <cellStyle name="Note 3 2 2 2 2 2 5 7" xfId="30314"/>
    <cellStyle name="Note 3 2 2 2 2 2 5 8" xfId="30315"/>
    <cellStyle name="Note 3 2 2 2 2 2 6" xfId="30316"/>
    <cellStyle name="Note 3 2 2 2 2 2 6 2" xfId="30317"/>
    <cellStyle name="Note 3 2 2 2 2 2 6 2 2" xfId="30318"/>
    <cellStyle name="Note 3 2 2 2 2 2 6 2 3" xfId="30319"/>
    <cellStyle name="Note 3 2 2 2 2 2 6 2 4" xfId="30320"/>
    <cellStyle name="Note 3 2 2 2 2 2 6 3" xfId="30321"/>
    <cellStyle name="Note 3 2 2 2 2 2 6 3 2" xfId="30322"/>
    <cellStyle name="Note 3 2 2 2 2 2 6 3 3" xfId="30323"/>
    <cellStyle name="Note 3 2 2 2 2 2 6 3 4" xfId="30324"/>
    <cellStyle name="Note 3 2 2 2 2 2 6 4" xfId="30325"/>
    <cellStyle name="Note 3 2 2 2 2 2 6 4 2" xfId="30326"/>
    <cellStyle name="Note 3 2 2 2 2 2 6 4 3" xfId="30327"/>
    <cellStyle name="Note 3 2 2 2 2 2 6 4 4" xfId="30328"/>
    <cellStyle name="Note 3 2 2 2 2 2 6 5" xfId="30329"/>
    <cellStyle name="Note 3 2 2 2 2 2 6 6" xfId="30330"/>
    <cellStyle name="Note 3 2 2 2 2 2 6 7" xfId="30331"/>
    <cellStyle name="Note 3 2 2 2 2 2 6 8" xfId="30332"/>
    <cellStyle name="Note 3 2 2 2 2 2 7" xfId="30333"/>
    <cellStyle name="Note 3 2 2 2 2 2 7 2" xfId="30334"/>
    <cellStyle name="Note 3 2 2 2 2 2 7 2 2" xfId="30335"/>
    <cellStyle name="Note 3 2 2 2 2 2 7 2 3" xfId="30336"/>
    <cellStyle name="Note 3 2 2 2 2 2 7 2 4" xfId="30337"/>
    <cellStyle name="Note 3 2 2 2 2 2 7 3" xfId="30338"/>
    <cellStyle name="Note 3 2 2 2 2 2 7 3 2" xfId="30339"/>
    <cellStyle name="Note 3 2 2 2 2 2 7 3 3" xfId="30340"/>
    <cellStyle name="Note 3 2 2 2 2 2 7 3 4" xfId="30341"/>
    <cellStyle name="Note 3 2 2 2 2 2 7 4" xfId="30342"/>
    <cellStyle name="Note 3 2 2 2 2 2 7 4 2" xfId="30343"/>
    <cellStyle name="Note 3 2 2 2 2 2 7 4 3" xfId="30344"/>
    <cellStyle name="Note 3 2 2 2 2 2 7 4 4" xfId="30345"/>
    <cellStyle name="Note 3 2 2 2 2 2 7 5" xfId="30346"/>
    <cellStyle name="Note 3 2 2 2 2 2 7 6" xfId="30347"/>
    <cellStyle name="Note 3 2 2 2 2 2 7 7" xfId="30348"/>
    <cellStyle name="Note 3 2 2 2 2 2 7 8" xfId="30349"/>
    <cellStyle name="Note 3 2 2 2 2 2 8" xfId="30350"/>
    <cellStyle name="Note 3 2 2 2 2 2 8 2" xfId="30351"/>
    <cellStyle name="Note 3 2 2 2 2 2 8 3" xfId="30352"/>
    <cellStyle name="Note 3 2 2 2 2 2 8 4" xfId="30353"/>
    <cellStyle name="Note 3 2 2 2 2 2 9" xfId="30354"/>
    <cellStyle name="Note 3 2 2 2 2 2 9 2" xfId="30355"/>
    <cellStyle name="Note 3 2 2 2 2 2 9 3" xfId="30356"/>
    <cellStyle name="Note 3 2 2 2 2 2 9 4" xfId="30357"/>
    <cellStyle name="Note 3 2 2 2 2 3" xfId="30358"/>
    <cellStyle name="Note 3 2 2 2 2 3 2" xfId="30359"/>
    <cellStyle name="Note 3 2 2 2 2 3 2 2" xfId="30360"/>
    <cellStyle name="Note 3 2 2 2 2 3 2 2 2" xfId="30361"/>
    <cellStyle name="Note 3 2 2 2 2 3 2 2 3" xfId="30362"/>
    <cellStyle name="Note 3 2 2 2 2 3 2 2 4" xfId="30363"/>
    <cellStyle name="Note 3 2 2 2 2 3 2 3" xfId="30364"/>
    <cellStyle name="Note 3 2 2 2 2 3 2 3 2" xfId="30365"/>
    <cellStyle name="Note 3 2 2 2 2 3 2 3 3" xfId="30366"/>
    <cellStyle name="Note 3 2 2 2 2 3 2 3 4" xfId="30367"/>
    <cellStyle name="Note 3 2 2 2 2 3 2 4" xfId="30368"/>
    <cellStyle name="Note 3 2 2 2 2 3 2 4 2" xfId="30369"/>
    <cellStyle name="Note 3 2 2 2 2 3 2 4 3" xfId="30370"/>
    <cellStyle name="Note 3 2 2 2 2 3 2 4 4" xfId="30371"/>
    <cellStyle name="Note 3 2 2 2 2 3 2 5" xfId="30372"/>
    <cellStyle name="Note 3 2 2 2 2 3 2 6" xfId="30373"/>
    <cellStyle name="Note 3 2 2 2 2 3 2 7" xfId="30374"/>
    <cellStyle name="Note 3 2 2 2 2 3 2 8" xfId="30375"/>
    <cellStyle name="Note 3 2 2 2 2 3 3" xfId="30376"/>
    <cellStyle name="Note 3 2 2 2 2 3 3 2" xfId="30377"/>
    <cellStyle name="Note 3 2 2 2 2 3 3 2 2" xfId="30378"/>
    <cellStyle name="Note 3 2 2 2 2 3 3 2 3" xfId="30379"/>
    <cellStyle name="Note 3 2 2 2 2 3 3 2 4" xfId="30380"/>
    <cellStyle name="Note 3 2 2 2 2 3 3 3" xfId="30381"/>
    <cellStyle name="Note 3 2 2 2 2 3 3 3 2" xfId="30382"/>
    <cellStyle name="Note 3 2 2 2 2 3 3 3 3" xfId="30383"/>
    <cellStyle name="Note 3 2 2 2 2 3 3 3 4" xfId="30384"/>
    <cellStyle name="Note 3 2 2 2 2 3 3 4" xfId="30385"/>
    <cellStyle name="Note 3 2 2 2 2 3 3 4 2" xfId="30386"/>
    <cellStyle name="Note 3 2 2 2 2 3 3 4 3" xfId="30387"/>
    <cellStyle name="Note 3 2 2 2 2 3 3 4 4" xfId="30388"/>
    <cellStyle name="Note 3 2 2 2 2 3 3 5" xfId="30389"/>
    <cellStyle name="Note 3 2 2 2 2 3 3 6" xfId="30390"/>
    <cellStyle name="Note 3 2 2 2 2 3 3 7" xfId="30391"/>
    <cellStyle name="Note 3 2 2 2 2 3 3 8" xfId="30392"/>
    <cellStyle name="Note 3 2 2 2 2 3 4" xfId="30393"/>
    <cellStyle name="Note 3 2 2 2 2 3 4 2" xfId="30394"/>
    <cellStyle name="Note 3 2 2 2 2 3 4 2 2" xfId="30395"/>
    <cellStyle name="Note 3 2 2 2 2 3 4 2 3" xfId="30396"/>
    <cellStyle name="Note 3 2 2 2 2 3 4 2 4" xfId="30397"/>
    <cellStyle name="Note 3 2 2 2 2 3 4 3" xfId="30398"/>
    <cellStyle name="Note 3 2 2 2 2 3 4 3 2" xfId="30399"/>
    <cellStyle name="Note 3 2 2 2 2 3 4 3 3" xfId="30400"/>
    <cellStyle name="Note 3 2 2 2 2 3 4 3 4" xfId="30401"/>
    <cellStyle name="Note 3 2 2 2 2 3 4 4" xfId="30402"/>
    <cellStyle name="Note 3 2 2 2 2 3 4 4 2" xfId="30403"/>
    <cellStyle name="Note 3 2 2 2 2 3 4 4 3" xfId="30404"/>
    <cellStyle name="Note 3 2 2 2 2 3 4 4 4" xfId="30405"/>
    <cellStyle name="Note 3 2 2 2 2 3 4 5" xfId="30406"/>
    <cellStyle name="Note 3 2 2 2 2 3 4 6" xfId="30407"/>
    <cellStyle name="Note 3 2 2 2 2 3 4 7" xfId="30408"/>
    <cellStyle name="Note 3 2 2 2 2 3 4 8" xfId="30409"/>
    <cellStyle name="Note 3 2 2 2 2 3 5" xfId="30410"/>
    <cellStyle name="Note 3 2 2 2 2 3 5 2" xfId="30411"/>
    <cellStyle name="Note 3 2 2 2 2 3 5 2 2" xfId="30412"/>
    <cellStyle name="Note 3 2 2 2 2 3 5 2 3" xfId="30413"/>
    <cellStyle name="Note 3 2 2 2 2 3 5 2 4" xfId="30414"/>
    <cellStyle name="Note 3 2 2 2 2 3 5 3" xfId="30415"/>
    <cellStyle name="Note 3 2 2 2 2 3 5 3 2" xfId="30416"/>
    <cellStyle name="Note 3 2 2 2 2 3 5 3 3" xfId="30417"/>
    <cellStyle name="Note 3 2 2 2 2 3 5 3 4" xfId="30418"/>
    <cellStyle name="Note 3 2 2 2 2 3 5 4" xfId="30419"/>
    <cellStyle name="Note 3 2 2 2 2 3 5 4 2" xfId="30420"/>
    <cellStyle name="Note 3 2 2 2 2 3 5 4 3" xfId="30421"/>
    <cellStyle name="Note 3 2 2 2 2 3 5 4 4" xfId="30422"/>
    <cellStyle name="Note 3 2 2 2 2 3 5 5" xfId="30423"/>
    <cellStyle name="Note 3 2 2 2 2 3 5 6" xfId="30424"/>
    <cellStyle name="Note 3 2 2 2 2 3 5 7" xfId="30425"/>
    <cellStyle name="Note 3 2 2 2 2 3 5 8" xfId="30426"/>
    <cellStyle name="Note 3 2 2 2 2 3 6" xfId="30427"/>
    <cellStyle name="Note 3 2 2 2 2 3 6 2" xfId="30428"/>
    <cellStyle name="Note 3 2 2 2 2 3 6 3" xfId="30429"/>
    <cellStyle name="Note 3 2 2 2 2 3 6 4" xfId="30430"/>
    <cellStyle name="Note 3 2 2 2 2 3 7" xfId="30431"/>
    <cellStyle name="Note 3 2 2 2 2 3 7 2" xfId="30432"/>
    <cellStyle name="Note 3 2 2 2 2 3 7 3" xfId="30433"/>
    <cellStyle name="Note 3 2 2 2 2 3 7 4" xfId="30434"/>
    <cellStyle name="Note 3 2 2 2 2 3 8" xfId="30435"/>
    <cellStyle name="Note 3 2 2 2 2 3 9" xfId="30436"/>
    <cellStyle name="Note 3 2 2 2 2 4" xfId="30437"/>
    <cellStyle name="Note 3 2 2 2 2 4 2" xfId="30438"/>
    <cellStyle name="Note 3 2 2 2 2 4 2 2" xfId="30439"/>
    <cellStyle name="Note 3 2 2 2 2 4 2 3" xfId="30440"/>
    <cellStyle name="Note 3 2 2 2 2 4 2 4" xfId="30441"/>
    <cellStyle name="Note 3 2 2 2 2 4 3" xfId="30442"/>
    <cellStyle name="Note 3 2 2 2 2 4 3 2" xfId="30443"/>
    <cellStyle name="Note 3 2 2 2 2 4 3 3" xfId="30444"/>
    <cellStyle name="Note 3 2 2 2 2 4 3 4" xfId="30445"/>
    <cellStyle name="Note 3 2 2 2 2 4 4" xfId="30446"/>
    <cellStyle name="Note 3 2 2 2 2 4 4 2" xfId="30447"/>
    <cellStyle name="Note 3 2 2 2 2 4 4 3" xfId="30448"/>
    <cellStyle name="Note 3 2 2 2 2 4 4 4" xfId="30449"/>
    <cellStyle name="Note 3 2 2 2 2 4 5" xfId="30450"/>
    <cellStyle name="Note 3 2 2 2 2 4 6" xfId="30451"/>
    <cellStyle name="Note 3 2 2 2 2 4 7" xfId="30452"/>
    <cellStyle name="Note 3 2 2 2 2 4 8" xfId="30453"/>
    <cellStyle name="Note 3 2 2 2 2 5" xfId="30454"/>
    <cellStyle name="Note 3 2 2 2 2 5 2" xfId="30455"/>
    <cellStyle name="Note 3 2 2 2 2 5 2 2" xfId="30456"/>
    <cellStyle name="Note 3 2 2 2 2 5 2 3" xfId="30457"/>
    <cellStyle name="Note 3 2 2 2 2 5 2 4" xfId="30458"/>
    <cellStyle name="Note 3 2 2 2 2 5 3" xfId="30459"/>
    <cellStyle name="Note 3 2 2 2 2 5 3 2" xfId="30460"/>
    <cellStyle name="Note 3 2 2 2 2 5 3 3" xfId="30461"/>
    <cellStyle name="Note 3 2 2 2 2 5 3 4" xfId="30462"/>
    <cellStyle name="Note 3 2 2 2 2 5 4" xfId="30463"/>
    <cellStyle name="Note 3 2 2 2 2 5 4 2" xfId="30464"/>
    <cellStyle name="Note 3 2 2 2 2 5 4 3" xfId="30465"/>
    <cellStyle name="Note 3 2 2 2 2 5 4 4" xfId="30466"/>
    <cellStyle name="Note 3 2 2 2 2 5 5" xfId="30467"/>
    <cellStyle name="Note 3 2 2 2 2 5 6" xfId="30468"/>
    <cellStyle name="Note 3 2 2 2 2 5 7" xfId="30469"/>
    <cellStyle name="Note 3 2 2 2 2 5 8" xfId="30470"/>
    <cellStyle name="Note 3 2 2 2 2 6" xfId="30471"/>
    <cellStyle name="Note 3 2 2 2 2 6 2" xfId="30472"/>
    <cellStyle name="Note 3 2 2 2 2 6 2 2" xfId="30473"/>
    <cellStyle name="Note 3 2 2 2 2 6 2 3" xfId="30474"/>
    <cellStyle name="Note 3 2 2 2 2 6 2 4" xfId="30475"/>
    <cellStyle name="Note 3 2 2 2 2 6 3" xfId="30476"/>
    <cellStyle name="Note 3 2 2 2 2 6 3 2" xfId="30477"/>
    <cellStyle name="Note 3 2 2 2 2 6 3 3" xfId="30478"/>
    <cellStyle name="Note 3 2 2 2 2 6 3 4" xfId="30479"/>
    <cellStyle name="Note 3 2 2 2 2 6 4" xfId="30480"/>
    <cellStyle name="Note 3 2 2 2 2 6 4 2" xfId="30481"/>
    <cellStyle name="Note 3 2 2 2 2 6 4 3" xfId="30482"/>
    <cellStyle name="Note 3 2 2 2 2 6 4 4" xfId="30483"/>
    <cellStyle name="Note 3 2 2 2 2 6 5" xfId="30484"/>
    <cellStyle name="Note 3 2 2 2 2 6 6" xfId="30485"/>
    <cellStyle name="Note 3 2 2 2 2 6 7" xfId="30486"/>
    <cellStyle name="Note 3 2 2 2 2 6 8" xfId="30487"/>
    <cellStyle name="Note 3 2 2 2 2 7" xfId="30488"/>
    <cellStyle name="Note 3 2 2 2 2 7 2" xfId="30489"/>
    <cellStyle name="Note 3 2 2 2 2 7 2 2" xfId="30490"/>
    <cellStyle name="Note 3 2 2 2 2 7 2 3" xfId="30491"/>
    <cellStyle name="Note 3 2 2 2 2 7 2 4" xfId="30492"/>
    <cellStyle name="Note 3 2 2 2 2 7 3" xfId="30493"/>
    <cellStyle name="Note 3 2 2 2 2 7 3 2" xfId="30494"/>
    <cellStyle name="Note 3 2 2 2 2 7 3 3" xfId="30495"/>
    <cellStyle name="Note 3 2 2 2 2 7 3 4" xfId="30496"/>
    <cellStyle name="Note 3 2 2 2 2 7 4" xfId="30497"/>
    <cellStyle name="Note 3 2 2 2 2 7 4 2" xfId="30498"/>
    <cellStyle name="Note 3 2 2 2 2 7 4 3" xfId="30499"/>
    <cellStyle name="Note 3 2 2 2 2 7 4 4" xfId="30500"/>
    <cellStyle name="Note 3 2 2 2 2 7 5" xfId="30501"/>
    <cellStyle name="Note 3 2 2 2 2 7 6" xfId="30502"/>
    <cellStyle name="Note 3 2 2 2 2 7 7" xfId="30503"/>
    <cellStyle name="Note 3 2 2 2 2 7 8" xfId="30504"/>
    <cellStyle name="Note 3 2 2 2 2 8" xfId="30505"/>
    <cellStyle name="Note 3 2 2 2 2 8 2" xfId="30506"/>
    <cellStyle name="Note 3 2 2 2 2 8 2 2" xfId="30507"/>
    <cellStyle name="Note 3 2 2 2 2 8 2 3" xfId="30508"/>
    <cellStyle name="Note 3 2 2 2 2 8 2 4" xfId="30509"/>
    <cellStyle name="Note 3 2 2 2 2 8 3" xfId="30510"/>
    <cellStyle name="Note 3 2 2 2 2 8 3 2" xfId="30511"/>
    <cellStyle name="Note 3 2 2 2 2 8 3 3" xfId="30512"/>
    <cellStyle name="Note 3 2 2 2 2 8 3 4" xfId="30513"/>
    <cellStyle name="Note 3 2 2 2 2 8 4" xfId="30514"/>
    <cellStyle name="Note 3 2 2 2 2 8 4 2" xfId="30515"/>
    <cellStyle name="Note 3 2 2 2 2 8 4 3" xfId="30516"/>
    <cellStyle name="Note 3 2 2 2 2 8 4 4" xfId="30517"/>
    <cellStyle name="Note 3 2 2 2 2 8 5" xfId="30518"/>
    <cellStyle name="Note 3 2 2 2 2 8 6" xfId="30519"/>
    <cellStyle name="Note 3 2 2 2 2 8 7" xfId="30520"/>
    <cellStyle name="Note 3 2 2 2 2 8 8" xfId="30521"/>
    <cellStyle name="Note 3 2 2 2 2 9" xfId="30522"/>
    <cellStyle name="Note 3 2 2 2 2 9 2" xfId="30523"/>
    <cellStyle name="Note 3 2 2 2 2 9 3" xfId="30524"/>
    <cellStyle name="Note 3 2 2 2 2 9 4" xfId="30525"/>
    <cellStyle name="Note 3 2 2 2 3" xfId="30526"/>
    <cellStyle name="Note 3 2 2 2 3 10" xfId="30527"/>
    <cellStyle name="Note 3 2 2 2 3 11" xfId="30528"/>
    <cellStyle name="Note 3 2 2 2 3 2" xfId="30529"/>
    <cellStyle name="Note 3 2 2 2 3 2 2" xfId="30530"/>
    <cellStyle name="Note 3 2 2 2 3 2 2 2" xfId="30531"/>
    <cellStyle name="Note 3 2 2 2 3 2 2 2 2" xfId="30532"/>
    <cellStyle name="Note 3 2 2 2 3 2 2 2 3" xfId="30533"/>
    <cellStyle name="Note 3 2 2 2 3 2 2 2 4" xfId="30534"/>
    <cellStyle name="Note 3 2 2 2 3 2 2 3" xfId="30535"/>
    <cellStyle name="Note 3 2 2 2 3 2 2 3 2" xfId="30536"/>
    <cellStyle name="Note 3 2 2 2 3 2 2 3 3" xfId="30537"/>
    <cellStyle name="Note 3 2 2 2 3 2 2 3 4" xfId="30538"/>
    <cellStyle name="Note 3 2 2 2 3 2 2 4" xfId="30539"/>
    <cellStyle name="Note 3 2 2 2 3 2 2 4 2" xfId="30540"/>
    <cellStyle name="Note 3 2 2 2 3 2 2 4 3" xfId="30541"/>
    <cellStyle name="Note 3 2 2 2 3 2 2 4 4" xfId="30542"/>
    <cellStyle name="Note 3 2 2 2 3 2 2 5" xfId="30543"/>
    <cellStyle name="Note 3 2 2 2 3 2 2 6" xfId="30544"/>
    <cellStyle name="Note 3 2 2 2 3 2 2 7" xfId="30545"/>
    <cellStyle name="Note 3 2 2 2 3 2 2 8" xfId="30546"/>
    <cellStyle name="Note 3 2 2 2 3 2 3" xfId="30547"/>
    <cellStyle name="Note 3 2 2 2 3 2 3 2" xfId="30548"/>
    <cellStyle name="Note 3 2 2 2 3 2 3 2 2" xfId="30549"/>
    <cellStyle name="Note 3 2 2 2 3 2 3 2 3" xfId="30550"/>
    <cellStyle name="Note 3 2 2 2 3 2 3 2 4" xfId="30551"/>
    <cellStyle name="Note 3 2 2 2 3 2 3 3" xfId="30552"/>
    <cellStyle name="Note 3 2 2 2 3 2 3 3 2" xfId="30553"/>
    <cellStyle name="Note 3 2 2 2 3 2 3 3 3" xfId="30554"/>
    <cellStyle name="Note 3 2 2 2 3 2 3 3 4" xfId="30555"/>
    <cellStyle name="Note 3 2 2 2 3 2 3 4" xfId="30556"/>
    <cellStyle name="Note 3 2 2 2 3 2 3 4 2" xfId="30557"/>
    <cellStyle name="Note 3 2 2 2 3 2 3 4 3" xfId="30558"/>
    <cellStyle name="Note 3 2 2 2 3 2 3 4 4" xfId="30559"/>
    <cellStyle name="Note 3 2 2 2 3 2 3 5" xfId="30560"/>
    <cellStyle name="Note 3 2 2 2 3 2 3 6" xfId="30561"/>
    <cellStyle name="Note 3 2 2 2 3 2 3 7" xfId="30562"/>
    <cellStyle name="Note 3 2 2 2 3 2 3 8" xfId="30563"/>
    <cellStyle name="Note 3 2 2 2 3 2 4" xfId="30564"/>
    <cellStyle name="Note 3 2 2 2 3 2 4 2" xfId="30565"/>
    <cellStyle name="Note 3 2 2 2 3 2 4 2 2" xfId="30566"/>
    <cellStyle name="Note 3 2 2 2 3 2 4 2 3" xfId="30567"/>
    <cellStyle name="Note 3 2 2 2 3 2 4 2 4" xfId="30568"/>
    <cellStyle name="Note 3 2 2 2 3 2 4 3" xfId="30569"/>
    <cellStyle name="Note 3 2 2 2 3 2 4 3 2" xfId="30570"/>
    <cellStyle name="Note 3 2 2 2 3 2 4 3 3" xfId="30571"/>
    <cellStyle name="Note 3 2 2 2 3 2 4 3 4" xfId="30572"/>
    <cellStyle name="Note 3 2 2 2 3 2 4 4" xfId="30573"/>
    <cellStyle name="Note 3 2 2 2 3 2 4 4 2" xfId="30574"/>
    <cellStyle name="Note 3 2 2 2 3 2 4 4 3" xfId="30575"/>
    <cellStyle name="Note 3 2 2 2 3 2 4 4 4" xfId="30576"/>
    <cellStyle name="Note 3 2 2 2 3 2 4 5" xfId="30577"/>
    <cellStyle name="Note 3 2 2 2 3 2 4 6" xfId="30578"/>
    <cellStyle name="Note 3 2 2 2 3 2 4 7" xfId="30579"/>
    <cellStyle name="Note 3 2 2 2 3 2 4 8" xfId="30580"/>
    <cellStyle name="Note 3 2 2 2 3 2 5" xfId="30581"/>
    <cellStyle name="Note 3 2 2 2 3 2 5 2" xfId="30582"/>
    <cellStyle name="Note 3 2 2 2 3 2 5 2 2" xfId="30583"/>
    <cellStyle name="Note 3 2 2 2 3 2 5 2 3" xfId="30584"/>
    <cellStyle name="Note 3 2 2 2 3 2 5 2 4" xfId="30585"/>
    <cellStyle name="Note 3 2 2 2 3 2 5 3" xfId="30586"/>
    <cellStyle name="Note 3 2 2 2 3 2 5 3 2" xfId="30587"/>
    <cellStyle name="Note 3 2 2 2 3 2 5 3 3" xfId="30588"/>
    <cellStyle name="Note 3 2 2 2 3 2 5 3 4" xfId="30589"/>
    <cellStyle name="Note 3 2 2 2 3 2 5 4" xfId="30590"/>
    <cellStyle name="Note 3 2 2 2 3 2 5 4 2" xfId="30591"/>
    <cellStyle name="Note 3 2 2 2 3 2 5 4 3" xfId="30592"/>
    <cellStyle name="Note 3 2 2 2 3 2 5 4 4" xfId="30593"/>
    <cellStyle name="Note 3 2 2 2 3 2 5 5" xfId="30594"/>
    <cellStyle name="Note 3 2 2 2 3 2 5 6" xfId="30595"/>
    <cellStyle name="Note 3 2 2 2 3 2 5 7" xfId="30596"/>
    <cellStyle name="Note 3 2 2 2 3 2 5 8" xfId="30597"/>
    <cellStyle name="Note 3 2 2 2 3 2 6" xfId="30598"/>
    <cellStyle name="Note 3 2 2 2 3 2 6 2" xfId="30599"/>
    <cellStyle name="Note 3 2 2 2 3 2 6 3" xfId="30600"/>
    <cellStyle name="Note 3 2 2 2 3 2 6 4" xfId="30601"/>
    <cellStyle name="Note 3 2 2 2 3 2 7" xfId="30602"/>
    <cellStyle name="Note 3 2 2 2 3 2 7 2" xfId="30603"/>
    <cellStyle name="Note 3 2 2 2 3 2 7 3" xfId="30604"/>
    <cellStyle name="Note 3 2 2 2 3 2 7 4" xfId="30605"/>
    <cellStyle name="Note 3 2 2 2 3 2 8" xfId="30606"/>
    <cellStyle name="Note 3 2 2 2 3 2 9" xfId="30607"/>
    <cellStyle name="Note 3 2 2 2 3 3" xfId="30608"/>
    <cellStyle name="Note 3 2 2 2 3 3 2" xfId="30609"/>
    <cellStyle name="Note 3 2 2 2 3 3 2 2" xfId="30610"/>
    <cellStyle name="Note 3 2 2 2 3 3 2 3" xfId="30611"/>
    <cellStyle name="Note 3 2 2 2 3 3 2 4" xfId="30612"/>
    <cellStyle name="Note 3 2 2 2 3 3 3" xfId="30613"/>
    <cellStyle name="Note 3 2 2 2 3 3 3 2" xfId="30614"/>
    <cellStyle name="Note 3 2 2 2 3 3 3 3" xfId="30615"/>
    <cellStyle name="Note 3 2 2 2 3 3 3 4" xfId="30616"/>
    <cellStyle name="Note 3 2 2 2 3 3 4" xfId="30617"/>
    <cellStyle name="Note 3 2 2 2 3 3 4 2" xfId="30618"/>
    <cellStyle name="Note 3 2 2 2 3 3 4 3" xfId="30619"/>
    <cellStyle name="Note 3 2 2 2 3 3 4 4" xfId="30620"/>
    <cellStyle name="Note 3 2 2 2 3 3 5" xfId="30621"/>
    <cellStyle name="Note 3 2 2 2 3 3 6" xfId="30622"/>
    <cellStyle name="Note 3 2 2 2 3 3 7" xfId="30623"/>
    <cellStyle name="Note 3 2 2 2 3 3 8" xfId="30624"/>
    <cellStyle name="Note 3 2 2 2 3 4" xfId="30625"/>
    <cellStyle name="Note 3 2 2 2 3 4 2" xfId="30626"/>
    <cellStyle name="Note 3 2 2 2 3 4 2 2" xfId="30627"/>
    <cellStyle name="Note 3 2 2 2 3 4 2 3" xfId="30628"/>
    <cellStyle name="Note 3 2 2 2 3 4 2 4" xfId="30629"/>
    <cellStyle name="Note 3 2 2 2 3 4 3" xfId="30630"/>
    <cellStyle name="Note 3 2 2 2 3 4 3 2" xfId="30631"/>
    <cellStyle name="Note 3 2 2 2 3 4 3 3" xfId="30632"/>
    <cellStyle name="Note 3 2 2 2 3 4 3 4" xfId="30633"/>
    <cellStyle name="Note 3 2 2 2 3 4 4" xfId="30634"/>
    <cellStyle name="Note 3 2 2 2 3 4 4 2" xfId="30635"/>
    <cellStyle name="Note 3 2 2 2 3 4 4 3" xfId="30636"/>
    <cellStyle name="Note 3 2 2 2 3 4 4 4" xfId="30637"/>
    <cellStyle name="Note 3 2 2 2 3 4 5" xfId="30638"/>
    <cellStyle name="Note 3 2 2 2 3 4 6" xfId="30639"/>
    <cellStyle name="Note 3 2 2 2 3 4 7" xfId="30640"/>
    <cellStyle name="Note 3 2 2 2 3 4 8" xfId="30641"/>
    <cellStyle name="Note 3 2 2 2 3 5" xfId="30642"/>
    <cellStyle name="Note 3 2 2 2 3 5 2" xfId="30643"/>
    <cellStyle name="Note 3 2 2 2 3 5 2 2" xfId="30644"/>
    <cellStyle name="Note 3 2 2 2 3 5 2 3" xfId="30645"/>
    <cellStyle name="Note 3 2 2 2 3 5 2 4" xfId="30646"/>
    <cellStyle name="Note 3 2 2 2 3 5 3" xfId="30647"/>
    <cellStyle name="Note 3 2 2 2 3 5 3 2" xfId="30648"/>
    <cellStyle name="Note 3 2 2 2 3 5 3 3" xfId="30649"/>
    <cellStyle name="Note 3 2 2 2 3 5 3 4" xfId="30650"/>
    <cellStyle name="Note 3 2 2 2 3 5 4" xfId="30651"/>
    <cellStyle name="Note 3 2 2 2 3 5 4 2" xfId="30652"/>
    <cellStyle name="Note 3 2 2 2 3 5 4 3" xfId="30653"/>
    <cellStyle name="Note 3 2 2 2 3 5 4 4" xfId="30654"/>
    <cellStyle name="Note 3 2 2 2 3 5 5" xfId="30655"/>
    <cellStyle name="Note 3 2 2 2 3 5 6" xfId="30656"/>
    <cellStyle name="Note 3 2 2 2 3 5 7" xfId="30657"/>
    <cellStyle name="Note 3 2 2 2 3 5 8" xfId="30658"/>
    <cellStyle name="Note 3 2 2 2 3 6" xfId="30659"/>
    <cellStyle name="Note 3 2 2 2 3 6 2" xfId="30660"/>
    <cellStyle name="Note 3 2 2 2 3 6 2 2" xfId="30661"/>
    <cellStyle name="Note 3 2 2 2 3 6 2 3" xfId="30662"/>
    <cellStyle name="Note 3 2 2 2 3 6 2 4" xfId="30663"/>
    <cellStyle name="Note 3 2 2 2 3 6 3" xfId="30664"/>
    <cellStyle name="Note 3 2 2 2 3 6 3 2" xfId="30665"/>
    <cellStyle name="Note 3 2 2 2 3 6 3 3" xfId="30666"/>
    <cellStyle name="Note 3 2 2 2 3 6 3 4" xfId="30667"/>
    <cellStyle name="Note 3 2 2 2 3 6 4" xfId="30668"/>
    <cellStyle name="Note 3 2 2 2 3 6 4 2" xfId="30669"/>
    <cellStyle name="Note 3 2 2 2 3 6 4 3" xfId="30670"/>
    <cellStyle name="Note 3 2 2 2 3 6 4 4" xfId="30671"/>
    <cellStyle name="Note 3 2 2 2 3 6 5" xfId="30672"/>
    <cellStyle name="Note 3 2 2 2 3 6 6" xfId="30673"/>
    <cellStyle name="Note 3 2 2 2 3 6 7" xfId="30674"/>
    <cellStyle name="Note 3 2 2 2 3 6 8" xfId="30675"/>
    <cellStyle name="Note 3 2 2 2 3 7" xfId="30676"/>
    <cellStyle name="Note 3 2 2 2 3 7 2" xfId="30677"/>
    <cellStyle name="Note 3 2 2 2 3 7 2 2" xfId="30678"/>
    <cellStyle name="Note 3 2 2 2 3 7 2 3" xfId="30679"/>
    <cellStyle name="Note 3 2 2 2 3 7 2 4" xfId="30680"/>
    <cellStyle name="Note 3 2 2 2 3 7 3" xfId="30681"/>
    <cellStyle name="Note 3 2 2 2 3 7 3 2" xfId="30682"/>
    <cellStyle name="Note 3 2 2 2 3 7 3 3" xfId="30683"/>
    <cellStyle name="Note 3 2 2 2 3 7 3 4" xfId="30684"/>
    <cellStyle name="Note 3 2 2 2 3 7 4" xfId="30685"/>
    <cellStyle name="Note 3 2 2 2 3 7 4 2" xfId="30686"/>
    <cellStyle name="Note 3 2 2 2 3 7 4 3" xfId="30687"/>
    <cellStyle name="Note 3 2 2 2 3 7 4 4" xfId="30688"/>
    <cellStyle name="Note 3 2 2 2 3 7 5" xfId="30689"/>
    <cellStyle name="Note 3 2 2 2 3 7 6" xfId="30690"/>
    <cellStyle name="Note 3 2 2 2 3 7 7" xfId="30691"/>
    <cellStyle name="Note 3 2 2 2 3 7 8" xfId="30692"/>
    <cellStyle name="Note 3 2 2 2 3 8" xfId="30693"/>
    <cellStyle name="Note 3 2 2 2 3 8 2" xfId="30694"/>
    <cellStyle name="Note 3 2 2 2 3 8 3" xfId="30695"/>
    <cellStyle name="Note 3 2 2 2 3 8 4" xfId="30696"/>
    <cellStyle name="Note 3 2 2 2 3 9" xfId="30697"/>
    <cellStyle name="Note 3 2 2 2 3 9 2" xfId="30698"/>
    <cellStyle name="Note 3 2 2 2 3 9 3" xfId="30699"/>
    <cellStyle name="Note 3 2 2 2 3 9 4" xfId="30700"/>
    <cellStyle name="Note 3 2 2 2 4" xfId="30701"/>
    <cellStyle name="Note 3 2 2 2 4 2" xfId="30702"/>
    <cellStyle name="Note 3 2 2 2 4 2 2" xfId="30703"/>
    <cellStyle name="Note 3 2 2 2 4 2 2 2" xfId="30704"/>
    <cellStyle name="Note 3 2 2 2 4 2 2 3" xfId="30705"/>
    <cellStyle name="Note 3 2 2 2 4 2 2 4" xfId="30706"/>
    <cellStyle name="Note 3 2 2 2 4 2 3" xfId="30707"/>
    <cellStyle name="Note 3 2 2 2 4 2 3 2" xfId="30708"/>
    <cellStyle name="Note 3 2 2 2 4 2 3 3" xfId="30709"/>
    <cellStyle name="Note 3 2 2 2 4 2 3 4" xfId="30710"/>
    <cellStyle name="Note 3 2 2 2 4 2 4" xfId="30711"/>
    <cellStyle name="Note 3 2 2 2 4 2 4 2" xfId="30712"/>
    <cellStyle name="Note 3 2 2 2 4 2 4 3" xfId="30713"/>
    <cellStyle name="Note 3 2 2 2 4 2 4 4" xfId="30714"/>
    <cellStyle name="Note 3 2 2 2 4 2 5" xfId="30715"/>
    <cellStyle name="Note 3 2 2 2 4 2 6" xfId="30716"/>
    <cellStyle name="Note 3 2 2 2 4 2 7" xfId="30717"/>
    <cellStyle name="Note 3 2 2 2 4 2 8" xfId="30718"/>
    <cellStyle name="Note 3 2 2 2 4 3" xfId="30719"/>
    <cellStyle name="Note 3 2 2 2 4 3 2" xfId="30720"/>
    <cellStyle name="Note 3 2 2 2 4 3 2 2" xfId="30721"/>
    <cellStyle name="Note 3 2 2 2 4 3 2 3" xfId="30722"/>
    <cellStyle name="Note 3 2 2 2 4 3 2 4" xfId="30723"/>
    <cellStyle name="Note 3 2 2 2 4 3 3" xfId="30724"/>
    <cellStyle name="Note 3 2 2 2 4 3 3 2" xfId="30725"/>
    <cellStyle name="Note 3 2 2 2 4 3 3 3" xfId="30726"/>
    <cellStyle name="Note 3 2 2 2 4 3 3 4" xfId="30727"/>
    <cellStyle name="Note 3 2 2 2 4 3 4" xfId="30728"/>
    <cellStyle name="Note 3 2 2 2 4 3 4 2" xfId="30729"/>
    <cellStyle name="Note 3 2 2 2 4 3 4 3" xfId="30730"/>
    <cellStyle name="Note 3 2 2 2 4 3 4 4" xfId="30731"/>
    <cellStyle name="Note 3 2 2 2 4 3 5" xfId="30732"/>
    <cellStyle name="Note 3 2 2 2 4 3 6" xfId="30733"/>
    <cellStyle name="Note 3 2 2 2 4 3 7" xfId="30734"/>
    <cellStyle name="Note 3 2 2 2 4 3 8" xfId="30735"/>
    <cellStyle name="Note 3 2 2 2 4 4" xfId="30736"/>
    <cellStyle name="Note 3 2 2 2 4 4 2" xfId="30737"/>
    <cellStyle name="Note 3 2 2 2 4 4 2 2" xfId="30738"/>
    <cellStyle name="Note 3 2 2 2 4 4 2 3" xfId="30739"/>
    <cellStyle name="Note 3 2 2 2 4 4 2 4" xfId="30740"/>
    <cellStyle name="Note 3 2 2 2 4 4 3" xfId="30741"/>
    <cellStyle name="Note 3 2 2 2 4 4 3 2" xfId="30742"/>
    <cellStyle name="Note 3 2 2 2 4 4 3 3" xfId="30743"/>
    <cellStyle name="Note 3 2 2 2 4 4 3 4" xfId="30744"/>
    <cellStyle name="Note 3 2 2 2 4 4 4" xfId="30745"/>
    <cellStyle name="Note 3 2 2 2 4 4 4 2" xfId="30746"/>
    <cellStyle name="Note 3 2 2 2 4 4 4 3" xfId="30747"/>
    <cellStyle name="Note 3 2 2 2 4 4 4 4" xfId="30748"/>
    <cellStyle name="Note 3 2 2 2 4 4 5" xfId="30749"/>
    <cellStyle name="Note 3 2 2 2 4 4 6" xfId="30750"/>
    <cellStyle name="Note 3 2 2 2 4 4 7" xfId="30751"/>
    <cellStyle name="Note 3 2 2 2 4 4 8" xfId="30752"/>
    <cellStyle name="Note 3 2 2 2 4 5" xfId="30753"/>
    <cellStyle name="Note 3 2 2 2 4 5 2" xfId="30754"/>
    <cellStyle name="Note 3 2 2 2 4 5 2 2" xfId="30755"/>
    <cellStyle name="Note 3 2 2 2 4 5 2 3" xfId="30756"/>
    <cellStyle name="Note 3 2 2 2 4 5 2 4" xfId="30757"/>
    <cellStyle name="Note 3 2 2 2 4 5 3" xfId="30758"/>
    <cellStyle name="Note 3 2 2 2 4 5 3 2" xfId="30759"/>
    <cellStyle name="Note 3 2 2 2 4 5 3 3" xfId="30760"/>
    <cellStyle name="Note 3 2 2 2 4 5 3 4" xfId="30761"/>
    <cellStyle name="Note 3 2 2 2 4 5 4" xfId="30762"/>
    <cellStyle name="Note 3 2 2 2 4 5 4 2" xfId="30763"/>
    <cellStyle name="Note 3 2 2 2 4 5 4 3" xfId="30764"/>
    <cellStyle name="Note 3 2 2 2 4 5 4 4" xfId="30765"/>
    <cellStyle name="Note 3 2 2 2 4 5 5" xfId="30766"/>
    <cellStyle name="Note 3 2 2 2 4 5 6" xfId="30767"/>
    <cellStyle name="Note 3 2 2 2 4 5 7" xfId="30768"/>
    <cellStyle name="Note 3 2 2 2 4 5 8" xfId="30769"/>
    <cellStyle name="Note 3 2 2 2 4 6" xfId="30770"/>
    <cellStyle name="Note 3 2 2 2 4 6 2" xfId="30771"/>
    <cellStyle name="Note 3 2 2 2 4 6 3" xfId="30772"/>
    <cellStyle name="Note 3 2 2 2 4 6 4" xfId="30773"/>
    <cellStyle name="Note 3 2 2 2 4 7" xfId="30774"/>
    <cellStyle name="Note 3 2 2 2 4 7 2" xfId="30775"/>
    <cellStyle name="Note 3 2 2 2 4 7 3" xfId="30776"/>
    <cellStyle name="Note 3 2 2 2 4 7 4" xfId="30777"/>
    <cellStyle name="Note 3 2 2 2 4 8" xfId="30778"/>
    <cellStyle name="Note 3 2 2 2 4 9" xfId="30779"/>
    <cellStyle name="Note 3 2 2 2 5" xfId="30780"/>
    <cellStyle name="Note 3 2 2 2 5 2" xfId="30781"/>
    <cellStyle name="Note 3 2 2 2 5 2 2" xfId="30782"/>
    <cellStyle name="Note 3 2 2 2 5 2 3" xfId="30783"/>
    <cellStyle name="Note 3 2 2 2 5 2 4" xfId="30784"/>
    <cellStyle name="Note 3 2 2 2 5 3" xfId="30785"/>
    <cellStyle name="Note 3 2 2 2 5 3 2" xfId="30786"/>
    <cellStyle name="Note 3 2 2 2 5 3 3" xfId="30787"/>
    <cellStyle name="Note 3 2 2 2 5 3 4" xfId="30788"/>
    <cellStyle name="Note 3 2 2 2 5 4" xfId="30789"/>
    <cellStyle name="Note 3 2 2 2 5 4 2" xfId="30790"/>
    <cellStyle name="Note 3 2 2 2 5 4 3" xfId="30791"/>
    <cellStyle name="Note 3 2 2 2 5 4 4" xfId="30792"/>
    <cellStyle name="Note 3 2 2 2 5 5" xfId="30793"/>
    <cellStyle name="Note 3 2 2 2 5 6" xfId="30794"/>
    <cellStyle name="Note 3 2 2 2 5 7" xfId="30795"/>
    <cellStyle name="Note 3 2 2 2 5 8" xfId="30796"/>
    <cellStyle name="Note 3 2 2 2 6" xfId="30797"/>
    <cellStyle name="Note 3 2 2 2 6 2" xfId="30798"/>
    <cellStyle name="Note 3 2 2 2 6 2 2" xfId="30799"/>
    <cellStyle name="Note 3 2 2 2 6 2 3" xfId="30800"/>
    <cellStyle name="Note 3 2 2 2 6 2 4" xfId="30801"/>
    <cellStyle name="Note 3 2 2 2 6 3" xfId="30802"/>
    <cellStyle name="Note 3 2 2 2 6 3 2" xfId="30803"/>
    <cellStyle name="Note 3 2 2 2 6 3 3" xfId="30804"/>
    <cellStyle name="Note 3 2 2 2 6 3 4" xfId="30805"/>
    <cellStyle name="Note 3 2 2 2 6 4" xfId="30806"/>
    <cellStyle name="Note 3 2 2 2 6 4 2" xfId="30807"/>
    <cellStyle name="Note 3 2 2 2 6 4 3" xfId="30808"/>
    <cellStyle name="Note 3 2 2 2 6 4 4" xfId="30809"/>
    <cellStyle name="Note 3 2 2 2 6 5" xfId="30810"/>
    <cellStyle name="Note 3 2 2 2 6 6" xfId="30811"/>
    <cellStyle name="Note 3 2 2 2 6 7" xfId="30812"/>
    <cellStyle name="Note 3 2 2 2 6 8" xfId="30813"/>
    <cellStyle name="Note 3 2 2 2 7" xfId="30814"/>
    <cellStyle name="Note 3 2 2 2 7 2" xfId="30815"/>
    <cellStyle name="Note 3 2 2 2 7 2 2" xfId="30816"/>
    <cellStyle name="Note 3 2 2 2 7 2 3" xfId="30817"/>
    <cellStyle name="Note 3 2 2 2 7 2 4" xfId="30818"/>
    <cellStyle name="Note 3 2 2 2 7 3" xfId="30819"/>
    <cellStyle name="Note 3 2 2 2 7 3 2" xfId="30820"/>
    <cellStyle name="Note 3 2 2 2 7 3 3" xfId="30821"/>
    <cellStyle name="Note 3 2 2 2 7 3 4" xfId="30822"/>
    <cellStyle name="Note 3 2 2 2 7 4" xfId="30823"/>
    <cellStyle name="Note 3 2 2 2 7 4 2" xfId="30824"/>
    <cellStyle name="Note 3 2 2 2 7 4 3" xfId="30825"/>
    <cellStyle name="Note 3 2 2 2 7 4 4" xfId="30826"/>
    <cellStyle name="Note 3 2 2 2 7 5" xfId="30827"/>
    <cellStyle name="Note 3 2 2 2 7 6" xfId="30828"/>
    <cellStyle name="Note 3 2 2 2 7 7" xfId="30829"/>
    <cellStyle name="Note 3 2 2 2 7 8" xfId="30830"/>
    <cellStyle name="Note 3 2 2 2 8" xfId="30831"/>
    <cellStyle name="Note 3 2 2 2 8 2" xfId="30832"/>
    <cellStyle name="Note 3 2 2 2 8 2 2" xfId="30833"/>
    <cellStyle name="Note 3 2 2 2 8 2 3" xfId="30834"/>
    <cellStyle name="Note 3 2 2 2 8 2 4" xfId="30835"/>
    <cellStyle name="Note 3 2 2 2 8 3" xfId="30836"/>
    <cellStyle name="Note 3 2 2 2 8 3 2" xfId="30837"/>
    <cellStyle name="Note 3 2 2 2 8 3 3" xfId="30838"/>
    <cellStyle name="Note 3 2 2 2 8 3 4" xfId="30839"/>
    <cellStyle name="Note 3 2 2 2 8 4" xfId="30840"/>
    <cellStyle name="Note 3 2 2 2 8 4 2" xfId="30841"/>
    <cellStyle name="Note 3 2 2 2 8 4 3" xfId="30842"/>
    <cellStyle name="Note 3 2 2 2 8 4 4" xfId="30843"/>
    <cellStyle name="Note 3 2 2 2 8 5" xfId="30844"/>
    <cellStyle name="Note 3 2 2 2 8 6" xfId="30845"/>
    <cellStyle name="Note 3 2 2 2 8 7" xfId="30846"/>
    <cellStyle name="Note 3 2 2 2 8 8" xfId="30847"/>
    <cellStyle name="Note 3 2 2 2 9" xfId="30848"/>
    <cellStyle name="Note 3 2 2 2 9 2" xfId="30849"/>
    <cellStyle name="Note 3 2 2 2 9 2 2" xfId="30850"/>
    <cellStyle name="Note 3 2 2 2 9 2 3" xfId="30851"/>
    <cellStyle name="Note 3 2 2 2 9 2 4" xfId="30852"/>
    <cellStyle name="Note 3 2 2 2 9 3" xfId="30853"/>
    <cellStyle name="Note 3 2 2 2 9 3 2" xfId="30854"/>
    <cellStyle name="Note 3 2 2 2 9 3 3" xfId="30855"/>
    <cellStyle name="Note 3 2 2 2 9 3 4" xfId="30856"/>
    <cellStyle name="Note 3 2 2 2 9 4" xfId="30857"/>
    <cellStyle name="Note 3 2 2 2 9 4 2" xfId="30858"/>
    <cellStyle name="Note 3 2 2 2 9 4 3" xfId="30859"/>
    <cellStyle name="Note 3 2 2 2 9 4 4" xfId="30860"/>
    <cellStyle name="Note 3 2 2 2 9 5" xfId="30861"/>
    <cellStyle name="Note 3 2 2 2 9 6" xfId="30862"/>
    <cellStyle name="Note 3 2 2 2 9 7" xfId="30863"/>
    <cellStyle name="Note 3 2 2 2 9 8" xfId="30864"/>
    <cellStyle name="Note 3 2 2 3" xfId="30865"/>
    <cellStyle name="Note 3 2 2 3 10" xfId="30866"/>
    <cellStyle name="Note 3 2 2 3 10 2" xfId="30867"/>
    <cellStyle name="Note 3 2 2 3 10 3" xfId="30868"/>
    <cellStyle name="Note 3 2 2 3 10 4" xfId="30869"/>
    <cellStyle name="Note 3 2 2 3 11" xfId="30870"/>
    <cellStyle name="Note 3 2 2 3 12" xfId="30871"/>
    <cellStyle name="Note 3 2 2 3 2" xfId="30872"/>
    <cellStyle name="Note 3 2 2 3 2 10" xfId="30873"/>
    <cellStyle name="Note 3 2 2 3 2 11" xfId="30874"/>
    <cellStyle name="Note 3 2 2 3 2 2" xfId="30875"/>
    <cellStyle name="Note 3 2 2 3 2 2 2" xfId="30876"/>
    <cellStyle name="Note 3 2 2 3 2 2 2 2" xfId="30877"/>
    <cellStyle name="Note 3 2 2 3 2 2 2 2 2" xfId="30878"/>
    <cellStyle name="Note 3 2 2 3 2 2 2 2 3" xfId="30879"/>
    <cellStyle name="Note 3 2 2 3 2 2 2 2 4" xfId="30880"/>
    <cellStyle name="Note 3 2 2 3 2 2 2 3" xfId="30881"/>
    <cellStyle name="Note 3 2 2 3 2 2 2 3 2" xfId="30882"/>
    <cellStyle name="Note 3 2 2 3 2 2 2 3 3" xfId="30883"/>
    <cellStyle name="Note 3 2 2 3 2 2 2 3 4" xfId="30884"/>
    <cellStyle name="Note 3 2 2 3 2 2 2 4" xfId="30885"/>
    <cellStyle name="Note 3 2 2 3 2 2 2 4 2" xfId="30886"/>
    <cellStyle name="Note 3 2 2 3 2 2 2 4 3" xfId="30887"/>
    <cellStyle name="Note 3 2 2 3 2 2 2 4 4" xfId="30888"/>
    <cellStyle name="Note 3 2 2 3 2 2 2 5" xfId="30889"/>
    <cellStyle name="Note 3 2 2 3 2 2 2 6" xfId="30890"/>
    <cellStyle name="Note 3 2 2 3 2 2 2 7" xfId="30891"/>
    <cellStyle name="Note 3 2 2 3 2 2 2 8" xfId="30892"/>
    <cellStyle name="Note 3 2 2 3 2 2 3" xfId="30893"/>
    <cellStyle name="Note 3 2 2 3 2 2 3 2" xfId="30894"/>
    <cellStyle name="Note 3 2 2 3 2 2 3 2 2" xfId="30895"/>
    <cellStyle name="Note 3 2 2 3 2 2 3 2 3" xfId="30896"/>
    <cellStyle name="Note 3 2 2 3 2 2 3 2 4" xfId="30897"/>
    <cellStyle name="Note 3 2 2 3 2 2 3 3" xfId="30898"/>
    <cellStyle name="Note 3 2 2 3 2 2 3 3 2" xfId="30899"/>
    <cellStyle name="Note 3 2 2 3 2 2 3 3 3" xfId="30900"/>
    <cellStyle name="Note 3 2 2 3 2 2 3 3 4" xfId="30901"/>
    <cellStyle name="Note 3 2 2 3 2 2 3 4" xfId="30902"/>
    <cellStyle name="Note 3 2 2 3 2 2 3 4 2" xfId="30903"/>
    <cellStyle name="Note 3 2 2 3 2 2 3 4 3" xfId="30904"/>
    <cellStyle name="Note 3 2 2 3 2 2 3 4 4" xfId="30905"/>
    <cellStyle name="Note 3 2 2 3 2 2 3 5" xfId="30906"/>
    <cellStyle name="Note 3 2 2 3 2 2 3 6" xfId="30907"/>
    <cellStyle name="Note 3 2 2 3 2 2 3 7" xfId="30908"/>
    <cellStyle name="Note 3 2 2 3 2 2 3 8" xfId="30909"/>
    <cellStyle name="Note 3 2 2 3 2 2 4" xfId="30910"/>
    <cellStyle name="Note 3 2 2 3 2 2 4 2" xfId="30911"/>
    <cellStyle name="Note 3 2 2 3 2 2 4 2 2" xfId="30912"/>
    <cellStyle name="Note 3 2 2 3 2 2 4 2 3" xfId="30913"/>
    <cellStyle name="Note 3 2 2 3 2 2 4 2 4" xfId="30914"/>
    <cellStyle name="Note 3 2 2 3 2 2 4 3" xfId="30915"/>
    <cellStyle name="Note 3 2 2 3 2 2 4 3 2" xfId="30916"/>
    <cellStyle name="Note 3 2 2 3 2 2 4 3 3" xfId="30917"/>
    <cellStyle name="Note 3 2 2 3 2 2 4 3 4" xfId="30918"/>
    <cellStyle name="Note 3 2 2 3 2 2 4 4" xfId="30919"/>
    <cellStyle name="Note 3 2 2 3 2 2 4 4 2" xfId="30920"/>
    <cellStyle name="Note 3 2 2 3 2 2 4 4 3" xfId="30921"/>
    <cellStyle name="Note 3 2 2 3 2 2 4 4 4" xfId="30922"/>
    <cellStyle name="Note 3 2 2 3 2 2 4 5" xfId="30923"/>
    <cellStyle name="Note 3 2 2 3 2 2 4 6" xfId="30924"/>
    <cellStyle name="Note 3 2 2 3 2 2 4 7" xfId="30925"/>
    <cellStyle name="Note 3 2 2 3 2 2 4 8" xfId="30926"/>
    <cellStyle name="Note 3 2 2 3 2 2 5" xfId="30927"/>
    <cellStyle name="Note 3 2 2 3 2 2 5 2" xfId="30928"/>
    <cellStyle name="Note 3 2 2 3 2 2 5 2 2" xfId="30929"/>
    <cellStyle name="Note 3 2 2 3 2 2 5 2 3" xfId="30930"/>
    <cellStyle name="Note 3 2 2 3 2 2 5 2 4" xfId="30931"/>
    <cellStyle name="Note 3 2 2 3 2 2 5 3" xfId="30932"/>
    <cellStyle name="Note 3 2 2 3 2 2 5 3 2" xfId="30933"/>
    <cellStyle name="Note 3 2 2 3 2 2 5 3 3" xfId="30934"/>
    <cellStyle name="Note 3 2 2 3 2 2 5 3 4" xfId="30935"/>
    <cellStyle name="Note 3 2 2 3 2 2 5 4" xfId="30936"/>
    <cellStyle name="Note 3 2 2 3 2 2 5 4 2" xfId="30937"/>
    <cellStyle name="Note 3 2 2 3 2 2 5 4 3" xfId="30938"/>
    <cellStyle name="Note 3 2 2 3 2 2 5 4 4" xfId="30939"/>
    <cellStyle name="Note 3 2 2 3 2 2 5 5" xfId="30940"/>
    <cellStyle name="Note 3 2 2 3 2 2 5 6" xfId="30941"/>
    <cellStyle name="Note 3 2 2 3 2 2 5 7" xfId="30942"/>
    <cellStyle name="Note 3 2 2 3 2 2 5 8" xfId="30943"/>
    <cellStyle name="Note 3 2 2 3 2 2 6" xfId="30944"/>
    <cellStyle name="Note 3 2 2 3 2 2 6 2" xfId="30945"/>
    <cellStyle name="Note 3 2 2 3 2 2 6 3" xfId="30946"/>
    <cellStyle name="Note 3 2 2 3 2 2 6 4" xfId="30947"/>
    <cellStyle name="Note 3 2 2 3 2 2 7" xfId="30948"/>
    <cellStyle name="Note 3 2 2 3 2 2 7 2" xfId="30949"/>
    <cellStyle name="Note 3 2 2 3 2 2 7 3" xfId="30950"/>
    <cellStyle name="Note 3 2 2 3 2 2 7 4" xfId="30951"/>
    <cellStyle name="Note 3 2 2 3 2 2 8" xfId="30952"/>
    <cellStyle name="Note 3 2 2 3 2 2 9" xfId="30953"/>
    <cellStyle name="Note 3 2 2 3 2 3" xfId="30954"/>
    <cellStyle name="Note 3 2 2 3 2 3 2" xfId="30955"/>
    <cellStyle name="Note 3 2 2 3 2 3 2 2" xfId="30956"/>
    <cellStyle name="Note 3 2 2 3 2 3 2 3" xfId="30957"/>
    <cellStyle name="Note 3 2 2 3 2 3 2 4" xfId="30958"/>
    <cellStyle name="Note 3 2 2 3 2 3 3" xfId="30959"/>
    <cellStyle name="Note 3 2 2 3 2 3 3 2" xfId="30960"/>
    <cellStyle name="Note 3 2 2 3 2 3 3 3" xfId="30961"/>
    <cellStyle name="Note 3 2 2 3 2 3 3 4" xfId="30962"/>
    <cellStyle name="Note 3 2 2 3 2 3 4" xfId="30963"/>
    <cellStyle name="Note 3 2 2 3 2 3 4 2" xfId="30964"/>
    <cellStyle name="Note 3 2 2 3 2 3 4 3" xfId="30965"/>
    <cellStyle name="Note 3 2 2 3 2 3 4 4" xfId="30966"/>
    <cellStyle name="Note 3 2 2 3 2 3 5" xfId="30967"/>
    <cellStyle name="Note 3 2 2 3 2 3 6" xfId="30968"/>
    <cellStyle name="Note 3 2 2 3 2 3 7" xfId="30969"/>
    <cellStyle name="Note 3 2 2 3 2 3 8" xfId="30970"/>
    <cellStyle name="Note 3 2 2 3 2 4" xfId="30971"/>
    <cellStyle name="Note 3 2 2 3 2 4 2" xfId="30972"/>
    <cellStyle name="Note 3 2 2 3 2 4 2 2" xfId="30973"/>
    <cellStyle name="Note 3 2 2 3 2 4 2 3" xfId="30974"/>
    <cellStyle name="Note 3 2 2 3 2 4 2 4" xfId="30975"/>
    <cellStyle name="Note 3 2 2 3 2 4 3" xfId="30976"/>
    <cellStyle name="Note 3 2 2 3 2 4 3 2" xfId="30977"/>
    <cellStyle name="Note 3 2 2 3 2 4 3 3" xfId="30978"/>
    <cellStyle name="Note 3 2 2 3 2 4 3 4" xfId="30979"/>
    <cellStyle name="Note 3 2 2 3 2 4 4" xfId="30980"/>
    <cellStyle name="Note 3 2 2 3 2 4 4 2" xfId="30981"/>
    <cellStyle name="Note 3 2 2 3 2 4 4 3" xfId="30982"/>
    <cellStyle name="Note 3 2 2 3 2 4 4 4" xfId="30983"/>
    <cellStyle name="Note 3 2 2 3 2 4 5" xfId="30984"/>
    <cellStyle name="Note 3 2 2 3 2 4 6" xfId="30985"/>
    <cellStyle name="Note 3 2 2 3 2 4 7" xfId="30986"/>
    <cellStyle name="Note 3 2 2 3 2 4 8" xfId="30987"/>
    <cellStyle name="Note 3 2 2 3 2 5" xfId="30988"/>
    <cellStyle name="Note 3 2 2 3 2 5 2" xfId="30989"/>
    <cellStyle name="Note 3 2 2 3 2 5 2 2" xfId="30990"/>
    <cellStyle name="Note 3 2 2 3 2 5 2 3" xfId="30991"/>
    <cellStyle name="Note 3 2 2 3 2 5 2 4" xfId="30992"/>
    <cellStyle name="Note 3 2 2 3 2 5 3" xfId="30993"/>
    <cellStyle name="Note 3 2 2 3 2 5 3 2" xfId="30994"/>
    <cellStyle name="Note 3 2 2 3 2 5 3 3" xfId="30995"/>
    <cellStyle name="Note 3 2 2 3 2 5 3 4" xfId="30996"/>
    <cellStyle name="Note 3 2 2 3 2 5 4" xfId="30997"/>
    <cellStyle name="Note 3 2 2 3 2 5 4 2" xfId="30998"/>
    <cellStyle name="Note 3 2 2 3 2 5 4 3" xfId="30999"/>
    <cellStyle name="Note 3 2 2 3 2 5 4 4" xfId="31000"/>
    <cellStyle name="Note 3 2 2 3 2 5 5" xfId="31001"/>
    <cellStyle name="Note 3 2 2 3 2 5 6" xfId="31002"/>
    <cellStyle name="Note 3 2 2 3 2 5 7" xfId="31003"/>
    <cellStyle name="Note 3 2 2 3 2 5 8" xfId="31004"/>
    <cellStyle name="Note 3 2 2 3 2 6" xfId="31005"/>
    <cellStyle name="Note 3 2 2 3 2 6 2" xfId="31006"/>
    <cellStyle name="Note 3 2 2 3 2 6 2 2" xfId="31007"/>
    <cellStyle name="Note 3 2 2 3 2 6 2 3" xfId="31008"/>
    <cellStyle name="Note 3 2 2 3 2 6 2 4" xfId="31009"/>
    <cellStyle name="Note 3 2 2 3 2 6 3" xfId="31010"/>
    <cellStyle name="Note 3 2 2 3 2 6 3 2" xfId="31011"/>
    <cellStyle name="Note 3 2 2 3 2 6 3 3" xfId="31012"/>
    <cellStyle name="Note 3 2 2 3 2 6 3 4" xfId="31013"/>
    <cellStyle name="Note 3 2 2 3 2 6 4" xfId="31014"/>
    <cellStyle name="Note 3 2 2 3 2 6 4 2" xfId="31015"/>
    <cellStyle name="Note 3 2 2 3 2 6 4 3" xfId="31016"/>
    <cellStyle name="Note 3 2 2 3 2 6 4 4" xfId="31017"/>
    <cellStyle name="Note 3 2 2 3 2 6 5" xfId="31018"/>
    <cellStyle name="Note 3 2 2 3 2 6 6" xfId="31019"/>
    <cellStyle name="Note 3 2 2 3 2 6 7" xfId="31020"/>
    <cellStyle name="Note 3 2 2 3 2 6 8" xfId="31021"/>
    <cellStyle name="Note 3 2 2 3 2 7" xfId="31022"/>
    <cellStyle name="Note 3 2 2 3 2 7 2" xfId="31023"/>
    <cellStyle name="Note 3 2 2 3 2 7 2 2" xfId="31024"/>
    <cellStyle name="Note 3 2 2 3 2 7 2 3" xfId="31025"/>
    <cellStyle name="Note 3 2 2 3 2 7 2 4" xfId="31026"/>
    <cellStyle name="Note 3 2 2 3 2 7 3" xfId="31027"/>
    <cellStyle name="Note 3 2 2 3 2 7 3 2" xfId="31028"/>
    <cellStyle name="Note 3 2 2 3 2 7 3 3" xfId="31029"/>
    <cellStyle name="Note 3 2 2 3 2 7 3 4" xfId="31030"/>
    <cellStyle name="Note 3 2 2 3 2 7 4" xfId="31031"/>
    <cellStyle name="Note 3 2 2 3 2 7 4 2" xfId="31032"/>
    <cellStyle name="Note 3 2 2 3 2 7 4 3" xfId="31033"/>
    <cellStyle name="Note 3 2 2 3 2 7 4 4" xfId="31034"/>
    <cellStyle name="Note 3 2 2 3 2 7 5" xfId="31035"/>
    <cellStyle name="Note 3 2 2 3 2 7 6" xfId="31036"/>
    <cellStyle name="Note 3 2 2 3 2 7 7" xfId="31037"/>
    <cellStyle name="Note 3 2 2 3 2 7 8" xfId="31038"/>
    <cellStyle name="Note 3 2 2 3 2 8" xfId="31039"/>
    <cellStyle name="Note 3 2 2 3 2 8 2" xfId="31040"/>
    <cellStyle name="Note 3 2 2 3 2 8 3" xfId="31041"/>
    <cellStyle name="Note 3 2 2 3 2 8 4" xfId="31042"/>
    <cellStyle name="Note 3 2 2 3 2 9" xfId="31043"/>
    <cellStyle name="Note 3 2 2 3 2 9 2" xfId="31044"/>
    <cellStyle name="Note 3 2 2 3 2 9 3" xfId="31045"/>
    <cellStyle name="Note 3 2 2 3 2 9 4" xfId="31046"/>
    <cellStyle name="Note 3 2 2 3 3" xfId="31047"/>
    <cellStyle name="Note 3 2 2 3 3 2" xfId="31048"/>
    <cellStyle name="Note 3 2 2 3 3 2 2" xfId="31049"/>
    <cellStyle name="Note 3 2 2 3 3 2 2 2" xfId="31050"/>
    <cellStyle name="Note 3 2 2 3 3 2 2 3" xfId="31051"/>
    <cellStyle name="Note 3 2 2 3 3 2 2 4" xfId="31052"/>
    <cellStyle name="Note 3 2 2 3 3 2 3" xfId="31053"/>
    <cellStyle name="Note 3 2 2 3 3 2 3 2" xfId="31054"/>
    <cellStyle name="Note 3 2 2 3 3 2 3 3" xfId="31055"/>
    <cellStyle name="Note 3 2 2 3 3 2 3 4" xfId="31056"/>
    <cellStyle name="Note 3 2 2 3 3 2 4" xfId="31057"/>
    <cellStyle name="Note 3 2 2 3 3 2 4 2" xfId="31058"/>
    <cellStyle name="Note 3 2 2 3 3 2 4 3" xfId="31059"/>
    <cellStyle name="Note 3 2 2 3 3 2 4 4" xfId="31060"/>
    <cellStyle name="Note 3 2 2 3 3 2 5" xfId="31061"/>
    <cellStyle name="Note 3 2 2 3 3 2 6" xfId="31062"/>
    <cellStyle name="Note 3 2 2 3 3 2 7" xfId="31063"/>
    <cellStyle name="Note 3 2 2 3 3 2 8" xfId="31064"/>
    <cellStyle name="Note 3 2 2 3 3 3" xfId="31065"/>
    <cellStyle name="Note 3 2 2 3 3 3 2" xfId="31066"/>
    <cellStyle name="Note 3 2 2 3 3 3 2 2" xfId="31067"/>
    <cellStyle name="Note 3 2 2 3 3 3 2 3" xfId="31068"/>
    <cellStyle name="Note 3 2 2 3 3 3 2 4" xfId="31069"/>
    <cellStyle name="Note 3 2 2 3 3 3 3" xfId="31070"/>
    <cellStyle name="Note 3 2 2 3 3 3 3 2" xfId="31071"/>
    <cellStyle name="Note 3 2 2 3 3 3 3 3" xfId="31072"/>
    <cellStyle name="Note 3 2 2 3 3 3 3 4" xfId="31073"/>
    <cellStyle name="Note 3 2 2 3 3 3 4" xfId="31074"/>
    <cellStyle name="Note 3 2 2 3 3 3 4 2" xfId="31075"/>
    <cellStyle name="Note 3 2 2 3 3 3 4 3" xfId="31076"/>
    <cellStyle name="Note 3 2 2 3 3 3 4 4" xfId="31077"/>
    <cellStyle name="Note 3 2 2 3 3 3 5" xfId="31078"/>
    <cellStyle name="Note 3 2 2 3 3 3 6" xfId="31079"/>
    <cellStyle name="Note 3 2 2 3 3 3 7" xfId="31080"/>
    <cellStyle name="Note 3 2 2 3 3 3 8" xfId="31081"/>
    <cellStyle name="Note 3 2 2 3 3 4" xfId="31082"/>
    <cellStyle name="Note 3 2 2 3 3 4 2" xfId="31083"/>
    <cellStyle name="Note 3 2 2 3 3 4 2 2" xfId="31084"/>
    <cellStyle name="Note 3 2 2 3 3 4 2 3" xfId="31085"/>
    <cellStyle name="Note 3 2 2 3 3 4 2 4" xfId="31086"/>
    <cellStyle name="Note 3 2 2 3 3 4 3" xfId="31087"/>
    <cellStyle name="Note 3 2 2 3 3 4 3 2" xfId="31088"/>
    <cellStyle name="Note 3 2 2 3 3 4 3 3" xfId="31089"/>
    <cellStyle name="Note 3 2 2 3 3 4 3 4" xfId="31090"/>
    <cellStyle name="Note 3 2 2 3 3 4 4" xfId="31091"/>
    <cellStyle name="Note 3 2 2 3 3 4 4 2" xfId="31092"/>
    <cellStyle name="Note 3 2 2 3 3 4 4 3" xfId="31093"/>
    <cellStyle name="Note 3 2 2 3 3 4 4 4" xfId="31094"/>
    <cellStyle name="Note 3 2 2 3 3 4 5" xfId="31095"/>
    <cellStyle name="Note 3 2 2 3 3 4 6" xfId="31096"/>
    <cellStyle name="Note 3 2 2 3 3 4 7" xfId="31097"/>
    <cellStyle name="Note 3 2 2 3 3 4 8" xfId="31098"/>
    <cellStyle name="Note 3 2 2 3 3 5" xfId="31099"/>
    <cellStyle name="Note 3 2 2 3 3 5 2" xfId="31100"/>
    <cellStyle name="Note 3 2 2 3 3 5 2 2" xfId="31101"/>
    <cellStyle name="Note 3 2 2 3 3 5 2 3" xfId="31102"/>
    <cellStyle name="Note 3 2 2 3 3 5 2 4" xfId="31103"/>
    <cellStyle name="Note 3 2 2 3 3 5 3" xfId="31104"/>
    <cellStyle name="Note 3 2 2 3 3 5 3 2" xfId="31105"/>
    <cellStyle name="Note 3 2 2 3 3 5 3 3" xfId="31106"/>
    <cellStyle name="Note 3 2 2 3 3 5 3 4" xfId="31107"/>
    <cellStyle name="Note 3 2 2 3 3 5 4" xfId="31108"/>
    <cellStyle name="Note 3 2 2 3 3 5 4 2" xfId="31109"/>
    <cellStyle name="Note 3 2 2 3 3 5 4 3" xfId="31110"/>
    <cellStyle name="Note 3 2 2 3 3 5 4 4" xfId="31111"/>
    <cellStyle name="Note 3 2 2 3 3 5 5" xfId="31112"/>
    <cellStyle name="Note 3 2 2 3 3 5 6" xfId="31113"/>
    <cellStyle name="Note 3 2 2 3 3 5 7" xfId="31114"/>
    <cellStyle name="Note 3 2 2 3 3 5 8" xfId="31115"/>
    <cellStyle name="Note 3 2 2 3 3 6" xfId="31116"/>
    <cellStyle name="Note 3 2 2 3 3 6 2" xfId="31117"/>
    <cellStyle name="Note 3 2 2 3 3 6 3" xfId="31118"/>
    <cellStyle name="Note 3 2 2 3 3 6 4" xfId="31119"/>
    <cellStyle name="Note 3 2 2 3 3 7" xfId="31120"/>
    <cellStyle name="Note 3 2 2 3 3 7 2" xfId="31121"/>
    <cellStyle name="Note 3 2 2 3 3 7 3" xfId="31122"/>
    <cellStyle name="Note 3 2 2 3 3 7 4" xfId="31123"/>
    <cellStyle name="Note 3 2 2 3 3 8" xfId="31124"/>
    <cellStyle name="Note 3 2 2 3 3 9" xfId="31125"/>
    <cellStyle name="Note 3 2 2 3 4" xfId="31126"/>
    <cellStyle name="Note 3 2 2 3 4 2" xfId="31127"/>
    <cellStyle name="Note 3 2 2 3 4 2 2" xfId="31128"/>
    <cellStyle name="Note 3 2 2 3 4 2 3" xfId="31129"/>
    <cellStyle name="Note 3 2 2 3 4 2 4" xfId="31130"/>
    <cellStyle name="Note 3 2 2 3 4 3" xfId="31131"/>
    <cellStyle name="Note 3 2 2 3 4 3 2" xfId="31132"/>
    <cellStyle name="Note 3 2 2 3 4 3 3" xfId="31133"/>
    <cellStyle name="Note 3 2 2 3 4 3 4" xfId="31134"/>
    <cellStyle name="Note 3 2 2 3 4 4" xfId="31135"/>
    <cellStyle name="Note 3 2 2 3 4 4 2" xfId="31136"/>
    <cellStyle name="Note 3 2 2 3 4 4 3" xfId="31137"/>
    <cellStyle name="Note 3 2 2 3 4 4 4" xfId="31138"/>
    <cellStyle name="Note 3 2 2 3 4 5" xfId="31139"/>
    <cellStyle name="Note 3 2 2 3 4 6" xfId="31140"/>
    <cellStyle name="Note 3 2 2 3 4 7" xfId="31141"/>
    <cellStyle name="Note 3 2 2 3 4 8" xfId="31142"/>
    <cellStyle name="Note 3 2 2 3 5" xfId="31143"/>
    <cellStyle name="Note 3 2 2 3 5 2" xfId="31144"/>
    <cellStyle name="Note 3 2 2 3 5 2 2" xfId="31145"/>
    <cellStyle name="Note 3 2 2 3 5 2 3" xfId="31146"/>
    <cellStyle name="Note 3 2 2 3 5 2 4" xfId="31147"/>
    <cellStyle name="Note 3 2 2 3 5 3" xfId="31148"/>
    <cellStyle name="Note 3 2 2 3 5 3 2" xfId="31149"/>
    <cellStyle name="Note 3 2 2 3 5 3 3" xfId="31150"/>
    <cellStyle name="Note 3 2 2 3 5 3 4" xfId="31151"/>
    <cellStyle name="Note 3 2 2 3 5 4" xfId="31152"/>
    <cellStyle name="Note 3 2 2 3 5 4 2" xfId="31153"/>
    <cellStyle name="Note 3 2 2 3 5 4 3" xfId="31154"/>
    <cellStyle name="Note 3 2 2 3 5 4 4" xfId="31155"/>
    <cellStyle name="Note 3 2 2 3 5 5" xfId="31156"/>
    <cellStyle name="Note 3 2 2 3 5 6" xfId="31157"/>
    <cellStyle name="Note 3 2 2 3 5 7" xfId="31158"/>
    <cellStyle name="Note 3 2 2 3 5 8" xfId="31159"/>
    <cellStyle name="Note 3 2 2 3 6" xfId="31160"/>
    <cellStyle name="Note 3 2 2 3 6 2" xfId="31161"/>
    <cellStyle name="Note 3 2 2 3 6 2 2" xfId="31162"/>
    <cellStyle name="Note 3 2 2 3 6 2 3" xfId="31163"/>
    <cellStyle name="Note 3 2 2 3 6 2 4" xfId="31164"/>
    <cellStyle name="Note 3 2 2 3 6 3" xfId="31165"/>
    <cellStyle name="Note 3 2 2 3 6 3 2" xfId="31166"/>
    <cellStyle name="Note 3 2 2 3 6 3 3" xfId="31167"/>
    <cellStyle name="Note 3 2 2 3 6 3 4" xfId="31168"/>
    <cellStyle name="Note 3 2 2 3 6 4" xfId="31169"/>
    <cellStyle name="Note 3 2 2 3 6 4 2" xfId="31170"/>
    <cellStyle name="Note 3 2 2 3 6 4 3" xfId="31171"/>
    <cellStyle name="Note 3 2 2 3 6 4 4" xfId="31172"/>
    <cellStyle name="Note 3 2 2 3 6 5" xfId="31173"/>
    <cellStyle name="Note 3 2 2 3 6 6" xfId="31174"/>
    <cellStyle name="Note 3 2 2 3 6 7" xfId="31175"/>
    <cellStyle name="Note 3 2 2 3 6 8" xfId="31176"/>
    <cellStyle name="Note 3 2 2 3 7" xfId="31177"/>
    <cellStyle name="Note 3 2 2 3 7 2" xfId="31178"/>
    <cellStyle name="Note 3 2 2 3 7 2 2" xfId="31179"/>
    <cellStyle name="Note 3 2 2 3 7 2 3" xfId="31180"/>
    <cellStyle name="Note 3 2 2 3 7 2 4" xfId="31181"/>
    <cellStyle name="Note 3 2 2 3 7 3" xfId="31182"/>
    <cellStyle name="Note 3 2 2 3 7 3 2" xfId="31183"/>
    <cellStyle name="Note 3 2 2 3 7 3 3" xfId="31184"/>
    <cellStyle name="Note 3 2 2 3 7 3 4" xfId="31185"/>
    <cellStyle name="Note 3 2 2 3 7 4" xfId="31186"/>
    <cellStyle name="Note 3 2 2 3 7 4 2" xfId="31187"/>
    <cellStyle name="Note 3 2 2 3 7 4 3" xfId="31188"/>
    <cellStyle name="Note 3 2 2 3 7 4 4" xfId="31189"/>
    <cellStyle name="Note 3 2 2 3 7 5" xfId="31190"/>
    <cellStyle name="Note 3 2 2 3 7 6" xfId="31191"/>
    <cellStyle name="Note 3 2 2 3 7 7" xfId="31192"/>
    <cellStyle name="Note 3 2 2 3 7 8" xfId="31193"/>
    <cellStyle name="Note 3 2 2 3 8" xfId="31194"/>
    <cellStyle name="Note 3 2 2 3 8 2" xfId="31195"/>
    <cellStyle name="Note 3 2 2 3 8 2 2" xfId="31196"/>
    <cellStyle name="Note 3 2 2 3 8 2 3" xfId="31197"/>
    <cellStyle name="Note 3 2 2 3 8 2 4" xfId="31198"/>
    <cellStyle name="Note 3 2 2 3 8 3" xfId="31199"/>
    <cellStyle name="Note 3 2 2 3 8 3 2" xfId="31200"/>
    <cellStyle name="Note 3 2 2 3 8 3 3" xfId="31201"/>
    <cellStyle name="Note 3 2 2 3 8 3 4" xfId="31202"/>
    <cellStyle name="Note 3 2 2 3 8 4" xfId="31203"/>
    <cellStyle name="Note 3 2 2 3 8 4 2" xfId="31204"/>
    <cellStyle name="Note 3 2 2 3 8 4 3" xfId="31205"/>
    <cellStyle name="Note 3 2 2 3 8 4 4" xfId="31206"/>
    <cellStyle name="Note 3 2 2 3 8 5" xfId="31207"/>
    <cellStyle name="Note 3 2 2 3 8 6" xfId="31208"/>
    <cellStyle name="Note 3 2 2 3 8 7" xfId="31209"/>
    <cellStyle name="Note 3 2 2 3 8 8" xfId="31210"/>
    <cellStyle name="Note 3 2 2 3 9" xfId="31211"/>
    <cellStyle name="Note 3 2 2 3 9 2" xfId="31212"/>
    <cellStyle name="Note 3 2 2 3 9 3" xfId="31213"/>
    <cellStyle name="Note 3 2 2 3 9 4" xfId="31214"/>
    <cellStyle name="Note 3 2 2 4" xfId="31215"/>
    <cellStyle name="Note 3 2 2 4 10" xfId="31216"/>
    <cellStyle name="Note 3 2 2 4 11" xfId="31217"/>
    <cellStyle name="Note 3 2 2 4 2" xfId="31218"/>
    <cellStyle name="Note 3 2 2 4 2 2" xfId="31219"/>
    <cellStyle name="Note 3 2 2 4 2 2 2" xfId="31220"/>
    <cellStyle name="Note 3 2 2 4 2 2 2 2" xfId="31221"/>
    <cellStyle name="Note 3 2 2 4 2 2 2 3" xfId="31222"/>
    <cellStyle name="Note 3 2 2 4 2 2 2 4" xfId="31223"/>
    <cellStyle name="Note 3 2 2 4 2 2 3" xfId="31224"/>
    <cellStyle name="Note 3 2 2 4 2 2 3 2" xfId="31225"/>
    <cellStyle name="Note 3 2 2 4 2 2 3 3" xfId="31226"/>
    <cellStyle name="Note 3 2 2 4 2 2 3 4" xfId="31227"/>
    <cellStyle name="Note 3 2 2 4 2 2 4" xfId="31228"/>
    <cellStyle name="Note 3 2 2 4 2 2 4 2" xfId="31229"/>
    <cellStyle name="Note 3 2 2 4 2 2 4 3" xfId="31230"/>
    <cellStyle name="Note 3 2 2 4 2 2 4 4" xfId="31231"/>
    <cellStyle name="Note 3 2 2 4 2 2 5" xfId="31232"/>
    <cellStyle name="Note 3 2 2 4 2 2 6" xfId="31233"/>
    <cellStyle name="Note 3 2 2 4 2 2 7" xfId="31234"/>
    <cellStyle name="Note 3 2 2 4 2 2 8" xfId="31235"/>
    <cellStyle name="Note 3 2 2 4 2 3" xfId="31236"/>
    <cellStyle name="Note 3 2 2 4 2 3 2" xfId="31237"/>
    <cellStyle name="Note 3 2 2 4 2 3 2 2" xfId="31238"/>
    <cellStyle name="Note 3 2 2 4 2 3 2 3" xfId="31239"/>
    <cellStyle name="Note 3 2 2 4 2 3 2 4" xfId="31240"/>
    <cellStyle name="Note 3 2 2 4 2 3 3" xfId="31241"/>
    <cellStyle name="Note 3 2 2 4 2 3 3 2" xfId="31242"/>
    <cellStyle name="Note 3 2 2 4 2 3 3 3" xfId="31243"/>
    <cellStyle name="Note 3 2 2 4 2 3 3 4" xfId="31244"/>
    <cellStyle name="Note 3 2 2 4 2 3 4" xfId="31245"/>
    <cellStyle name="Note 3 2 2 4 2 3 4 2" xfId="31246"/>
    <cellStyle name="Note 3 2 2 4 2 3 4 3" xfId="31247"/>
    <cellStyle name="Note 3 2 2 4 2 3 4 4" xfId="31248"/>
    <cellStyle name="Note 3 2 2 4 2 3 5" xfId="31249"/>
    <cellStyle name="Note 3 2 2 4 2 3 6" xfId="31250"/>
    <cellStyle name="Note 3 2 2 4 2 3 7" xfId="31251"/>
    <cellStyle name="Note 3 2 2 4 2 3 8" xfId="31252"/>
    <cellStyle name="Note 3 2 2 4 2 4" xfId="31253"/>
    <cellStyle name="Note 3 2 2 4 2 4 2" xfId="31254"/>
    <cellStyle name="Note 3 2 2 4 2 4 2 2" xfId="31255"/>
    <cellStyle name="Note 3 2 2 4 2 4 2 3" xfId="31256"/>
    <cellStyle name="Note 3 2 2 4 2 4 2 4" xfId="31257"/>
    <cellStyle name="Note 3 2 2 4 2 4 3" xfId="31258"/>
    <cellStyle name="Note 3 2 2 4 2 4 3 2" xfId="31259"/>
    <cellStyle name="Note 3 2 2 4 2 4 3 3" xfId="31260"/>
    <cellStyle name="Note 3 2 2 4 2 4 3 4" xfId="31261"/>
    <cellStyle name="Note 3 2 2 4 2 4 4" xfId="31262"/>
    <cellStyle name="Note 3 2 2 4 2 4 4 2" xfId="31263"/>
    <cellStyle name="Note 3 2 2 4 2 4 4 3" xfId="31264"/>
    <cellStyle name="Note 3 2 2 4 2 4 4 4" xfId="31265"/>
    <cellStyle name="Note 3 2 2 4 2 4 5" xfId="31266"/>
    <cellStyle name="Note 3 2 2 4 2 4 6" xfId="31267"/>
    <cellStyle name="Note 3 2 2 4 2 4 7" xfId="31268"/>
    <cellStyle name="Note 3 2 2 4 2 4 8" xfId="31269"/>
    <cellStyle name="Note 3 2 2 4 2 5" xfId="31270"/>
    <cellStyle name="Note 3 2 2 4 2 5 2" xfId="31271"/>
    <cellStyle name="Note 3 2 2 4 2 5 2 2" xfId="31272"/>
    <cellStyle name="Note 3 2 2 4 2 5 2 3" xfId="31273"/>
    <cellStyle name="Note 3 2 2 4 2 5 2 4" xfId="31274"/>
    <cellStyle name="Note 3 2 2 4 2 5 3" xfId="31275"/>
    <cellStyle name="Note 3 2 2 4 2 5 3 2" xfId="31276"/>
    <cellStyle name="Note 3 2 2 4 2 5 3 3" xfId="31277"/>
    <cellStyle name="Note 3 2 2 4 2 5 3 4" xfId="31278"/>
    <cellStyle name="Note 3 2 2 4 2 5 4" xfId="31279"/>
    <cellStyle name="Note 3 2 2 4 2 5 4 2" xfId="31280"/>
    <cellStyle name="Note 3 2 2 4 2 5 4 3" xfId="31281"/>
    <cellStyle name="Note 3 2 2 4 2 5 4 4" xfId="31282"/>
    <cellStyle name="Note 3 2 2 4 2 5 5" xfId="31283"/>
    <cellStyle name="Note 3 2 2 4 2 5 6" xfId="31284"/>
    <cellStyle name="Note 3 2 2 4 2 5 7" xfId="31285"/>
    <cellStyle name="Note 3 2 2 4 2 5 8" xfId="31286"/>
    <cellStyle name="Note 3 2 2 4 2 6" xfId="31287"/>
    <cellStyle name="Note 3 2 2 4 2 6 2" xfId="31288"/>
    <cellStyle name="Note 3 2 2 4 2 6 3" xfId="31289"/>
    <cellStyle name="Note 3 2 2 4 2 6 4" xfId="31290"/>
    <cellStyle name="Note 3 2 2 4 2 7" xfId="31291"/>
    <cellStyle name="Note 3 2 2 4 2 7 2" xfId="31292"/>
    <cellStyle name="Note 3 2 2 4 2 7 3" xfId="31293"/>
    <cellStyle name="Note 3 2 2 4 2 7 4" xfId="31294"/>
    <cellStyle name="Note 3 2 2 4 2 8" xfId="31295"/>
    <cellStyle name="Note 3 2 2 4 2 9" xfId="31296"/>
    <cellStyle name="Note 3 2 2 4 3" xfId="31297"/>
    <cellStyle name="Note 3 2 2 4 3 2" xfId="31298"/>
    <cellStyle name="Note 3 2 2 4 3 2 2" xfId="31299"/>
    <cellStyle name="Note 3 2 2 4 3 2 3" xfId="31300"/>
    <cellStyle name="Note 3 2 2 4 3 2 4" xfId="31301"/>
    <cellStyle name="Note 3 2 2 4 3 3" xfId="31302"/>
    <cellStyle name="Note 3 2 2 4 3 3 2" xfId="31303"/>
    <cellStyle name="Note 3 2 2 4 3 3 3" xfId="31304"/>
    <cellStyle name="Note 3 2 2 4 3 3 4" xfId="31305"/>
    <cellStyle name="Note 3 2 2 4 3 4" xfId="31306"/>
    <cellStyle name="Note 3 2 2 4 3 4 2" xfId="31307"/>
    <cellStyle name="Note 3 2 2 4 3 4 3" xfId="31308"/>
    <cellStyle name="Note 3 2 2 4 3 4 4" xfId="31309"/>
    <cellStyle name="Note 3 2 2 4 3 5" xfId="31310"/>
    <cellStyle name="Note 3 2 2 4 3 6" xfId="31311"/>
    <cellStyle name="Note 3 2 2 4 3 7" xfId="31312"/>
    <cellStyle name="Note 3 2 2 4 3 8" xfId="31313"/>
    <cellStyle name="Note 3 2 2 4 4" xfId="31314"/>
    <cellStyle name="Note 3 2 2 4 4 2" xfId="31315"/>
    <cellStyle name="Note 3 2 2 4 4 2 2" xfId="31316"/>
    <cellStyle name="Note 3 2 2 4 4 2 3" xfId="31317"/>
    <cellStyle name="Note 3 2 2 4 4 2 4" xfId="31318"/>
    <cellStyle name="Note 3 2 2 4 4 3" xfId="31319"/>
    <cellStyle name="Note 3 2 2 4 4 3 2" xfId="31320"/>
    <cellStyle name="Note 3 2 2 4 4 3 3" xfId="31321"/>
    <cellStyle name="Note 3 2 2 4 4 3 4" xfId="31322"/>
    <cellStyle name="Note 3 2 2 4 4 4" xfId="31323"/>
    <cellStyle name="Note 3 2 2 4 4 4 2" xfId="31324"/>
    <cellStyle name="Note 3 2 2 4 4 4 3" xfId="31325"/>
    <cellStyle name="Note 3 2 2 4 4 4 4" xfId="31326"/>
    <cellStyle name="Note 3 2 2 4 4 5" xfId="31327"/>
    <cellStyle name="Note 3 2 2 4 4 6" xfId="31328"/>
    <cellStyle name="Note 3 2 2 4 4 7" xfId="31329"/>
    <cellStyle name="Note 3 2 2 4 4 8" xfId="31330"/>
    <cellStyle name="Note 3 2 2 4 5" xfId="31331"/>
    <cellStyle name="Note 3 2 2 4 5 2" xfId="31332"/>
    <cellStyle name="Note 3 2 2 4 5 2 2" xfId="31333"/>
    <cellStyle name="Note 3 2 2 4 5 2 3" xfId="31334"/>
    <cellStyle name="Note 3 2 2 4 5 2 4" xfId="31335"/>
    <cellStyle name="Note 3 2 2 4 5 3" xfId="31336"/>
    <cellStyle name="Note 3 2 2 4 5 3 2" xfId="31337"/>
    <cellStyle name="Note 3 2 2 4 5 3 3" xfId="31338"/>
    <cellStyle name="Note 3 2 2 4 5 3 4" xfId="31339"/>
    <cellStyle name="Note 3 2 2 4 5 4" xfId="31340"/>
    <cellStyle name="Note 3 2 2 4 5 4 2" xfId="31341"/>
    <cellStyle name="Note 3 2 2 4 5 4 3" xfId="31342"/>
    <cellStyle name="Note 3 2 2 4 5 4 4" xfId="31343"/>
    <cellStyle name="Note 3 2 2 4 5 5" xfId="31344"/>
    <cellStyle name="Note 3 2 2 4 5 6" xfId="31345"/>
    <cellStyle name="Note 3 2 2 4 5 7" xfId="31346"/>
    <cellStyle name="Note 3 2 2 4 5 8" xfId="31347"/>
    <cellStyle name="Note 3 2 2 4 6" xfId="31348"/>
    <cellStyle name="Note 3 2 2 4 6 2" xfId="31349"/>
    <cellStyle name="Note 3 2 2 4 6 2 2" xfId="31350"/>
    <cellStyle name="Note 3 2 2 4 6 2 3" xfId="31351"/>
    <cellStyle name="Note 3 2 2 4 6 2 4" xfId="31352"/>
    <cellStyle name="Note 3 2 2 4 6 3" xfId="31353"/>
    <cellStyle name="Note 3 2 2 4 6 3 2" xfId="31354"/>
    <cellStyle name="Note 3 2 2 4 6 3 3" xfId="31355"/>
    <cellStyle name="Note 3 2 2 4 6 3 4" xfId="31356"/>
    <cellStyle name="Note 3 2 2 4 6 4" xfId="31357"/>
    <cellStyle name="Note 3 2 2 4 6 4 2" xfId="31358"/>
    <cellStyle name="Note 3 2 2 4 6 4 3" xfId="31359"/>
    <cellStyle name="Note 3 2 2 4 6 4 4" xfId="31360"/>
    <cellStyle name="Note 3 2 2 4 6 5" xfId="31361"/>
    <cellStyle name="Note 3 2 2 4 6 6" xfId="31362"/>
    <cellStyle name="Note 3 2 2 4 6 7" xfId="31363"/>
    <cellStyle name="Note 3 2 2 4 6 8" xfId="31364"/>
    <cellStyle name="Note 3 2 2 4 7" xfId="31365"/>
    <cellStyle name="Note 3 2 2 4 7 2" xfId="31366"/>
    <cellStyle name="Note 3 2 2 4 7 2 2" xfId="31367"/>
    <cellStyle name="Note 3 2 2 4 7 2 3" xfId="31368"/>
    <cellStyle name="Note 3 2 2 4 7 2 4" xfId="31369"/>
    <cellStyle name="Note 3 2 2 4 7 3" xfId="31370"/>
    <cellStyle name="Note 3 2 2 4 7 3 2" xfId="31371"/>
    <cellStyle name="Note 3 2 2 4 7 3 3" xfId="31372"/>
    <cellStyle name="Note 3 2 2 4 7 3 4" xfId="31373"/>
    <cellStyle name="Note 3 2 2 4 7 4" xfId="31374"/>
    <cellStyle name="Note 3 2 2 4 7 4 2" xfId="31375"/>
    <cellStyle name="Note 3 2 2 4 7 4 3" xfId="31376"/>
    <cellStyle name="Note 3 2 2 4 7 4 4" xfId="31377"/>
    <cellStyle name="Note 3 2 2 4 7 5" xfId="31378"/>
    <cellStyle name="Note 3 2 2 4 7 6" xfId="31379"/>
    <cellStyle name="Note 3 2 2 4 7 7" xfId="31380"/>
    <cellStyle name="Note 3 2 2 4 7 8" xfId="31381"/>
    <cellStyle name="Note 3 2 2 4 8" xfId="31382"/>
    <cellStyle name="Note 3 2 2 4 8 2" xfId="31383"/>
    <cellStyle name="Note 3 2 2 4 8 3" xfId="31384"/>
    <cellStyle name="Note 3 2 2 4 8 4" xfId="31385"/>
    <cellStyle name="Note 3 2 2 4 9" xfId="31386"/>
    <cellStyle name="Note 3 2 2 4 9 2" xfId="31387"/>
    <cellStyle name="Note 3 2 2 4 9 3" xfId="31388"/>
    <cellStyle name="Note 3 2 2 4 9 4" xfId="31389"/>
    <cellStyle name="Note 3 2 2 5" xfId="31390"/>
    <cellStyle name="Note 3 2 2 5 2" xfId="31391"/>
    <cellStyle name="Note 3 2 2 5 2 2" xfId="31392"/>
    <cellStyle name="Note 3 2 2 5 2 2 2" xfId="31393"/>
    <cellStyle name="Note 3 2 2 5 2 2 3" xfId="31394"/>
    <cellStyle name="Note 3 2 2 5 2 2 4" xfId="31395"/>
    <cellStyle name="Note 3 2 2 5 2 3" xfId="31396"/>
    <cellStyle name="Note 3 2 2 5 2 3 2" xfId="31397"/>
    <cellStyle name="Note 3 2 2 5 2 3 3" xfId="31398"/>
    <cellStyle name="Note 3 2 2 5 2 3 4" xfId="31399"/>
    <cellStyle name="Note 3 2 2 5 2 4" xfId="31400"/>
    <cellStyle name="Note 3 2 2 5 2 4 2" xfId="31401"/>
    <cellStyle name="Note 3 2 2 5 2 4 3" xfId="31402"/>
    <cellStyle name="Note 3 2 2 5 2 4 4" xfId="31403"/>
    <cellStyle name="Note 3 2 2 5 2 5" xfId="31404"/>
    <cellStyle name="Note 3 2 2 5 2 6" xfId="31405"/>
    <cellStyle name="Note 3 2 2 5 2 7" xfId="31406"/>
    <cellStyle name="Note 3 2 2 5 2 8" xfId="31407"/>
    <cellStyle name="Note 3 2 2 5 3" xfId="31408"/>
    <cellStyle name="Note 3 2 2 5 3 2" xfId="31409"/>
    <cellStyle name="Note 3 2 2 5 3 2 2" xfId="31410"/>
    <cellStyle name="Note 3 2 2 5 3 2 3" xfId="31411"/>
    <cellStyle name="Note 3 2 2 5 3 2 4" xfId="31412"/>
    <cellStyle name="Note 3 2 2 5 3 3" xfId="31413"/>
    <cellStyle name="Note 3 2 2 5 3 3 2" xfId="31414"/>
    <cellStyle name="Note 3 2 2 5 3 3 3" xfId="31415"/>
    <cellStyle name="Note 3 2 2 5 3 3 4" xfId="31416"/>
    <cellStyle name="Note 3 2 2 5 3 4" xfId="31417"/>
    <cellStyle name="Note 3 2 2 5 3 4 2" xfId="31418"/>
    <cellStyle name="Note 3 2 2 5 3 4 3" xfId="31419"/>
    <cellStyle name="Note 3 2 2 5 3 4 4" xfId="31420"/>
    <cellStyle name="Note 3 2 2 5 3 5" xfId="31421"/>
    <cellStyle name="Note 3 2 2 5 3 6" xfId="31422"/>
    <cellStyle name="Note 3 2 2 5 3 7" xfId="31423"/>
    <cellStyle name="Note 3 2 2 5 3 8" xfId="31424"/>
    <cellStyle name="Note 3 2 2 5 4" xfId="31425"/>
    <cellStyle name="Note 3 2 2 5 4 2" xfId="31426"/>
    <cellStyle name="Note 3 2 2 5 4 2 2" xfId="31427"/>
    <cellStyle name="Note 3 2 2 5 4 2 3" xfId="31428"/>
    <cellStyle name="Note 3 2 2 5 4 2 4" xfId="31429"/>
    <cellStyle name="Note 3 2 2 5 4 3" xfId="31430"/>
    <cellStyle name="Note 3 2 2 5 4 3 2" xfId="31431"/>
    <cellStyle name="Note 3 2 2 5 4 3 3" xfId="31432"/>
    <cellStyle name="Note 3 2 2 5 4 3 4" xfId="31433"/>
    <cellStyle name="Note 3 2 2 5 4 4" xfId="31434"/>
    <cellStyle name="Note 3 2 2 5 4 4 2" xfId="31435"/>
    <cellStyle name="Note 3 2 2 5 4 4 3" xfId="31436"/>
    <cellStyle name="Note 3 2 2 5 4 4 4" xfId="31437"/>
    <cellStyle name="Note 3 2 2 5 4 5" xfId="31438"/>
    <cellStyle name="Note 3 2 2 5 4 6" xfId="31439"/>
    <cellStyle name="Note 3 2 2 5 4 7" xfId="31440"/>
    <cellStyle name="Note 3 2 2 5 4 8" xfId="31441"/>
    <cellStyle name="Note 3 2 2 5 5" xfId="31442"/>
    <cellStyle name="Note 3 2 2 5 5 2" xfId="31443"/>
    <cellStyle name="Note 3 2 2 5 5 2 2" xfId="31444"/>
    <cellStyle name="Note 3 2 2 5 5 2 3" xfId="31445"/>
    <cellStyle name="Note 3 2 2 5 5 2 4" xfId="31446"/>
    <cellStyle name="Note 3 2 2 5 5 3" xfId="31447"/>
    <cellStyle name="Note 3 2 2 5 5 3 2" xfId="31448"/>
    <cellStyle name="Note 3 2 2 5 5 3 3" xfId="31449"/>
    <cellStyle name="Note 3 2 2 5 5 3 4" xfId="31450"/>
    <cellStyle name="Note 3 2 2 5 5 4" xfId="31451"/>
    <cellStyle name="Note 3 2 2 5 5 4 2" xfId="31452"/>
    <cellStyle name="Note 3 2 2 5 5 4 3" xfId="31453"/>
    <cellStyle name="Note 3 2 2 5 5 4 4" xfId="31454"/>
    <cellStyle name="Note 3 2 2 5 5 5" xfId="31455"/>
    <cellStyle name="Note 3 2 2 5 5 6" xfId="31456"/>
    <cellStyle name="Note 3 2 2 5 5 7" xfId="31457"/>
    <cellStyle name="Note 3 2 2 5 5 8" xfId="31458"/>
    <cellStyle name="Note 3 2 2 5 6" xfId="31459"/>
    <cellStyle name="Note 3 2 2 5 6 2" xfId="31460"/>
    <cellStyle name="Note 3 2 2 5 6 3" xfId="31461"/>
    <cellStyle name="Note 3 2 2 5 6 4" xfId="31462"/>
    <cellStyle name="Note 3 2 2 5 7" xfId="31463"/>
    <cellStyle name="Note 3 2 2 5 7 2" xfId="31464"/>
    <cellStyle name="Note 3 2 2 5 7 3" xfId="31465"/>
    <cellStyle name="Note 3 2 2 5 7 4" xfId="31466"/>
    <cellStyle name="Note 3 2 2 5 8" xfId="31467"/>
    <cellStyle name="Note 3 2 2 5 9" xfId="31468"/>
    <cellStyle name="Note 3 2 2 6" xfId="31469"/>
    <cellStyle name="Note 3 2 2 6 2" xfId="31470"/>
    <cellStyle name="Note 3 2 2 6 2 2" xfId="31471"/>
    <cellStyle name="Note 3 2 2 6 2 3" xfId="31472"/>
    <cellStyle name="Note 3 2 2 6 2 4" xfId="31473"/>
    <cellStyle name="Note 3 2 2 6 3" xfId="31474"/>
    <cellStyle name="Note 3 2 2 6 3 2" xfId="31475"/>
    <cellStyle name="Note 3 2 2 6 3 3" xfId="31476"/>
    <cellStyle name="Note 3 2 2 6 3 4" xfId="31477"/>
    <cellStyle name="Note 3 2 2 6 4" xfId="31478"/>
    <cellStyle name="Note 3 2 2 6 4 2" xfId="31479"/>
    <cellStyle name="Note 3 2 2 6 4 3" xfId="31480"/>
    <cellStyle name="Note 3 2 2 6 4 4" xfId="31481"/>
    <cellStyle name="Note 3 2 2 6 5" xfId="31482"/>
    <cellStyle name="Note 3 2 2 6 6" xfId="31483"/>
    <cellStyle name="Note 3 2 2 6 7" xfId="31484"/>
    <cellStyle name="Note 3 2 2 6 8" xfId="31485"/>
    <cellStyle name="Note 3 2 2 7" xfId="31486"/>
    <cellStyle name="Note 3 2 2 7 2" xfId="31487"/>
    <cellStyle name="Note 3 2 2 7 2 2" xfId="31488"/>
    <cellStyle name="Note 3 2 2 7 2 3" xfId="31489"/>
    <cellStyle name="Note 3 2 2 7 2 4" xfId="31490"/>
    <cellStyle name="Note 3 2 2 7 3" xfId="31491"/>
    <cellStyle name="Note 3 2 2 7 3 2" xfId="31492"/>
    <cellStyle name="Note 3 2 2 7 3 3" xfId="31493"/>
    <cellStyle name="Note 3 2 2 7 3 4" xfId="31494"/>
    <cellStyle name="Note 3 2 2 7 4" xfId="31495"/>
    <cellStyle name="Note 3 2 2 7 4 2" xfId="31496"/>
    <cellStyle name="Note 3 2 2 7 4 3" xfId="31497"/>
    <cellStyle name="Note 3 2 2 7 4 4" xfId="31498"/>
    <cellStyle name="Note 3 2 2 7 5" xfId="31499"/>
    <cellStyle name="Note 3 2 2 7 6" xfId="31500"/>
    <cellStyle name="Note 3 2 2 7 7" xfId="31501"/>
    <cellStyle name="Note 3 2 2 7 8" xfId="31502"/>
    <cellStyle name="Note 3 2 2 8" xfId="31503"/>
    <cellStyle name="Note 3 2 2 8 2" xfId="31504"/>
    <cellStyle name="Note 3 2 2 8 2 2" xfId="31505"/>
    <cellStyle name="Note 3 2 2 8 2 3" xfId="31506"/>
    <cellStyle name="Note 3 2 2 8 2 4" xfId="31507"/>
    <cellStyle name="Note 3 2 2 8 3" xfId="31508"/>
    <cellStyle name="Note 3 2 2 8 3 2" xfId="31509"/>
    <cellStyle name="Note 3 2 2 8 3 3" xfId="31510"/>
    <cellStyle name="Note 3 2 2 8 3 4" xfId="31511"/>
    <cellStyle name="Note 3 2 2 8 4" xfId="31512"/>
    <cellStyle name="Note 3 2 2 8 4 2" xfId="31513"/>
    <cellStyle name="Note 3 2 2 8 4 3" xfId="31514"/>
    <cellStyle name="Note 3 2 2 8 4 4" xfId="31515"/>
    <cellStyle name="Note 3 2 2 8 5" xfId="31516"/>
    <cellStyle name="Note 3 2 2 8 6" xfId="31517"/>
    <cellStyle name="Note 3 2 2 8 7" xfId="31518"/>
    <cellStyle name="Note 3 2 2 8 8" xfId="31519"/>
    <cellStyle name="Note 3 2 2 9" xfId="31520"/>
    <cellStyle name="Note 3 2 2 9 2" xfId="31521"/>
    <cellStyle name="Note 3 2 2 9 2 2" xfId="31522"/>
    <cellStyle name="Note 3 2 2 9 2 3" xfId="31523"/>
    <cellStyle name="Note 3 2 2 9 2 4" xfId="31524"/>
    <cellStyle name="Note 3 2 2 9 3" xfId="31525"/>
    <cellStyle name="Note 3 2 2 9 3 2" xfId="31526"/>
    <cellStyle name="Note 3 2 2 9 3 3" xfId="31527"/>
    <cellStyle name="Note 3 2 2 9 3 4" xfId="31528"/>
    <cellStyle name="Note 3 2 2 9 4" xfId="31529"/>
    <cellStyle name="Note 3 2 2 9 4 2" xfId="31530"/>
    <cellStyle name="Note 3 2 2 9 4 3" xfId="31531"/>
    <cellStyle name="Note 3 2 2 9 4 4" xfId="31532"/>
    <cellStyle name="Note 3 2 2 9 5" xfId="31533"/>
    <cellStyle name="Note 3 2 2 9 6" xfId="31534"/>
    <cellStyle name="Note 3 2 2 9 7" xfId="31535"/>
    <cellStyle name="Note 3 2 2 9 8" xfId="31536"/>
    <cellStyle name="Note 3 2 3" xfId="31537"/>
    <cellStyle name="Note 3 2 3 10" xfId="31538"/>
    <cellStyle name="Note 3 2 3 10 2" xfId="31539"/>
    <cellStyle name="Note 3 2 3 10 3" xfId="31540"/>
    <cellStyle name="Note 3 2 3 10 4" xfId="31541"/>
    <cellStyle name="Note 3 2 3 11" xfId="31542"/>
    <cellStyle name="Note 3 2 3 11 2" xfId="31543"/>
    <cellStyle name="Note 3 2 3 11 3" xfId="31544"/>
    <cellStyle name="Note 3 2 3 11 4" xfId="31545"/>
    <cellStyle name="Note 3 2 3 12" xfId="31546"/>
    <cellStyle name="Note 3 2 3 13" xfId="31547"/>
    <cellStyle name="Note 3 2 3 2" xfId="31548"/>
    <cellStyle name="Note 3 2 3 2 10" xfId="31549"/>
    <cellStyle name="Note 3 2 3 2 10 2" xfId="31550"/>
    <cellStyle name="Note 3 2 3 2 10 3" xfId="31551"/>
    <cellStyle name="Note 3 2 3 2 10 4" xfId="31552"/>
    <cellStyle name="Note 3 2 3 2 11" xfId="31553"/>
    <cellStyle name="Note 3 2 3 2 12" xfId="31554"/>
    <cellStyle name="Note 3 2 3 2 2" xfId="31555"/>
    <cellStyle name="Note 3 2 3 2 2 10" xfId="31556"/>
    <cellStyle name="Note 3 2 3 2 2 11" xfId="31557"/>
    <cellStyle name="Note 3 2 3 2 2 2" xfId="31558"/>
    <cellStyle name="Note 3 2 3 2 2 2 2" xfId="31559"/>
    <cellStyle name="Note 3 2 3 2 2 2 2 2" xfId="31560"/>
    <cellStyle name="Note 3 2 3 2 2 2 2 2 2" xfId="31561"/>
    <cellStyle name="Note 3 2 3 2 2 2 2 2 3" xfId="31562"/>
    <cellStyle name="Note 3 2 3 2 2 2 2 2 4" xfId="31563"/>
    <cellStyle name="Note 3 2 3 2 2 2 2 3" xfId="31564"/>
    <cellStyle name="Note 3 2 3 2 2 2 2 3 2" xfId="31565"/>
    <cellStyle name="Note 3 2 3 2 2 2 2 3 3" xfId="31566"/>
    <cellStyle name="Note 3 2 3 2 2 2 2 3 4" xfId="31567"/>
    <cellStyle name="Note 3 2 3 2 2 2 2 4" xfId="31568"/>
    <cellStyle name="Note 3 2 3 2 2 2 2 4 2" xfId="31569"/>
    <cellStyle name="Note 3 2 3 2 2 2 2 4 3" xfId="31570"/>
    <cellStyle name="Note 3 2 3 2 2 2 2 4 4" xfId="31571"/>
    <cellStyle name="Note 3 2 3 2 2 2 2 5" xfId="31572"/>
    <cellStyle name="Note 3 2 3 2 2 2 2 6" xfId="31573"/>
    <cellStyle name="Note 3 2 3 2 2 2 2 7" xfId="31574"/>
    <cellStyle name="Note 3 2 3 2 2 2 2 8" xfId="31575"/>
    <cellStyle name="Note 3 2 3 2 2 2 3" xfId="31576"/>
    <cellStyle name="Note 3 2 3 2 2 2 3 2" xfId="31577"/>
    <cellStyle name="Note 3 2 3 2 2 2 3 2 2" xfId="31578"/>
    <cellStyle name="Note 3 2 3 2 2 2 3 2 3" xfId="31579"/>
    <cellStyle name="Note 3 2 3 2 2 2 3 2 4" xfId="31580"/>
    <cellStyle name="Note 3 2 3 2 2 2 3 3" xfId="31581"/>
    <cellStyle name="Note 3 2 3 2 2 2 3 3 2" xfId="31582"/>
    <cellStyle name="Note 3 2 3 2 2 2 3 3 3" xfId="31583"/>
    <cellStyle name="Note 3 2 3 2 2 2 3 3 4" xfId="31584"/>
    <cellStyle name="Note 3 2 3 2 2 2 3 4" xfId="31585"/>
    <cellStyle name="Note 3 2 3 2 2 2 3 4 2" xfId="31586"/>
    <cellStyle name="Note 3 2 3 2 2 2 3 4 3" xfId="31587"/>
    <cellStyle name="Note 3 2 3 2 2 2 3 4 4" xfId="31588"/>
    <cellStyle name="Note 3 2 3 2 2 2 3 5" xfId="31589"/>
    <cellStyle name="Note 3 2 3 2 2 2 3 6" xfId="31590"/>
    <cellStyle name="Note 3 2 3 2 2 2 3 7" xfId="31591"/>
    <cellStyle name="Note 3 2 3 2 2 2 3 8" xfId="31592"/>
    <cellStyle name="Note 3 2 3 2 2 2 4" xfId="31593"/>
    <cellStyle name="Note 3 2 3 2 2 2 4 2" xfId="31594"/>
    <cellStyle name="Note 3 2 3 2 2 2 4 2 2" xfId="31595"/>
    <cellStyle name="Note 3 2 3 2 2 2 4 2 3" xfId="31596"/>
    <cellStyle name="Note 3 2 3 2 2 2 4 2 4" xfId="31597"/>
    <cellStyle name="Note 3 2 3 2 2 2 4 3" xfId="31598"/>
    <cellStyle name="Note 3 2 3 2 2 2 4 3 2" xfId="31599"/>
    <cellStyle name="Note 3 2 3 2 2 2 4 3 3" xfId="31600"/>
    <cellStyle name="Note 3 2 3 2 2 2 4 3 4" xfId="31601"/>
    <cellStyle name="Note 3 2 3 2 2 2 4 4" xfId="31602"/>
    <cellStyle name="Note 3 2 3 2 2 2 4 4 2" xfId="31603"/>
    <cellStyle name="Note 3 2 3 2 2 2 4 4 3" xfId="31604"/>
    <cellStyle name="Note 3 2 3 2 2 2 4 4 4" xfId="31605"/>
    <cellStyle name="Note 3 2 3 2 2 2 4 5" xfId="31606"/>
    <cellStyle name="Note 3 2 3 2 2 2 4 6" xfId="31607"/>
    <cellStyle name="Note 3 2 3 2 2 2 4 7" xfId="31608"/>
    <cellStyle name="Note 3 2 3 2 2 2 4 8" xfId="31609"/>
    <cellStyle name="Note 3 2 3 2 2 2 5" xfId="31610"/>
    <cellStyle name="Note 3 2 3 2 2 2 5 2" xfId="31611"/>
    <cellStyle name="Note 3 2 3 2 2 2 5 2 2" xfId="31612"/>
    <cellStyle name="Note 3 2 3 2 2 2 5 2 3" xfId="31613"/>
    <cellStyle name="Note 3 2 3 2 2 2 5 2 4" xfId="31614"/>
    <cellStyle name="Note 3 2 3 2 2 2 5 3" xfId="31615"/>
    <cellStyle name="Note 3 2 3 2 2 2 5 3 2" xfId="31616"/>
    <cellStyle name="Note 3 2 3 2 2 2 5 3 3" xfId="31617"/>
    <cellStyle name="Note 3 2 3 2 2 2 5 3 4" xfId="31618"/>
    <cellStyle name="Note 3 2 3 2 2 2 5 4" xfId="31619"/>
    <cellStyle name="Note 3 2 3 2 2 2 5 4 2" xfId="31620"/>
    <cellStyle name="Note 3 2 3 2 2 2 5 4 3" xfId="31621"/>
    <cellStyle name="Note 3 2 3 2 2 2 5 4 4" xfId="31622"/>
    <cellStyle name="Note 3 2 3 2 2 2 5 5" xfId="31623"/>
    <cellStyle name="Note 3 2 3 2 2 2 5 6" xfId="31624"/>
    <cellStyle name="Note 3 2 3 2 2 2 5 7" xfId="31625"/>
    <cellStyle name="Note 3 2 3 2 2 2 5 8" xfId="31626"/>
    <cellStyle name="Note 3 2 3 2 2 2 6" xfId="31627"/>
    <cellStyle name="Note 3 2 3 2 2 2 6 2" xfId="31628"/>
    <cellStyle name="Note 3 2 3 2 2 2 6 3" xfId="31629"/>
    <cellStyle name="Note 3 2 3 2 2 2 6 4" xfId="31630"/>
    <cellStyle name="Note 3 2 3 2 2 2 7" xfId="31631"/>
    <cellStyle name="Note 3 2 3 2 2 2 7 2" xfId="31632"/>
    <cellStyle name="Note 3 2 3 2 2 2 7 3" xfId="31633"/>
    <cellStyle name="Note 3 2 3 2 2 2 7 4" xfId="31634"/>
    <cellStyle name="Note 3 2 3 2 2 2 8" xfId="31635"/>
    <cellStyle name="Note 3 2 3 2 2 2 9" xfId="31636"/>
    <cellStyle name="Note 3 2 3 2 2 3" xfId="31637"/>
    <cellStyle name="Note 3 2 3 2 2 3 2" xfId="31638"/>
    <cellStyle name="Note 3 2 3 2 2 3 2 2" xfId="31639"/>
    <cellStyle name="Note 3 2 3 2 2 3 2 3" xfId="31640"/>
    <cellStyle name="Note 3 2 3 2 2 3 2 4" xfId="31641"/>
    <cellStyle name="Note 3 2 3 2 2 3 3" xfId="31642"/>
    <cellStyle name="Note 3 2 3 2 2 3 3 2" xfId="31643"/>
    <cellStyle name="Note 3 2 3 2 2 3 3 3" xfId="31644"/>
    <cellStyle name="Note 3 2 3 2 2 3 3 4" xfId="31645"/>
    <cellStyle name="Note 3 2 3 2 2 3 4" xfId="31646"/>
    <cellStyle name="Note 3 2 3 2 2 3 4 2" xfId="31647"/>
    <cellStyle name="Note 3 2 3 2 2 3 4 3" xfId="31648"/>
    <cellStyle name="Note 3 2 3 2 2 3 4 4" xfId="31649"/>
    <cellStyle name="Note 3 2 3 2 2 3 5" xfId="31650"/>
    <cellStyle name="Note 3 2 3 2 2 3 6" xfId="31651"/>
    <cellStyle name="Note 3 2 3 2 2 3 7" xfId="31652"/>
    <cellStyle name="Note 3 2 3 2 2 3 8" xfId="31653"/>
    <cellStyle name="Note 3 2 3 2 2 4" xfId="31654"/>
    <cellStyle name="Note 3 2 3 2 2 4 2" xfId="31655"/>
    <cellStyle name="Note 3 2 3 2 2 4 2 2" xfId="31656"/>
    <cellStyle name="Note 3 2 3 2 2 4 2 3" xfId="31657"/>
    <cellStyle name="Note 3 2 3 2 2 4 2 4" xfId="31658"/>
    <cellStyle name="Note 3 2 3 2 2 4 3" xfId="31659"/>
    <cellStyle name="Note 3 2 3 2 2 4 3 2" xfId="31660"/>
    <cellStyle name="Note 3 2 3 2 2 4 3 3" xfId="31661"/>
    <cellStyle name="Note 3 2 3 2 2 4 3 4" xfId="31662"/>
    <cellStyle name="Note 3 2 3 2 2 4 4" xfId="31663"/>
    <cellStyle name="Note 3 2 3 2 2 4 4 2" xfId="31664"/>
    <cellStyle name="Note 3 2 3 2 2 4 4 3" xfId="31665"/>
    <cellStyle name="Note 3 2 3 2 2 4 4 4" xfId="31666"/>
    <cellStyle name="Note 3 2 3 2 2 4 5" xfId="31667"/>
    <cellStyle name="Note 3 2 3 2 2 4 6" xfId="31668"/>
    <cellStyle name="Note 3 2 3 2 2 4 7" xfId="31669"/>
    <cellStyle name="Note 3 2 3 2 2 4 8" xfId="31670"/>
    <cellStyle name="Note 3 2 3 2 2 5" xfId="31671"/>
    <cellStyle name="Note 3 2 3 2 2 5 2" xfId="31672"/>
    <cellStyle name="Note 3 2 3 2 2 5 2 2" xfId="31673"/>
    <cellStyle name="Note 3 2 3 2 2 5 2 3" xfId="31674"/>
    <cellStyle name="Note 3 2 3 2 2 5 2 4" xfId="31675"/>
    <cellStyle name="Note 3 2 3 2 2 5 3" xfId="31676"/>
    <cellStyle name="Note 3 2 3 2 2 5 3 2" xfId="31677"/>
    <cellStyle name="Note 3 2 3 2 2 5 3 3" xfId="31678"/>
    <cellStyle name="Note 3 2 3 2 2 5 3 4" xfId="31679"/>
    <cellStyle name="Note 3 2 3 2 2 5 4" xfId="31680"/>
    <cellStyle name="Note 3 2 3 2 2 5 4 2" xfId="31681"/>
    <cellStyle name="Note 3 2 3 2 2 5 4 3" xfId="31682"/>
    <cellStyle name="Note 3 2 3 2 2 5 4 4" xfId="31683"/>
    <cellStyle name="Note 3 2 3 2 2 5 5" xfId="31684"/>
    <cellStyle name="Note 3 2 3 2 2 5 6" xfId="31685"/>
    <cellStyle name="Note 3 2 3 2 2 5 7" xfId="31686"/>
    <cellStyle name="Note 3 2 3 2 2 5 8" xfId="31687"/>
    <cellStyle name="Note 3 2 3 2 2 6" xfId="31688"/>
    <cellStyle name="Note 3 2 3 2 2 6 2" xfId="31689"/>
    <cellStyle name="Note 3 2 3 2 2 6 2 2" xfId="31690"/>
    <cellStyle name="Note 3 2 3 2 2 6 2 3" xfId="31691"/>
    <cellStyle name="Note 3 2 3 2 2 6 2 4" xfId="31692"/>
    <cellStyle name="Note 3 2 3 2 2 6 3" xfId="31693"/>
    <cellStyle name="Note 3 2 3 2 2 6 3 2" xfId="31694"/>
    <cellStyle name="Note 3 2 3 2 2 6 3 3" xfId="31695"/>
    <cellStyle name="Note 3 2 3 2 2 6 3 4" xfId="31696"/>
    <cellStyle name="Note 3 2 3 2 2 6 4" xfId="31697"/>
    <cellStyle name="Note 3 2 3 2 2 6 4 2" xfId="31698"/>
    <cellStyle name="Note 3 2 3 2 2 6 4 3" xfId="31699"/>
    <cellStyle name="Note 3 2 3 2 2 6 4 4" xfId="31700"/>
    <cellStyle name="Note 3 2 3 2 2 6 5" xfId="31701"/>
    <cellStyle name="Note 3 2 3 2 2 6 6" xfId="31702"/>
    <cellStyle name="Note 3 2 3 2 2 6 7" xfId="31703"/>
    <cellStyle name="Note 3 2 3 2 2 6 8" xfId="31704"/>
    <cellStyle name="Note 3 2 3 2 2 7" xfId="31705"/>
    <cellStyle name="Note 3 2 3 2 2 7 2" xfId="31706"/>
    <cellStyle name="Note 3 2 3 2 2 7 2 2" xfId="31707"/>
    <cellStyle name="Note 3 2 3 2 2 7 2 3" xfId="31708"/>
    <cellStyle name="Note 3 2 3 2 2 7 2 4" xfId="31709"/>
    <cellStyle name="Note 3 2 3 2 2 7 3" xfId="31710"/>
    <cellStyle name="Note 3 2 3 2 2 7 3 2" xfId="31711"/>
    <cellStyle name="Note 3 2 3 2 2 7 3 3" xfId="31712"/>
    <cellStyle name="Note 3 2 3 2 2 7 3 4" xfId="31713"/>
    <cellStyle name="Note 3 2 3 2 2 7 4" xfId="31714"/>
    <cellStyle name="Note 3 2 3 2 2 7 4 2" xfId="31715"/>
    <cellStyle name="Note 3 2 3 2 2 7 4 3" xfId="31716"/>
    <cellStyle name="Note 3 2 3 2 2 7 4 4" xfId="31717"/>
    <cellStyle name="Note 3 2 3 2 2 7 5" xfId="31718"/>
    <cellStyle name="Note 3 2 3 2 2 7 6" xfId="31719"/>
    <cellStyle name="Note 3 2 3 2 2 7 7" xfId="31720"/>
    <cellStyle name="Note 3 2 3 2 2 7 8" xfId="31721"/>
    <cellStyle name="Note 3 2 3 2 2 8" xfId="31722"/>
    <cellStyle name="Note 3 2 3 2 2 8 2" xfId="31723"/>
    <cellStyle name="Note 3 2 3 2 2 8 3" xfId="31724"/>
    <cellStyle name="Note 3 2 3 2 2 8 4" xfId="31725"/>
    <cellStyle name="Note 3 2 3 2 2 9" xfId="31726"/>
    <cellStyle name="Note 3 2 3 2 2 9 2" xfId="31727"/>
    <cellStyle name="Note 3 2 3 2 2 9 3" xfId="31728"/>
    <cellStyle name="Note 3 2 3 2 2 9 4" xfId="31729"/>
    <cellStyle name="Note 3 2 3 2 3" xfId="31730"/>
    <cellStyle name="Note 3 2 3 2 3 2" xfId="31731"/>
    <cellStyle name="Note 3 2 3 2 3 2 2" xfId="31732"/>
    <cellStyle name="Note 3 2 3 2 3 2 2 2" xfId="31733"/>
    <cellStyle name="Note 3 2 3 2 3 2 2 3" xfId="31734"/>
    <cellStyle name="Note 3 2 3 2 3 2 2 4" xfId="31735"/>
    <cellStyle name="Note 3 2 3 2 3 2 3" xfId="31736"/>
    <cellStyle name="Note 3 2 3 2 3 2 3 2" xfId="31737"/>
    <cellStyle name="Note 3 2 3 2 3 2 3 3" xfId="31738"/>
    <cellStyle name="Note 3 2 3 2 3 2 3 4" xfId="31739"/>
    <cellStyle name="Note 3 2 3 2 3 2 4" xfId="31740"/>
    <cellStyle name="Note 3 2 3 2 3 2 4 2" xfId="31741"/>
    <cellStyle name="Note 3 2 3 2 3 2 4 3" xfId="31742"/>
    <cellStyle name="Note 3 2 3 2 3 2 4 4" xfId="31743"/>
    <cellStyle name="Note 3 2 3 2 3 2 5" xfId="31744"/>
    <cellStyle name="Note 3 2 3 2 3 2 6" xfId="31745"/>
    <cellStyle name="Note 3 2 3 2 3 2 7" xfId="31746"/>
    <cellStyle name="Note 3 2 3 2 3 2 8" xfId="31747"/>
    <cellStyle name="Note 3 2 3 2 3 3" xfId="31748"/>
    <cellStyle name="Note 3 2 3 2 3 3 2" xfId="31749"/>
    <cellStyle name="Note 3 2 3 2 3 3 2 2" xfId="31750"/>
    <cellStyle name="Note 3 2 3 2 3 3 2 3" xfId="31751"/>
    <cellStyle name="Note 3 2 3 2 3 3 2 4" xfId="31752"/>
    <cellStyle name="Note 3 2 3 2 3 3 3" xfId="31753"/>
    <cellStyle name="Note 3 2 3 2 3 3 3 2" xfId="31754"/>
    <cellStyle name="Note 3 2 3 2 3 3 3 3" xfId="31755"/>
    <cellStyle name="Note 3 2 3 2 3 3 3 4" xfId="31756"/>
    <cellStyle name="Note 3 2 3 2 3 3 4" xfId="31757"/>
    <cellStyle name="Note 3 2 3 2 3 3 4 2" xfId="31758"/>
    <cellStyle name="Note 3 2 3 2 3 3 4 3" xfId="31759"/>
    <cellStyle name="Note 3 2 3 2 3 3 4 4" xfId="31760"/>
    <cellStyle name="Note 3 2 3 2 3 3 5" xfId="31761"/>
    <cellStyle name="Note 3 2 3 2 3 3 6" xfId="31762"/>
    <cellStyle name="Note 3 2 3 2 3 3 7" xfId="31763"/>
    <cellStyle name="Note 3 2 3 2 3 3 8" xfId="31764"/>
    <cellStyle name="Note 3 2 3 2 3 4" xfId="31765"/>
    <cellStyle name="Note 3 2 3 2 3 4 2" xfId="31766"/>
    <cellStyle name="Note 3 2 3 2 3 4 2 2" xfId="31767"/>
    <cellStyle name="Note 3 2 3 2 3 4 2 3" xfId="31768"/>
    <cellStyle name="Note 3 2 3 2 3 4 2 4" xfId="31769"/>
    <cellStyle name="Note 3 2 3 2 3 4 3" xfId="31770"/>
    <cellStyle name="Note 3 2 3 2 3 4 3 2" xfId="31771"/>
    <cellStyle name="Note 3 2 3 2 3 4 3 3" xfId="31772"/>
    <cellStyle name="Note 3 2 3 2 3 4 3 4" xfId="31773"/>
    <cellStyle name="Note 3 2 3 2 3 4 4" xfId="31774"/>
    <cellStyle name="Note 3 2 3 2 3 4 4 2" xfId="31775"/>
    <cellStyle name="Note 3 2 3 2 3 4 4 3" xfId="31776"/>
    <cellStyle name="Note 3 2 3 2 3 4 4 4" xfId="31777"/>
    <cellStyle name="Note 3 2 3 2 3 4 5" xfId="31778"/>
    <cellStyle name="Note 3 2 3 2 3 4 6" xfId="31779"/>
    <cellStyle name="Note 3 2 3 2 3 4 7" xfId="31780"/>
    <cellStyle name="Note 3 2 3 2 3 4 8" xfId="31781"/>
    <cellStyle name="Note 3 2 3 2 3 5" xfId="31782"/>
    <cellStyle name="Note 3 2 3 2 3 5 2" xfId="31783"/>
    <cellStyle name="Note 3 2 3 2 3 5 2 2" xfId="31784"/>
    <cellStyle name="Note 3 2 3 2 3 5 2 3" xfId="31785"/>
    <cellStyle name="Note 3 2 3 2 3 5 2 4" xfId="31786"/>
    <cellStyle name="Note 3 2 3 2 3 5 3" xfId="31787"/>
    <cellStyle name="Note 3 2 3 2 3 5 3 2" xfId="31788"/>
    <cellStyle name="Note 3 2 3 2 3 5 3 3" xfId="31789"/>
    <cellStyle name="Note 3 2 3 2 3 5 3 4" xfId="31790"/>
    <cellStyle name="Note 3 2 3 2 3 5 4" xfId="31791"/>
    <cellStyle name="Note 3 2 3 2 3 5 4 2" xfId="31792"/>
    <cellStyle name="Note 3 2 3 2 3 5 4 3" xfId="31793"/>
    <cellStyle name="Note 3 2 3 2 3 5 4 4" xfId="31794"/>
    <cellStyle name="Note 3 2 3 2 3 5 5" xfId="31795"/>
    <cellStyle name="Note 3 2 3 2 3 5 6" xfId="31796"/>
    <cellStyle name="Note 3 2 3 2 3 5 7" xfId="31797"/>
    <cellStyle name="Note 3 2 3 2 3 5 8" xfId="31798"/>
    <cellStyle name="Note 3 2 3 2 3 6" xfId="31799"/>
    <cellStyle name="Note 3 2 3 2 3 6 2" xfId="31800"/>
    <cellStyle name="Note 3 2 3 2 3 6 3" xfId="31801"/>
    <cellStyle name="Note 3 2 3 2 3 6 4" xfId="31802"/>
    <cellStyle name="Note 3 2 3 2 3 7" xfId="31803"/>
    <cellStyle name="Note 3 2 3 2 3 7 2" xfId="31804"/>
    <cellStyle name="Note 3 2 3 2 3 7 3" xfId="31805"/>
    <cellStyle name="Note 3 2 3 2 3 7 4" xfId="31806"/>
    <cellStyle name="Note 3 2 3 2 3 8" xfId="31807"/>
    <cellStyle name="Note 3 2 3 2 3 9" xfId="31808"/>
    <cellStyle name="Note 3 2 3 2 4" xfId="31809"/>
    <cellStyle name="Note 3 2 3 2 4 2" xfId="31810"/>
    <cellStyle name="Note 3 2 3 2 4 2 2" xfId="31811"/>
    <cellStyle name="Note 3 2 3 2 4 2 3" xfId="31812"/>
    <cellStyle name="Note 3 2 3 2 4 2 4" xfId="31813"/>
    <cellStyle name="Note 3 2 3 2 4 3" xfId="31814"/>
    <cellStyle name="Note 3 2 3 2 4 3 2" xfId="31815"/>
    <cellStyle name="Note 3 2 3 2 4 3 3" xfId="31816"/>
    <cellStyle name="Note 3 2 3 2 4 3 4" xfId="31817"/>
    <cellStyle name="Note 3 2 3 2 4 4" xfId="31818"/>
    <cellStyle name="Note 3 2 3 2 4 4 2" xfId="31819"/>
    <cellStyle name="Note 3 2 3 2 4 4 3" xfId="31820"/>
    <cellStyle name="Note 3 2 3 2 4 4 4" xfId="31821"/>
    <cellStyle name="Note 3 2 3 2 4 5" xfId="31822"/>
    <cellStyle name="Note 3 2 3 2 4 6" xfId="31823"/>
    <cellStyle name="Note 3 2 3 2 4 7" xfId="31824"/>
    <cellStyle name="Note 3 2 3 2 4 8" xfId="31825"/>
    <cellStyle name="Note 3 2 3 2 5" xfId="31826"/>
    <cellStyle name="Note 3 2 3 2 5 2" xfId="31827"/>
    <cellStyle name="Note 3 2 3 2 5 2 2" xfId="31828"/>
    <cellStyle name="Note 3 2 3 2 5 2 3" xfId="31829"/>
    <cellStyle name="Note 3 2 3 2 5 2 4" xfId="31830"/>
    <cellStyle name="Note 3 2 3 2 5 3" xfId="31831"/>
    <cellStyle name="Note 3 2 3 2 5 3 2" xfId="31832"/>
    <cellStyle name="Note 3 2 3 2 5 3 3" xfId="31833"/>
    <cellStyle name="Note 3 2 3 2 5 3 4" xfId="31834"/>
    <cellStyle name="Note 3 2 3 2 5 4" xfId="31835"/>
    <cellStyle name="Note 3 2 3 2 5 4 2" xfId="31836"/>
    <cellStyle name="Note 3 2 3 2 5 4 3" xfId="31837"/>
    <cellStyle name="Note 3 2 3 2 5 4 4" xfId="31838"/>
    <cellStyle name="Note 3 2 3 2 5 5" xfId="31839"/>
    <cellStyle name="Note 3 2 3 2 5 6" xfId="31840"/>
    <cellStyle name="Note 3 2 3 2 5 7" xfId="31841"/>
    <cellStyle name="Note 3 2 3 2 5 8" xfId="31842"/>
    <cellStyle name="Note 3 2 3 2 6" xfId="31843"/>
    <cellStyle name="Note 3 2 3 2 6 2" xfId="31844"/>
    <cellStyle name="Note 3 2 3 2 6 2 2" xfId="31845"/>
    <cellStyle name="Note 3 2 3 2 6 2 3" xfId="31846"/>
    <cellStyle name="Note 3 2 3 2 6 2 4" xfId="31847"/>
    <cellStyle name="Note 3 2 3 2 6 3" xfId="31848"/>
    <cellStyle name="Note 3 2 3 2 6 3 2" xfId="31849"/>
    <cellStyle name="Note 3 2 3 2 6 3 3" xfId="31850"/>
    <cellStyle name="Note 3 2 3 2 6 3 4" xfId="31851"/>
    <cellStyle name="Note 3 2 3 2 6 4" xfId="31852"/>
    <cellStyle name="Note 3 2 3 2 6 4 2" xfId="31853"/>
    <cellStyle name="Note 3 2 3 2 6 4 3" xfId="31854"/>
    <cellStyle name="Note 3 2 3 2 6 4 4" xfId="31855"/>
    <cellStyle name="Note 3 2 3 2 6 5" xfId="31856"/>
    <cellStyle name="Note 3 2 3 2 6 6" xfId="31857"/>
    <cellStyle name="Note 3 2 3 2 6 7" xfId="31858"/>
    <cellStyle name="Note 3 2 3 2 6 8" xfId="31859"/>
    <cellStyle name="Note 3 2 3 2 7" xfId="31860"/>
    <cellStyle name="Note 3 2 3 2 7 2" xfId="31861"/>
    <cellStyle name="Note 3 2 3 2 7 2 2" xfId="31862"/>
    <cellStyle name="Note 3 2 3 2 7 2 3" xfId="31863"/>
    <cellStyle name="Note 3 2 3 2 7 2 4" xfId="31864"/>
    <cellStyle name="Note 3 2 3 2 7 3" xfId="31865"/>
    <cellStyle name="Note 3 2 3 2 7 3 2" xfId="31866"/>
    <cellStyle name="Note 3 2 3 2 7 3 3" xfId="31867"/>
    <cellStyle name="Note 3 2 3 2 7 3 4" xfId="31868"/>
    <cellStyle name="Note 3 2 3 2 7 4" xfId="31869"/>
    <cellStyle name="Note 3 2 3 2 7 4 2" xfId="31870"/>
    <cellStyle name="Note 3 2 3 2 7 4 3" xfId="31871"/>
    <cellStyle name="Note 3 2 3 2 7 4 4" xfId="31872"/>
    <cellStyle name="Note 3 2 3 2 7 5" xfId="31873"/>
    <cellStyle name="Note 3 2 3 2 7 6" xfId="31874"/>
    <cellStyle name="Note 3 2 3 2 7 7" xfId="31875"/>
    <cellStyle name="Note 3 2 3 2 7 8" xfId="31876"/>
    <cellStyle name="Note 3 2 3 2 8" xfId="31877"/>
    <cellStyle name="Note 3 2 3 2 8 2" xfId="31878"/>
    <cellStyle name="Note 3 2 3 2 8 2 2" xfId="31879"/>
    <cellStyle name="Note 3 2 3 2 8 2 3" xfId="31880"/>
    <cellStyle name="Note 3 2 3 2 8 2 4" xfId="31881"/>
    <cellStyle name="Note 3 2 3 2 8 3" xfId="31882"/>
    <cellStyle name="Note 3 2 3 2 8 3 2" xfId="31883"/>
    <cellStyle name="Note 3 2 3 2 8 3 3" xfId="31884"/>
    <cellStyle name="Note 3 2 3 2 8 3 4" xfId="31885"/>
    <cellStyle name="Note 3 2 3 2 8 4" xfId="31886"/>
    <cellStyle name="Note 3 2 3 2 8 4 2" xfId="31887"/>
    <cellStyle name="Note 3 2 3 2 8 4 3" xfId="31888"/>
    <cellStyle name="Note 3 2 3 2 8 4 4" xfId="31889"/>
    <cellStyle name="Note 3 2 3 2 8 5" xfId="31890"/>
    <cellStyle name="Note 3 2 3 2 8 6" xfId="31891"/>
    <cellStyle name="Note 3 2 3 2 8 7" xfId="31892"/>
    <cellStyle name="Note 3 2 3 2 8 8" xfId="31893"/>
    <cellStyle name="Note 3 2 3 2 9" xfId="31894"/>
    <cellStyle name="Note 3 2 3 2 9 2" xfId="31895"/>
    <cellStyle name="Note 3 2 3 2 9 3" xfId="31896"/>
    <cellStyle name="Note 3 2 3 2 9 4" xfId="31897"/>
    <cellStyle name="Note 3 2 3 3" xfId="31898"/>
    <cellStyle name="Note 3 2 3 3 10" xfId="31899"/>
    <cellStyle name="Note 3 2 3 3 11" xfId="31900"/>
    <cellStyle name="Note 3 2 3 3 2" xfId="31901"/>
    <cellStyle name="Note 3 2 3 3 2 2" xfId="31902"/>
    <cellStyle name="Note 3 2 3 3 2 2 2" xfId="31903"/>
    <cellStyle name="Note 3 2 3 3 2 2 2 2" xfId="31904"/>
    <cellStyle name="Note 3 2 3 3 2 2 2 3" xfId="31905"/>
    <cellStyle name="Note 3 2 3 3 2 2 2 4" xfId="31906"/>
    <cellStyle name="Note 3 2 3 3 2 2 3" xfId="31907"/>
    <cellStyle name="Note 3 2 3 3 2 2 3 2" xfId="31908"/>
    <cellStyle name="Note 3 2 3 3 2 2 3 3" xfId="31909"/>
    <cellStyle name="Note 3 2 3 3 2 2 3 4" xfId="31910"/>
    <cellStyle name="Note 3 2 3 3 2 2 4" xfId="31911"/>
    <cellStyle name="Note 3 2 3 3 2 2 4 2" xfId="31912"/>
    <cellStyle name="Note 3 2 3 3 2 2 4 3" xfId="31913"/>
    <cellStyle name="Note 3 2 3 3 2 2 4 4" xfId="31914"/>
    <cellStyle name="Note 3 2 3 3 2 2 5" xfId="31915"/>
    <cellStyle name="Note 3 2 3 3 2 2 6" xfId="31916"/>
    <cellStyle name="Note 3 2 3 3 2 2 7" xfId="31917"/>
    <cellStyle name="Note 3 2 3 3 2 2 8" xfId="31918"/>
    <cellStyle name="Note 3 2 3 3 2 3" xfId="31919"/>
    <cellStyle name="Note 3 2 3 3 2 3 2" xfId="31920"/>
    <cellStyle name="Note 3 2 3 3 2 3 2 2" xfId="31921"/>
    <cellStyle name="Note 3 2 3 3 2 3 2 3" xfId="31922"/>
    <cellStyle name="Note 3 2 3 3 2 3 2 4" xfId="31923"/>
    <cellStyle name="Note 3 2 3 3 2 3 3" xfId="31924"/>
    <cellStyle name="Note 3 2 3 3 2 3 3 2" xfId="31925"/>
    <cellStyle name="Note 3 2 3 3 2 3 3 3" xfId="31926"/>
    <cellStyle name="Note 3 2 3 3 2 3 3 4" xfId="31927"/>
    <cellStyle name="Note 3 2 3 3 2 3 4" xfId="31928"/>
    <cellStyle name="Note 3 2 3 3 2 3 4 2" xfId="31929"/>
    <cellStyle name="Note 3 2 3 3 2 3 4 3" xfId="31930"/>
    <cellStyle name="Note 3 2 3 3 2 3 4 4" xfId="31931"/>
    <cellStyle name="Note 3 2 3 3 2 3 5" xfId="31932"/>
    <cellStyle name="Note 3 2 3 3 2 3 6" xfId="31933"/>
    <cellStyle name="Note 3 2 3 3 2 3 7" xfId="31934"/>
    <cellStyle name="Note 3 2 3 3 2 3 8" xfId="31935"/>
    <cellStyle name="Note 3 2 3 3 2 4" xfId="31936"/>
    <cellStyle name="Note 3 2 3 3 2 4 2" xfId="31937"/>
    <cellStyle name="Note 3 2 3 3 2 4 2 2" xfId="31938"/>
    <cellStyle name="Note 3 2 3 3 2 4 2 3" xfId="31939"/>
    <cellStyle name="Note 3 2 3 3 2 4 2 4" xfId="31940"/>
    <cellStyle name="Note 3 2 3 3 2 4 3" xfId="31941"/>
    <cellStyle name="Note 3 2 3 3 2 4 3 2" xfId="31942"/>
    <cellStyle name="Note 3 2 3 3 2 4 3 3" xfId="31943"/>
    <cellStyle name="Note 3 2 3 3 2 4 3 4" xfId="31944"/>
    <cellStyle name="Note 3 2 3 3 2 4 4" xfId="31945"/>
    <cellStyle name="Note 3 2 3 3 2 4 4 2" xfId="31946"/>
    <cellStyle name="Note 3 2 3 3 2 4 4 3" xfId="31947"/>
    <cellStyle name="Note 3 2 3 3 2 4 4 4" xfId="31948"/>
    <cellStyle name="Note 3 2 3 3 2 4 5" xfId="31949"/>
    <cellStyle name="Note 3 2 3 3 2 4 6" xfId="31950"/>
    <cellStyle name="Note 3 2 3 3 2 4 7" xfId="31951"/>
    <cellStyle name="Note 3 2 3 3 2 4 8" xfId="31952"/>
    <cellStyle name="Note 3 2 3 3 2 5" xfId="31953"/>
    <cellStyle name="Note 3 2 3 3 2 5 2" xfId="31954"/>
    <cellStyle name="Note 3 2 3 3 2 5 2 2" xfId="31955"/>
    <cellStyle name="Note 3 2 3 3 2 5 2 3" xfId="31956"/>
    <cellStyle name="Note 3 2 3 3 2 5 2 4" xfId="31957"/>
    <cellStyle name="Note 3 2 3 3 2 5 3" xfId="31958"/>
    <cellStyle name="Note 3 2 3 3 2 5 3 2" xfId="31959"/>
    <cellStyle name="Note 3 2 3 3 2 5 3 3" xfId="31960"/>
    <cellStyle name="Note 3 2 3 3 2 5 3 4" xfId="31961"/>
    <cellStyle name="Note 3 2 3 3 2 5 4" xfId="31962"/>
    <cellStyle name="Note 3 2 3 3 2 5 4 2" xfId="31963"/>
    <cellStyle name="Note 3 2 3 3 2 5 4 3" xfId="31964"/>
    <cellStyle name="Note 3 2 3 3 2 5 4 4" xfId="31965"/>
    <cellStyle name="Note 3 2 3 3 2 5 5" xfId="31966"/>
    <cellStyle name="Note 3 2 3 3 2 5 6" xfId="31967"/>
    <cellStyle name="Note 3 2 3 3 2 5 7" xfId="31968"/>
    <cellStyle name="Note 3 2 3 3 2 5 8" xfId="31969"/>
    <cellStyle name="Note 3 2 3 3 2 6" xfId="31970"/>
    <cellStyle name="Note 3 2 3 3 2 6 2" xfId="31971"/>
    <cellStyle name="Note 3 2 3 3 2 6 3" xfId="31972"/>
    <cellStyle name="Note 3 2 3 3 2 6 4" xfId="31973"/>
    <cellStyle name="Note 3 2 3 3 2 7" xfId="31974"/>
    <cellStyle name="Note 3 2 3 3 2 7 2" xfId="31975"/>
    <cellStyle name="Note 3 2 3 3 2 7 3" xfId="31976"/>
    <cellStyle name="Note 3 2 3 3 2 7 4" xfId="31977"/>
    <cellStyle name="Note 3 2 3 3 2 8" xfId="31978"/>
    <cellStyle name="Note 3 2 3 3 2 9" xfId="31979"/>
    <cellStyle name="Note 3 2 3 3 3" xfId="31980"/>
    <cellStyle name="Note 3 2 3 3 3 2" xfId="31981"/>
    <cellStyle name="Note 3 2 3 3 3 2 2" xfId="31982"/>
    <cellStyle name="Note 3 2 3 3 3 2 3" xfId="31983"/>
    <cellStyle name="Note 3 2 3 3 3 2 4" xfId="31984"/>
    <cellStyle name="Note 3 2 3 3 3 3" xfId="31985"/>
    <cellStyle name="Note 3 2 3 3 3 3 2" xfId="31986"/>
    <cellStyle name="Note 3 2 3 3 3 3 3" xfId="31987"/>
    <cellStyle name="Note 3 2 3 3 3 3 4" xfId="31988"/>
    <cellStyle name="Note 3 2 3 3 3 4" xfId="31989"/>
    <cellStyle name="Note 3 2 3 3 3 4 2" xfId="31990"/>
    <cellStyle name="Note 3 2 3 3 3 4 3" xfId="31991"/>
    <cellStyle name="Note 3 2 3 3 3 4 4" xfId="31992"/>
    <cellStyle name="Note 3 2 3 3 3 5" xfId="31993"/>
    <cellStyle name="Note 3 2 3 3 3 6" xfId="31994"/>
    <cellStyle name="Note 3 2 3 3 3 7" xfId="31995"/>
    <cellStyle name="Note 3 2 3 3 3 8" xfId="31996"/>
    <cellStyle name="Note 3 2 3 3 4" xfId="31997"/>
    <cellStyle name="Note 3 2 3 3 4 2" xfId="31998"/>
    <cellStyle name="Note 3 2 3 3 4 2 2" xfId="31999"/>
    <cellStyle name="Note 3 2 3 3 4 2 3" xfId="32000"/>
    <cellStyle name="Note 3 2 3 3 4 2 4" xfId="32001"/>
    <cellStyle name="Note 3 2 3 3 4 3" xfId="32002"/>
    <cellStyle name="Note 3 2 3 3 4 3 2" xfId="32003"/>
    <cellStyle name="Note 3 2 3 3 4 3 3" xfId="32004"/>
    <cellStyle name="Note 3 2 3 3 4 3 4" xfId="32005"/>
    <cellStyle name="Note 3 2 3 3 4 4" xfId="32006"/>
    <cellStyle name="Note 3 2 3 3 4 4 2" xfId="32007"/>
    <cellStyle name="Note 3 2 3 3 4 4 3" xfId="32008"/>
    <cellStyle name="Note 3 2 3 3 4 4 4" xfId="32009"/>
    <cellStyle name="Note 3 2 3 3 4 5" xfId="32010"/>
    <cellStyle name="Note 3 2 3 3 4 6" xfId="32011"/>
    <cellStyle name="Note 3 2 3 3 4 7" xfId="32012"/>
    <cellStyle name="Note 3 2 3 3 4 8" xfId="32013"/>
    <cellStyle name="Note 3 2 3 3 5" xfId="32014"/>
    <cellStyle name="Note 3 2 3 3 5 2" xfId="32015"/>
    <cellStyle name="Note 3 2 3 3 5 2 2" xfId="32016"/>
    <cellStyle name="Note 3 2 3 3 5 2 3" xfId="32017"/>
    <cellStyle name="Note 3 2 3 3 5 2 4" xfId="32018"/>
    <cellStyle name="Note 3 2 3 3 5 3" xfId="32019"/>
    <cellStyle name="Note 3 2 3 3 5 3 2" xfId="32020"/>
    <cellStyle name="Note 3 2 3 3 5 3 3" xfId="32021"/>
    <cellStyle name="Note 3 2 3 3 5 3 4" xfId="32022"/>
    <cellStyle name="Note 3 2 3 3 5 4" xfId="32023"/>
    <cellStyle name="Note 3 2 3 3 5 4 2" xfId="32024"/>
    <cellStyle name="Note 3 2 3 3 5 4 3" xfId="32025"/>
    <cellStyle name="Note 3 2 3 3 5 4 4" xfId="32026"/>
    <cellStyle name="Note 3 2 3 3 5 5" xfId="32027"/>
    <cellStyle name="Note 3 2 3 3 5 6" xfId="32028"/>
    <cellStyle name="Note 3 2 3 3 5 7" xfId="32029"/>
    <cellStyle name="Note 3 2 3 3 5 8" xfId="32030"/>
    <cellStyle name="Note 3 2 3 3 6" xfId="32031"/>
    <cellStyle name="Note 3 2 3 3 6 2" xfId="32032"/>
    <cellStyle name="Note 3 2 3 3 6 2 2" xfId="32033"/>
    <cellStyle name="Note 3 2 3 3 6 2 3" xfId="32034"/>
    <cellStyle name="Note 3 2 3 3 6 2 4" xfId="32035"/>
    <cellStyle name="Note 3 2 3 3 6 3" xfId="32036"/>
    <cellStyle name="Note 3 2 3 3 6 3 2" xfId="32037"/>
    <cellStyle name="Note 3 2 3 3 6 3 3" xfId="32038"/>
    <cellStyle name="Note 3 2 3 3 6 3 4" xfId="32039"/>
    <cellStyle name="Note 3 2 3 3 6 4" xfId="32040"/>
    <cellStyle name="Note 3 2 3 3 6 4 2" xfId="32041"/>
    <cellStyle name="Note 3 2 3 3 6 4 3" xfId="32042"/>
    <cellStyle name="Note 3 2 3 3 6 4 4" xfId="32043"/>
    <cellStyle name="Note 3 2 3 3 6 5" xfId="32044"/>
    <cellStyle name="Note 3 2 3 3 6 6" xfId="32045"/>
    <cellStyle name="Note 3 2 3 3 6 7" xfId="32046"/>
    <cellStyle name="Note 3 2 3 3 6 8" xfId="32047"/>
    <cellStyle name="Note 3 2 3 3 7" xfId="32048"/>
    <cellStyle name="Note 3 2 3 3 7 2" xfId="32049"/>
    <cellStyle name="Note 3 2 3 3 7 2 2" xfId="32050"/>
    <cellStyle name="Note 3 2 3 3 7 2 3" xfId="32051"/>
    <cellStyle name="Note 3 2 3 3 7 2 4" xfId="32052"/>
    <cellStyle name="Note 3 2 3 3 7 3" xfId="32053"/>
    <cellStyle name="Note 3 2 3 3 7 3 2" xfId="32054"/>
    <cellStyle name="Note 3 2 3 3 7 3 3" xfId="32055"/>
    <cellStyle name="Note 3 2 3 3 7 3 4" xfId="32056"/>
    <cellStyle name="Note 3 2 3 3 7 4" xfId="32057"/>
    <cellStyle name="Note 3 2 3 3 7 4 2" xfId="32058"/>
    <cellStyle name="Note 3 2 3 3 7 4 3" xfId="32059"/>
    <cellStyle name="Note 3 2 3 3 7 4 4" xfId="32060"/>
    <cellStyle name="Note 3 2 3 3 7 5" xfId="32061"/>
    <cellStyle name="Note 3 2 3 3 7 6" xfId="32062"/>
    <cellStyle name="Note 3 2 3 3 7 7" xfId="32063"/>
    <cellStyle name="Note 3 2 3 3 7 8" xfId="32064"/>
    <cellStyle name="Note 3 2 3 3 8" xfId="32065"/>
    <cellStyle name="Note 3 2 3 3 8 2" xfId="32066"/>
    <cellStyle name="Note 3 2 3 3 8 3" xfId="32067"/>
    <cellStyle name="Note 3 2 3 3 8 4" xfId="32068"/>
    <cellStyle name="Note 3 2 3 3 9" xfId="32069"/>
    <cellStyle name="Note 3 2 3 3 9 2" xfId="32070"/>
    <cellStyle name="Note 3 2 3 3 9 3" xfId="32071"/>
    <cellStyle name="Note 3 2 3 3 9 4" xfId="32072"/>
    <cellStyle name="Note 3 2 3 4" xfId="32073"/>
    <cellStyle name="Note 3 2 3 4 2" xfId="32074"/>
    <cellStyle name="Note 3 2 3 4 2 2" xfId="32075"/>
    <cellStyle name="Note 3 2 3 4 2 2 2" xfId="32076"/>
    <cellStyle name="Note 3 2 3 4 2 2 3" xfId="32077"/>
    <cellStyle name="Note 3 2 3 4 2 2 4" xfId="32078"/>
    <cellStyle name="Note 3 2 3 4 2 3" xfId="32079"/>
    <cellStyle name="Note 3 2 3 4 2 3 2" xfId="32080"/>
    <cellStyle name="Note 3 2 3 4 2 3 3" xfId="32081"/>
    <cellStyle name="Note 3 2 3 4 2 3 4" xfId="32082"/>
    <cellStyle name="Note 3 2 3 4 2 4" xfId="32083"/>
    <cellStyle name="Note 3 2 3 4 2 4 2" xfId="32084"/>
    <cellStyle name="Note 3 2 3 4 2 4 3" xfId="32085"/>
    <cellStyle name="Note 3 2 3 4 2 4 4" xfId="32086"/>
    <cellStyle name="Note 3 2 3 4 2 5" xfId="32087"/>
    <cellStyle name="Note 3 2 3 4 2 6" xfId="32088"/>
    <cellStyle name="Note 3 2 3 4 2 7" xfId="32089"/>
    <cellStyle name="Note 3 2 3 4 2 8" xfId="32090"/>
    <cellStyle name="Note 3 2 3 4 3" xfId="32091"/>
    <cellStyle name="Note 3 2 3 4 3 2" xfId="32092"/>
    <cellStyle name="Note 3 2 3 4 3 2 2" xfId="32093"/>
    <cellStyle name="Note 3 2 3 4 3 2 3" xfId="32094"/>
    <cellStyle name="Note 3 2 3 4 3 2 4" xfId="32095"/>
    <cellStyle name="Note 3 2 3 4 3 3" xfId="32096"/>
    <cellStyle name="Note 3 2 3 4 3 3 2" xfId="32097"/>
    <cellStyle name="Note 3 2 3 4 3 3 3" xfId="32098"/>
    <cellStyle name="Note 3 2 3 4 3 3 4" xfId="32099"/>
    <cellStyle name="Note 3 2 3 4 3 4" xfId="32100"/>
    <cellStyle name="Note 3 2 3 4 3 4 2" xfId="32101"/>
    <cellStyle name="Note 3 2 3 4 3 4 3" xfId="32102"/>
    <cellStyle name="Note 3 2 3 4 3 4 4" xfId="32103"/>
    <cellStyle name="Note 3 2 3 4 3 5" xfId="32104"/>
    <cellStyle name="Note 3 2 3 4 3 6" xfId="32105"/>
    <cellStyle name="Note 3 2 3 4 3 7" xfId="32106"/>
    <cellStyle name="Note 3 2 3 4 3 8" xfId="32107"/>
    <cellStyle name="Note 3 2 3 4 4" xfId="32108"/>
    <cellStyle name="Note 3 2 3 4 4 2" xfId="32109"/>
    <cellStyle name="Note 3 2 3 4 4 2 2" xfId="32110"/>
    <cellStyle name="Note 3 2 3 4 4 2 3" xfId="32111"/>
    <cellStyle name="Note 3 2 3 4 4 2 4" xfId="32112"/>
    <cellStyle name="Note 3 2 3 4 4 3" xfId="32113"/>
    <cellStyle name="Note 3 2 3 4 4 3 2" xfId="32114"/>
    <cellStyle name="Note 3 2 3 4 4 3 3" xfId="32115"/>
    <cellStyle name="Note 3 2 3 4 4 3 4" xfId="32116"/>
    <cellStyle name="Note 3 2 3 4 4 4" xfId="32117"/>
    <cellStyle name="Note 3 2 3 4 4 4 2" xfId="32118"/>
    <cellStyle name="Note 3 2 3 4 4 4 3" xfId="32119"/>
    <cellStyle name="Note 3 2 3 4 4 4 4" xfId="32120"/>
    <cellStyle name="Note 3 2 3 4 4 5" xfId="32121"/>
    <cellStyle name="Note 3 2 3 4 4 6" xfId="32122"/>
    <cellStyle name="Note 3 2 3 4 4 7" xfId="32123"/>
    <cellStyle name="Note 3 2 3 4 4 8" xfId="32124"/>
    <cellStyle name="Note 3 2 3 4 5" xfId="32125"/>
    <cellStyle name="Note 3 2 3 4 5 2" xfId="32126"/>
    <cellStyle name="Note 3 2 3 4 5 2 2" xfId="32127"/>
    <cellStyle name="Note 3 2 3 4 5 2 3" xfId="32128"/>
    <cellStyle name="Note 3 2 3 4 5 2 4" xfId="32129"/>
    <cellStyle name="Note 3 2 3 4 5 3" xfId="32130"/>
    <cellStyle name="Note 3 2 3 4 5 3 2" xfId="32131"/>
    <cellStyle name="Note 3 2 3 4 5 3 3" xfId="32132"/>
    <cellStyle name="Note 3 2 3 4 5 3 4" xfId="32133"/>
    <cellStyle name="Note 3 2 3 4 5 4" xfId="32134"/>
    <cellStyle name="Note 3 2 3 4 5 4 2" xfId="32135"/>
    <cellStyle name="Note 3 2 3 4 5 4 3" xfId="32136"/>
    <cellStyle name="Note 3 2 3 4 5 4 4" xfId="32137"/>
    <cellStyle name="Note 3 2 3 4 5 5" xfId="32138"/>
    <cellStyle name="Note 3 2 3 4 5 6" xfId="32139"/>
    <cellStyle name="Note 3 2 3 4 5 7" xfId="32140"/>
    <cellStyle name="Note 3 2 3 4 5 8" xfId="32141"/>
    <cellStyle name="Note 3 2 3 4 6" xfId="32142"/>
    <cellStyle name="Note 3 2 3 4 6 2" xfId="32143"/>
    <cellStyle name="Note 3 2 3 4 6 3" xfId="32144"/>
    <cellStyle name="Note 3 2 3 4 6 4" xfId="32145"/>
    <cellStyle name="Note 3 2 3 4 7" xfId="32146"/>
    <cellStyle name="Note 3 2 3 4 7 2" xfId="32147"/>
    <cellStyle name="Note 3 2 3 4 7 3" xfId="32148"/>
    <cellStyle name="Note 3 2 3 4 7 4" xfId="32149"/>
    <cellStyle name="Note 3 2 3 4 8" xfId="32150"/>
    <cellStyle name="Note 3 2 3 4 9" xfId="32151"/>
    <cellStyle name="Note 3 2 3 5" xfId="32152"/>
    <cellStyle name="Note 3 2 3 5 2" xfId="32153"/>
    <cellStyle name="Note 3 2 3 5 2 2" xfId="32154"/>
    <cellStyle name="Note 3 2 3 5 2 3" xfId="32155"/>
    <cellStyle name="Note 3 2 3 5 2 4" xfId="32156"/>
    <cellStyle name="Note 3 2 3 5 3" xfId="32157"/>
    <cellStyle name="Note 3 2 3 5 3 2" xfId="32158"/>
    <cellStyle name="Note 3 2 3 5 3 3" xfId="32159"/>
    <cellStyle name="Note 3 2 3 5 3 4" xfId="32160"/>
    <cellStyle name="Note 3 2 3 5 4" xfId="32161"/>
    <cellStyle name="Note 3 2 3 5 4 2" xfId="32162"/>
    <cellStyle name="Note 3 2 3 5 4 3" xfId="32163"/>
    <cellStyle name="Note 3 2 3 5 4 4" xfId="32164"/>
    <cellStyle name="Note 3 2 3 5 5" xfId="32165"/>
    <cellStyle name="Note 3 2 3 5 6" xfId="32166"/>
    <cellStyle name="Note 3 2 3 5 7" xfId="32167"/>
    <cellStyle name="Note 3 2 3 5 8" xfId="32168"/>
    <cellStyle name="Note 3 2 3 6" xfId="32169"/>
    <cellStyle name="Note 3 2 3 6 2" xfId="32170"/>
    <cellStyle name="Note 3 2 3 6 2 2" xfId="32171"/>
    <cellStyle name="Note 3 2 3 6 2 3" xfId="32172"/>
    <cellStyle name="Note 3 2 3 6 2 4" xfId="32173"/>
    <cellStyle name="Note 3 2 3 6 3" xfId="32174"/>
    <cellStyle name="Note 3 2 3 6 3 2" xfId="32175"/>
    <cellStyle name="Note 3 2 3 6 3 3" xfId="32176"/>
    <cellStyle name="Note 3 2 3 6 3 4" xfId="32177"/>
    <cellStyle name="Note 3 2 3 6 4" xfId="32178"/>
    <cellStyle name="Note 3 2 3 6 4 2" xfId="32179"/>
    <cellStyle name="Note 3 2 3 6 4 3" xfId="32180"/>
    <cellStyle name="Note 3 2 3 6 4 4" xfId="32181"/>
    <cellStyle name="Note 3 2 3 6 5" xfId="32182"/>
    <cellStyle name="Note 3 2 3 6 6" xfId="32183"/>
    <cellStyle name="Note 3 2 3 6 7" xfId="32184"/>
    <cellStyle name="Note 3 2 3 6 8" xfId="32185"/>
    <cellStyle name="Note 3 2 3 7" xfId="32186"/>
    <cellStyle name="Note 3 2 3 7 2" xfId="32187"/>
    <cellStyle name="Note 3 2 3 7 2 2" xfId="32188"/>
    <cellStyle name="Note 3 2 3 7 2 3" xfId="32189"/>
    <cellStyle name="Note 3 2 3 7 2 4" xfId="32190"/>
    <cellStyle name="Note 3 2 3 7 3" xfId="32191"/>
    <cellStyle name="Note 3 2 3 7 3 2" xfId="32192"/>
    <cellStyle name="Note 3 2 3 7 3 3" xfId="32193"/>
    <cellStyle name="Note 3 2 3 7 3 4" xfId="32194"/>
    <cellStyle name="Note 3 2 3 7 4" xfId="32195"/>
    <cellStyle name="Note 3 2 3 7 4 2" xfId="32196"/>
    <cellStyle name="Note 3 2 3 7 4 3" xfId="32197"/>
    <cellStyle name="Note 3 2 3 7 4 4" xfId="32198"/>
    <cellStyle name="Note 3 2 3 7 5" xfId="32199"/>
    <cellStyle name="Note 3 2 3 7 6" xfId="32200"/>
    <cellStyle name="Note 3 2 3 7 7" xfId="32201"/>
    <cellStyle name="Note 3 2 3 7 8" xfId="32202"/>
    <cellStyle name="Note 3 2 3 8" xfId="32203"/>
    <cellStyle name="Note 3 2 3 8 2" xfId="32204"/>
    <cellStyle name="Note 3 2 3 8 2 2" xfId="32205"/>
    <cellStyle name="Note 3 2 3 8 2 3" xfId="32206"/>
    <cellStyle name="Note 3 2 3 8 2 4" xfId="32207"/>
    <cellStyle name="Note 3 2 3 8 3" xfId="32208"/>
    <cellStyle name="Note 3 2 3 8 3 2" xfId="32209"/>
    <cellStyle name="Note 3 2 3 8 3 3" xfId="32210"/>
    <cellStyle name="Note 3 2 3 8 3 4" xfId="32211"/>
    <cellStyle name="Note 3 2 3 8 4" xfId="32212"/>
    <cellStyle name="Note 3 2 3 8 4 2" xfId="32213"/>
    <cellStyle name="Note 3 2 3 8 4 3" xfId="32214"/>
    <cellStyle name="Note 3 2 3 8 4 4" xfId="32215"/>
    <cellStyle name="Note 3 2 3 8 5" xfId="32216"/>
    <cellStyle name="Note 3 2 3 8 6" xfId="32217"/>
    <cellStyle name="Note 3 2 3 8 7" xfId="32218"/>
    <cellStyle name="Note 3 2 3 8 8" xfId="32219"/>
    <cellStyle name="Note 3 2 3 9" xfId="32220"/>
    <cellStyle name="Note 3 2 3 9 2" xfId="32221"/>
    <cellStyle name="Note 3 2 3 9 2 2" xfId="32222"/>
    <cellStyle name="Note 3 2 3 9 2 3" xfId="32223"/>
    <cellStyle name="Note 3 2 3 9 2 4" xfId="32224"/>
    <cellStyle name="Note 3 2 3 9 3" xfId="32225"/>
    <cellStyle name="Note 3 2 3 9 3 2" xfId="32226"/>
    <cellStyle name="Note 3 2 3 9 3 3" xfId="32227"/>
    <cellStyle name="Note 3 2 3 9 3 4" xfId="32228"/>
    <cellStyle name="Note 3 2 3 9 4" xfId="32229"/>
    <cellStyle name="Note 3 2 3 9 4 2" xfId="32230"/>
    <cellStyle name="Note 3 2 3 9 4 3" xfId="32231"/>
    <cellStyle name="Note 3 2 3 9 4 4" xfId="32232"/>
    <cellStyle name="Note 3 2 3 9 5" xfId="32233"/>
    <cellStyle name="Note 3 2 3 9 6" xfId="32234"/>
    <cellStyle name="Note 3 2 3 9 7" xfId="32235"/>
    <cellStyle name="Note 3 2 3 9 8" xfId="32236"/>
    <cellStyle name="Note 3 2 4" xfId="32237"/>
    <cellStyle name="Note 3 2 4 10" xfId="32238"/>
    <cellStyle name="Note 3 2 4 10 2" xfId="32239"/>
    <cellStyle name="Note 3 2 4 10 3" xfId="32240"/>
    <cellStyle name="Note 3 2 4 10 4" xfId="32241"/>
    <cellStyle name="Note 3 2 4 11" xfId="32242"/>
    <cellStyle name="Note 3 2 4 12" xfId="32243"/>
    <cellStyle name="Note 3 2 4 2" xfId="32244"/>
    <cellStyle name="Note 3 2 4 2 10" xfId="32245"/>
    <cellStyle name="Note 3 2 4 2 11" xfId="32246"/>
    <cellStyle name="Note 3 2 4 2 2" xfId="32247"/>
    <cellStyle name="Note 3 2 4 2 2 2" xfId="32248"/>
    <cellStyle name="Note 3 2 4 2 2 2 2" xfId="32249"/>
    <cellStyle name="Note 3 2 4 2 2 2 2 2" xfId="32250"/>
    <cellStyle name="Note 3 2 4 2 2 2 2 3" xfId="32251"/>
    <cellStyle name="Note 3 2 4 2 2 2 2 4" xfId="32252"/>
    <cellStyle name="Note 3 2 4 2 2 2 3" xfId="32253"/>
    <cellStyle name="Note 3 2 4 2 2 2 3 2" xfId="32254"/>
    <cellStyle name="Note 3 2 4 2 2 2 3 3" xfId="32255"/>
    <cellStyle name="Note 3 2 4 2 2 2 3 4" xfId="32256"/>
    <cellStyle name="Note 3 2 4 2 2 2 4" xfId="32257"/>
    <cellStyle name="Note 3 2 4 2 2 2 4 2" xfId="32258"/>
    <cellStyle name="Note 3 2 4 2 2 2 4 3" xfId="32259"/>
    <cellStyle name="Note 3 2 4 2 2 2 4 4" xfId="32260"/>
    <cellStyle name="Note 3 2 4 2 2 2 5" xfId="32261"/>
    <cellStyle name="Note 3 2 4 2 2 2 6" xfId="32262"/>
    <cellStyle name="Note 3 2 4 2 2 2 7" xfId="32263"/>
    <cellStyle name="Note 3 2 4 2 2 2 8" xfId="32264"/>
    <cellStyle name="Note 3 2 4 2 2 3" xfId="32265"/>
    <cellStyle name="Note 3 2 4 2 2 3 2" xfId="32266"/>
    <cellStyle name="Note 3 2 4 2 2 3 2 2" xfId="32267"/>
    <cellStyle name="Note 3 2 4 2 2 3 2 3" xfId="32268"/>
    <cellStyle name="Note 3 2 4 2 2 3 2 4" xfId="32269"/>
    <cellStyle name="Note 3 2 4 2 2 3 3" xfId="32270"/>
    <cellStyle name="Note 3 2 4 2 2 3 3 2" xfId="32271"/>
    <cellStyle name="Note 3 2 4 2 2 3 3 3" xfId="32272"/>
    <cellStyle name="Note 3 2 4 2 2 3 3 4" xfId="32273"/>
    <cellStyle name="Note 3 2 4 2 2 3 4" xfId="32274"/>
    <cellStyle name="Note 3 2 4 2 2 3 4 2" xfId="32275"/>
    <cellStyle name="Note 3 2 4 2 2 3 4 3" xfId="32276"/>
    <cellStyle name="Note 3 2 4 2 2 3 4 4" xfId="32277"/>
    <cellStyle name="Note 3 2 4 2 2 3 5" xfId="32278"/>
    <cellStyle name="Note 3 2 4 2 2 3 6" xfId="32279"/>
    <cellStyle name="Note 3 2 4 2 2 3 7" xfId="32280"/>
    <cellStyle name="Note 3 2 4 2 2 3 8" xfId="32281"/>
    <cellStyle name="Note 3 2 4 2 2 4" xfId="32282"/>
    <cellStyle name="Note 3 2 4 2 2 4 2" xfId="32283"/>
    <cellStyle name="Note 3 2 4 2 2 4 2 2" xfId="32284"/>
    <cellStyle name="Note 3 2 4 2 2 4 2 3" xfId="32285"/>
    <cellStyle name="Note 3 2 4 2 2 4 2 4" xfId="32286"/>
    <cellStyle name="Note 3 2 4 2 2 4 3" xfId="32287"/>
    <cellStyle name="Note 3 2 4 2 2 4 3 2" xfId="32288"/>
    <cellStyle name="Note 3 2 4 2 2 4 3 3" xfId="32289"/>
    <cellStyle name="Note 3 2 4 2 2 4 3 4" xfId="32290"/>
    <cellStyle name="Note 3 2 4 2 2 4 4" xfId="32291"/>
    <cellStyle name="Note 3 2 4 2 2 4 4 2" xfId="32292"/>
    <cellStyle name="Note 3 2 4 2 2 4 4 3" xfId="32293"/>
    <cellStyle name="Note 3 2 4 2 2 4 4 4" xfId="32294"/>
    <cellStyle name="Note 3 2 4 2 2 4 5" xfId="32295"/>
    <cellStyle name="Note 3 2 4 2 2 4 6" xfId="32296"/>
    <cellStyle name="Note 3 2 4 2 2 4 7" xfId="32297"/>
    <cellStyle name="Note 3 2 4 2 2 4 8" xfId="32298"/>
    <cellStyle name="Note 3 2 4 2 2 5" xfId="32299"/>
    <cellStyle name="Note 3 2 4 2 2 5 2" xfId="32300"/>
    <cellStyle name="Note 3 2 4 2 2 5 2 2" xfId="32301"/>
    <cellStyle name="Note 3 2 4 2 2 5 2 3" xfId="32302"/>
    <cellStyle name="Note 3 2 4 2 2 5 2 4" xfId="32303"/>
    <cellStyle name="Note 3 2 4 2 2 5 3" xfId="32304"/>
    <cellStyle name="Note 3 2 4 2 2 5 3 2" xfId="32305"/>
    <cellStyle name="Note 3 2 4 2 2 5 3 3" xfId="32306"/>
    <cellStyle name="Note 3 2 4 2 2 5 3 4" xfId="32307"/>
    <cellStyle name="Note 3 2 4 2 2 5 4" xfId="32308"/>
    <cellStyle name="Note 3 2 4 2 2 5 4 2" xfId="32309"/>
    <cellStyle name="Note 3 2 4 2 2 5 4 3" xfId="32310"/>
    <cellStyle name="Note 3 2 4 2 2 5 4 4" xfId="32311"/>
    <cellStyle name="Note 3 2 4 2 2 5 5" xfId="32312"/>
    <cellStyle name="Note 3 2 4 2 2 5 6" xfId="32313"/>
    <cellStyle name="Note 3 2 4 2 2 5 7" xfId="32314"/>
    <cellStyle name="Note 3 2 4 2 2 5 8" xfId="32315"/>
    <cellStyle name="Note 3 2 4 2 2 6" xfId="32316"/>
    <cellStyle name="Note 3 2 4 2 2 6 2" xfId="32317"/>
    <cellStyle name="Note 3 2 4 2 2 6 3" xfId="32318"/>
    <cellStyle name="Note 3 2 4 2 2 6 4" xfId="32319"/>
    <cellStyle name="Note 3 2 4 2 2 7" xfId="32320"/>
    <cellStyle name="Note 3 2 4 2 2 7 2" xfId="32321"/>
    <cellStyle name="Note 3 2 4 2 2 7 3" xfId="32322"/>
    <cellStyle name="Note 3 2 4 2 2 7 4" xfId="32323"/>
    <cellStyle name="Note 3 2 4 2 2 8" xfId="32324"/>
    <cellStyle name="Note 3 2 4 2 2 9" xfId="32325"/>
    <cellStyle name="Note 3 2 4 2 3" xfId="32326"/>
    <cellStyle name="Note 3 2 4 2 3 2" xfId="32327"/>
    <cellStyle name="Note 3 2 4 2 3 2 2" xfId="32328"/>
    <cellStyle name="Note 3 2 4 2 3 2 3" xfId="32329"/>
    <cellStyle name="Note 3 2 4 2 3 2 4" xfId="32330"/>
    <cellStyle name="Note 3 2 4 2 3 3" xfId="32331"/>
    <cellStyle name="Note 3 2 4 2 3 3 2" xfId="32332"/>
    <cellStyle name="Note 3 2 4 2 3 3 3" xfId="32333"/>
    <cellStyle name="Note 3 2 4 2 3 3 4" xfId="32334"/>
    <cellStyle name="Note 3 2 4 2 3 4" xfId="32335"/>
    <cellStyle name="Note 3 2 4 2 3 4 2" xfId="32336"/>
    <cellStyle name="Note 3 2 4 2 3 4 3" xfId="32337"/>
    <cellStyle name="Note 3 2 4 2 3 4 4" xfId="32338"/>
    <cellStyle name="Note 3 2 4 2 3 5" xfId="32339"/>
    <cellStyle name="Note 3 2 4 2 3 6" xfId="32340"/>
    <cellStyle name="Note 3 2 4 2 3 7" xfId="32341"/>
    <cellStyle name="Note 3 2 4 2 3 8" xfId="32342"/>
    <cellStyle name="Note 3 2 4 2 4" xfId="32343"/>
    <cellStyle name="Note 3 2 4 2 4 2" xfId="32344"/>
    <cellStyle name="Note 3 2 4 2 4 2 2" xfId="32345"/>
    <cellStyle name="Note 3 2 4 2 4 2 3" xfId="32346"/>
    <cellStyle name="Note 3 2 4 2 4 2 4" xfId="32347"/>
    <cellStyle name="Note 3 2 4 2 4 3" xfId="32348"/>
    <cellStyle name="Note 3 2 4 2 4 3 2" xfId="32349"/>
    <cellStyle name="Note 3 2 4 2 4 3 3" xfId="32350"/>
    <cellStyle name="Note 3 2 4 2 4 3 4" xfId="32351"/>
    <cellStyle name="Note 3 2 4 2 4 4" xfId="32352"/>
    <cellStyle name="Note 3 2 4 2 4 4 2" xfId="32353"/>
    <cellStyle name="Note 3 2 4 2 4 4 3" xfId="32354"/>
    <cellStyle name="Note 3 2 4 2 4 4 4" xfId="32355"/>
    <cellStyle name="Note 3 2 4 2 4 5" xfId="32356"/>
    <cellStyle name="Note 3 2 4 2 4 6" xfId="32357"/>
    <cellStyle name="Note 3 2 4 2 4 7" xfId="32358"/>
    <cellStyle name="Note 3 2 4 2 4 8" xfId="32359"/>
    <cellStyle name="Note 3 2 4 2 5" xfId="32360"/>
    <cellStyle name="Note 3 2 4 2 5 2" xfId="32361"/>
    <cellStyle name="Note 3 2 4 2 5 2 2" xfId="32362"/>
    <cellStyle name="Note 3 2 4 2 5 2 3" xfId="32363"/>
    <cellStyle name="Note 3 2 4 2 5 2 4" xfId="32364"/>
    <cellStyle name="Note 3 2 4 2 5 3" xfId="32365"/>
    <cellStyle name="Note 3 2 4 2 5 3 2" xfId="32366"/>
    <cellStyle name="Note 3 2 4 2 5 3 3" xfId="32367"/>
    <cellStyle name="Note 3 2 4 2 5 3 4" xfId="32368"/>
    <cellStyle name="Note 3 2 4 2 5 4" xfId="32369"/>
    <cellStyle name="Note 3 2 4 2 5 4 2" xfId="32370"/>
    <cellStyle name="Note 3 2 4 2 5 4 3" xfId="32371"/>
    <cellStyle name="Note 3 2 4 2 5 4 4" xfId="32372"/>
    <cellStyle name="Note 3 2 4 2 5 5" xfId="32373"/>
    <cellStyle name="Note 3 2 4 2 5 6" xfId="32374"/>
    <cellStyle name="Note 3 2 4 2 5 7" xfId="32375"/>
    <cellStyle name="Note 3 2 4 2 5 8" xfId="32376"/>
    <cellStyle name="Note 3 2 4 2 6" xfId="32377"/>
    <cellStyle name="Note 3 2 4 2 6 2" xfId="32378"/>
    <cellStyle name="Note 3 2 4 2 6 2 2" xfId="32379"/>
    <cellStyle name="Note 3 2 4 2 6 2 3" xfId="32380"/>
    <cellStyle name="Note 3 2 4 2 6 2 4" xfId="32381"/>
    <cellStyle name="Note 3 2 4 2 6 3" xfId="32382"/>
    <cellStyle name="Note 3 2 4 2 6 3 2" xfId="32383"/>
    <cellStyle name="Note 3 2 4 2 6 3 3" xfId="32384"/>
    <cellStyle name="Note 3 2 4 2 6 3 4" xfId="32385"/>
    <cellStyle name="Note 3 2 4 2 6 4" xfId="32386"/>
    <cellStyle name="Note 3 2 4 2 6 4 2" xfId="32387"/>
    <cellStyle name="Note 3 2 4 2 6 4 3" xfId="32388"/>
    <cellStyle name="Note 3 2 4 2 6 4 4" xfId="32389"/>
    <cellStyle name="Note 3 2 4 2 6 5" xfId="32390"/>
    <cellStyle name="Note 3 2 4 2 6 6" xfId="32391"/>
    <cellStyle name="Note 3 2 4 2 6 7" xfId="32392"/>
    <cellStyle name="Note 3 2 4 2 6 8" xfId="32393"/>
    <cellStyle name="Note 3 2 4 2 7" xfId="32394"/>
    <cellStyle name="Note 3 2 4 2 7 2" xfId="32395"/>
    <cellStyle name="Note 3 2 4 2 7 2 2" xfId="32396"/>
    <cellStyle name="Note 3 2 4 2 7 2 3" xfId="32397"/>
    <cellStyle name="Note 3 2 4 2 7 2 4" xfId="32398"/>
    <cellStyle name="Note 3 2 4 2 7 3" xfId="32399"/>
    <cellStyle name="Note 3 2 4 2 7 3 2" xfId="32400"/>
    <cellStyle name="Note 3 2 4 2 7 3 3" xfId="32401"/>
    <cellStyle name="Note 3 2 4 2 7 3 4" xfId="32402"/>
    <cellStyle name="Note 3 2 4 2 7 4" xfId="32403"/>
    <cellStyle name="Note 3 2 4 2 7 4 2" xfId="32404"/>
    <cellStyle name="Note 3 2 4 2 7 4 3" xfId="32405"/>
    <cellStyle name="Note 3 2 4 2 7 4 4" xfId="32406"/>
    <cellStyle name="Note 3 2 4 2 7 5" xfId="32407"/>
    <cellStyle name="Note 3 2 4 2 7 6" xfId="32408"/>
    <cellStyle name="Note 3 2 4 2 7 7" xfId="32409"/>
    <cellStyle name="Note 3 2 4 2 7 8" xfId="32410"/>
    <cellStyle name="Note 3 2 4 2 8" xfId="32411"/>
    <cellStyle name="Note 3 2 4 2 8 2" xfId="32412"/>
    <cellStyle name="Note 3 2 4 2 8 3" xfId="32413"/>
    <cellStyle name="Note 3 2 4 2 8 4" xfId="32414"/>
    <cellStyle name="Note 3 2 4 2 9" xfId="32415"/>
    <cellStyle name="Note 3 2 4 2 9 2" xfId="32416"/>
    <cellStyle name="Note 3 2 4 2 9 3" xfId="32417"/>
    <cellStyle name="Note 3 2 4 2 9 4" xfId="32418"/>
    <cellStyle name="Note 3 2 4 3" xfId="32419"/>
    <cellStyle name="Note 3 2 4 3 2" xfId="32420"/>
    <cellStyle name="Note 3 2 4 3 2 2" xfId="32421"/>
    <cellStyle name="Note 3 2 4 3 2 2 2" xfId="32422"/>
    <cellStyle name="Note 3 2 4 3 2 2 3" xfId="32423"/>
    <cellStyle name="Note 3 2 4 3 2 2 4" xfId="32424"/>
    <cellStyle name="Note 3 2 4 3 2 3" xfId="32425"/>
    <cellStyle name="Note 3 2 4 3 2 3 2" xfId="32426"/>
    <cellStyle name="Note 3 2 4 3 2 3 3" xfId="32427"/>
    <cellStyle name="Note 3 2 4 3 2 3 4" xfId="32428"/>
    <cellStyle name="Note 3 2 4 3 2 4" xfId="32429"/>
    <cellStyle name="Note 3 2 4 3 2 4 2" xfId="32430"/>
    <cellStyle name="Note 3 2 4 3 2 4 3" xfId="32431"/>
    <cellStyle name="Note 3 2 4 3 2 4 4" xfId="32432"/>
    <cellStyle name="Note 3 2 4 3 2 5" xfId="32433"/>
    <cellStyle name="Note 3 2 4 3 2 6" xfId="32434"/>
    <cellStyle name="Note 3 2 4 3 2 7" xfId="32435"/>
    <cellStyle name="Note 3 2 4 3 2 8" xfId="32436"/>
    <cellStyle name="Note 3 2 4 3 3" xfId="32437"/>
    <cellStyle name="Note 3 2 4 3 3 2" xfId="32438"/>
    <cellStyle name="Note 3 2 4 3 3 2 2" xfId="32439"/>
    <cellStyle name="Note 3 2 4 3 3 2 3" xfId="32440"/>
    <cellStyle name="Note 3 2 4 3 3 2 4" xfId="32441"/>
    <cellStyle name="Note 3 2 4 3 3 3" xfId="32442"/>
    <cellStyle name="Note 3 2 4 3 3 3 2" xfId="32443"/>
    <cellStyle name="Note 3 2 4 3 3 3 3" xfId="32444"/>
    <cellStyle name="Note 3 2 4 3 3 3 4" xfId="32445"/>
    <cellStyle name="Note 3 2 4 3 3 4" xfId="32446"/>
    <cellStyle name="Note 3 2 4 3 3 4 2" xfId="32447"/>
    <cellStyle name="Note 3 2 4 3 3 4 3" xfId="32448"/>
    <cellStyle name="Note 3 2 4 3 3 4 4" xfId="32449"/>
    <cellStyle name="Note 3 2 4 3 3 5" xfId="32450"/>
    <cellStyle name="Note 3 2 4 3 3 6" xfId="32451"/>
    <cellStyle name="Note 3 2 4 3 3 7" xfId="32452"/>
    <cellStyle name="Note 3 2 4 3 3 8" xfId="32453"/>
    <cellStyle name="Note 3 2 4 3 4" xfId="32454"/>
    <cellStyle name="Note 3 2 4 3 4 2" xfId="32455"/>
    <cellStyle name="Note 3 2 4 3 4 2 2" xfId="32456"/>
    <cellStyle name="Note 3 2 4 3 4 2 3" xfId="32457"/>
    <cellStyle name="Note 3 2 4 3 4 2 4" xfId="32458"/>
    <cellStyle name="Note 3 2 4 3 4 3" xfId="32459"/>
    <cellStyle name="Note 3 2 4 3 4 3 2" xfId="32460"/>
    <cellStyle name="Note 3 2 4 3 4 3 3" xfId="32461"/>
    <cellStyle name="Note 3 2 4 3 4 3 4" xfId="32462"/>
    <cellStyle name="Note 3 2 4 3 4 4" xfId="32463"/>
    <cellStyle name="Note 3 2 4 3 4 4 2" xfId="32464"/>
    <cellStyle name="Note 3 2 4 3 4 4 3" xfId="32465"/>
    <cellStyle name="Note 3 2 4 3 4 4 4" xfId="32466"/>
    <cellStyle name="Note 3 2 4 3 4 5" xfId="32467"/>
    <cellStyle name="Note 3 2 4 3 4 6" xfId="32468"/>
    <cellStyle name="Note 3 2 4 3 4 7" xfId="32469"/>
    <cellStyle name="Note 3 2 4 3 4 8" xfId="32470"/>
    <cellStyle name="Note 3 2 4 3 5" xfId="32471"/>
    <cellStyle name="Note 3 2 4 3 5 2" xfId="32472"/>
    <cellStyle name="Note 3 2 4 3 5 2 2" xfId="32473"/>
    <cellStyle name="Note 3 2 4 3 5 2 3" xfId="32474"/>
    <cellStyle name="Note 3 2 4 3 5 2 4" xfId="32475"/>
    <cellStyle name="Note 3 2 4 3 5 3" xfId="32476"/>
    <cellStyle name="Note 3 2 4 3 5 3 2" xfId="32477"/>
    <cellStyle name="Note 3 2 4 3 5 3 3" xfId="32478"/>
    <cellStyle name="Note 3 2 4 3 5 3 4" xfId="32479"/>
    <cellStyle name="Note 3 2 4 3 5 4" xfId="32480"/>
    <cellStyle name="Note 3 2 4 3 5 4 2" xfId="32481"/>
    <cellStyle name="Note 3 2 4 3 5 4 3" xfId="32482"/>
    <cellStyle name="Note 3 2 4 3 5 4 4" xfId="32483"/>
    <cellStyle name="Note 3 2 4 3 5 5" xfId="32484"/>
    <cellStyle name="Note 3 2 4 3 5 6" xfId="32485"/>
    <cellStyle name="Note 3 2 4 3 5 7" xfId="32486"/>
    <cellStyle name="Note 3 2 4 3 5 8" xfId="32487"/>
    <cellStyle name="Note 3 2 4 3 6" xfId="32488"/>
    <cellStyle name="Note 3 2 4 3 6 2" xfId="32489"/>
    <cellStyle name="Note 3 2 4 3 6 3" xfId="32490"/>
    <cellStyle name="Note 3 2 4 3 6 4" xfId="32491"/>
    <cellStyle name="Note 3 2 4 3 7" xfId="32492"/>
    <cellStyle name="Note 3 2 4 3 7 2" xfId="32493"/>
    <cellStyle name="Note 3 2 4 3 7 3" xfId="32494"/>
    <cellStyle name="Note 3 2 4 3 7 4" xfId="32495"/>
    <cellStyle name="Note 3 2 4 3 8" xfId="32496"/>
    <cellStyle name="Note 3 2 4 3 9" xfId="32497"/>
    <cellStyle name="Note 3 2 4 4" xfId="32498"/>
    <cellStyle name="Note 3 2 4 4 2" xfId="32499"/>
    <cellStyle name="Note 3 2 4 4 2 2" xfId="32500"/>
    <cellStyle name="Note 3 2 4 4 2 3" xfId="32501"/>
    <cellStyle name="Note 3 2 4 4 2 4" xfId="32502"/>
    <cellStyle name="Note 3 2 4 4 3" xfId="32503"/>
    <cellStyle name="Note 3 2 4 4 3 2" xfId="32504"/>
    <cellStyle name="Note 3 2 4 4 3 3" xfId="32505"/>
    <cellStyle name="Note 3 2 4 4 3 4" xfId="32506"/>
    <cellStyle name="Note 3 2 4 4 4" xfId="32507"/>
    <cellStyle name="Note 3 2 4 4 4 2" xfId="32508"/>
    <cellStyle name="Note 3 2 4 4 4 3" xfId="32509"/>
    <cellStyle name="Note 3 2 4 4 4 4" xfId="32510"/>
    <cellStyle name="Note 3 2 4 4 5" xfId="32511"/>
    <cellStyle name="Note 3 2 4 4 6" xfId="32512"/>
    <cellStyle name="Note 3 2 4 4 7" xfId="32513"/>
    <cellStyle name="Note 3 2 4 4 8" xfId="32514"/>
    <cellStyle name="Note 3 2 4 5" xfId="32515"/>
    <cellStyle name="Note 3 2 4 5 2" xfId="32516"/>
    <cellStyle name="Note 3 2 4 5 2 2" xfId="32517"/>
    <cellStyle name="Note 3 2 4 5 2 3" xfId="32518"/>
    <cellStyle name="Note 3 2 4 5 2 4" xfId="32519"/>
    <cellStyle name="Note 3 2 4 5 3" xfId="32520"/>
    <cellStyle name="Note 3 2 4 5 3 2" xfId="32521"/>
    <cellStyle name="Note 3 2 4 5 3 3" xfId="32522"/>
    <cellStyle name="Note 3 2 4 5 3 4" xfId="32523"/>
    <cellStyle name="Note 3 2 4 5 4" xfId="32524"/>
    <cellStyle name="Note 3 2 4 5 4 2" xfId="32525"/>
    <cellStyle name="Note 3 2 4 5 4 3" xfId="32526"/>
    <cellStyle name="Note 3 2 4 5 4 4" xfId="32527"/>
    <cellStyle name="Note 3 2 4 5 5" xfId="32528"/>
    <cellStyle name="Note 3 2 4 5 6" xfId="32529"/>
    <cellStyle name="Note 3 2 4 5 7" xfId="32530"/>
    <cellStyle name="Note 3 2 4 5 8" xfId="32531"/>
    <cellStyle name="Note 3 2 4 6" xfId="32532"/>
    <cellStyle name="Note 3 2 4 6 2" xfId="32533"/>
    <cellStyle name="Note 3 2 4 6 2 2" xfId="32534"/>
    <cellStyle name="Note 3 2 4 6 2 3" xfId="32535"/>
    <cellStyle name="Note 3 2 4 6 2 4" xfId="32536"/>
    <cellStyle name="Note 3 2 4 6 3" xfId="32537"/>
    <cellStyle name="Note 3 2 4 6 3 2" xfId="32538"/>
    <cellStyle name="Note 3 2 4 6 3 3" xfId="32539"/>
    <cellStyle name="Note 3 2 4 6 3 4" xfId="32540"/>
    <cellStyle name="Note 3 2 4 6 4" xfId="32541"/>
    <cellStyle name="Note 3 2 4 6 4 2" xfId="32542"/>
    <cellStyle name="Note 3 2 4 6 4 3" xfId="32543"/>
    <cellStyle name="Note 3 2 4 6 4 4" xfId="32544"/>
    <cellStyle name="Note 3 2 4 6 5" xfId="32545"/>
    <cellStyle name="Note 3 2 4 6 6" xfId="32546"/>
    <cellStyle name="Note 3 2 4 6 7" xfId="32547"/>
    <cellStyle name="Note 3 2 4 6 8" xfId="32548"/>
    <cellStyle name="Note 3 2 4 7" xfId="32549"/>
    <cellStyle name="Note 3 2 4 7 2" xfId="32550"/>
    <cellStyle name="Note 3 2 4 7 2 2" xfId="32551"/>
    <cellStyle name="Note 3 2 4 7 2 3" xfId="32552"/>
    <cellStyle name="Note 3 2 4 7 2 4" xfId="32553"/>
    <cellStyle name="Note 3 2 4 7 3" xfId="32554"/>
    <cellStyle name="Note 3 2 4 7 3 2" xfId="32555"/>
    <cellStyle name="Note 3 2 4 7 3 3" xfId="32556"/>
    <cellStyle name="Note 3 2 4 7 3 4" xfId="32557"/>
    <cellStyle name="Note 3 2 4 7 4" xfId="32558"/>
    <cellStyle name="Note 3 2 4 7 4 2" xfId="32559"/>
    <cellStyle name="Note 3 2 4 7 4 3" xfId="32560"/>
    <cellStyle name="Note 3 2 4 7 4 4" xfId="32561"/>
    <cellStyle name="Note 3 2 4 7 5" xfId="32562"/>
    <cellStyle name="Note 3 2 4 7 6" xfId="32563"/>
    <cellStyle name="Note 3 2 4 7 7" xfId="32564"/>
    <cellStyle name="Note 3 2 4 7 8" xfId="32565"/>
    <cellStyle name="Note 3 2 4 8" xfId="32566"/>
    <cellStyle name="Note 3 2 4 8 2" xfId="32567"/>
    <cellStyle name="Note 3 2 4 8 2 2" xfId="32568"/>
    <cellStyle name="Note 3 2 4 8 2 3" xfId="32569"/>
    <cellStyle name="Note 3 2 4 8 2 4" xfId="32570"/>
    <cellStyle name="Note 3 2 4 8 3" xfId="32571"/>
    <cellStyle name="Note 3 2 4 8 3 2" xfId="32572"/>
    <cellStyle name="Note 3 2 4 8 3 3" xfId="32573"/>
    <cellStyle name="Note 3 2 4 8 3 4" xfId="32574"/>
    <cellStyle name="Note 3 2 4 8 4" xfId="32575"/>
    <cellStyle name="Note 3 2 4 8 4 2" xfId="32576"/>
    <cellStyle name="Note 3 2 4 8 4 3" xfId="32577"/>
    <cellStyle name="Note 3 2 4 8 4 4" xfId="32578"/>
    <cellStyle name="Note 3 2 4 8 5" xfId="32579"/>
    <cellStyle name="Note 3 2 4 8 6" xfId="32580"/>
    <cellStyle name="Note 3 2 4 8 7" xfId="32581"/>
    <cellStyle name="Note 3 2 4 8 8" xfId="32582"/>
    <cellStyle name="Note 3 2 4 9" xfId="32583"/>
    <cellStyle name="Note 3 2 4 9 2" xfId="32584"/>
    <cellStyle name="Note 3 2 4 9 3" xfId="32585"/>
    <cellStyle name="Note 3 2 4 9 4" xfId="32586"/>
    <cellStyle name="Note 3 2 5" xfId="32587"/>
    <cellStyle name="Note 3 2 5 10" xfId="32588"/>
    <cellStyle name="Note 3 2 5 11" xfId="32589"/>
    <cellStyle name="Note 3 2 5 2" xfId="32590"/>
    <cellStyle name="Note 3 2 5 2 2" xfId="32591"/>
    <cellStyle name="Note 3 2 5 2 2 2" xfId="32592"/>
    <cellStyle name="Note 3 2 5 2 2 2 2" xfId="32593"/>
    <cellStyle name="Note 3 2 5 2 2 2 3" xfId="32594"/>
    <cellStyle name="Note 3 2 5 2 2 2 4" xfId="32595"/>
    <cellStyle name="Note 3 2 5 2 2 3" xfId="32596"/>
    <cellStyle name="Note 3 2 5 2 2 3 2" xfId="32597"/>
    <cellStyle name="Note 3 2 5 2 2 3 3" xfId="32598"/>
    <cellStyle name="Note 3 2 5 2 2 3 4" xfId="32599"/>
    <cellStyle name="Note 3 2 5 2 2 4" xfId="32600"/>
    <cellStyle name="Note 3 2 5 2 2 4 2" xfId="32601"/>
    <cellStyle name="Note 3 2 5 2 2 4 3" xfId="32602"/>
    <cellStyle name="Note 3 2 5 2 2 4 4" xfId="32603"/>
    <cellStyle name="Note 3 2 5 2 2 5" xfId="32604"/>
    <cellStyle name="Note 3 2 5 2 2 6" xfId="32605"/>
    <cellStyle name="Note 3 2 5 2 2 7" xfId="32606"/>
    <cellStyle name="Note 3 2 5 2 2 8" xfId="32607"/>
    <cellStyle name="Note 3 2 5 2 3" xfId="32608"/>
    <cellStyle name="Note 3 2 5 2 3 2" xfId="32609"/>
    <cellStyle name="Note 3 2 5 2 3 2 2" xfId="32610"/>
    <cellStyle name="Note 3 2 5 2 3 2 3" xfId="32611"/>
    <cellStyle name="Note 3 2 5 2 3 2 4" xfId="32612"/>
    <cellStyle name="Note 3 2 5 2 3 3" xfId="32613"/>
    <cellStyle name="Note 3 2 5 2 3 3 2" xfId="32614"/>
    <cellStyle name="Note 3 2 5 2 3 3 3" xfId="32615"/>
    <cellStyle name="Note 3 2 5 2 3 3 4" xfId="32616"/>
    <cellStyle name="Note 3 2 5 2 3 4" xfId="32617"/>
    <cellStyle name="Note 3 2 5 2 3 4 2" xfId="32618"/>
    <cellStyle name="Note 3 2 5 2 3 4 3" xfId="32619"/>
    <cellStyle name="Note 3 2 5 2 3 4 4" xfId="32620"/>
    <cellStyle name="Note 3 2 5 2 3 5" xfId="32621"/>
    <cellStyle name="Note 3 2 5 2 3 6" xfId="32622"/>
    <cellStyle name="Note 3 2 5 2 3 7" xfId="32623"/>
    <cellStyle name="Note 3 2 5 2 3 8" xfId="32624"/>
    <cellStyle name="Note 3 2 5 2 4" xfId="32625"/>
    <cellStyle name="Note 3 2 5 2 4 2" xfId="32626"/>
    <cellStyle name="Note 3 2 5 2 4 2 2" xfId="32627"/>
    <cellStyle name="Note 3 2 5 2 4 2 3" xfId="32628"/>
    <cellStyle name="Note 3 2 5 2 4 2 4" xfId="32629"/>
    <cellStyle name="Note 3 2 5 2 4 3" xfId="32630"/>
    <cellStyle name="Note 3 2 5 2 4 3 2" xfId="32631"/>
    <cellStyle name="Note 3 2 5 2 4 3 3" xfId="32632"/>
    <cellStyle name="Note 3 2 5 2 4 3 4" xfId="32633"/>
    <cellStyle name="Note 3 2 5 2 4 4" xfId="32634"/>
    <cellStyle name="Note 3 2 5 2 4 4 2" xfId="32635"/>
    <cellStyle name="Note 3 2 5 2 4 4 3" xfId="32636"/>
    <cellStyle name="Note 3 2 5 2 4 4 4" xfId="32637"/>
    <cellStyle name="Note 3 2 5 2 4 5" xfId="32638"/>
    <cellStyle name="Note 3 2 5 2 4 6" xfId="32639"/>
    <cellStyle name="Note 3 2 5 2 4 7" xfId="32640"/>
    <cellStyle name="Note 3 2 5 2 4 8" xfId="32641"/>
    <cellStyle name="Note 3 2 5 2 5" xfId="32642"/>
    <cellStyle name="Note 3 2 5 2 5 2" xfId="32643"/>
    <cellStyle name="Note 3 2 5 2 5 2 2" xfId="32644"/>
    <cellStyle name="Note 3 2 5 2 5 2 3" xfId="32645"/>
    <cellStyle name="Note 3 2 5 2 5 2 4" xfId="32646"/>
    <cellStyle name="Note 3 2 5 2 5 3" xfId="32647"/>
    <cellStyle name="Note 3 2 5 2 5 3 2" xfId="32648"/>
    <cellStyle name="Note 3 2 5 2 5 3 3" xfId="32649"/>
    <cellStyle name="Note 3 2 5 2 5 3 4" xfId="32650"/>
    <cellStyle name="Note 3 2 5 2 5 4" xfId="32651"/>
    <cellStyle name="Note 3 2 5 2 5 4 2" xfId="32652"/>
    <cellStyle name="Note 3 2 5 2 5 4 3" xfId="32653"/>
    <cellStyle name="Note 3 2 5 2 5 4 4" xfId="32654"/>
    <cellStyle name="Note 3 2 5 2 5 5" xfId="32655"/>
    <cellStyle name="Note 3 2 5 2 5 6" xfId="32656"/>
    <cellStyle name="Note 3 2 5 2 5 7" xfId="32657"/>
    <cellStyle name="Note 3 2 5 2 5 8" xfId="32658"/>
    <cellStyle name="Note 3 2 5 2 6" xfId="32659"/>
    <cellStyle name="Note 3 2 5 2 6 2" xfId="32660"/>
    <cellStyle name="Note 3 2 5 2 6 3" xfId="32661"/>
    <cellStyle name="Note 3 2 5 2 6 4" xfId="32662"/>
    <cellStyle name="Note 3 2 5 2 7" xfId="32663"/>
    <cellStyle name="Note 3 2 5 2 7 2" xfId="32664"/>
    <cellStyle name="Note 3 2 5 2 7 3" xfId="32665"/>
    <cellStyle name="Note 3 2 5 2 7 4" xfId="32666"/>
    <cellStyle name="Note 3 2 5 2 8" xfId="32667"/>
    <cellStyle name="Note 3 2 5 2 9" xfId="32668"/>
    <cellStyle name="Note 3 2 5 3" xfId="32669"/>
    <cellStyle name="Note 3 2 5 3 2" xfId="32670"/>
    <cellStyle name="Note 3 2 5 3 2 2" xfId="32671"/>
    <cellStyle name="Note 3 2 5 3 2 3" xfId="32672"/>
    <cellStyle name="Note 3 2 5 3 2 4" xfId="32673"/>
    <cellStyle name="Note 3 2 5 3 3" xfId="32674"/>
    <cellStyle name="Note 3 2 5 3 3 2" xfId="32675"/>
    <cellStyle name="Note 3 2 5 3 3 3" xfId="32676"/>
    <cellStyle name="Note 3 2 5 3 3 4" xfId="32677"/>
    <cellStyle name="Note 3 2 5 3 4" xfId="32678"/>
    <cellStyle name="Note 3 2 5 3 4 2" xfId="32679"/>
    <cellStyle name="Note 3 2 5 3 4 3" xfId="32680"/>
    <cellStyle name="Note 3 2 5 3 4 4" xfId="32681"/>
    <cellStyle name="Note 3 2 5 3 5" xfId="32682"/>
    <cellStyle name="Note 3 2 5 3 6" xfId="32683"/>
    <cellStyle name="Note 3 2 5 3 7" xfId="32684"/>
    <cellStyle name="Note 3 2 5 3 8" xfId="32685"/>
    <cellStyle name="Note 3 2 5 4" xfId="32686"/>
    <cellStyle name="Note 3 2 5 4 2" xfId="32687"/>
    <cellStyle name="Note 3 2 5 4 2 2" xfId="32688"/>
    <cellStyle name="Note 3 2 5 4 2 3" xfId="32689"/>
    <cellStyle name="Note 3 2 5 4 2 4" xfId="32690"/>
    <cellStyle name="Note 3 2 5 4 3" xfId="32691"/>
    <cellStyle name="Note 3 2 5 4 3 2" xfId="32692"/>
    <cellStyle name="Note 3 2 5 4 3 3" xfId="32693"/>
    <cellStyle name="Note 3 2 5 4 3 4" xfId="32694"/>
    <cellStyle name="Note 3 2 5 4 4" xfId="32695"/>
    <cellStyle name="Note 3 2 5 4 4 2" xfId="32696"/>
    <cellStyle name="Note 3 2 5 4 4 3" xfId="32697"/>
    <cellStyle name="Note 3 2 5 4 4 4" xfId="32698"/>
    <cellStyle name="Note 3 2 5 4 5" xfId="32699"/>
    <cellStyle name="Note 3 2 5 4 6" xfId="32700"/>
    <cellStyle name="Note 3 2 5 4 7" xfId="32701"/>
    <cellStyle name="Note 3 2 5 4 8" xfId="32702"/>
    <cellStyle name="Note 3 2 5 5" xfId="32703"/>
    <cellStyle name="Note 3 2 5 5 2" xfId="32704"/>
    <cellStyle name="Note 3 2 5 5 2 2" xfId="32705"/>
    <cellStyle name="Note 3 2 5 5 2 3" xfId="32706"/>
    <cellStyle name="Note 3 2 5 5 2 4" xfId="32707"/>
    <cellStyle name="Note 3 2 5 5 3" xfId="32708"/>
    <cellStyle name="Note 3 2 5 5 3 2" xfId="32709"/>
    <cellStyle name="Note 3 2 5 5 3 3" xfId="32710"/>
    <cellStyle name="Note 3 2 5 5 3 4" xfId="32711"/>
    <cellStyle name="Note 3 2 5 5 4" xfId="32712"/>
    <cellStyle name="Note 3 2 5 5 4 2" xfId="32713"/>
    <cellStyle name="Note 3 2 5 5 4 3" xfId="32714"/>
    <cellStyle name="Note 3 2 5 5 4 4" xfId="32715"/>
    <cellStyle name="Note 3 2 5 5 5" xfId="32716"/>
    <cellStyle name="Note 3 2 5 5 6" xfId="32717"/>
    <cellStyle name="Note 3 2 5 5 7" xfId="32718"/>
    <cellStyle name="Note 3 2 5 5 8" xfId="32719"/>
    <cellStyle name="Note 3 2 5 6" xfId="32720"/>
    <cellStyle name="Note 3 2 5 6 2" xfId="32721"/>
    <cellStyle name="Note 3 2 5 6 2 2" xfId="32722"/>
    <cellStyle name="Note 3 2 5 6 2 3" xfId="32723"/>
    <cellStyle name="Note 3 2 5 6 2 4" xfId="32724"/>
    <cellStyle name="Note 3 2 5 6 3" xfId="32725"/>
    <cellStyle name="Note 3 2 5 6 3 2" xfId="32726"/>
    <cellStyle name="Note 3 2 5 6 3 3" xfId="32727"/>
    <cellStyle name="Note 3 2 5 6 3 4" xfId="32728"/>
    <cellStyle name="Note 3 2 5 6 4" xfId="32729"/>
    <cellStyle name="Note 3 2 5 6 4 2" xfId="32730"/>
    <cellStyle name="Note 3 2 5 6 4 3" xfId="32731"/>
    <cellStyle name="Note 3 2 5 6 4 4" xfId="32732"/>
    <cellStyle name="Note 3 2 5 6 5" xfId="32733"/>
    <cellStyle name="Note 3 2 5 6 6" xfId="32734"/>
    <cellStyle name="Note 3 2 5 6 7" xfId="32735"/>
    <cellStyle name="Note 3 2 5 6 8" xfId="32736"/>
    <cellStyle name="Note 3 2 5 7" xfId="32737"/>
    <cellStyle name="Note 3 2 5 7 2" xfId="32738"/>
    <cellStyle name="Note 3 2 5 7 2 2" xfId="32739"/>
    <cellStyle name="Note 3 2 5 7 2 3" xfId="32740"/>
    <cellStyle name="Note 3 2 5 7 2 4" xfId="32741"/>
    <cellStyle name="Note 3 2 5 7 3" xfId="32742"/>
    <cellStyle name="Note 3 2 5 7 3 2" xfId="32743"/>
    <cellStyle name="Note 3 2 5 7 3 3" xfId="32744"/>
    <cellStyle name="Note 3 2 5 7 3 4" xfId="32745"/>
    <cellStyle name="Note 3 2 5 7 4" xfId="32746"/>
    <cellStyle name="Note 3 2 5 7 4 2" xfId="32747"/>
    <cellStyle name="Note 3 2 5 7 4 3" xfId="32748"/>
    <cellStyle name="Note 3 2 5 7 4 4" xfId="32749"/>
    <cellStyle name="Note 3 2 5 7 5" xfId="32750"/>
    <cellStyle name="Note 3 2 5 7 6" xfId="32751"/>
    <cellStyle name="Note 3 2 5 7 7" xfId="32752"/>
    <cellStyle name="Note 3 2 5 7 8" xfId="32753"/>
    <cellStyle name="Note 3 2 5 8" xfId="32754"/>
    <cellStyle name="Note 3 2 5 8 2" xfId="32755"/>
    <cellStyle name="Note 3 2 5 8 3" xfId="32756"/>
    <cellStyle name="Note 3 2 5 8 4" xfId="32757"/>
    <cellStyle name="Note 3 2 5 9" xfId="32758"/>
    <cellStyle name="Note 3 2 5 9 2" xfId="32759"/>
    <cellStyle name="Note 3 2 5 9 3" xfId="32760"/>
    <cellStyle name="Note 3 2 5 9 4" xfId="32761"/>
    <cellStyle name="Note 3 2 6" xfId="32762"/>
    <cellStyle name="Note 3 2 6 2" xfId="32763"/>
    <cellStyle name="Note 3 2 6 2 2" xfId="32764"/>
    <cellStyle name="Note 3 2 6 2 2 2" xfId="32765"/>
    <cellStyle name="Note 3 2 6 2 2 3" xfId="32766"/>
    <cellStyle name="Note 3 2 6 2 2 4" xfId="32767"/>
    <cellStyle name="Note 3 2 6 2 3" xfId="32768"/>
    <cellStyle name="Note 3 2 6 2 3 2" xfId="32769"/>
    <cellStyle name="Note 3 2 6 2 3 3" xfId="32770"/>
    <cellStyle name="Note 3 2 6 2 3 4" xfId="32771"/>
    <cellStyle name="Note 3 2 6 2 4" xfId="32772"/>
    <cellStyle name="Note 3 2 6 2 4 2" xfId="32773"/>
    <cellStyle name="Note 3 2 6 2 4 3" xfId="32774"/>
    <cellStyle name="Note 3 2 6 2 4 4" xfId="32775"/>
    <cellStyle name="Note 3 2 6 2 5" xfId="32776"/>
    <cellStyle name="Note 3 2 6 2 6" xfId="32777"/>
    <cellStyle name="Note 3 2 6 2 7" xfId="32778"/>
    <cellStyle name="Note 3 2 6 2 8" xfId="32779"/>
    <cellStyle name="Note 3 2 6 3" xfId="32780"/>
    <cellStyle name="Note 3 2 6 3 2" xfId="32781"/>
    <cellStyle name="Note 3 2 6 3 2 2" xfId="32782"/>
    <cellStyle name="Note 3 2 6 3 2 3" xfId="32783"/>
    <cellStyle name="Note 3 2 6 3 2 4" xfId="32784"/>
    <cellStyle name="Note 3 2 6 3 3" xfId="32785"/>
    <cellStyle name="Note 3 2 6 3 3 2" xfId="32786"/>
    <cellStyle name="Note 3 2 6 3 3 3" xfId="32787"/>
    <cellStyle name="Note 3 2 6 3 3 4" xfId="32788"/>
    <cellStyle name="Note 3 2 6 3 4" xfId="32789"/>
    <cellStyle name="Note 3 2 6 3 4 2" xfId="32790"/>
    <cellStyle name="Note 3 2 6 3 4 3" xfId="32791"/>
    <cellStyle name="Note 3 2 6 3 4 4" xfId="32792"/>
    <cellStyle name="Note 3 2 6 3 5" xfId="32793"/>
    <cellStyle name="Note 3 2 6 3 6" xfId="32794"/>
    <cellStyle name="Note 3 2 6 3 7" xfId="32795"/>
    <cellStyle name="Note 3 2 6 3 8" xfId="32796"/>
    <cellStyle name="Note 3 2 6 4" xfId="32797"/>
    <cellStyle name="Note 3 2 6 4 2" xfId="32798"/>
    <cellStyle name="Note 3 2 6 4 2 2" xfId="32799"/>
    <cellStyle name="Note 3 2 6 4 2 3" xfId="32800"/>
    <cellStyle name="Note 3 2 6 4 2 4" xfId="32801"/>
    <cellStyle name="Note 3 2 6 4 3" xfId="32802"/>
    <cellStyle name="Note 3 2 6 4 3 2" xfId="32803"/>
    <cellStyle name="Note 3 2 6 4 3 3" xfId="32804"/>
    <cellStyle name="Note 3 2 6 4 3 4" xfId="32805"/>
    <cellStyle name="Note 3 2 6 4 4" xfId="32806"/>
    <cellStyle name="Note 3 2 6 4 4 2" xfId="32807"/>
    <cellStyle name="Note 3 2 6 4 4 3" xfId="32808"/>
    <cellStyle name="Note 3 2 6 4 4 4" xfId="32809"/>
    <cellStyle name="Note 3 2 6 4 5" xfId="32810"/>
    <cellStyle name="Note 3 2 6 4 6" xfId="32811"/>
    <cellStyle name="Note 3 2 6 4 7" xfId="32812"/>
    <cellStyle name="Note 3 2 6 4 8" xfId="32813"/>
    <cellStyle name="Note 3 2 6 5" xfId="32814"/>
    <cellStyle name="Note 3 2 6 5 2" xfId="32815"/>
    <cellStyle name="Note 3 2 6 5 2 2" xfId="32816"/>
    <cellStyle name="Note 3 2 6 5 2 3" xfId="32817"/>
    <cellStyle name="Note 3 2 6 5 2 4" xfId="32818"/>
    <cellStyle name="Note 3 2 6 5 3" xfId="32819"/>
    <cellStyle name="Note 3 2 6 5 3 2" xfId="32820"/>
    <cellStyle name="Note 3 2 6 5 3 3" xfId="32821"/>
    <cellStyle name="Note 3 2 6 5 3 4" xfId="32822"/>
    <cellStyle name="Note 3 2 6 5 4" xfId="32823"/>
    <cellStyle name="Note 3 2 6 5 4 2" xfId="32824"/>
    <cellStyle name="Note 3 2 6 5 4 3" xfId="32825"/>
    <cellStyle name="Note 3 2 6 5 4 4" xfId="32826"/>
    <cellStyle name="Note 3 2 6 5 5" xfId="32827"/>
    <cellStyle name="Note 3 2 6 5 6" xfId="32828"/>
    <cellStyle name="Note 3 2 6 5 7" xfId="32829"/>
    <cellStyle name="Note 3 2 6 5 8" xfId="32830"/>
    <cellStyle name="Note 3 2 6 6" xfId="32831"/>
    <cellStyle name="Note 3 2 6 6 2" xfId="32832"/>
    <cellStyle name="Note 3 2 6 6 3" xfId="32833"/>
    <cellStyle name="Note 3 2 6 6 4" xfId="32834"/>
    <cellStyle name="Note 3 2 6 7" xfId="32835"/>
    <cellStyle name="Note 3 2 6 7 2" xfId="32836"/>
    <cellStyle name="Note 3 2 6 7 3" xfId="32837"/>
    <cellStyle name="Note 3 2 6 7 4" xfId="32838"/>
    <cellStyle name="Note 3 2 6 8" xfId="32839"/>
    <cellStyle name="Note 3 2 6 9" xfId="32840"/>
    <cellStyle name="Note 3 2 7" xfId="32841"/>
    <cellStyle name="Note 3 2 7 2" xfId="32842"/>
    <cellStyle name="Note 3 2 7 2 2" xfId="32843"/>
    <cellStyle name="Note 3 2 7 2 3" xfId="32844"/>
    <cellStyle name="Note 3 2 7 2 4" xfId="32845"/>
    <cellStyle name="Note 3 2 7 3" xfId="32846"/>
    <cellStyle name="Note 3 2 7 3 2" xfId="32847"/>
    <cellStyle name="Note 3 2 7 3 3" xfId="32848"/>
    <cellStyle name="Note 3 2 7 3 4" xfId="32849"/>
    <cellStyle name="Note 3 2 7 4" xfId="32850"/>
    <cellStyle name="Note 3 2 7 4 2" xfId="32851"/>
    <cellStyle name="Note 3 2 7 4 3" xfId="32852"/>
    <cellStyle name="Note 3 2 7 4 4" xfId="32853"/>
    <cellStyle name="Note 3 2 7 5" xfId="32854"/>
    <cellStyle name="Note 3 2 7 6" xfId="32855"/>
    <cellStyle name="Note 3 2 7 7" xfId="32856"/>
    <cellStyle name="Note 3 2 7 8" xfId="32857"/>
    <cellStyle name="Note 3 2 8" xfId="32858"/>
    <cellStyle name="Note 3 2 8 2" xfId="32859"/>
    <cellStyle name="Note 3 2 8 2 2" xfId="32860"/>
    <cellStyle name="Note 3 2 8 2 3" xfId="32861"/>
    <cellStyle name="Note 3 2 8 2 4" xfId="32862"/>
    <cellStyle name="Note 3 2 8 3" xfId="32863"/>
    <cellStyle name="Note 3 2 8 3 2" xfId="32864"/>
    <cellStyle name="Note 3 2 8 3 3" xfId="32865"/>
    <cellStyle name="Note 3 2 8 3 4" xfId="32866"/>
    <cellStyle name="Note 3 2 8 4" xfId="32867"/>
    <cellStyle name="Note 3 2 8 4 2" xfId="32868"/>
    <cellStyle name="Note 3 2 8 4 3" xfId="32869"/>
    <cellStyle name="Note 3 2 8 4 4" xfId="32870"/>
    <cellStyle name="Note 3 2 8 5" xfId="32871"/>
    <cellStyle name="Note 3 2 8 6" xfId="32872"/>
    <cellStyle name="Note 3 2 8 7" xfId="32873"/>
    <cellStyle name="Note 3 2 8 8" xfId="32874"/>
    <cellStyle name="Note 3 2 9" xfId="32875"/>
    <cellStyle name="Note 3 2 9 2" xfId="32876"/>
    <cellStyle name="Note 3 2 9 2 2" xfId="32877"/>
    <cellStyle name="Note 3 2 9 2 3" xfId="32878"/>
    <cellStyle name="Note 3 2 9 2 4" xfId="32879"/>
    <cellStyle name="Note 3 2 9 3" xfId="32880"/>
    <cellStyle name="Note 3 2 9 3 2" xfId="32881"/>
    <cellStyle name="Note 3 2 9 3 3" xfId="32882"/>
    <cellStyle name="Note 3 2 9 3 4" xfId="32883"/>
    <cellStyle name="Note 3 2 9 4" xfId="32884"/>
    <cellStyle name="Note 3 2 9 4 2" xfId="32885"/>
    <cellStyle name="Note 3 2 9 4 3" xfId="32886"/>
    <cellStyle name="Note 3 2 9 4 4" xfId="32887"/>
    <cellStyle name="Note 3 2 9 5" xfId="32888"/>
    <cellStyle name="Note 3 2 9 6" xfId="32889"/>
    <cellStyle name="Note 3 2 9 7" xfId="32890"/>
    <cellStyle name="Note 3 2 9 8" xfId="32891"/>
    <cellStyle name="Note 3 3" xfId="32892"/>
    <cellStyle name="Note 3 3 10" xfId="32893"/>
    <cellStyle name="Note 3 3 10 2" xfId="32894"/>
    <cellStyle name="Note 3 3 10 2 2" xfId="32895"/>
    <cellStyle name="Note 3 3 10 2 3" xfId="32896"/>
    <cellStyle name="Note 3 3 10 2 4" xfId="32897"/>
    <cellStyle name="Note 3 3 10 3" xfId="32898"/>
    <cellStyle name="Note 3 3 10 3 2" xfId="32899"/>
    <cellStyle name="Note 3 3 10 3 3" xfId="32900"/>
    <cellStyle name="Note 3 3 10 3 4" xfId="32901"/>
    <cellStyle name="Note 3 3 10 4" xfId="32902"/>
    <cellStyle name="Note 3 3 10 4 2" xfId="32903"/>
    <cellStyle name="Note 3 3 10 4 3" xfId="32904"/>
    <cellStyle name="Note 3 3 10 4 4" xfId="32905"/>
    <cellStyle name="Note 3 3 10 5" xfId="32906"/>
    <cellStyle name="Note 3 3 10 6" xfId="32907"/>
    <cellStyle name="Note 3 3 10 7" xfId="32908"/>
    <cellStyle name="Note 3 3 10 8" xfId="32909"/>
    <cellStyle name="Note 3 3 11" xfId="32910"/>
    <cellStyle name="Note 3 3 11 2" xfId="32911"/>
    <cellStyle name="Note 3 3 11 3" xfId="32912"/>
    <cellStyle name="Note 3 3 11 4" xfId="32913"/>
    <cellStyle name="Note 3 3 12" xfId="32914"/>
    <cellStyle name="Note 3 3 12 2" xfId="32915"/>
    <cellStyle name="Note 3 3 12 3" xfId="32916"/>
    <cellStyle name="Note 3 3 12 4" xfId="32917"/>
    <cellStyle name="Note 3 3 13" xfId="32918"/>
    <cellStyle name="Note 3 3 14" xfId="32919"/>
    <cellStyle name="Note 3 3 2" xfId="32920"/>
    <cellStyle name="Note 3 3 2 10" xfId="32921"/>
    <cellStyle name="Note 3 3 2 10 2" xfId="32922"/>
    <cellStyle name="Note 3 3 2 10 3" xfId="32923"/>
    <cellStyle name="Note 3 3 2 10 4" xfId="32924"/>
    <cellStyle name="Note 3 3 2 11" xfId="32925"/>
    <cellStyle name="Note 3 3 2 11 2" xfId="32926"/>
    <cellStyle name="Note 3 3 2 11 3" xfId="32927"/>
    <cellStyle name="Note 3 3 2 11 4" xfId="32928"/>
    <cellStyle name="Note 3 3 2 12" xfId="32929"/>
    <cellStyle name="Note 3 3 2 13" xfId="32930"/>
    <cellStyle name="Note 3 3 2 2" xfId="32931"/>
    <cellStyle name="Note 3 3 2 2 10" xfId="32932"/>
    <cellStyle name="Note 3 3 2 2 10 2" xfId="32933"/>
    <cellStyle name="Note 3 3 2 2 10 3" xfId="32934"/>
    <cellStyle name="Note 3 3 2 2 10 4" xfId="32935"/>
    <cellStyle name="Note 3 3 2 2 11" xfId="32936"/>
    <cellStyle name="Note 3 3 2 2 12" xfId="32937"/>
    <cellStyle name="Note 3 3 2 2 2" xfId="32938"/>
    <cellStyle name="Note 3 3 2 2 2 10" xfId="32939"/>
    <cellStyle name="Note 3 3 2 2 2 11" xfId="32940"/>
    <cellStyle name="Note 3 3 2 2 2 2" xfId="32941"/>
    <cellStyle name="Note 3 3 2 2 2 2 2" xfId="32942"/>
    <cellStyle name="Note 3 3 2 2 2 2 2 2" xfId="32943"/>
    <cellStyle name="Note 3 3 2 2 2 2 2 2 2" xfId="32944"/>
    <cellStyle name="Note 3 3 2 2 2 2 2 2 3" xfId="32945"/>
    <cellStyle name="Note 3 3 2 2 2 2 2 2 4" xfId="32946"/>
    <cellStyle name="Note 3 3 2 2 2 2 2 3" xfId="32947"/>
    <cellStyle name="Note 3 3 2 2 2 2 2 3 2" xfId="32948"/>
    <cellStyle name="Note 3 3 2 2 2 2 2 3 3" xfId="32949"/>
    <cellStyle name="Note 3 3 2 2 2 2 2 3 4" xfId="32950"/>
    <cellStyle name="Note 3 3 2 2 2 2 2 4" xfId="32951"/>
    <cellStyle name="Note 3 3 2 2 2 2 2 4 2" xfId="32952"/>
    <cellStyle name="Note 3 3 2 2 2 2 2 4 3" xfId="32953"/>
    <cellStyle name="Note 3 3 2 2 2 2 2 4 4" xfId="32954"/>
    <cellStyle name="Note 3 3 2 2 2 2 2 5" xfId="32955"/>
    <cellStyle name="Note 3 3 2 2 2 2 2 6" xfId="32956"/>
    <cellStyle name="Note 3 3 2 2 2 2 2 7" xfId="32957"/>
    <cellStyle name="Note 3 3 2 2 2 2 2 8" xfId="32958"/>
    <cellStyle name="Note 3 3 2 2 2 2 3" xfId="32959"/>
    <cellStyle name="Note 3 3 2 2 2 2 3 2" xfId="32960"/>
    <cellStyle name="Note 3 3 2 2 2 2 3 2 2" xfId="32961"/>
    <cellStyle name="Note 3 3 2 2 2 2 3 2 3" xfId="32962"/>
    <cellStyle name="Note 3 3 2 2 2 2 3 2 4" xfId="32963"/>
    <cellStyle name="Note 3 3 2 2 2 2 3 3" xfId="32964"/>
    <cellStyle name="Note 3 3 2 2 2 2 3 3 2" xfId="32965"/>
    <cellStyle name="Note 3 3 2 2 2 2 3 3 3" xfId="32966"/>
    <cellStyle name="Note 3 3 2 2 2 2 3 3 4" xfId="32967"/>
    <cellStyle name="Note 3 3 2 2 2 2 3 4" xfId="32968"/>
    <cellStyle name="Note 3 3 2 2 2 2 3 4 2" xfId="32969"/>
    <cellStyle name="Note 3 3 2 2 2 2 3 4 3" xfId="32970"/>
    <cellStyle name="Note 3 3 2 2 2 2 3 4 4" xfId="32971"/>
    <cellStyle name="Note 3 3 2 2 2 2 3 5" xfId="32972"/>
    <cellStyle name="Note 3 3 2 2 2 2 3 6" xfId="32973"/>
    <cellStyle name="Note 3 3 2 2 2 2 3 7" xfId="32974"/>
    <cellStyle name="Note 3 3 2 2 2 2 3 8" xfId="32975"/>
    <cellStyle name="Note 3 3 2 2 2 2 4" xfId="32976"/>
    <cellStyle name="Note 3 3 2 2 2 2 4 2" xfId="32977"/>
    <cellStyle name="Note 3 3 2 2 2 2 4 2 2" xfId="32978"/>
    <cellStyle name="Note 3 3 2 2 2 2 4 2 3" xfId="32979"/>
    <cellStyle name="Note 3 3 2 2 2 2 4 2 4" xfId="32980"/>
    <cellStyle name="Note 3 3 2 2 2 2 4 3" xfId="32981"/>
    <cellStyle name="Note 3 3 2 2 2 2 4 3 2" xfId="32982"/>
    <cellStyle name="Note 3 3 2 2 2 2 4 3 3" xfId="32983"/>
    <cellStyle name="Note 3 3 2 2 2 2 4 3 4" xfId="32984"/>
    <cellStyle name="Note 3 3 2 2 2 2 4 4" xfId="32985"/>
    <cellStyle name="Note 3 3 2 2 2 2 4 4 2" xfId="32986"/>
    <cellStyle name="Note 3 3 2 2 2 2 4 4 3" xfId="32987"/>
    <cellStyle name="Note 3 3 2 2 2 2 4 4 4" xfId="32988"/>
    <cellStyle name="Note 3 3 2 2 2 2 4 5" xfId="32989"/>
    <cellStyle name="Note 3 3 2 2 2 2 4 6" xfId="32990"/>
    <cellStyle name="Note 3 3 2 2 2 2 4 7" xfId="32991"/>
    <cellStyle name="Note 3 3 2 2 2 2 4 8" xfId="32992"/>
    <cellStyle name="Note 3 3 2 2 2 2 5" xfId="32993"/>
    <cellStyle name="Note 3 3 2 2 2 2 5 2" xfId="32994"/>
    <cellStyle name="Note 3 3 2 2 2 2 5 2 2" xfId="32995"/>
    <cellStyle name="Note 3 3 2 2 2 2 5 2 3" xfId="32996"/>
    <cellStyle name="Note 3 3 2 2 2 2 5 2 4" xfId="32997"/>
    <cellStyle name="Note 3 3 2 2 2 2 5 3" xfId="32998"/>
    <cellStyle name="Note 3 3 2 2 2 2 5 3 2" xfId="32999"/>
    <cellStyle name="Note 3 3 2 2 2 2 5 3 3" xfId="33000"/>
    <cellStyle name="Note 3 3 2 2 2 2 5 3 4" xfId="33001"/>
    <cellStyle name="Note 3 3 2 2 2 2 5 4" xfId="33002"/>
    <cellStyle name="Note 3 3 2 2 2 2 5 4 2" xfId="33003"/>
    <cellStyle name="Note 3 3 2 2 2 2 5 4 3" xfId="33004"/>
    <cellStyle name="Note 3 3 2 2 2 2 5 4 4" xfId="33005"/>
    <cellStyle name="Note 3 3 2 2 2 2 5 5" xfId="33006"/>
    <cellStyle name="Note 3 3 2 2 2 2 5 6" xfId="33007"/>
    <cellStyle name="Note 3 3 2 2 2 2 5 7" xfId="33008"/>
    <cellStyle name="Note 3 3 2 2 2 2 5 8" xfId="33009"/>
    <cellStyle name="Note 3 3 2 2 2 2 6" xfId="33010"/>
    <cellStyle name="Note 3 3 2 2 2 2 6 2" xfId="33011"/>
    <cellStyle name="Note 3 3 2 2 2 2 6 3" xfId="33012"/>
    <cellStyle name="Note 3 3 2 2 2 2 6 4" xfId="33013"/>
    <cellStyle name="Note 3 3 2 2 2 2 7" xfId="33014"/>
    <cellStyle name="Note 3 3 2 2 2 2 7 2" xfId="33015"/>
    <cellStyle name="Note 3 3 2 2 2 2 7 3" xfId="33016"/>
    <cellStyle name="Note 3 3 2 2 2 2 7 4" xfId="33017"/>
    <cellStyle name="Note 3 3 2 2 2 2 8" xfId="33018"/>
    <cellStyle name="Note 3 3 2 2 2 2 9" xfId="33019"/>
    <cellStyle name="Note 3 3 2 2 2 3" xfId="33020"/>
    <cellStyle name="Note 3 3 2 2 2 3 2" xfId="33021"/>
    <cellStyle name="Note 3 3 2 2 2 3 2 2" xfId="33022"/>
    <cellStyle name="Note 3 3 2 2 2 3 2 3" xfId="33023"/>
    <cellStyle name="Note 3 3 2 2 2 3 2 4" xfId="33024"/>
    <cellStyle name="Note 3 3 2 2 2 3 3" xfId="33025"/>
    <cellStyle name="Note 3 3 2 2 2 3 3 2" xfId="33026"/>
    <cellStyle name="Note 3 3 2 2 2 3 3 3" xfId="33027"/>
    <cellStyle name="Note 3 3 2 2 2 3 3 4" xfId="33028"/>
    <cellStyle name="Note 3 3 2 2 2 3 4" xfId="33029"/>
    <cellStyle name="Note 3 3 2 2 2 3 4 2" xfId="33030"/>
    <cellStyle name="Note 3 3 2 2 2 3 4 3" xfId="33031"/>
    <cellStyle name="Note 3 3 2 2 2 3 4 4" xfId="33032"/>
    <cellStyle name="Note 3 3 2 2 2 3 5" xfId="33033"/>
    <cellStyle name="Note 3 3 2 2 2 3 6" xfId="33034"/>
    <cellStyle name="Note 3 3 2 2 2 3 7" xfId="33035"/>
    <cellStyle name="Note 3 3 2 2 2 3 8" xfId="33036"/>
    <cellStyle name="Note 3 3 2 2 2 4" xfId="33037"/>
    <cellStyle name="Note 3 3 2 2 2 4 2" xfId="33038"/>
    <cellStyle name="Note 3 3 2 2 2 4 2 2" xfId="33039"/>
    <cellStyle name="Note 3 3 2 2 2 4 2 3" xfId="33040"/>
    <cellStyle name="Note 3 3 2 2 2 4 2 4" xfId="33041"/>
    <cellStyle name="Note 3 3 2 2 2 4 3" xfId="33042"/>
    <cellStyle name="Note 3 3 2 2 2 4 3 2" xfId="33043"/>
    <cellStyle name="Note 3 3 2 2 2 4 3 3" xfId="33044"/>
    <cellStyle name="Note 3 3 2 2 2 4 3 4" xfId="33045"/>
    <cellStyle name="Note 3 3 2 2 2 4 4" xfId="33046"/>
    <cellStyle name="Note 3 3 2 2 2 4 4 2" xfId="33047"/>
    <cellStyle name="Note 3 3 2 2 2 4 4 3" xfId="33048"/>
    <cellStyle name="Note 3 3 2 2 2 4 4 4" xfId="33049"/>
    <cellStyle name="Note 3 3 2 2 2 4 5" xfId="33050"/>
    <cellStyle name="Note 3 3 2 2 2 4 6" xfId="33051"/>
    <cellStyle name="Note 3 3 2 2 2 4 7" xfId="33052"/>
    <cellStyle name="Note 3 3 2 2 2 4 8" xfId="33053"/>
    <cellStyle name="Note 3 3 2 2 2 5" xfId="33054"/>
    <cellStyle name="Note 3 3 2 2 2 5 2" xfId="33055"/>
    <cellStyle name="Note 3 3 2 2 2 5 2 2" xfId="33056"/>
    <cellStyle name="Note 3 3 2 2 2 5 2 3" xfId="33057"/>
    <cellStyle name="Note 3 3 2 2 2 5 2 4" xfId="33058"/>
    <cellStyle name="Note 3 3 2 2 2 5 3" xfId="33059"/>
    <cellStyle name="Note 3 3 2 2 2 5 3 2" xfId="33060"/>
    <cellStyle name="Note 3 3 2 2 2 5 3 3" xfId="33061"/>
    <cellStyle name="Note 3 3 2 2 2 5 3 4" xfId="33062"/>
    <cellStyle name="Note 3 3 2 2 2 5 4" xfId="33063"/>
    <cellStyle name="Note 3 3 2 2 2 5 4 2" xfId="33064"/>
    <cellStyle name="Note 3 3 2 2 2 5 4 3" xfId="33065"/>
    <cellStyle name="Note 3 3 2 2 2 5 4 4" xfId="33066"/>
    <cellStyle name="Note 3 3 2 2 2 5 5" xfId="33067"/>
    <cellStyle name="Note 3 3 2 2 2 5 6" xfId="33068"/>
    <cellStyle name="Note 3 3 2 2 2 5 7" xfId="33069"/>
    <cellStyle name="Note 3 3 2 2 2 5 8" xfId="33070"/>
    <cellStyle name="Note 3 3 2 2 2 6" xfId="33071"/>
    <cellStyle name="Note 3 3 2 2 2 6 2" xfId="33072"/>
    <cellStyle name="Note 3 3 2 2 2 6 2 2" xfId="33073"/>
    <cellStyle name="Note 3 3 2 2 2 6 2 3" xfId="33074"/>
    <cellStyle name="Note 3 3 2 2 2 6 2 4" xfId="33075"/>
    <cellStyle name="Note 3 3 2 2 2 6 3" xfId="33076"/>
    <cellStyle name="Note 3 3 2 2 2 6 3 2" xfId="33077"/>
    <cellStyle name="Note 3 3 2 2 2 6 3 3" xfId="33078"/>
    <cellStyle name="Note 3 3 2 2 2 6 3 4" xfId="33079"/>
    <cellStyle name="Note 3 3 2 2 2 6 4" xfId="33080"/>
    <cellStyle name="Note 3 3 2 2 2 6 4 2" xfId="33081"/>
    <cellStyle name="Note 3 3 2 2 2 6 4 3" xfId="33082"/>
    <cellStyle name="Note 3 3 2 2 2 6 4 4" xfId="33083"/>
    <cellStyle name="Note 3 3 2 2 2 6 5" xfId="33084"/>
    <cellStyle name="Note 3 3 2 2 2 6 6" xfId="33085"/>
    <cellStyle name="Note 3 3 2 2 2 6 7" xfId="33086"/>
    <cellStyle name="Note 3 3 2 2 2 6 8" xfId="33087"/>
    <cellStyle name="Note 3 3 2 2 2 7" xfId="33088"/>
    <cellStyle name="Note 3 3 2 2 2 7 2" xfId="33089"/>
    <cellStyle name="Note 3 3 2 2 2 7 2 2" xfId="33090"/>
    <cellStyle name="Note 3 3 2 2 2 7 2 3" xfId="33091"/>
    <cellStyle name="Note 3 3 2 2 2 7 2 4" xfId="33092"/>
    <cellStyle name="Note 3 3 2 2 2 7 3" xfId="33093"/>
    <cellStyle name="Note 3 3 2 2 2 7 3 2" xfId="33094"/>
    <cellStyle name="Note 3 3 2 2 2 7 3 3" xfId="33095"/>
    <cellStyle name="Note 3 3 2 2 2 7 3 4" xfId="33096"/>
    <cellStyle name="Note 3 3 2 2 2 7 4" xfId="33097"/>
    <cellStyle name="Note 3 3 2 2 2 7 4 2" xfId="33098"/>
    <cellStyle name="Note 3 3 2 2 2 7 4 3" xfId="33099"/>
    <cellStyle name="Note 3 3 2 2 2 7 4 4" xfId="33100"/>
    <cellStyle name="Note 3 3 2 2 2 7 5" xfId="33101"/>
    <cellStyle name="Note 3 3 2 2 2 7 6" xfId="33102"/>
    <cellStyle name="Note 3 3 2 2 2 7 7" xfId="33103"/>
    <cellStyle name="Note 3 3 2 2 2 7 8" xfId="33104"/>
    <cellStyle name="Note 3 3 2 2 2 8" xfId="33105"/>
    <cellStyle name="Note 3 3 2 2 2 8 2" xfId="33106"/>
    <cellStyle name="Note 3 3 2 2 2 8 3" xfId="33107"/>
    <cellStyle name="Note 3 3 2 2 2 8 4" xfId="33108"/>
    <cellStyle name="Note 3 3 2 2 2 9" xfId="33109"/>
    <cellStyle name="Note 3 3 2 2 2 9 2" xfId="33110"/>
    <cellStyle name="Note 3 3 2 2 2 9 3" xfId="33111"/>
    <cellStyle name="Note 3 3 2 2 2 9 4" xfId="33112"/>
    <cellStyle name="Note 3 3 2 2 3" xfId="33113"/>
    <cellStyle name="Note 3 3 2 2 3 2" xfId="33114"/>
    <cellStyle name="Note 3 3 2 2 3 2 2" xfId="33115"/>
    <cellStyle name="Note 3 3 2 2 3 2 2 2" xfId="33116"/>
    <cellStyle name="Note 3 3 2 2 3 2 2 3" xfId="33117"/>
    <cellStyle name="Note 3 3 2 2 3 2 2 4" xfId="33118"/>
    <cellStyle name="Note 3 3 2 2 3 2 3" xfId="33119"/>
    <cellStyle name="Note 3 3 2 2 3 2 3 2" xfId="33120"/>
    <cellStyle name="Note 3 3 2 2 3 2 3 3" xfId="33121"/>
    <cellStyle name="Note 3 3 2 2 3 2 3 4" xfId="33122"/>
    <cellStyle name="Note 3 3 2 2 3 2 4" xfId="33123"/>
    <cellStyle name="Note 3 3 2 2 3 2 4 2" xfId="33124"/>
    <cellStyle name="Note 3 3 2 2 3 2 4 3" xfId="33125"/>
    <cellStyle name="Note 3 3 2 2 3 2 4 4" xfId="33126"/>
    <cellStyle name="Note 3 3 2 2 3 2 5" xfId="33127"/>
    <cellStyle name="Note 3 3 2 2 3 2 6" xfId="33128"/>
    <cellStyle name="Note 3 3 2 2 3 2 7" xfId="33129"/>
    <cellStyle name="Note 3 3 2 2 3 2 8" xfId="33130"/>
    <cellStyle name="Note 3 3 2 2 3 3" xfId="33131"/>
    <cellStyle name="Note 3 3 2 2 3 3 2" xfId="33132"/>
    <cellStyle name="Note 3 3 2 2 3 3 2 2" xfId="33133"/>
    <cellStyle name="Note 3 3 2 2 3 3 2 3" xfId="33134"/>
    <cellStyle name="Note 3 3 2 2 3 3 2 4" xfId="33135"/>
    <cellStyle name="Note 3 3 2 2 3 3 3" xfId="33136"/>
    <cellStyle name="Note 3 3 2 2 3 3 3 2" xfId="33137"/>
    <cellStyle name="Note 3 3 2 2 3 3 3 3" xfId="33138"/>
    <cellStyle name="Note 3 3 2 2 3 3 3 4" xfId="33139"/>
    <cellStyle name="Note 3 3 2 2 3 3 4" xfId="33140"/>
    <cellStyle name="Note 3 3 2 2 3 3 4 2" xfId="33141"/>
    <cellStyle name="Note 3 3 2 2 3 3 4 3" xfId="33142"/>
    <cellStyle name="Note 3 3 2 2 3 3 4 4" xfId="33143"/>
    <cellStyle name="Note 3 3 2 2 3 3 5" xfId="33144"/>
    <cellStyle name="Note 3 3 2 2 3 3 6" xfId="33145"/>
    <cellStyle name="Note 3 3 2 2 3 3 7" xfId="33146"/>
    <cellStyle name="Note 3 3 2 2 3 3 8" xfId="33147"/>
    <cellStyle name="Note 3 3 2 2 3 4" xfId="33148"/>
    <cellStyle name="Note 3 3 2 2 3 4 2" xfId="33149"/>
    <cellStyle name="Note 3 3 2 2 3 4 2 2" xfId="33150"/>
    <cellStyle name="Note 3 3 2 2 3 4 2 3" xfId="33151"/>
    <cellStyle name="Note 3 3 2 2 3 4 2 4" xfId="33152"/>
    <cellStyle name="Note 3 3 2 2 3 4 3" xfId="33153"/>
    <cellStyle name="Note 3 3 2 2 3 4 3 2" xfId="33154"/>
    <cellStyle name="Note 3 3 2 2 3 4 3 3" xfId="33155"/>
    <cellStyle name="Note 3 3 2 2 3 4 3 4" xfId="33156"/>
    <cellStyle name="Note 3 3 2 2 3 4 4" xfId="33157"/>
    <cellStyle name="Note 3 3 2 2 3 4 4 2" xfId="33158"/>
    <cellStyle name="Note 3 3 2 2 3 4 4 3" xfId="33159"/>
    <cellStyle name="Note 3 3 2 2 3 4 4 4" xfId="33160"/>
    <cellStyle name="Note 3 3 2 2 3 4 5" xfId="33161"/>
    <cellStyle name="Note 3 3 2 2 3 4 6" xfId="33162"/>
    <cellStyle name="Note 3 3 2 2 3 4 7" xfId="33163"/>
    <cellStyle name="Note 3 3 2 2 3 4 8" xfId="33164"/>
    <cellStyle name="Note 3 3 2 2 3 5" xfId="33165"/>
    <cellStyle name="Note 3 3 2 2 3 5 2" xfId="33166"/>
    <cellStyle name="Note 3 3 2 2 3 5 2 2" xfId="33167"/>
    <cellStyle name="Note 3 3 2 2 3 5 2 3" xfId="33168"/>
    <cellStyle name="Note 3 3 2 2 3 5 2 4" xfId="33169"/>
    <cellStyle name="Note 3 3 2 2 3 5 3" xfId="33170"/>
    <cellStyle name="Note 3 3 2 2 3 5 3 2" xfId="33171"/>
    <cellStyle name="Note 3 3 2 2 3 5 3 3" xfId="33172"/>
    <cellStyle name="Note 3 3 2 2 3 5 3 4" xfId="33173"/>
    <cellStyle name="Note 3 3 2 2 3 5 4" xfId="33174"/>
    <cellStyle name="Note 3 3 2 2 3 5 4 2" xfId="33175"/>
    <cellStyle name="Note 3 3 2 2 3 5 4 3" xfId="33176"/>
    <cellStyle name="Note 3 3 2 2 3 5 4 4" xfId="33177"/>
    <cellStyle name="Note 3 3 2 2 3 5 5" xfId="33178"/>
    <cellStyle name="Note 3 3 2 2 3 5 6" xfId="33179"/>
    <cellStyle name="Note 3 3 2 2 3 5 7" xfId="33180"/>
    <cellStyle name="Note 3 3 2 2 3 5 8" xfId="33181"/>
    <cellStyle name="Note 3 3 2 2 3 6" xfId="33182"/>
    <cellStyle name="Note 3 3 2 2 3 6 2" xfId="33183"/>
    <cellStyle name="Note 3 3 2 2 3 6 3" xfId="33184"/>
    <cellStyle name="Note 3 3 2 2 3 6 4" xfId="33185"/>
    <cellStyle name="Note 3 3 2 2 3 7" xfId="33186"/>
    <cellStyle name="Note 3 3 2 2 3 7 2" xfId="33187"/>
    <cellStyle name="Note 3 3 2 2 3 7 3" xfId="33188"/>
    <cellStyle name="Note 3 3 2 2 3 7 4" xfId="33189"/>
    <cellStyle name="Note 3 3 2 2 3 8" xfId="33190"/>
    <cellStyle name="Note 3 3 2 2 3 9" xfId="33191"/>
    <cellStyle name="Note 3 3 2 2 4" xfId="33192"/>
    <cellStyle name="Note 3 3 2 2 4 2" xfId="33193"/>
    <cellStyle name="Note 3 3 2 2 4 2 2" xfId="33194"/>
    <cellStyle name="Note 3 3 2 2 4 2 3" xfId="33195"/>
    <cellStyle name="Note 3 3 2 2 4 2 4" xfId="33196"/>
    <cellStyle name="Note 3 3 2 2 4 3" xfId="33197"/>
    <cellStyle name="Note 3 3 2 2 4 3 2" xfId="33198"/>
    <cellStyle name="Note 3 3 2 2 4 3 3" xfId="33199"/>
    <cellStyle name="Note 3 3 2 2 4 3 4" xfId="33200"/>
    <cellStyle name="Note 3 3 2 2 4 4" xfId="33201"/>
    <cellStyle name="Note 3 3 2 2 4 4 2" xfId="33202"/>
    <cellStyle name="Note 3 3 2 2 4 4 3" xfId="33203"/>
    <cellStyle name="Note 3 3 2 2 4 4 4" xfId="33204"/>
    <cellStyle name="Note 3 3 2 2 4 5" xfId="33205"/>
    <cellStyle name="Note 3 3 2 2 4 6" xfId="33206"/>
    <cellStyle name="Note 3 3 2 2 4 7" xfId="33207"/>
    <cellStyle name="Note 3 3 2 2 4 8" xfId="33208"/>
    <cellStyle name="Note 3 3 2 2 5" xfId="33209"/>
    <cellStyle name="Note 3 3 2 2 5 2" xfId="33210"/>
    <cellStyle name="Note 3 3 2 2 5 2 2" xfId="33211"/>
    <cellStyle name="Note 3 3 2 2 5 2 3" xfId="33212"/>
    <cellStyle name="Note 3 3 2 2 5 2 4" xfId="33213"/>
    <cellStyle name="Note 3 3 2 2 5 3" xfId="33214"/>
    <cellStyle name="Note 3 3 2 2 5 3 2" xfId="33215"/>
    <cellStyle name="Note 3 3 2 2 5 3 3" xfId="33216"/>
    <cellStyle name="Note 3 3 2 2 5 3 4" xfId="33217"/>
    <cellStyle name="Note 3 3 2 2 5 4" xfId="33218"/>
    <cellStyle name="Note 3 3 2 2 5 4 2" xfId="33219"/>
    <cellStyle name="Note 3 3 2 2 5 4 3" xfId="33220"/>
    <cellStyle name="Note 3 3 2 2 5 4 4" xfId="33221"/>
    <cellStyle name="Note 3 3 2 2 5 5" xfId="33222"/>
    <cellStyle name="Note 3 3 2 2 5 6" xfId="33223"/>
    <cellStyle name="Note 3 3 2 2 5 7" xfId="33224"/>
    <cellStyle name="Note 3 3 2 2 5 8" xfId="33225"/>
    <cellStyle name="Note 3 3 2 2 6" xfId="33226"/>
    <cellStyle name="Note 3 3 2 2 6 2" xfId="33227"/>
    <cellStyle name="Note 3 3 2 2 6 2 2" xfId="33228"/>
    <cellStyle name="Note 3 3 2 2 6 2 3" xfId="33229"/>
    <cellStyle name="Note 3 3 2 2 6 2 4" xfId="33230"/>
    <cellStyle name="Note 3 3 2 2 6 3" xfId="33231"/>
    <cellStyle name="Note 3 3 2 2 6 3 2" xfId="33232"/>
    <cellStyle name="Note 3 3 2 2 6 3 3" xfId="33233"/>
    <cellStyle name="Note 3 3 2 2 6 3 4" xfId="33234"/>
    <cellStyle name="Note 3 3 2 2 6 4" xfId="33235"/>
    <cellStyle name="Note 3 3 2 2 6 4 2" xfId="33236"/>
    <cellStyle name="Note 3 3 2 2 6 4 3" xfId="33237"/>
    <cellStyle name="Note 3 3 2 2 6 4 4" xfId="33238"/>
    <cellStyle name="Note 3 3 2 2 6 5" xfId="33239"/>
    <cellStyle name="Note 3 3 2 2 6 6" xfId="33240"/>
    <cellStyle name="Note 3 3 2 2 6 7" xfId="33241"/>
    <cellStyle name="Note 3 3 2 2 6 8" xfId="33242"/>
    <cellStyle name="Note 3 3 2 2 7" xfId="33243"/>
    <cellStyle name="Note 3 3 2 2 7 2" xfId="33244"/>
    <cellStyle name="Note 3 3 2 2 7 2 2" xfId="33245"/>
    <cellStyle name="Note 3 3 2 2 7 2 3" xfId="33246"/>
    <cellStyle name="Note 3 3 2 2 7 2 4" xfId="33247"/>
    <cellStyle name="Note 3 3 2 2 7 3" xfId="33248"/>
    <cellStyle name="Note 3 3 2 2 7 3 2" xfId="33249"/>
    <cellStyle name="Note 3 3 2 2 7 3 3" xfId="33250"/>
    <cellStyle name="Note 3 3 2 2 7 3 4" xfId="33251"/>
    <cellStyle name="Note 3 3 2 2 7 4" xfId="33252"/>
    <cellStyle name="Note 3 3 2 2 7 4 2" xfId="33253"/>
    <cellStyle name="Note 3 3 2 2 7 4 3" xfId="33254"/>
    <cellStyle name="Note 3 3 2 2 7 4 4" xfId="33255"/>
    <cellStyle name="Note 3 3 2 2 7 5" xfId="33256"/>
    <cellStyle name="Note 3 3 2 2 7 6" xfId="33257"/>
    <cellStyle name="Note 3 3 2 2 7 7" xfId="33258"/>
    <cellStyle name="Note 3 3 2 2 7 8" xfId="33259"/>
    <cellStyle name="Note 3 3 2 2 8" xfId="33260"/>
    <cellStyle name="Note 3 3 2 2 8 2" xfId="33261"/>
    <cellStyle name="Note 3 3 2 2 8 2 2" xfId="33262"/>
    <cellStyle name="Note 3 3 2 2 8 2 3" xfId="33263"/>
    <cellStyle name="Note 3 3 2 2 8 2 4" xfId="33264"/>
    <cellStyle name="Note 3 3 2 2 8 3" xfId="33265"/>
    <cellStyle name="Note 3 3 2 2 8 3 2" xfId="33266"/>
    <cellStyle name="Note 3 3 2 2 8 3 3" xfId="33267"/>
    <cellStyle name="Note 3 3 2 2 8 3 4" xfId="33268"/>
    <cellStyle name="Note 3 3 2 2 8 4" xfId="33269"/>
    <cellStyle name="Note 3 3 2 2 8 4 2" xfId="33270"/>
    <cellStyle name="Note 3 3 2 2 8 4 3" xfId="33271"/>
    <cellStyle name="Note 3 3 2 2 8 4 4" xfId="33272"/>
    <cellStyle name="Note 3 3 2 2 8 5" xfId="33273"/>
    <cellStyle name="Note 3 3 2 2 8 6" xfId="33274"/>
    <cellStyle name="Note 3 3 2 2 8 7" xfId="33275"/>
    <cellStyle name="Note 3 3 2 2 8 8" xfId="33276"/>
    <cellStyle name="Note 3 3 2 2 9" xfId="33277"/>
    <cellStyle name="Note 3 3 2 2 9 2" xfId="33278"/>
    <cellStyle name="Note 3 3 2 2 9 3" xfId="33279"/>
    <cellStyle name="Note 3 3 2 2 9 4" xfId="33280"/>
    <cellStyle name="Note 3 3 2 3" xfId="33281"/>
    <cellStyle name="Note 3 3 2 3 10" xfId="33282"/>
    <cellStyle name="Note 3 3 2 3 11" xfId="33283"/>
    <cellStyle name="Note 3 3 2 3 2" xfId="33284"/>
    <cellStyle name="Note 3 3 2 3 2 2" xfId="33285"/>
    <cellStyle name="Note 3 3 2 3 2 2 2" xfId="33286"/>
    <cellStyle name="Note 3 3 2 3 2 2 2 2" xfId="33287"/>
    <cellStyle name="Note 3 3 2 3 2 2 2 3" xfId="33288"/>
    <cellStyle name="Note 3 3 2 3 2 2 2 4" xfId="33289"/>
    <cellStyle name="Note 3 3 2 3 2 2 3" xfId="33290"/>
    <cellStyle name="Note 3 3 2 3 2 2 3 2" xfId="33291"/>
    <cellStyle name="Note 3 3 2 3 2 2 3 3" xfId="33292"/>
    <cellStyle name="Note 3 3 2 3 2 2 3 4" xfId="33293"/>
    <cellStyle name="Note 3 3 2 3 2 2 4" xfId="33294"/>
    <cellStyle name="Note 3 3 2 3 2 2 4 2" xfId="33295"/>
    <cellStyle name="Note 3 3 2 3 2 2 4 3" xfId="33296"/>
    <cellStyle name="Note 3 3 2 3 2 2 4 4" xfId="33297"/>
    <cellStyle name="Note 3 3 2 3 2 2 5" xfId="33298"/>
    <cellStyle name="Note 3 3 2 3 2 2 6" xfId="33299"/>
    <cellStyle name="Note 3 3 2 3 2 2 7" xfId="33300"/>
    <cellStyle name="Note 3 3 2 3 2 2 8" xfId="33301"/>
    <cellStyle name="Note 3 3 2 3 2 3" xfId="33302"/>
    <cellStyle name="Note 3 3 2 3 2 3 2" xfId="33303"/>
    <cellStyle name="Note 3 3 2 3 2 3 2 2" xfId="33304"/>
    <cellStyle name="Note 3 3 2 3 2 3 2 3" xfId="33305"/>
    <cellStyle name="Note 3 3 2 3 2 3 2 4" xfId="33306"/>
    <cellStyle name="Note 3 3 2 3 2 3 3" xfId="33307"/>
    <cellStyle name="Note 3 3 2 3 2 3 3 2" xfId="33308"/>
    <cellStyle name="Note 3 3 2 3 2 3 3 3" xfId="33309"/>
    <cellStyle name="Note 3 3 2 3 2 3 3 4" xfId="33310"/>
    <cellStyle name="Note 3 3 2 3 2 3 4" xfId="33311"/>
    <cellStyle name="Note 3 3 2 3 2 3 4 2" xfId="33312"/>
    <cellStyle name="Note 3 3 2 3 2 3 4 3" xfId="33313"/>
    <cellStyle name="Note 3 3 2 3 2 3 4 4" xfId="33314"/>
    <cellStyle name="Note 3 3 2 3 2 3 5" xfId="33315"/>
    <cellStyle name="Note 3 3 2 3 2 3 6" xfId="33316"/>
    <cellStyle name="Note 3 3 2 3 2 3 7" xfId="33317"/>
    <cellStyle name="Note 3 3 2 3 2 3 8" xfId="33318"/>
    <cellStyle name="Note 3 3 2 3 2 4" xfId="33319"/>
    <cellStyle name="Note 3 3 2 3 2 4 2" xfId="33320"/>
    <cellStyle name="Note 3 3 2 3 2 4 2 2" xfId="33321"/>
    <cellStyle name="Note 3 3 2 3 2 4 2 3" xfId="33322"/>
    <cellStyle name="Note 3 3 2 3 2 4 2 4" xfId="33323"/>
    <cellStyle name="Note 3 3 2 3 2 4 3" xfId="33324"/>
    <cellStyle name="Note 3 3 2 3 2 4 3 2" xfId="33325"/>
    <cellStyle name="Note 3 3 2 3 2 4 3 3" xfId="33326"/>
    <cellStyle name="Note 3 3 2 3 2 4 3 4" xfId="33327"/>
    <cellStyle name="Note 3 3 2 3 2 4 4" xfId="33328"/>
    <cellStyle name="Note 3 3 2 3 2 4 4 2" xfId="33329"/>
    <cellStyle name="Note 3 3 2 3 2 4 4 3" xfId="33330"/>
    <cellStyle name="Note 3 3 2 3 2 4 4 4" xfId="33331"/>
    <cellStyle name="Note 3 3 2 3 2 4 5" xfId="33332"/>
    <cellStyle name="Note 3 3 2 3 2 4 6" xfId="33333"/>
    <cellStyle name="Note 3 3 2 3 2 4 7" xfId="33334"/>
    <cellStyle name="Note 3 3 2 3 2 4 8" xfId="33335"/>
    <cellStyle name="Note 3 3 2 3 2 5" xfId="33336"/>
    <cellStyle name="Note 3 3 2 3 2 5 2" xfId="33337"/>
    <cellStyle name="Note 3 3 2 3 2 5 2 2" xfId="33338"/>
    <cellStyle name="Note 3 3 2 3 2 5 2 3" xfId="33339"/>
    <cellStyle name="Note 3 3 2 3 2 5 2 4" xfId="33340"/>
    <cellStyle name="Note 3 3 2 3 2 5 3" xfId="33341"/>
    <cellStyle name="Note 3 3 2 3 2 5 3 2" xfId="33342"/>
    <cellStyle name="Note 3 3 2 3 2 5 3 3" xfId="33343"/>
    <cellStyle name="Note 3 3 2 3 2 5 3 4" xfId="33344"/>
    <cellStyle name="Note 3 3 2 3 2 5 4" xfId="33345"/>
    <cellStyle name="Note 3 3 2 3 2 5 4 2" xfId="33346"/>
    <cellStyle name="Note 3 3 2 3 2 5 4 3" xfId="33347"/>
    <cellStyle name="Note 3 3 2 3 2 5 4 4" xfId="33348"/>
    <cellStyle name="Note 3 3 2 3 2 5 5" xfId="33349"/>
    <cellStyle name="Note 3 3 2 3 2 5 6" xfId="33350"/>
    <cellStyle name="Note 3 3 2 3 2 5 7" xfId="33351"/>
    <cellStyle name="Note 3 3 2 3 2 5 8" xfId="33352"/>
    <cellStyle name="Note 3 3 2 3 2 6" xfId="33353"/>
    <cellStyle name="Note 3 3 2 3 2 6 2" xfId="33354"/>
    <cellStyle name="Note 3 3 2 3 2 6 3" xfId="33355"/>
    <cellStyle name="Note 3 3 2 3 2 6 4" xfId="33356"/>
    <cellStyle name="Note 3 3 2 3 2 7" xfId="33357"/>
    <cellStyle name="Note 3 3 2 3 2 7 2" xfId="33358"/>
    <cellStyle name="Note 3 3 2 3 2 7 3" xfId="33359"/>
    <cellStyle name="Note 3 3 2 3 2 7 4" xfId="33360"/>
    <cellStyle name="Note 3 3 2 3 2 8" xfId="33361"/>
    <cellStyle name="Note 3 3 2 3 2 9" xfId="33362"/>
    <cellStyle name="Note 3 3 2 3 3" xfId="33363"/>
    <cellStyle name="Note 3 3 2 3 3 2" xfId="33364"/>
    <cellStyle name="Note 3 3 2 3 3 2 2" xfId="33365"/>
    <cellStyle name="Note 3 3 2 3 3 2 3" xfId="33366"/>
    <cellStyle name="Note 3 3 2 3 3 2 4" xfId="33367"/>
    <cellStyle name="Note 3 3 2 3 3 3" xfId="33368"/>
    <cellStyle name="Note 3 3 2 3 3 3 2" xfId="33369"/>
    <cellStyle name="Note 3 3 2 3 3 3 3" xfId="33370"/>
    <cellStyle name="Note 3 3 2 3 3 3 4" xfId="33371"/>
    <cellStyle name="Note 3 3 2 3 3 4" xfId="33372"/>
    <cellStyle name="Note 3 3 2 3 3 4 2" xfId="33373"/>
    <cellStyle name="Note 3 3 2 3 3 4 3" xfId="33374"/>
    <cellStyle name="Note 3 3 2 3 3 4 4" xfId="33375"/>
    <cellStyle name="Note 3 3 2 3 3 5" xfId="33376"/>
    <cellStyle name="Note 3 3 2 3 3 6" xfId="33377"/>
    <cellStyle name="Note 3 3 2 3 3 7" xfId="33378"/>
    <cellStyle name="Note 3 3 2 3 3 8" xfId="33379"/>
    <cellStyle name="Note 3 3 2 3 4" xfId="33380"/>
    <cellStyle name="Note 3 3 2 3 4 2" xfId="33381"/>
    <cellStyle name="Note 3 3 2 3 4 2 2" xfId="33382"/>
    <cellStyle name="Note 3 3 2 3 4 2 3" xfId="33383"/>
    <cellStyle name="Note 3 3 2 3 4 2 4" xfId="33384"/>
    <cellStyle name="Note 3 3 2 3 4 3" xfId="33385"/>
    <cellStyle name="Note 3 3 2 3 4 3 2" xfId="33386"/>
    <cellStyle name="Note 3 3 2 3 4 3 3" xfId="33387"/>
    <cellStyle name="Note 3 3 2 3 4 3 4" xfId="33388"/>
    <cellStyle name="Note 3 3 2 3 4 4" xfId="33389"/>
    <cellStyle name="Note 3 3 2 3 4 4 2" xfId="33390"/>
    <cellStyle name="Note 3 3 2 3 4 4 3" xfId="33391"/>
    <cellStyle name="Note 3 3 2 3 4 4 4" xfId="33392"/>
    <cellStyle name="Note 3 3 2 3 4 5" xfId="33393"/>
    <cellStyle name="Note 3 3 2 3 4 6" xfId="33394"/>
    <cellStyle name="Note 3 3 2 3 4 7" xfId="33395"/>
    <cellStyle name="Note 3 3 2 3 4 8" xfId="33396"/>
    <cellStyle name="Note 3 3 2 3 5" xfId="33397"/>
    <cellStyle name="Note 3 3 2 3 5 2" xfId="33398"/>
    <cellStyle name="Note 3 3 2 3 5 2 2" xfId="33399"/>
    <cellStyle name="Note 3 3 2 3 5 2 3" xfId="33400"/>
    <cellStyle name="Note 3 3 2 3 5 2 4" xfId="33401"/>
    <cellStyle name="Note 3 3 2 3 5 3" xfId="33402"/>
    <cellStyle name="Note 3 3 2 3 5 3 2" xfId="33403"/>
    <cellStyle name="Note 3 3 2 3 5 3 3" xfId="33404"/>
    <cellStyle name="Note 3 3 2 3 5 3 4" xfId="33405"/>
    <cellStyle name="Note 3 3 2 3 5 4" xfId="33406"/>
    <cellStyle name="Note 3 3 2 3 5 4 2" xfId="33407"/>
    <cellStyle name="Note 3 3 2 3 5 4 3" xfId="33408"/>
    <cellStyle name="Note 3 3 2 3 5 4 4" xfId="33409"/>
    <cellStyle name="Note 3 3 2 3 5 5" xfId="33410"/>
    <cellStyle name="Note 3 3 2 3 5 6" xfId="33411"/>
    <cellStyle name="Note 3 3 2 3 5 7" xfId="33412"/>
    <cellStyle name="Note 3 3 2 3 5 8" xfId="33413"/>
    <cellStyle name="Note 3 3 2 3 6" xfId="33414"/>
    <cellStyle name="Note 3 3 2 3 6 2" xfId="33415"/>
    <cellStyle name="Note 3 3 2 3 6 2 2" xfId="33416"/>
    <cellStyle name="Note 3 3 2 3 6 2 3" xfId="33417"/>
    <cellStyle name="Note 3 3 2 3 6 2 4" xfId="33418"/>
    <cellStyle name="Note 3 3 2 3 6 3" xfId="33419"/>
    <cellStyle name="Note 3 3 2 3 6 3 2" xfId="33420"/>
    <cellStyle name="Note 3 3 2 3 6 3 3" xfId="33421"/>
    <cellStyle name="Note 3 3 2 3 6 3 4" xfId="33422"/>
    <cellStyle name="Note 3 3 2 3 6 4" xfId="33423"/>
    <cellStyle name="Note 3 3 2 3 6 4 2" xfId="33424"/>
    <cellStyle name="Note 3 3 2 3 6 4 3" xfId="33425"/>
    <cellStyle name="Note 3 3 2 3 6 4 4" xfId="33426"/>
    <cellStyle name="Note 3 3 2 3 6 5" xfId="33427"/>
    <cellStyle name="Note 3 3 2 3 6 6" xfId="33428"/>
    <cellStyle name="Note 3 3 2 3 6 7" xfId="33429"/>
    <cellStyle name="Note 3 3 2 3 6 8" xfId="33430"/>
    <cellStyle name="Note 3 3 2 3 7" xfId="33431"/>
    <cellStyle name="Note 3 3 2 3 7 2" xfId="33432"/>
    <cellStyle name="Note 3 3 2 3 7 2 2" xfId="33433"/>
    <cellStyle name="Note 3 3 2 3 7 2 3" xfId="33434"/>
    <cellStyle name="Note 3 3 2 3 7 2 4" xfId="33435"/>
    <cellStyle name="Note 3 3 2 3 7 3" xfId="33436"/>
    <cellStyle name="Note 3 3 2 3 7 3 2" xfId="33437"/>
    <cellStyle name="Note 3 3 2 3 7 3 3" xfId="33438"/>
    <cellStyle name="Note 3 3 2 3 7 3 4" xfId="33439"/>
    <cellStyle name="Note 3 3 2 3 7 4" xfId="33440"/>
    <cellStyle name="Note 3 3 2 3 7 4 2" xfId="33441"/>
    <cellStyle name="Note 3 3 2 3 7 4 3" xfId="33442"/>
    <cellStyle name="Note 3 3 2 3 7 4 4" xfId="33443"/>
    <cellStyle name="Note 3 3 2 3 7 5" xfId="33444"/>
    <cellStyle name="Note 3 3 2 3 7 6" xfId="33445"/>
    <cellStyle name="Note 3 3 2 3 7 7" xfId="33446"/>
    <cellStyle name="Note 3 3 2 3 7 8" xfId="33447"/>
    <cellStyle name="Note 3 3 2 3 8" xfId="33448"/>
    <cellStyle name="Note 3 3 2 3 8 2" xfId="33449"/>
    <cellStyle name="Note 3 3 2 3 8 3" xfId="33450"/>
    <cellStyle name="Note 3 3 2 3 8 4" xfId="33451"/>
    <cellStyle name="Note 3 3 2 3 9" xfId="33452"/>
    <cellStyle name="Note 3 3 2 3 9 2" xfId="33453"/>
    <cellStyle name="Note 3 3 2 3 9 3" xfId="33454"/>
    <cellStyle name="Note 3 3 2 3 9 4" xfId="33455"/>
    <cellStyle name="Note 3 3 2 4" xfId="33456"/>
    <cellStyle name="Note 3 3 2 4 2" xfId="33457"/>
    <cellStyle name="Note 3 3 2 4 2 2" xfId="33458"/>
    <cellStyle name="Note 3 3 2 4 2 2 2" xfId="33459"/>
    <cellStyle name="Note 3 3 2 4 2 2 3" xfId="33460"/>
    <cellStyle name="Note 3 3 2 4 2 2 4" xfId="33461"/>
    <cellStyle name="Note 3 3 2 4 2 3" xfId="33462"/>
    <cellStyle name="Note 3 3 2 4 2 3 2" xfId="33463"/>
    <cellStyle name="Note 3 3 2 4 2 3 3" xfId="33464"/>
    <cellStyle name="Note 3 3 2 4 2 3 4" xfId="33465"/>
    <cellStyle name="Note 3 3 2 4 2 4" xfId="33466"/>
    <cellStyle name="Note 3 3 2 4 2 4 2" xfId="33467"/>
    <cellStyle name="Note 3 3 2 4 2 4 3" xfId="33468"/>
    <cellStyle name="Note 3 3 2 4 2 4 4" xfId="33469"/>
    <cellStyle name="Note 3 3 2 4 2 5" xfId="33470"/>
    <cellStyle name="Note 3 3 2 4 2 6" xfId="33471"/>
    <cellStyle name="Note 3 3 2 4 2 7" xfId="33472"/>
    <cellStyle name="Note 3 3 2 4 2 8" xfId="33473"/>
    <cellStyle name="Note 3 3 2 4 3" xfId="33474"/>
    <cellStyle name="Note 3 3 2 4 3 2" xfId="33475"/>
    <cellStyle name="Note 3 3 2 4 3 2 2" xfId="33476"/>
    <cellStyle name="Note 3 3 2 4 3 2 3" xfId="33477"/>
    <cellStyle name="Note 3 3 2 4 3 2 4" xfId="33478"/>
    <cellStyle name="Note 3 3 2 4 3 3" xfId="33479"/>
    <cellStyle name="Note 3 3 2 4 3 3 2" xfId="33480"/>
    <cellStyle name="Note 3 3 2 4 3 3 3" xfId="33481"/>
    <cellStyle name="Note 3 3 2 4 3 3 4" xfId="33482"/>
    <cellStyle name="Note 3 3 2 4 3 4" xfId="33483"/>
    <cellStyle name="Note 3 3 2 4 3 4 2" xfId="33484"/>
    <cellStyle name="Note 3 3 2 4 3 4 3" xfId="33485"/>
    <cellStyle name="Note 3 3 2 4 3 4 4" xfId="33486"/>
    <cellStyle name="Note 3 3 2 4 3 5" xfId="33487"/>
    <cellStyle name="Note 3 3 2 4 3 6" xfId="33488"/>
    <cellStyle name="Note 3 3 2 4 3 7" xfId="33489"/>
    <cellStyle name="Note 3 3 2 4 3 8" xfId="33490"/>
    <cellStyle name="Note 3 3 2 4 4" xfId="33491"/>
    <cellStyle name="Note 3 3 2 4 4 2" xfId="33492"/>
    <cellStyle name="Note 3 3 2 4 4 2 2" xfId="33493"/>
    <cellStyle name="Note 3 3 2 4 4 2 3" xfId="33494"/>
    <cellStyle name="Note 3 3 2 4 4 2 4" xfId="33495"/>
    <cellStyle name="Note 3 3 2 4 4 3" xfId="33496"/>
    <cellStyle name="Note 3 3 2 4 4 3 2" xfId="33497"/>
    <cellStyle name="Note 3 3 2 4 4 3 3" xfId="33498"/>
    <cellStyle name="Note 3 3 2 4 4 3 4" xfId="33499"/>
    <cellStyle name="Note 3 3 2 4 4 4" xfId="33500"/>
    <cellStyle name="Note 3 3 2 4 4 4 2" xfId="33501"/>
    <cellStyle name="Note 3 3 2 4 4 4 3" xfId="33502"/>
    <cellStyle name="Note 3 3 2 4 4 4 4" xfId="33503"/>
    <cellStyle name="Note 3 3 2 4 4 5" xfId="33504"/>
    <cellStyle name="Note 3 3 2 4 4 6" xfId="33505"/>
    <cellStyle name="Note 3 3 2 4 4 7" xfId="33506"/>
    <cellStyle name="Note 3 3 2 4 4 8" xfId="33507"/>
    <cellStyle name="Note 3 3 2 4 5" xfId="33508"/>
    <cellStyle name="Note 3 3 2 4 5 2" xfId="33509"/>
    <cellStyle name="Note 3 3 2 4 5 2 2" xfId="33510"/>
    <cellStyle name="Note 3 3 2 4 5 2 3" xfId="33511"/>
    <cellStyle name="Note 3 3 2 4 5 2 4" xfId="33512"/>
    <cellStyle name="Note 3 3 2 4 5 3" xfId="33513"/>
    <cellStyle name="Note 3 3 2 4 5 3 2" xfId="33514"/>
    <cellStyle name="Note 3 3 2 4 5 3 3" xfId="33515"/>
    <cellStyle name="Note 3 3 2 4 5 3 4" xfId="33516"/>
    <cellStyle name="Note 3 3 2 4 5 4" xfId="33517"/>
    <cellStyle name="Note 3 3 2 4 5 4 2" xfId="33518"/>
    <cellStyle name="Note 3 3 2 4 5 4 3" xfId="33519"/>
    <cellStyle name="Note 3 3 2 4 5 4 4" xfId="33520"/>
    <cellStyle name="Note 3 3 2 4 5 5" xfId="33521"/>
    <cellStyle name="Note 3 3 2 4 5 6" xfId="33522"/>
    <cellStyle name="Note 3 3 2 4 5 7" xfId="33523"/>
    <cellStyle name="Note 3 3 2 4 5 8" xfId="33524"/>
    <cellStyle name="Note 3 3 2 4 6" xfId="33525"/>
    <cellStyle name="Note 3 3 2 4 6 2" xfId="33526"/>
    <cellStyle name="Note 3 3 2 4 6 3" xfId="33527"/>
    <cellStyle name="Note 3 3 2 4 6 4" xfId="33528"/>
    <cellStyle name="Note 3 3 2 4 7" xfId="33529"/>
    <cellStyle name="Note 3 3 2 4 7 2" xfId="33530"/>
    <cellStyle name="Note 3 3 2 4 7 3" xfId="33531"/>
    <cellStyle name="Note 3 3 2 4 7 4" xfId="33532"/>
    <cellStyle name="Note 3 3 2 4 8" xfId="33533"/>
    <cellStyle name="Note 3 3 2 4 9" xfId="33534"/>
    <cellStyle name="Note 3 3 2 5" xfId="33535"/>
    <cellStyle name="Note 3 3 2 5 2" xfId="33536"/>
    <cellStyle name="Note 3 3 2 5 2 2" xfId="33537"/>
    <cellStyle name="Note 3 3 2 5 2 3" xfId="33538"/>
    <cellStyle name="Note 3 3 2 5 2 4" xfId="33539"/>
    <cellStyle name="Note 3 3 2 5 3" xfId="33540"/>
    <cellStyle name="Note 3 3 2 5 3 2" xfId="33541"/>
    <cellStyle name="Note 3 3 2 5 3 3" xfId="33542"/>
    <cellStyle name="Note 3 3 2 5 3 4" xfId="33543"/>
    <cellStyle name="Note 3 3 2 5 4" xfId="33544"/>
    <cellStyle name="Note 3 3 2 5 4 2" xfId="33545"/>
    <cellStyle name="Note 3 3 2 5 4 3" xfId="33546"/>
    <cellStyle name="Note 3 3 2 5 4 4" xfId="33547"/>
    <cellStyle name="Note 3 3 2 5 5" xfId="33548"/>
    <cellStyle name="Note 3 3 2 5 6" xfId="33549"/>
    <cellStyle name="Note 3 3 2 5 7" xfId="33550"/>
    <cellStyle name="Note 3 3 2 5 8" xfId="33551"/>
    <cellStyle name="Note 3 3 2 6" xfId="33552"/>
    <cellStyle name="Note 3 3 2 6 2" xfId="33553"/>
    <cellStyle name="Note 3 3 2 6 2 2" xfId="33554"/>
    <cellStyle name="Note 3 3 2 6 2 3" xfId="33555"/>
    <cellStyle name="Note 3 3 2 6 2 4" xfId="33556"/>
    <cellStyle name="Note 3 3 2 6 3" xfId="33557"/>
    <cellStyle name="Note 3 3 2 6 3 2" xfId="33558"/>
    <cellStyle name="Note 3 3 2 6 3 3" xfId="33559"/>
    <cellStyle name="Note 3 3 2 6 3 4" xfId="33560"/>
    <cellStyle name="Note 3 3 2 6 4" xfId="33561"/>
    <cellStyle name="Note 3 3 2 6 4 2" xfId="33562"/>
    <cellStyle name="Note 3 3 2 6 4 3" xfId="33563"/>
    <cellStyle name="Note 3 3 2 6 4 4" xfId="33564"/>
    <cellStyle name="Note 3 3 2 6 5" xfId="33565"/>
    <cellStyle name="Note 3 3 2 6 6" xfId="33566"/>
    <cellStyle name="Note 3 3 2 6 7" xfId="33567"/>
    <cellStyle name="Note 3 3 2 6 8" xfId="33568"/>
    <cellStyle name="Note 3 3 2 7" xfId="33569"/>
    <cellStyle name="Note 3 3 2 7 2" xfId="33570"/>
    <cellStyle name="Note 3 3 2 7 2 2" xfId="33571"/>
    <cellStyle name="Note 3 3 2 7 2 3" xfId="33572"/>
    <cellStyle name="Note 3 3 2 7 2 4" xfId="33573"/>
    <cellStyle name="Note 3 3 2 7 3" xfId="33574"/>
    <cellStyle name="Note 3 3 2 7 3 2" xfId="33575"/>
    <cellStyle name="Note 3 3 2 7 3 3" xfId="33576"/>
    <cellStyle name="Note 3 3 2 7 3 4" xfId="33577"/>
    <cellStyle name="Note 3 3 2 7 4" xfId="33578"/>
    <cellStyle name="Note 3 3 2 7 4 2" xfId="33579"/>
    <cellStyle name="Note 3 3 2 7 4 3" xfId="33580"/>
    <cellStyle name="Note 3 3 2 7 4 4" xfId="33581"/>
    <cellStyle name="Note 3 3 2 7 5" xfId="33582"/>
    <cellStyle name="Note 3 3 2 7 6" xfId="33583"/>
    <cellStyle name="Note 3 3 2 7 7" xfId="33584"/>
    <cellStyle name="Note 3 3 2 7 8" xfId="33585"/>
    <cellStyle name="Note 3 3 2 8" xfId="33586"/>
    <cellStyle name="Note 3 3 2 8 2" xfId="33587"/>
    <cellStyle name="Note 3 3 2 8 2 2" xfId="33588"/>
    <cellStyle name="Note 3 3 2 8 2 3" xfId="33589"/>
    <cellStyle name="Note 3 3 2 8 2 4" xfId="33590"/>
    <cellStyle name="Note 3 3 2 8 3" xfId="33591"/>
    <cellStyle name="Note 3 3 2 8 3 2" xfId="33592"/>
    <cellStyle name="Note 3 3 2 8 3 3" xfId="33593"/>
    <cellStyle name="Note 3 3 2 8 3 4" xfId="33594"/>
    <cellStyle name="Note 3 3 2 8 4" xfId="33595"/>
    <cellStyle name="Note 3 3 2 8 4 2" xfId="33596"/>
    <cellStyle name="Note 3 3 2 8 4 3" xfId="33597"/>
    <cellStyle name="Note 3 3 2 8 4 4" xfId="33598"/>
    <cellStyle name="Note 3 3 2 8 5" xfId="33599"/>
    <cellStyle name="Note 3 3 2 8 6" xfId="33600"/>
    <cellStyle name="Note 3 3 2 8 7" xfId="33601"/>
    <cellStyle name="Note 3 3 2 8 8" xfId="33602"/>
    <cellStyle name="Note 3 3 2 9" xfId="33603"/>
    <cellStyle name="Note 3 3 2 9 2" xfId="33604"/>
    <cellStyle name="Note 3 3 2 9 2 2" xfId="33605"/>
    <cellStyle name="Note 3 3 2 9 2 3" xfId="33606"/>
    <cellStyle name="Note 3 3 2 9 2 4" xfId="33607"/>
    <cellStyle name="Note 3 3 2 9 3" xfId="33608"/>
    <cellStyle name="Note 3 3 2 9 3 2" xfId="33609"/>
    <cellStyle name="Note 3 3 2 9 3 3" xfId="33610"/>
    <cellStyle name="Note 3 3 2 9 3 4" xfId="33611"/>
    <cellStyle name="Note 3 3 2 9 4" xfId="33612"/>
    <cellStyle name="Note 3 3 2 9 4 2" xfId="33613"/>
    <cellStyle name="Note 3 3 2 9 4 3" xfId="33614"/>
    <cellStyle name="Note 3 3 2 9 4 4" xfId="33615"/>
    <cellStyle name="Note 3 3 2 9 5" xfId="33616"/>
    <cellStyle name="Note 3 3 2 9 6" xfId="33617"/>
    <cellStyle name="Note 3 3 2 9 7" xfId="33618"/>
    <cellStyle name="Note 3 3 2 9 8" xfId="33619"/>
    <cellStyle name="Note 3 3 3" xfId="33620"/>
    <cellStyle name="Note 3 3 3 10" xfId="33621"/>
    <cellStyle name="Note 3 3 3 10 2" xfId="33622"/>
    <cellStyle name="Note 3 3 3 10 3" xfId="33623"/>
    <cellStyle name="Note 3 3 3 10 4" xfId="33624"/>
    <cellStyle name="Note 3 3 3 11" xfId="33625"/>
    <cellStyle name="Note 3 3 3 12" xfId="33626"/>
    <cellStyle name="Note 3 3 3 2" xfId="33627"/>
    <cellStyle name="Note 3 3 3 2 10" xfId="33628"/>
    <cellStyle name="Note 3 3 3 2 11" xfId="33629"/>
    <cellStyle name="Note 3 3 3 2 2" xfId="33630"/>
    <cellStyle name="Note 3 3 3 2 2 2" xfId="33631"/>
    <cellStyle name="Note 3 3 3 2 2 2 2" xfId="33632"/>
    <cellStyle name="Note 3 3 3 2 2 2 2 2" xfId="33633"/>
    <cellStyle name="Note 3 3 3 2 2 2 2 3" xfId="33634"/>
    <cellStyle name="Note 3 3 3 2 2 2 2 4" xfId="33635"/>
    <cellStyle name="Note 3 3 3 2 2 2 3" xfId="33636"/>
    <cellStyle name="Note 3 3 3 2 2 2 3 2" xfId="33637"/>
    <cellStyle name="Note 3 3 3 2 2 2 3 3" xfId="33638"/>
    <cellStyle name="Note 3 3 3 2 2 2 3 4" xfId="33639"/>
    <cellStyle name="Note 3 3 3 2 2 2 4" xfId="33640"/>
    <cellStyle name="Note 3 3 3 2 2 2 4 2" xfId="33641"/>
    <cellStyle name="Note 3 3 3 2 2 2 4 3" xfId="33642"/>
    <cellStyle name="Note 3 3 3 2 2 2 4 4" xfId="33643"/>
    <cellStyle name="Note 3 3 3 2 2 2 5" xfId="33644"/>
    <cellStyle name="Note 3 3 3 2 2 2 6" xfId="33645"/>
    <cellStyle name="Note 3 3 3 2 2 2 7" xfId="33646"/>
    <cellStyle name="Note 3 3 3 2 2 2 8" xfId="33647"/>
    <cellStyle name="Note 3 3 3 2 2 3" xfId="33648"/>
    <cellStyle name="Note 3 3 3 2 2 3 2" xfId="33649"/>
    <cellStyle name="Note 3 3 3 2 2 3 2 2" xfId="33650"/>
    <cellStyle name="Note 3 3 3 2 2 3 2 3" xfId="33651"/>
    <cellStyle name="Note 3 3 3 2 2 3 2 4" xfId="33652"/>
    <cellStyle name="Note 3 3 3 2 2 3 3" xfId="33653"/>
    <cellStyle name="Note 3 3 3 2 2 3 3 2" xfId="33654"/>
    <cellStyle name="Note 3 3 3 2 2 3 3 3" xfId="33655"/>
    <cellStyle name="Note 3 3 3 2 2 3 3 4" xfId="33656"/>
    <cellStyle name="Note 3 3 3 2 2 3 4" xfId="33657"/>
    <cellStyle name="Note 3 3 3 2 2 3 4 2" xfId="33658"/>
    <cellStyle name="Note 3 3 3 2 2 3 4 3" xfId="33659"/>
    <cellStyle name="Note 3 3 3 2 2 3 4 4" xfId="33660"/>
    <cellStyle name="Note 3 3 3 2 2 3 5" xfId="33661"/>
    <cellStyle name="Note 3 3 3 2 2 3 6" xfId="33662"/>
    <cellStyle name="Note 3 3 3 2 2 3 7" xfId="33663"/>
    <cellStyle name="Note 3 3 3 2 2 3 8" xfId="33664"/>
    <cellStyle name="Note 3 3 3 2 2 4" xfId="33665"/>
    <cellStyle name="Note 3 3 3 2 2 4 2" xfId="33666"/>
    <cellStyle name="Note 3 3 3 2 2 4 2 2" xfId="33667"/>
    <cellStyle name="Note 3 3 3 2 2 4 2 3" xfId="33668"/>
    <cellStyle name="Note 3 3 3 2 2 4 2 4" xfId="33669"/>
    <cellStyle name="Note 3 3 3 2 2 4 3" xfId="33670"/>
    <cellStyle name="Note 3 3 3 2 2 4 3 2" xfId="33671"/>
    <cellStyle name="Note 3 3 3 2 2 4 3 3" xfId="33672"/>
    <cellStyle name="Note 3 3 3 2 2 4 3 4" xfId="33673"/>
    <cellStyle name="Note 3 3 3 2 2 4 4" xfId="33674"/>
    <cellStyle name="Note 3 3 3 2 2 4 4 2" xfId="33675"/>
    <cellStyle name="Note 3 3 3 2 2 4 4 3" xfId="33676"/>
    <cellStyle name="Note 3 3 3 2 2 4 4 4" xfId="33677"/>
    <cellStyle name="Note 3 3 3 2 2 4 5" xfId="33678"/>
    <cellStyle name="Note 3 3 3 2 2 4 6" xfId="33679"/>
    <cellStyle name="Note 3 3 3 2 2 4 7" xfId="33680"/>
    <cellStyle name="Note 3 3 3 2 2 4 8" xfId="33681"/>
    <cellStyle name="Note 3 3 3 2 2 5" xfId="33682"/>
    <cellStyle name="Note 3 3 3 2 2 5 2" xfId="33683"/>
    <cellStyle name="Note 3 3 3 2 2 5 2 2" xfId="33684"/>
    <cellStyle name="Note 3 3 3 2 2 5 2 3" xfId="33685"/>
    <cellStyle name="Note 3 3 3 2 2 5 2 4" xfId="33686"/>
    <cellStyle name="Note 3 3 3 2 2 5 3" xfId="33687"/>
    <cellStyle name="Note 3 3 3 2 2 5 3 2" xfId="33688"/>
    <cellStyle name="Note 3 3 3 2 2 5 3 3" xfId="33689"/>
    <cellStyle name="Note 3 3 3 2 2 5 3 4" xfId="33690"/>
    <cellStyle name="Note 3 3 3 2 2 5 4" xfId="33691"/>
    <cellStyle name="Note 3 3 3 2 2 5 4 2" xfId="33692"/>
    <cellStyle name="Note 3 3 3 2 2 5 4 3" xfId="33693"/>
    <cellStyle name="Note 3 3 3 2 2 5 4 4" xfId="33694"/>
    <cellStyle name="Note 3 3 3 2 2 5 5" xfId="33695"/>
    <cellStyle name="Note 3 3 3 2 2 5 6" xfId="33696"/>
    <cellStyle name="Note 3 3 3 2 2 5 7" xfId="33697"/>
    <cellStyle name="Note 3 3 3 2 2 5 8" xfId="33698"/>
    <cellStyle name="Note 3 3 3 2 2 6" xfId="33699"/>
    <cellStyle name="Note 3 3 3 2 2 6 2" xfId="33700"/>
    <cellStyle name="Note 3 3 3 2 2 6 3" xfId="33701"/>
    <cellStyle name="Note 3 3 3 2 2 6 4" xfId="33702"/>
    <cellStyle name="Note 3 3 3 2 2 7" xfId="33703"/>
    <cellStyle name="Note 3 3 3 2 2 7 2" xfId="33704"/>
    <cellStyle name="Note 3 3 3 2 2 7 3" xfId="33705"/>
    <cellStyle name="Note 3 3 3 2 2 7 4" xfId="33706"/>
    <cellStyle name="Note 3 3 3 2 2 8" xfId="33707"/>
    <cellStyle name="Note 3 3 3 2 2 9" xfId="33708"/>
    <cellStyle name="Note 3 3 3 2 3" xfId="33709"/>
    <cellStyle name="Note 3 3 3 2 3 2" xfId="33710"/>
    <cellStyle name="Note 3 3 3 2 3 2 2" xfId="33711"/>
    <cellStyle name="Note 3 3 3 2 3 2 3" xfId="33712"/>
    <cellStyle name="Note 3 3 3 2 3 2 4" xfId="33713"/>
    <cellStyle name="Note 3 3 3 2 3 3" xfId="33714"/>
    <cellStyle name="Note 3 3 3 2 3 3 2" xfId="33715"/>
    <cellStyle name="Note 3 3 3 2 3 3 3" xfId="33716"/>
    <cellStyle name="Note 3 3 3 2 3 3 4" xfId="33717"/>
    <cellStyle name="Note 3 3 3 2 3 4" xfId="33718"/>
    <cellStyle name="Note 3 3 3 2 3 4 2" xfId="33719"/>
    <cellStyle name="Note 3 3 3 2 3 4 3" xfId="33720"/>
    <cellStyle name="Note 3 3 3 2 3 4 4" xfId="33721"/>
    <cellStyle name="Note 3 3 3 2 3 5" xfId="33722"/>
    <cellStyle name="Note 3 3 3 2 3 6" xfId="33723"/>
    <cellStyle name="Note 3 3 3 2 3 7" xfId="33724"/>
    <cellStyle name="Note 3 3 3 2 3 8" xfId="33725"/>
    <cellStyle name="Note 3 3 3 2 4" xfId="33726"/>
    <cellStyle name="Note 3 3 3 2 4 2" xfId="33727"/>
    <cellStyle name="Note 3 3 3 2 4 2 2" xfId="33728"/>
    <cellStyle name="Note 3 3 3 2 4 2 3" xfId="33729"/>
    <cellStyle name="Note 3 3 3 2 4 2 4" xfId="33730"/>
    <cellStyle name="Note 3 3 3 2 4 3" xfId="33731"/>
    <cellStyle name="Note 3 3 3 2 4 3 2" xfId="33732"/>
    <cellStyle name="Note 3 3 3 2 4 3 3" xfId="33733"/>
    <cellStyle name="Note 3 3 3 2 4 3 4" xfId="33734"/>
    <cellStyle name="Note 3 3 3 2 4 4" xfId="33735"/>
    <cellStyle name="Note 3 3 3 2 4 4 2" xfId="33736"/>
    <cellStyle name="Note 3 3 3 2 4 4 3" xfId="33737"/>
    <cellStyle name="Note 3 3 3 2 4 4 4" xfId="33738"/>
    <cellStyle name="Note 3 3 3 2 4 5" xfId="33739"/>
    <cellStyle name="Note 3 3 3 2 4 6" xfId="33740"/>
    <cellStyle name="Note 3 3 3 2 4 7" xfId="33741"/>
    <cellStyle name="Note 3 3 3 2 4 8" xfId="33742"/>
    <cellStyle name="Note 3 3 3 2 5" xfId="33743"/>
    <cellStyle name="Note 3 3 3 2 5 2" xfId="33744"/>
    <cellStyle name="Note 3 3 3 2 5 2 2" xfId="33745"/>
    <cellStyle name="Note 3 3 3 2 5 2 3" xfId="33746"/>
    <cellStyle name="Note 3 3 3 2 5 2 4" xfId="33747"/>
    <cellStyle name="Note 3 3 3 2 5 3" xfId="33748"/>
    <cellStyle name="Note 3 3 3 2 5 3 2" xfId="33749"/>
    <cellStyle name="Note 3 3 3 2 5 3 3" xfId="33750"/>
    <cellStyle name="Note 3 3 3 2 5 3 4" xfId="33751"/>
    <cellStyle name="Note 3 3 3 2 5 4" xfId="33752"/>
    <cellStyle name="Note 3 3 3 2 5 4 2" xfId="33753"/>
    <cellStyle name="Note 3 3 3 2 5 4 3" xfId="33754"/>
    <cellStyle name="Note 3 3 3 2 5 4 4" xfId="33755"/>
    <cellStyle name="Note 3 3 3 2 5 5" xfId="33756"/>
    <cellStyle name="Note 3 3 3 2 5 6" xfId="33757"/>
    <cellStyle name="Note 3 3 3 2 5 7" xfId="33758"/>
    <cellStyle name="Note 3 3 3 2 5 8" xfId="33759"/>
    <cellStyle name="Note 3 3 3 2 6" xfId="33760"/>
    <cellStyle name="Note 3 3 3 2 6 2" xfId="33761"/>
    <cellStyle name="Note 3 3 3 2 6 2 2" xfId="33762"/>
    <cellStyle name="Note 3 3 3 2 6 2 3" xfId="33763"/>
    <cellStyle name="Note 3 3 3 2 6 2 4" xfId="33764"/>
    <cellStyle name="Note 3 3 3 2 6 3" xfId="33765"/>
    <cellStyle name="Note 3 3 3 2 6 3 2" xfId="33766"/>
    <cellStyle name="Note 3 3 3 2 6 3 3" xfId="33767"/>
    <cellStyle name="Note 3 3 3 2 6 3 4" xfId="33768"/>
    <cellStyle name="Note 3 3 3 2 6 4" xfId="33769"/>
    <cellStyle name="Note 3 3 3 2 6 4 2" xfId="33770"/>
    <cellStyle name="Note 3 3 3 2 6 4 3" xfId="33771"/>
    <cellStyle name="Note 3 3 3 2 6 4 4" xfId="33772"/>
    <cellStyle name="Note 3 3 3 2 6 5" xfId="33773"/>
    <cellStyle name="Note 3 3 3 2 6 6" xfId="33774"/>
    <cellStyle name="Note 3 3 3 2 6 7" xfId="33775"/>
    <cellStyle name="Note 3 3 3 2 6 8" xfId="33776"/>
    <cellStyle name="Note 3 3 3 2 7" xfId="33777"/>
    <cellStyle name="Note 3 3 3 2 7 2" xfId="33778"/>
    <cellStyle name="Note 3 3 3 2 7 2 2" xfId="33779"/>
    <cellStyle name="Note 3 3 3 2 7 2 3" xfId="33780"/>
    <cellStyle name="Note 3 3 3 2 7 2 4" xfId="33781"/>
    <cellStyle name="Note 3 3 3 2 7 3" xfId="33782"/>
    <cellStyle name="Note 3 3 3 2 7 3 2" xfId="33783"/>
    <cellStyle name="Note 3 3 3 2 7 3 3" xfId="33784"/>
    <cellStyle name="Note 3 3 3 2 7 3 4" xfId="33785"/>
    <cellStyle name="Note 3 3 3 2 7 4" xfId="33786"/>
    <cellStyle name="Note 3 3 3 2 7 4 2" xfId="33787"/>
    <cellStyle name="Note 3 3 3 2 7 4 3" xfId="33788"/>
    <cellStyle name="Note 3 3 3 2 7 4 4" xfId="33789"/>
    <cellStyle name="Note 3 3 3 2 7 5" xfId="33790"/>
    <cellStyle name="Note 3 3 3 2 7 6" xfId="33791"/>
    <cellStyle name="Note 3 3 3 2 7 7" xfId="33792"/>
    <cellStyle name="Note 3 3 3 2 7 8" xfId="33793"/>
    <cellStyle name="Note 3 3 3 2 8" xfId="33794"/>
    <cellStyle name="Note 3 3 3 2 8 2" xfId="33795"/>
    <cellStyle name="Note 3 3 3 2 8 3" xfId="33796"/>
    <cellStyle name="Note 3 3 3 2 8 4" xfId="33797"/>
    <cellStyle name="Note 3 3 3 2 9" xfId="33798"/>
    <cellStyle name="Note 3 3 3 2 9 2" xfId="33799"/>
    <cellStyle name="Note 3 3 3 2 9 3" xfId="33800"/>
    <cellStyle name="Note 3 3 3 2 9 4" xfId="33801"/>
    <cellStyle name="Note 3 3 3 3" xfId="33802"/>
    <cellStyle name="Note 3 3 3 3 2" xfId="33803"/>
    <cellStyle name="Note 3 3 3 3 2 2" xfId="33804"/>
    <cellStyle name="Note 3 3 3 3 2 2 2" xfId="33805"/>
    <cellStyle name="Note 3 3 3 3 2 2 3" xfId="33806"/>
    <cellStyle name="Note 3 3 3 3 2 2 4" xfId="33807"/>
    <cellStyle name="Note 3 3 3 3 2 3" xfId="33808"/>
    <cellStyle name="Note 3 3 3 3 2 3 2" xfId="33809"/>
    <cellStyle name="Note 3 3 3 3 2 3 3" xfId="33810"/>
    <cellStyle name="Note 3 3 3 3 2 3 4" xfId="33811"/>
    <cellStyle name="Note 3 3 3 3 2 4" xfId="33812"/>
    <cellStyle name="Note 3 3 3 3 2 4 2" xfId="33813"/>
    <cellStyle name="Note 3 3 3 3 2 4 3" xfId="33814"/>
    <cellStyle name="Note 3 3 3 3 2 4 4" xfId="33815"/>
    <cellStyle name="Note 3 3 3 3 2 5" xfId="33816"/>
    <cellStyle name="Note 3 3 3 3 2 6" xfId="33817"/>
    <cellStyle name="Note 3 3 3 3 2 7" xfId="33818"/>
    <cellStyle name="Note 3 3 3 3 2 8" xfId="33819"/>
    <cellStyle name="Note 3 3 3 3 3" xfId="33820"/>
    <cellStyle name="Note 3 3 3 3 3 2" xfId="33821"/>
    <cellStyle name="Note 3 3 3 3 3 2 2" xfId="33822"/>
    <cellStyle name="Note 3 3 3 3 3 2 3" xfId="33823"/>
    <cellStyle name="Note 3 3 3 3 3 2 4" xfId="33824"/>
    <cellStyle name="Note 3 3 3 3 3 3" xfId="33825"/>
    <cellStyle name="Note 3 3 3 3 3 3 2" xfId="33826"/>
    <cellStyle name="Note 3 3 3 3 3 3 3" xfId="33827"/>
    <cellStyle name="Note 3 3 3 3 3 3 4" xfId="33828"/>
    <cellStyle name="Note 3 3 3 3 3 4" xfId="33829"/>
    <cellStyle name="Note 3 3 3 3 3 4 2" xfId="33830"/>
    <cellStyle name="Note 3 3 3 3 3 4 3" xfId="33831"/>
    <cellStyle name="Note 3 3 3 3 3 4 4" xfId="33832"/>
    <cellStyle name="Note 3 3 3 3 3 5" xfId="33833"/>
    <cellStyle name="Note 3 3 3 3 3 6" xfId="33834"/>
    <cellStyle name="Note 3 3 3 3 3 7" xfId="33835"/>
    <cellStyle name="Note 3 3 3 3 3 8" xfId="33836"/>
    <cellStyle name="Note 3 3 3 3 4" xfId="33837"/>
    <cellStyle name="Note 3 3 3 3 4 2" xfId="33838"/>
    <cellStyle name="Note 3 3 3 3 4 2 2" xfId="33839"/>
    <cellStyle name="Note 3 3 3 3 4 2 3" xfId="33840"/>
    <cellStyle name="Note 3 3 3 3 4 2 4" xfId="33841"/>
    <cellStyle name="Note 3 3 3 3 4 3" xfId="33842"/>
    <cellStyle name="Note 3 3 3 3 4 3 2" xfId="33843"/>
    <cellStyle name="Note 3 3 3 3 4 3 3" xfId="33844"/>
    <cellStyle name="Note 3 3 3 3 4 3 4" xfId="33845"/>
    <cellStyle name="Note 3 3 3 3 4 4" xfId="33846"/>
    <cellStyle name="Note 3 3 3 3 4 4 2" xfId="33847"/>
    <cellStyle name="Note 3 3 3 3 4 4 3" xfId="33848"/>
    <cellStyle name="Note 3 3 3 3 4 4 4" xfId="33849"/>
    <cellStyle name="Note 3 3 3 3 4 5" xfId="33850"/>
    <cellStyle name="Note 3 3 3 3 4 6" xfId="33851"/>
    <cellStyle name="Note 3 3 3 3 4 7" xfId="33852"/>
    <cellStyle name="Note 3 3 3 3 4 8" xfId="33853"/>
    <cellStyle name="Note 3 3 3 3 5" xfId="33854"/>
    <cellStyle name="Note 3 3 3 3 5 2" xfId="33855"/>
    <cellStyle name="Note 3 3 3 3 5 2 2" xfId="33856"/>
    <cellStyle name="Note 3 3 3 3 5 2 3" xfId="33857"/>
    <cellStyle name="Note 3 3 3 3 5 2 4" xfId="33858"/>
    <cellStyle name="Note 3 3 3 3 5 3" xfId="33859"/>
    <cellStyle name="Note 3 3 3 3 5 3 2" xfId="33860"/>
    <cellStyle name="Note 3 3 3 3 5 3 3" xfId="33861"/>
    <cellStyle name="Note 3 3 3 3 5 3 4" xfId="33862"/>
    <cellStyle name="Note 3 3 3 3 5 4" xfId="33863"/>
    <cellStyle name="Note 3 3 3 3 5 4 2" xfId="33864"/>
    <cellStyle name="Note 3 3 3 3 5 4 3" xfId="33865"/>
    <cellStyle name="Note 3 3 3 3 5 4 4" xfId="33866"/>
    <cellStyle name="Note 3 3 3 3 5 5" xfId="33867"/>
    <cellStyle name="Note 3 3 3 3 5 6" xfId="33868"/>
    <cellStyle name="Note 3 3 3 3 5 7" xfId="33869"/>
    <cellStyle name="Note 3 3 3 3 5 8" xfId="33870"/>
    <cellStyle name="Note 3 3 3 3 6" xfId="33871"/>
    <cellStyle name="Note 3 3 3 3 6 2" xfId="33872"/>
    <cellStyle name="Note 3 3 3 3 6 3" xfId="33873"/>
    <cellStyle name="Note 3 3 3 3 6 4" xfId="33874"/>
    <cellStyle name="Note 3 3 3 3 7" xfId="33875"/>
    <cellStyle name="Note 3 3 3 3 7 2" xfId="33876"/>
    <cellStyle name="Note 3 3 3 3 7 3" xfId="33877"/>
    <cellStyle name="Note 3 3 3 3 7 4" xfId="33878"/>
    <cellStyle name="Note 3 3 3 3 8" xfId="33879"/>
    <cellStyle name="Note 3 3 3 3 9" xfId="33880"/>
    <cellStyle name="Note 3 3 3 4" xfId="33881"/>
    <cellStyle name="Note 3 3 3 4 2" xfId="33882"/>
    <cellStyle name="Note 3 3 3 4 2 2" xfId="33883"/>
    <cellStyle name="Note 3 3 3 4 2 3" xfId="33884"/>
    <cellStyle name="Note 3 3 3 4 2 4" xfId="33885"/>
    <cellStyle name="Note 3 3 3 4 3" xfId="33886"/>
    <cellStyle name="Note 3 3 3 4 3 2" xfId="33887"/>
    <cellStyle name="Note 3 3 3 4 3 3" xfId="33888"/>
    <cellStyle name="Note 3 3 3 4 3 4" xfId="33889"/>
    <cellStyle name="Note 3 3 3 4 4" xfId="33890"/>
    <cellStyle name="Note 3 3 3 4 4 2" xfId="33891"/>
    <cellStyle name="Note 3 3 3 4 4 3" xfId="33892"/>
    <cellStyle name="Note 3 3 3 4 4 4" xfId="33893"/>
    <cellStyle name="Note 3 3 3 4 5" xfId="33894"/>
    <cellStyle name="Note 3 3 3 4 6" xfId="33895"/>
    <cellStyle name="Note 3 3 3 4 7" xfId="33896"/>
    <cellStyle name="Note 3 3 3 4 8" xfId="33897"/>
    <cellStyle name="Note 3 3 3 5" xfId="33898"/>
    <cellStyle name="Note 3 3 3 5 2" xfId="33899"/>
    <cellStyle name="Note 3 3 3 5 2 2" xfId="33900"/>
    <cellStyle name="Note 3 3 3 5 2 3" xfId="33901"/>
    <cellStyle name="Note 3 3 3 5 2 4" xfId="33902"/>
    <cellStyle name="Note 3 3 3 5 3" xfId="33903"/>
    <cellStyle name="Note 3 3 3 5 3 2" xfId="33904"/>
    <cellStyle name="Note 3 3 3 5 3 3" xfId="33905"/>
    <cellStyle name="Note 3 3 3 5 3 4" xfId="33906"/>
    <cellStyle name="Note 3 3 3 5 4" xfId="33907"/>
    <cellStyle name="Note 3 3 3 5 4 2" xfId="33908"/>
    <cellStyle name="Note 3 3 3 5 4 3" xfId="33909"/>
    <cellStyle name="Note 3 3 3 5 4 4" xfId="33910"/>
    <cellStyle name="Note 3 3 3 5 5" xfId="33911"/>
    <cellStyle name="Note 3 3 3 5 6" xfId="33912"/>
    <cellStyle name="Note 3 3 3 5 7" xfId="33913"/>
    <cellStyle name="Note 3 3 3 5 8" xfId="33914"/>
    <cellStyle name="Note 3 3 3 6" xfId="33915"/>
    <cellStyle name="Note 3 3 3 6 2" xfId="33916"/>
    <cellStyle name="Note 3 3 3 6 2 2" xfId="33917"/>
    <cellStyle name="Note 3 3 3 6 2 3" xfId="33918"/>
    <cellStyle name="Note 3 3 3 6 2 4" xfId="33919"/>
    <cellStyle name="Note 3 3 3 6 3" xfId="33920"/>
    <cellStyle name="Note 3 3 3 6 3 2" xfId="33921"/>
    <cellStyle name="Note 3 3 3 6 3 3" xfId="33922"/>
    <cellStyle name="Note 3 3 3 6 3 4" xfId="33923"/>
    <cellStyle name="Note 3 3 3 6 4" xfId="33924"/>
    <cellStyle name="Note 3 3 3 6 4 2" xfId="33925"/>
    <cellStyle name="Note 3 3 3 6 4 3" xfId="33926"/>
    <cellStyle name="Note 3 3 3 6 4 4" xfId="33927"/>
    <cellStyle name="Note 3 3 3 6 5" xfId="33928"/>
    <cellStyle name="Note 3 3 3 6 6" xfId="33929"/>
    <cellStyle name="Note 3 3 3 6 7" xfId="33930"/>
    <cellStyle name="Note 3 3 3 6 8" xfId="33931"/>
    <cellStyle name="Note 3 3 3 7" xfId="33932"/>
    <cellStyle name="Note 3 3 3 7 2" xfId="33933"/>
    <cellStyle name="Note 3 3 3 7 2 2" xfId="33934"/>
    <cellStyle name="Note 3 3 3 7 2 3" xfId="33935"/>
    <cellStyle name="Note 3 3 3 7 2 4" xfId="33936"/>
    <cellStyle name="Note 3 3 3 7 3" xfId="33937"/>
    <cellStyle name="Note 3 3 3 7 3 2" xfId="33938"/>
    <cellStyle name="Note 3 3 3 7 3 3" xfId="33939"/>
    <cellStyle name="Note 3 3 3 7 3 4" xfId="33940"/>
    <cellStyle name="Note 3 3 3 7 4" xfId="33941"/>
    <cellStyle name="Note 3 3 3 7 4 2" xfId="33942"/>
    <cellStyle name="Note 3 3 3 7 4 3" xfId="33943"/>
    <cellStyle name="Note 3 3 3 7 4 4" xfId="33944"/>
    <cellStyle name="Note 3 3 3 7 5" xfId="33945"/>
    <cellStyle name="Note 3 3 3 7 6" xfId="33946"/>
    <cellStyle name="Note 3 3 3 7 7" xfId="33947"/>
    <cellStyle name="Note 3 3 3 7 8" xfId="33948"/>
    <cellStyle name="Note 3 3 3 8" xfId="33949"/>
    <cellStyle name="Note 3 3 3 8 2" xfId="33950"/>
    <cellStyle name="Note 3 3 3 8 2 2" xfId="33951"/>
    <cellStyle name="Note 3 3 3 8 2 3" xfId="33952"/>
    <cellStyle name="Note 3 3 3 8 2 4" xfId="33953"/>
    <cellStyle name="Note 3 3 3 8 3" xfId="33954"/>
    <cellStyle name="Note 3 3 3 8 3 2" xfId="33955"/>
    <cellStyle name="Note 3 3 3 8 3 3" xfId="33956"/>
    <cellStyle name="Note 3 3 3 8 3 4" xfId="33957"/>
    <cellStyle name="Note 3 3 3 8 4" xfId="33958"/>
    <cellStyle name="Note 3 3 3 8 4 2" xfId="33959"/>
    <cellStyle name="Note 3 3 3 8 4 3" xfId="33960"/>
    <cellStyle name="Note 3 3 3 8 4 4" xfId="33961"/>
    <cellStyle name="Note 3 3 3 8 5" xfId="33962"/>
    <cellStyle name="Note 3 3 3 8 6" xfId="33963"/>
    <cellStyle name="Note 3 3 3 8 7" xfId="33964"/>
    <cellStyle name="Note 3 3 3 8 8" xfId="33965"/>
    <cellStyle name="Note 3 3 3 9" xfId="33966"/>
    <cellStyle name="Note 3 3 3 9 2" xfId="33967"/>
    <cellStyle name="Note 3 3 3 9 3" xfId="33968"/>
    <cellStyle name="Note 3 3 3 9 4" xfId="33969"/>
    <cellStyle name="Note 3 3 4" xfId="33970"/>
    <cellStyle name="Note 3 3 4 10" xfId="33971"/>
    <cellStyle name="Note 3 3 4 11" xfId="33972"/>
    <cellStyle name="Note 3 3 4 2" xfId="33973"/>
    <cellStyle name="Note 3 3 4 2 2" xfId="33974"/>
    <cellStyle name="Note 3 3 4 2 2 2" xfId="33975"/>
    <cellStyle name="Note 3 3 4 2 2 2 2" xfId="33976"/>
    <cellStyle name="Note 3 3 4 2 2 2 3" xfId="33977"/>
    <cellStyle name="Note 3 3 4 2 2 2 4" xfId="33978"/>
    <cellStyle name="Note 3 3 4 2 2 3" xfId="33979"/>
    <cellStyle name="Note 3 3 4 2 2 3 2" xfId="33980"/>
    <cellStyle name="Note 3 3 4 2 2 3 3" xfId="33981"/>
    <cellStyle name="Note 3 3 4 2 2 3 4" xfId="33982"/>
    <cellStyle name="Note 3 3 4 2 2 4" xfId="33983"/>
    <cellStyle name="Note 3 3 4 2 2 4 2" xfId="33984"/>
    <cellStyle name="Note 3 3 4 2 2 4 3" xfId="33985"/>
    <cellStyle name="Note 3 3 4 2 2 4 4" xfId="33986"/>
    <cellStyle name="Note 3 3 4 2 2 5" xfId="33987"/>
    <cellStyle name="Note 3 3 4 2 2 6" xfId="33988"/>
    <cellStyle name="Note 3 3 4 2 2 7" xfId="33989"/>
    <cellStyle name="Note 3 3 4 2 2 8" xfId="33990"/>
    <cellStyle name="Note 3 3 4 2 3" xfId="33991"/>
    <cellStyle name="Note 3 3 4 2 3 2" xfId="33992"/>
    <cellStyle name="Note 3 3 4 2 3 2 2" xfId="33993"/>
    <cellStyle name="Note 3 3 4 2 3 2 3" xfId="33994"/>
    <cellStyle name="Note 3 3 4 2 3 2 4" xfId="33995"/>
    <cellStyle name="Note 3 3 4 2 3 3" xfId="33996"/>
    <cellStyle name="Note 3 3 4 2 3 3 2" xfId="33997"/>
    <cellStyle name="Note 3 3 4 2 3 3 3" xfId="33998"/>
    <cellStyle name="Note 3 3 4 2 3 3 4" xfId="33999"/>
    <cellStyle name="Note 3 3 4 2 3 4" xfId="34000"/>
    <cellStyle name="Note 3 3 4 2 3 4 2" xfId="34001"/>
    <cellStyle name="Note 3 3 4 2 3 4 3" xfId="34002"/>
    <cellStyle name="Note 3 3 4 2 3 4 4" xfId="34003"/>
    <cellStyle name="Note 3 3 4 2 3 5" xfId="34004"/>
    <cellStyle name="Note 3 3 4 2 3 6" xfId="34005"/>
    <cellStyle name="Note 3 3 4 2 3 7" xfId="34006"/>
    <cellStyle name="Note 3 3 4 2 3 8" xfId="34007"/>
    <cellStyle name="Note 3 3 4 2 4" xfId="34008"/>
    <cellStyle name="Note 3 3 4 2 4 2" xfId="34009"/>
    <cellStyle name="Note 3 3 4 2 4 2 2" xfId="34010"/>
    <cellStyle name="Note 3 3 4 2 4 2 3" xfId="34011"/>
    <cellStyle name="Note 3 3 4 2 4 2 4" xfId="34012"/>
    <cellStyle name="Note 3 3 4 2 4 3" xfId="34013"/>
    <cellStyle name="Note 3 3 4 2 4 3 2" xfId="34014"/>
    <cellStyle name="Note 3 3 4 2 4 3 3" xfId="34015"/>
    <cellStyle name="Note 3 3 4 2 4 3 4" xfId="34016"/>
    <cellStyle name="Note 3 3 4 2 4 4" xfId="34017"/>
    <cellStyle name="Note 3 3 4 2 4 4 2" xfId="34018"/>
    <cellStyle name="Note 3 3 4 2 4 4 3" xfId="34019"/>
    <cellStyle name="Note 3 3 4 2 4 4 4" xfId="34020"/>
    <cellStyle name="Note 3 3 4 2 4 5" xfId="34021"/>
    <cellStyle name="Note 3 3 4 2 4 6" xfId="34022"/>
    <cellStyle name="Note 3 3 4 2 4 7" xfId="34023"/>
    <cellStyle name="Note 3 3 4 2 4 8" xfId="34024"/>
    <cellStyle name="Note 3 3 4 2 5" xfId="34025"/>
    <cellStyle name="Note 3 3 4 2 5 2" xfId="34026"/>
    <cellStyle name="Note 3 3 4 2 5 2 2" xfId="34027"/>
    <cellStyle name="Note 3 3 4 2 5 2 3" xfId="34028"/>
    <cellStyle name="Note 3 3 4 2 5 2 4" xfId="34029"/>
    <cellStyle name="Note 3 3 4 2 5 3" xfId="34030"/>
    <cellStyle name="Note 3 3 4 2 5 3 2" xfId="34031"/>
    <cellStyle name="Note 3 3 4 2 5 3 3" xfId="34032"/>
    <cellStyle name="Note 3 3 4 2 5 3 4" xfId="34033"/>
    <cellStyle name="Note 3 3 4 2 5 4" xfId="34034"/>
    <cellStyle name="Note 3 3 4 2 5 4 2" xfId="34035"/>
    <cellStyle name="Note 3 3 4 2 5 4 3" xfId="34036"/>
    <cellStyle name="Note 3 3 4 2 5 4 4" xfId="34037"/>
    <cellStyle name="Note 3 3 4 2 5 5" xfId="34038"/>
    <cellStyle name="Note 3 3 4 2 5 6" xfId="34039"/>
    <cellStyle name="Note 3 3 4 2 5 7" xfId="34040"/>
    <cellStyle name="Note 3 3 4 2 5 8" xfId="34041"/>
    <cellStyle name="Note 3 3 4 2 6" xfId="34042"/>
    <cellStyle name="Note 3 3 4 2 6 2" xfId="34043"/>
    <cellStyle name="Note 3 3 4 2 6 3" xfId="34044"/>
    <cellStyle name="Note 3 3 4 2 6 4" xfId="34045"/>
    <cellStyle name="Note 3 3 4 2 7" xfId="34046"/>
    <cellStyle name="Note 3 3 4 2 7 2" xfId="34047"/>
    <cellStyle name="Note 3 3 4 2 7 3" xfId="34048"/>
    <cellStyle name="Note 3 3 4 2 7 4" xfId="34049"/>
    <cellStyle name="Note 3 3 4 2 8" xfId="34050"/>
    <cellStyle name="Note 3 3 4 2 9" xfId="34051"/>
    <cellStyle name="Note 3 3 4 3" xfId="34052"/>
    <cellStyle name="Note 3 3 4 3 2" xfId="34053"/>
    <cellStyle name="Note 3 3 4 3 2 2" xfId="34054"/>
    <cellStyle name="Note 3 3 4 3 2 3" xfId="34055"/>
    <cellStyle name="Note 3 3 4 3 2 4" xfId="34056"/>
    <cellStyle name="Note 3 3 4 3 3" xfId="34057"/>
    <cellStyle name="Note 3 3 4 3 3 2" xfId="34058"/>
    <cellStyle name="Note 3 3 4 3 3 3" xfId="34059"/>
    <cellStyle name="Note 3 3 4 3 3 4" xfId="34060"/>
    <cellStyle name="Note 3 3 4 3 4" xfId="34061"/>
    <cellStyle name="Note 3 3 4 3 4 2" xfId="34062"/>
    <cellStyle name="Note 3 3 4 3 4 3" xfId="34063"/>
    <cellStyle name="Note 3 3 4 3 4 4" xfId="34064"/>
    <cellStyle name="Note 3 3 4 3 5" xfId="34065"/>
    <cellStyle name="Note 3 3 4 3 6" xfId="34066"/>
    <cellStyle name="Note 3 3 4 3 7" xfId="34067"/>
    <cellStyle name="Note 3 3 4 3 8" xfId="34068"/>
    <cellStyle name="Note 3 3 4 4" xfId="34069"/>
    <cellStyle name="Note 3 3 4 4 2" xfId="34070"/>
    <cellStyle name="Note 3 3 4 4 2 2" xfId="34071"/>
    <cellStyle name="Note 3 3 4 4 2 3" xfId="34072"/>
    <cellStyle name="Note 3 3 4 4 2 4" xfId="34073"/>
    <cellStyle name="Note 3 3 4 4 3" xfId="34074"/>
    <cellStyle name="Note 3 3 4 4 3 2" xfId="34075"/>
    <cellStyle name="Note 3 3 4 4 3 3" xfId="34076"/>
    <cellStyle name="Note 3 3 4 4 3 4" xfId="34077"/>
    <cellStyle name="Note 3 3 4 4 4" xfId="34078"/>
    <cellStyle name="Note 3 3 4 4 4 2" xfId="34079"/>
    <cellStyle name="Note 3 3 4 4 4 3" xfId="34080"/>
    <cellStyle name="Note 3 3 4 4 4 4" xfId="34081"/>
    <cellStyle name="Note 3 3 4 4 5" xfId="34082"/>
    <cellStyle name="Note 3 3 4 4 6" xfId="34083"/>
    <cellStyle name="Note 3 3 4 4 7" xfId="34084"/>
    <cellStyle name="Note 3 3 4 4 8" xfId="34085"/>
    <cellStyle name="Note 3 3 4 5" xfId="34086"/>
    <cellStyle name="Note 3 3 4 5 2" xfId="34087"/>
    <cellStyle name="Note 3 3 4 5 2 2" xfId="34088"/>
    <cellStyle name="Note 3 3 4 5 2 3" xfId="34089"/>
    <cellStyle name="Note 3 3 4 5 2 4" xfId="34090"/>
    <cellStyle name="Note 3 3 4 5 3" xfId="34091"/>
    <cellStyle name="Note 3 3 4 5 3 2" xfId="34092"/>
    <cellStyle name="Note 3 3 4 5 3 3" xfId="34093"/>
    <cellStyle name="Note 3 3 4 5 3 4" xfId="34094"/>
    <cellStyle name="Note 3 3 4 5 4" xfId="34095"/>
    <cellStyle name="Note 3 3 4 5 4 2" xfId="34096"/>
    <cellStyle name="Note 3 3 4 5 4 3" xfId="34097"/>
    <cellStyle name="Note 3 3 4 5 4 4" xfId="34098"/>
    <cellStyle name="Note 3 3 4 5 5" xfId="34099"/>
    <cellStyle name="Note 3 3 4 5 6" xfId="34100"/>
    <cellStyle name="Note 3 3 4 5 7" xfId="34101"/>
    <cellStyle name="Note 3 3 4 5 8" xfId="34102"/>
    <cellStyle name="Note 3 3 4 6" xfId="34103"/>
    <cellStyle name="Note 3 3 4 6 2" xfId="34104"/>
    <cellStyle name="Note 3 3 4 6 2 2" xfId="34105"/>
    <cellStyle name="Note 3 3 4 6 2 3" xfId="34106"/>
    <cellStyle name="Note 3 3 4 6 2 4" xfId="34107"/>
    <cellStyle name="Note 3 3 4 6 3" xfId="34108"/>
    <cellStyle name="Note 3 3 4 6 3 2" xfId="34109"/>
    <cellStyle name="Note 3 3 4 6 3 3" xfId="34110"/>
    <cellStyle name="Note 3 3 4 6 3 4" xfId="34111"/>
    <cellStyle name="Note 3 3 4 6 4" xfId="34112"/>
    <cellStyle name="Note 3 3 4 6 4 2" xfId="34113"/>
    <cellStyle name="Note 3 3 4 6 4 3" xfId="34114"/>
    <cellStyle name="Note 3 3 4 6 4 4" xfId="34115"/>
    <cellStyle name="Note 3 3 4 6 5" xfId="34116"/>
    <cellStyle name="Note 3 3 4 6 6" xfId="34117"/>
    <cellStyle name="Note 3 3 4 6 7" xfId="34118"/>
    <cellStyle name="Note 3 3 4 6 8" xfId="34119"/>
    <cellStyle name="Note 3 3 4 7" xfId="34120"/>
    <cellStyle name="Note 3 3 4 7 2" xfId="34121"/>
    <cellStyle name="Note 3 3 4 7 2 2" xfId="34122"/>
    <cellStyle name="Note 3 3 4 7 2 3" xfId="34123"/>
    <cellStyle name="Note 3 3 4 7 2 4" xfId="34124"/>
    <cellStyle name="Note 3 3 4 7 3" xfId="34125"/>
    <cellStyle name="Note 3 3 4 7 3 2" xfId="34126"/>
    <cellStyle name="Note 3 3 4 7 3 3" xfId="34127"/>
    <cellStyle name="Note 3 3 4 7 3 4" xfId="34128"/>
    <cellStyle name="Note 3 3 4 7 4" xfId="34129"/>
    <cellStyle name="Note 3 3 4 7 4 2" xfId="34130"/>
    <cellStyle name="Note 3 3 4 7 4 3" xfId="34131"/>
    <cellStyle name="Note 3 3 4 7 4 4" xfId="34132"/>
    <cellStyle name="Note 3 3 4 7 5" xfId="34133"/>
    <cellStyle name="Note 3 3 4 7 6" xfId="34134"/>
    <cellStyle name="Note 3 3 4 7 7" xfId="34135"/>
    <cellStyle name="Note 3 3 4 7 8" xfId="34136"/>
    <cellStyle name="Note 3 3 4 8" xfId="34137"/>
    <cellStyle name="Note 3 3 4 8 2" xfId="34138"/>
    <cellStyle name="Note 3 3 4 8 3" xfId="34139"/>
    <cellStyle name="Note 3 3 4 8 4" xfId="34140"/>
    <cellStyle name="Note 3 3 4 9" xfId="34141"/>
    <cellStyle name="Note 3 3 4 9 2" xfId="34142"/>
    <cellStyle name="Note 3 3 4 9 3" xfId="34143"/>
    <cellStyle name="Note 3 3 4 9 4" xfId="34144"/>
    <cellStyle name="Note 3 3 5" xfId="34145"/>
    <cellStyle name="Note 3 3 5 2" xfId="34146"/>
    <cellStyle name="Note 3 3 5 2 2" xfId="34147"/>
    <cellStyle name="Note 3 3 5 2 2 2" xfId="34148"/>
    <cellStyle name="Note 3 3 5 2 2 3" xfId="34149"/>
    <cellStyle name="Note 3 3 5 2 2 4" xfId="34150"/>
    <cellStyle name="Note 3 3 5 2 3" xfId="34151"/>
    <cellStyle name="Note 3 3 5 2 3 2" xfId="34152"/>
    <cellStyle name="Note 3 3 5 2 3 3" xfId="34153"/>
    <cellStyle name="Note 3 3 5 2 3 4" xfId="34154"/>
    <cellStyle name="Note 3 3 5 2 4" xfId="34155"/>
    <cellStyle name="Note 3 3 5 2 4 2" xfId="34156"/>
    <cellStyle name="Note 3 3 5 2 4 3" xfId="34157"/>
    <cellStyle name="Note 3 3 5 2 4 4" xfId="34158"/>
    <cellStyle name="Note 3 3 5 2 5" xfId="34159"/>
    <cellStyle name="Note 3 3 5 2 6" xfId="34160"/>
    <cellStyle name="Note 3 3 5 2 7" xfId="34161"/>
    <cellStyle name="Note 3 3 5 2 8" xfId="34162"/>
    <cellStyle name="Note 3 3 5 3" xfId="34163"/>
    <cellStyle name="Note 3 3 5 3 2" xfId="34164"/>
    <cellStyle name="Note 3 3 5 3 2 2" xfId="34165"/>
    <cellStyle name="Note 3 3 5 3 2 3" xfId="34166"/>
    <cellStyle name="Note 3 3 5 3 2 4" xfId="34167"/>
    <cellStyle name="Note 3 3 5 3 3" xfId="34168"/>
    <cellStyle name="Note 3 3 5 3 3 2" xfId="34169"/>
    <cellStyle name="Note 3 3 5 3 3 3" xfId="34170"/>
    <cellStyle name="Note 3 3 5 3 3 4" xfId="34171"/>
    <cellStyle name="Note 3 3 5 3 4" xfId="34172"/>
    <cellStyle name="Note 3 3 5 3 4 2" xfId="34173"/>
    <cellStyle name="Note 3 3 5 3 4 3" xfId="34174"/>
    <cellStyle name="Note 3 3 5 3 4 4" xfId="34175"/>
    <cellStyle name="Note 3 3 5 3 5" xfId="34176"/>
    <cellStyle name="Note 3 3 5 3 6" xfId="34177"/>
    <cellStyle name="Note 3 3 5 3 7" xfId="34178"/>
    <cellStyle name="Note 3 3 5 3 8" xfId="34179"/>
    <cellStyle name="Note 3 3 5 4" xfId="34180"/>
    <cellStyle name="Note 3 3 5 4 2" xfId="34181"/>
    <cellStyle name="Note 3 3 5 4 2 2" xfId="34182"/>
    <cellStyle name="Note 3 3 5 4 2 3" xfId="34183"/>
    <cellStyle name="Note 3 3 5 4 2 4" xfId="34184"/>
    <cellStyle name="Note 3 3 5 4 3" xfId="34185"/>
    <cellStyle name="Note 3 3 5 4 3 2" xfId="34186"/>
    <cellStyle name="Note 3 3 5 4 3 3" xfId="34187"/>
    <cellStyle name="Note 3 3 5 4 3 4" xfId="34188"/>
    <cellStyle name="Note 3 3 5 4 4" xfId="34189"/>
    <cellStyle name="Note 3 3 5 4 4 2" xfId="34190"/>
    <cellStyle name="Note 3 3 5 4 4 3" xfId="34191"/>
    <cellStyle name="Note 3 3 5 4 4 4" xfId="34192"/>
    <cellStyle name="Note 3 3 5 4 5" xfId="34193"/>
    <cellStyle name="Note 3 3 5 4 6" xfId="34194"/>
    <cellStyle name="Note 3 3 5 4 7" xfId="34195"/>
    <cellStyle name="Note 3 3 5 4 8" xfId="34196"/>
    <cellStyle name="Note 3 3 5 5" xfId="34197"/>
    <cellStyle name="Note 3 3 5 5 2" xfId="34198"/>
    <cellStyle name="Note 3 3 5 5 2 2" xfId="34199"/>
    <cellStyle name="Note 3 3 5 5 2 3" xfId="34200"/>
    <cellStyle name="Note 3 3 5 5 2 4" xfId="34201"/>
    <cellStyle name="Note 3 3 5 5 3" xfId="34202"/>
    <cellStyle name="Note 3 3 5 5 3 2" xfId="34203"/>
    <cellStyle name="Note 3 3 5 5 3 3" xfId="34204"/>
    <cellStyle name="Note 3 3 5 5 3 4" xfId="34205"/>
    <cellStyle name="Note 3 3 5 5 4" xfId="34206"/>
    <cellStyle name="Note 3 3 5 5 4 2" xfId="34207"/>
    <cellStyle name="Note 3 3 5 5 4 3" xfId="34208"/>
    <cellStyle name="Note 3 3 5 5 4 4" xfId="34209"/>
    <cellStyle name="Note 3 3 5 5 5" xfId="34210"/>
    <cellStyle name="Note 3 3 5 5 6" xfId="34211"/>
    <cellStyle name="Note 3 3 5 5 7" xfId="34212"/>
    <cellStyle name="Note 3 3 5 5 8" xfId="34213"/>
    <cellStyle name="Note 3 3 5 6" xfId="34214"/>
    <cellStyle name="Note 3 3 5 6 2" xfId="34215"/>
    <cellStyle name="Note 3 3 5 6 3" xfId="34216"/>
    <cellStyle name="Note 3 3 5 6 4" xfId="34217"/>
    <cellStyle name="Note 3 3 5 7" xfId="34218"/>
    <cellStyle name="Note 3 3 5 7 2" xfId="34219"/>
    <cellStyle name="Note 3 3 5 7 3" xfId="34220"/>
    <cellStyle name="Note 3 3 5 7 4" xfId="34221"/>
    <cellStyle name="Note 3 3 5 8" xfId="34222"/>
    <cellStyle name="Note 3 3 5 9" xfId="34223"/>
    <cellStyle name="Note 3 3 6" xfId="34224"/>
    <cellStyle name="Note 3 3 6 2" xfId="34225"/>
    <cellStyle name="Note 3 3 6 2 2" xfId="34226"/>
    <cellStyle name="Note 3 3 6 2 3" xfId="34227"/>
    <cellStyle name="Note 3 3 6 2 4" xfId="34228"/>
    <cellStyle name="Note 3 3 6 3" xfId="34229"/>
    <cellStyle name="Note 3 3 6 3 2" xfId="34230"/>
    <cellStyle name="Note 3 3 6 3 3" xfId="34231"/>
    <cellStyle name="Note 3 3 6 3 4" xfId="34232"/>
    <cellStyle name="Note 3 3 6 4" xfId="34233"/>
    <cellStyle name="Note 3 3 6 4 2" xfId="34234"/>
    <cellStyle name="Note 3 3 6 4 3" xfId="34235"/>
    <cellStyle name="Note 3 3 6 4 4" xfId="34236"/>
    <cellStyle name="Note 3 3 6 5" xfId="34237"/>
    <cellStyle name="Note 3 3 6 6" xfId="34238"/>
    <cellStyle name="Note 3 3 6 7" xfId="34239"/>
    <cellStyle name="Note 3 3 6 8" xfId="34240"/>
    <cellStyle name="Note 3 3 7" xfId="34241"/>
    <cellStyle name="Note 3 3 7 2" xfId="34242"/>
    <cellStyle name="Note 3 3 7 2 2" xfId="34243"/>
    <cellStyle name="Note 3 3 7 2 3" xfId="34244"/>
    <cellStyle name="Note 3 3 7 2 4" xfId="34245"/>
    <cellStyle name="Note 3 3 7 3" xfId="34246"/>
    <cellStyle name="Note 3 3 7 3 2" xfId="34247"/>
    <cellStyle name="Note 3 3 7 3 3" xfId="34248"/>
    <cellStyle name="Note 3 3 7 3 4" xfId="34249"/>
    <cellStyle name="Note 3 3 7 4" xfId="34250"/>
    <cellStyle name="Note 3 3 7 4 2" xfId="34251"/>
    <cellStyle name="Note 3 3 7 4 3" xfId="34252"/>
    <cellStyle name="Note 3 3 7 4 4" xfId="34253"/>
    <cellStyle name="Note 3 3 7 5" xfId="34254"/>
    <cellStyle name="Note 3 3 7 6" xfId="34255"/>
    <cellStyle name="Note 3 3 7 7" xfId="34256"/>
    <cellStyle name="Note 3 3 7 8" xfId="34257"/>
    <cellStyle name="Note 3 3 8" xfId="34258"/>
    <cellStyle name="Note 3 3 8 2" xfId="34259"/>
    <cellStyle name="Note 3 3 8 2 2" xfId="34260"/>
    <cellStyle name="Note 3 3 8 2 3" xfId="34261"/>
    <cellStyle name="Note 3 3 8 2 4" xfId="34262"/>
    <cellStyle name="Note 3 3 8 3" xfId="34263"/>
    <cellStyle name="Note 3 3 8 3 2" xfId="34264"/>
    <cellStyle name="Note 3 3 8 3 3" xfId="34265"/>
    <cellStyle name="Note 3 3 8 3 4" xfId="34266"/>
    <cellStyle name="Note 3 3 8 4" xfId="34267"/>
    <cellStyle name="Note 3 3 8 4 2" xfId="34268"/>
    <cellStyle name="Note 3 3 8 4 3" xfId="34269"/>
    <cellStyle name="Note 3 3 8 4 4" xfId="34270"/>
    <cellStyle name="Note 3 3 8 5" xfId="34271"/>
    <cellStyle name="Note 3 3 8 6" xfId="34272"/>
    <cellStyle name="Note 3 3 8 7" xfId="34273"/>
    <cellStyle name="Note 3 3 8 8" xfId="34274"/>
    <cellStyle name="Note 3 3 9" xfId="34275"/>
    <cellStyle name="Note 3 3 9 2" xfId="34276"/>
    <cellStyle name="Note 3 3 9 2 2" xfId="34277"/>
    <cellStyle name="Note 3 3 9 2 3" xfId="34278"/>
    <cellStyle name="Note 3 3 9 2 4" xfId="34279"/>
    <cellStyle name="Note 3 3 9 3" xfId="34280"/>
    <cellStyle name="Note 3 3 9 3 2" xfId="34281"/>
    <cellStyle name="Note 3 3 9 3 3" xfId="34282"/>
    <cellStyle name="Note 3 3 9 3 4" xfId="34283"/>
    <cellStyle name="Note 3 3 9 4" xfId="34284"/>
    <cellStyle name="Note 3 3 9 4 2" xfId="34285"/>
    <cellStyle name="Note 3 3 9 4 3" xfId="34286"/>
    <cellStyle name="Note 3 3 9 4 4" xfId="34287"/>
    <cellStyle name="Note 3 3 9 5" xfId="34288"/>
    <cellStyle name="Note 3 3 9 6" xfId="34289"/>
    <cellStyle name="Note 3 3 9 7" xfId="34290"/>
    <cellStyle name="Note 3 3 9 8" xfId="34291"/>
    <cellStyle name="Note 3 4" xfId="34292"/>
    <cellStyle name="Note 3 4 10" xfId="34293"/>
    <cellStyle name="Note 3 4 10 2" xfId="34294"/>
    <cellStyle name="Note 3 4 10 3" xfId="34295"/>
    <cellStyle name="Note 3 4 10 4" xfId="34296"/>
    <cellStyle name="Note 3 4 11" xfId="34297"/>
    <cellStyle name="Note 3 4 11 2" xfId="34298"/>
    <cellStyle name="Note 3 4 11 3" xfId="34299"/>
    <cellStyle name="Note 3 4 11 4" xfId="34300"/>
    <cellStyle name="Note 3 4 12" xfId="34301"/>
    <cellStyle name="Note 3 4 13" xfId="34302"/>
    <cellStyle name="Note 3 4 2" xfId="34303"/>
    <cellStyle name="Note 3 4 2 10" xfId="34304"/>
    <cellStyle name="Note 3 4 2 10 2" xfId="34305"/>
    <cellStyle name="Note 3 4 2 10 3" xfId="34306"/>
    <cellStyle name="Note 3 4 2 10 4" xfId="34307"/>
    <cellStyle name="Note 3 4 2 11" xfId="34308"/>
    <cellStyle name="Note 3 4 2 12" xfId="34309"/>
    <cellStyle name="Note 3 4 2 2" xfId="34310"/>
    <cellStyle name="Note 3 4 2 2 10" xfId="34311"/>
    <cellStyle name="Note 3 4 2 2 11" xfId="34312"/>
    <cellStyle name="Note 3 4 2 2 2" xfId="34313"/>
    <cellStyle name="Note 3 4 2 2 2 2" xfId="34314"/>
    <cellStyle name="Note 3 4 2 2 2 2 2" xfId="34315"/>
    <cellStyle name="Note 3 4 2 2 2 2 2 2" xfId="34316"/>
    <cellStyle name="Note 3 4 2 2 2 2 2 3" xfId="34317"/>
    <cellStyle name="Note 3 4 2 2 2 2 2 4" xfId="34318"/>
    <cellStyle name="Note 3 4 2 2 2 2 3" xfId="34319"/>
    <cellStyle name="Note 3 4 2 2 2 2 3 2" xfId="34320"/>
    <cellStyle name="Note 3 4 2 2 2 2 3 3" xfId="34321"/>
    <cellStyle name="Note 3 4 2 2 2 2 3 4" xfId="34322"/>
    <cellStyle name="Note 3 4 2 2 2 2 4" xfId="34323"/>
    <cellStyle name="Note 3 4 2 2 2 2 4 2" xfId="34324"/>
    <cellStyle name="Note 3 4 2 2 2 2 4 3" xfId="34325"/>
    <cellStyle name="Note 3 4 2 2 2 2 4 4" xfId="34326"/>
    <cellStyle name="Note 3 4 2 2 2 2 5" xfId="34327"/>
    <cellStyle name="Note 3 4 2 2 2 2 6" xfId="34328"/>
    <cellStyle name="Note 3 4 2 2 2 2 7" xfId="34329"/>
    <cellStyle name="Note 3 4 2 2 2 2 8" xfId="34330"/>
    <cellStyle name="Note 3 4 2 2 2 3" xfId="34331"/>
    <cellStyle name="Note 3 4 2 2 2 3 2" xfId="34332"/>
    <cellStyle name="Note 3 4 2 2 2 3 2 2" xfId="34333"/>
    <cellStyle name="Note 3 4 2 2 2 3 2 3" xfId="34334"/>
    <cellStyle name="Note 3 4 2 2 2 3 2 4" xfId="34335"/>
    <cellStyle name="Note 3 4 2 2 2 3 3" xfId="34336"/>
    <cellStyle name="Note 3 4 2 2 2 3 3 2" xfId="34337"/>
    <cellStyle name="Note 3 4 2 2 2 3 3 3" xfId="34338"/>
    <cellStyle name="Note 3 4 2 2 2 3 3 4" xfId="34339"/>
    <cellStyle name="Note 3 4 2 2 2 3 4" xfId="34340"/>
    <cellStyle name="Note 3 4 2 2 2 3 4 2" xfId="34341"/>
    <cellStyle name="Note 3 4 2 2 2 3 4 3" xfId="34342"/>
    <cellStyle name="Note 3 4 2 2 2 3 4 4" xfId="34343"/>
    <cellStyle name="Note 3 4 2 2 2 3 5" xfId="34344"/>
    <cellStyle name="Note 3 4 2 2 2 3 6" xfId="34345"/>
    <cellStyle name="Note 3 4 2 2 2 3 7" xfId="34346"/>
    <cellStyle name="Note 3 4 2 2 2 3 8" xfId="34347"/>
    <cellStyle name="Note 3 4 2 2 2 4" xfId="34348"/>
    <cellStyle name="Note 3 4 2 2 2 4 2" xfId="34349"/>
    <cellStyle name="Note 3 4 2 2 2 4 2 2" xfId="34350"/>
    <cellStyle name="Note 3 4 2 2 2 4 2 3" xfId="34351"/>
    <cellStyle name="Note 3 4 2 2 2 4 2 4" xfId="34352"/>
    <cellStyle name="Note 3 4 2 2 2 4 3" xfId="34353"/>
    <cellStyle name="Note 3 4 2 2 2 4 3 2" xfId="34354"/>
    <cellStyle name="Note 3 4 2 2 2 4 3 3" xfId="34355"/>
    <cellStyle name="Note 3 4 2 2 2 4 3 4" xfId="34356"/>
    <cellStyle name="Note 3 4 2 2 2 4 4" xfId="34357"/>
    <cellStyle name="Note 3 4 2 2 2 4 4 2" xfId="34358"/>
    <cellStyle name="Note 3 4 2 2 2 4 4 3" xfId="34359"/>
    <cellStyle name="Note 3 4 2 2 2 4 4 4" xfId="34360"/>
    <cellStyle name="Note 3 4 2 2 2 4 5" xfId="34361"/>
    <cellStyle name="Note 3 4 2 2 2 4 6" xfId="34362"/>
    <cellStyle name="Note 3 4 2 2 2 4 7" xfId="34363"/>
    <cellStyle name="Note 3 4 2 2 2 4 8" xfId="34364"/>
    <cellStyle name="Note 3 4 2 2 2 5" xfId="34365"/>
    <cellStyle name="Note 3 4 2 2 2 5 2" xfId="34366"/>
    <cellStyle name="Note 3 4 2 2 2 5 2 2" xfId="34367"/>
    <cellStyle name="Note 3 4 2 2 2 5 2 3" xfId="34368"/>
    <cellStyle name="Note 3 4 2 2 2 5 2 4" xfId="34369"/>
    <cellStyle name="Note 3 4 2 2 2 5 3" xfId="34370"/>
    <cellStyle name="Note 3 4 2 2 2 5 3 2" xfId="34371"/>
    <cellStyle name="Note 3 4 2 2 2 5 3 3" xfId="34372"/>
    <cellStyle name="Note 3 4 2 2 2 5 3 4" xfId="34373"/>
    <cellStyle name="Note 3 4 2 2 2 5 4" xfId="34374"/>
    <cellStyle name="Note 3 4 2 2 2 5 4 2" xfId="34375"/>
    <cellStyle name="Note 3 4 2 2 2 5 4 3" xfId="34376"/>
    <cellStyle name="Note 3 4 2 2 2 5 4 4" xfId="34377"/>
    <cellStyle name="Note 3 4 2 2 2 5 5" xfId="34378"/>
    <cellStyle name="Note 3 4 2 2 2 5 6" xfId="34379"/>
    <cellStyle name="Note 3 4 2 2 2 5 7" xfId="34380"/>
    <cellStyle name="Note 3 4 2 2 2 5 8" xfId="34381"/>
    <cellStyle name="Note 3 4 2 2 2 6" xfId="34382"/>
    <cellStyle name="Note 3 4 2 2 2 6 2" xfId="34383"/>
    <cellStyle name="Note 3 4 2 2 2 6 3" xfId="34384"/>
    <cellStyle name="Note 3 4 2 2 2 6 4" xfId="34385"/>
    <cellStyle name="Note 3 4 2 2 2 7" xfId="34386"/>
    <cellStyle name="Note 3 4 2 2 2 7 2" xfId="34387"/>
    <cellStyle name="Note 3 4 2 2 2 7 3" xfId="34388"/>
    <cellStyle name="Note 3 4 2 2 2 7 4" xfId="34389"/>
    <cellStyle name="Note 3 4 2 2 2 8" xfId="34390"/>
    <cellStyle name="Note 3 4 2 2 2 9" xfId="34391"/>
    <cellStyle name="Note 3 4 2 2 3" xfId="34392"/>
    <cellStyle name="Note 3 4 2 2 3 2" xfId="34393"/>
    <cellStyle name="Note 3 4 2 2 3 2 2" xfId="34394"/>
    <cellStyle name="Note 3 4 2 2 3 2 3" xfId="34395"/>
    <cellStyle name="Note 3 4 2 2 3 2 4" xfId="34396"/>
    <cellStyle name="Note 3 4 2 2 3 3" xfId="34397"/>
    <cellStyle name="Note 3 4 2 2 3 3 2" xfId="34398"/>
    <cellStyle name="Note 3 4 2 2 3 3 3" xfId="34399"/>
    <cellStyle name="Note 3 4 2 2 3 3 4" xfId="34400"/>
    <cellStyle name="Note 3 4 2 2 3 4" xfId="34401"/>
    <cellStyle name="Note 3 4 2 2 3 4 2" xfId="34402"/>
    <cellStyle name="Note 3 4 2 2 3 4 3" xfId="34403"/>
    <cellStyle name="Note 3 4 2 2 3 4 4" xfId="34404"/>
    <cellStyle name="Note 3 4 2 2 3 5" xfId="34405"/>
    <cellStyle name="Note 3 4 2 2 3 6" xfId="34406"/>
    <cellStyle name="Note 3 4 2 2 3 7" xfId="34407"/>
    <cellStyle name="Note 3 4 2 2 3 8" xfId="34408"/>
    <cellStyle name="Note 3 4 2 2 4" xfId="34409"/>
    <cellStyle name="Note 3 4 2 2 4 2" xfId="34410"/>
    <cellStyle name="Note 3 4 2 2 4 2 2" xfId="34411"/>
    <cellStyle name="Note 3 4 2 2 4 2 3" xfId="34412"/>
    <cellStyle name="Note 3 4 2 2 4 2 4" xfId="34413"/>
    <cellStyle name="Note 3 4 2 2 4 3" xfId="34414"/>
    <cellStyle name="Note 3 4 2 2 4 3 2" xfId="34415"/>
    <cellStyle name="Note 3 4 2 2 4 3 3" xfId="34416"/>
    <cellStyle name="Note 3 4 2 2 4 3 4" xfId="34417"/>
    <cellStyle name="Note 3 4 2 2 4 4" xfId="34418"/>
    <cellStyle name="Note 3 4 2 2 4 4 2" xfId="34419"/>
    <cellStyle name="Note 3 4 2 2 4 4 3" xfId="34420"/>
    <cellStyle name="Note 3 4 2 2 4 4 4" xfId="34421"/>
    <cellStyle name="Note 3 4 2 2 4 5" xfId="34422"/>
    <cellStyle name="Note 3 4 2 2 4 6" xfId="34423"/>
    <cellStyle name="Note 3 4 2 2 4 7" xfId="34424"/>
    <cellStyle name="Note 3 4 2 2 4 8" xfId="34425"/>
    <cellStyle name="Note 3 4 2 2 5" xfId="34426"/>
    <cellStyle name="Note 3 4 2 2 5 2" xfId="34427"/>
    <cellStyle name="Note 3 4 2 2 5 2 2" xfId="34428"/>
    <cellStyle name="Note 3 4 2 2 5 2 3" xfId="34429"/>
    <cellStyle name="Note 3 4 2 2 5 2 4" xfId="34430"/>
    <cellStyle name="Note 3 4 2 2 5 3" xfId="34431"/>
    <cellStyle name="Note 3 4 2 2 5 3 2" xfId="34432"/>
    <cellStyle name="Note 3 4 2 2 5 3 3" xfId="34433"/>
    <cellStyle name="Note 3 4 2 2 5 3 4" xfId="34434"/>
    <cellStyle name="Note 3 4 2 2 5 4" xfId="34435"/>
    <cellStyle name="Note 3 4 2 2 5 4 2" xfId="34436"/>
    <cellStyle name="Note 3 4 2 2 5 4 3" xfId="34437"/>
    <cellStyle name="Note 3 4 2 2 5 4 4" xfId="34438"/>
    <cellStyle name="Note 3 4 2 2 5 5" xfId="34439"/>
    <cellStyle name="Note 3 4 2 2 5 6" xfId="34440"/>
    <cellStyle name="Note 3 4 2 2 5 7" xfId="34441"/>
    <cellStyle name="Note 3 4 2 2 5 8" xfId="34442"/>
    <cellStyle name="Note 3 4 2 2 6" xfId="34443"/>
    <cellStyle name="Note 3 4 2 2 6 2" xfId="34444"/>
    <cellStyle name="Note 3 4 2 2 6 2 2" xfId="34445"/>
    <cellStyle name="Note 3 4 2 2 6 2 3" xfId="34446"/>
    <cellStyle name="Note 3 4 2 2 6 2 4" xfId="34447"/>
    <cellStyle name="Note 3 4 2 2 6 3" xfId="34448"/>
    <cellStyle name="Note 3 4 2 2 6 3 2" xfId="34449"/>
    <cellStyle name="Note 3 4 2 2 6 3 3" xfId="34450"/>
    <cellStyle name="Note 3 4 2 2 6 3 4" xfId="34451"/>
    <cellStyle name="Note 3 4 2 2 6 4" xfId="34452"/>
    <cellStyle name="Note 3 4 2 2 6 4 2" xfId="34453"/>
    <cellStyle name="Note 3 4 2 2 6 4 3" xfId="34454"/>
    <cellStyle name="Note 3 4 2 2 6 4 4" xfId="34455"/>
    <cellStyle name="Note 3 4 2 2 6 5" xfId="34456"/>
    <cellStyle name="Note 3 4 2 2 6 6" xfId="34457"/>
    <cellStyle name="Note 3 4 2 2 6 7" xfId="34458"/>
    <cellStyle name="Note 3 4 2 2 6 8" xfId="34459"/>
    <cellStyle name="Note 3 4 2 2 7" xfId="34460"/>
    <cellStyle name="Note 3 4 2 2 7 2" xfId="34461"/>
    <cellStyle name="Note 3 4 2 2 7 2 2" xfId="34462"/>
    <cellStyle name="Note 3 4 2 2 7 2 3" xfId="34463"/>
    <cellStyle name="Note 3 4 2 2 7 2 4" xfId="34464"/>
    <cellStyle name="Note 3 4 2 2 7 3" xfId="34465"/>
    <cellStyle name="Note 3 4 2 2 7 3 2" xfId="34466"/>
    <cellStyle name="Note 3 4 2 2 7 3 3" xfId="34467"/>
    <cellStyle name="Note 3 4 2 2 7 3 4" xfId="34468"/>
    <cellStyle name="Note 3 4 2 2 7 4" xfId="34469"/>
    <cellStyle name="Note 3 4 2 2 7 4 2" xfId="34470"/>
    <cellStyle name="Note 3 4 2 2 7 4 3" xfId="34471"/>
    <cellStyle name="Note 3 4 2 2 7 4 4" xfId="34472"/>
    <cellStyle name="Note 3 4 2 2 7 5" xfId="34473"/>
    <cellStyle name="Note 3 4 2 2 7 6" xfId="34474"/>
    <cellStyle name="Note 3 4 2 2 7 7" xfId="34475"/>
    <cellStyle name="Note 3 4 2 2 7 8" xfId="34476"/>
    <cellStyle name="Note 3 4 2 2 8" xfId="34477"/>
    <cellStyle name="Note 3 4 2 2 8 2" xfId="34478"/>
    <cellStyle name="Note 3 4 2 2 8 3" xfId="34479"/>
    <cellStyle name="Note 3 4 2 2 8 4" xfId="34480"/>
    <cellStyle name="Note 3 4 2 2 9" xfId="34481"/>
    <cellStyle name="Note 3 4 2 2 9 2" xfId="34482"/>
    <cellStyle name="Note 3 4 2 2 9 3" xfId="34483"/>
    <cellStyle name="Note 3 4 2 2 9 4" xfId="34484"/>
    <cellStyle name="Note 3 4 2 3" xfId="34485"/>
    <cellStyle name="Note 3 4 2 3 2" xfId="34486"/>
    <cellStyle name="Note 3 4 2 3 2 2" xfId="34487"/>
    <cellStyle name="Note 3 4 2 3 2 2 2" xfId="34488"/>
    <cellStyle name="Note 3 4 2 3 2 2 3" xfId="34489"/>
    <cellStyle name="Note 3 4 2 3 2 2 4" xfId="34490"/>
    <cellStyle name="Note 3 4 2 3 2 3" xfId="34491"/>
    <cellStyle name="Note 3 4 2 3 2 3 2" xfId="34492"/>
    <cellStyle name="Note 3 4 2 3 2 3 3" xfId="34493"/>
    <cellStyle name="Note 3 4 2 3 2 3 4" xfId="34494"/>
    <cellStyle name="Note 3 4 2 3 2 4" xfId="34495"/>
    <cellStyle name="Note 3 4 2 3 2 4 2" xfId="34496"/>
    <cellStyle name="Note 3 4 2 3 2 4 3" xfId="34497"/>
    <cellStyle name="Note 3 4 2 3 2 4 4" xfId="34498"/>
    <cellStyle name="Note 3 4 2 3 2 5" xfId="34499"/>
    <cellStyle name="Note 3 4 2 3 2 6" xfId="34500"/>
    <cellStyle name="Note 3 4 2 3 2 7" xfId="34501"/>
    <cellStyle name="Note 3 4 2 3 2 8" xfId="34502"/>
    <cellStyle name="Note 3 4 2 3 3" xfId="34503"/>
    <cellStyle name="Note 3 4 2 3 3 2" xfId="34504"/>
    <cellStyle name="Note 3 4 2 3 3 2 2" xfId="34505"/>
    <cellStyle name="Note 3 4 2 3 3 2 3" xfId="34506"/>
    <cellStyle name="Note 3 4 2 3 3 2 4" xfId="34507"/>
    <cellStyle name="Note 3 4 2 3 3 3" xfId="34508"/>
    <cellStyle name="Note 3 4 2 3 3 3 2" xfId="34509"/>
    <cellStyle name="Note 3 4 2 3 3 3 3" xfId="34510"/>
    <cellStyle name="Note 3 4 2 3 3 3 4" xfId="34511"/>
    <cellStyle name="Note 3 4 2 3 3 4" xfId="34512"/>
    <cellStyle name="Note 3 4 2 3 3 4 2" xfId="34513"/>
    <cellStyle name="Note 3 4 2 3 3 4 3" xfId="34514"/>
    <cellStyle name="Note 3 4 2 3 3 4 4" xfId="34515"/>
    <cellStyle name="Note 3 4 2 3 3 5" xfId="34516"/>
    <cellStyle name="Note 3 4 2 3 3 6" xfId="34517"/>
    <cellStyle name="Note 3 4 2 3 3 7" xfId="34518"/>
    <cellStyle name="Note 3 4 2 3 3 8" xfId="34519"/>
    <cellStyle name="Note 3 4 2 3 4" xfId="34520"/>
    <cellStyle name="Note 3 4 2 3 4 2" xfId="34521"/>
    <cellStyle name="Note 3 4 2 3 4 2 2" xfId="34522"/>
    <cellStyle name="Note 3 4 2 3 4 2 3" xfId="34523"/>
    <cellStyle name="Note 3 4 2 3 4 2 4" xfId="34524"/>
    <cellStyle name="Note 3 4 2 3 4 3" xfId="34525"/>
    <cellStyle name="Note 3 4 2 3 4 3 2" xfId="34526"/>
    <cellStyle name="Note 3 4 2 3 4 3 3" xfId="34527"/>
    <cellStyle name="Note 3 4 2 3 4 3 4" xfId="34528"/>
    <cellStyle name="Note 3 4 2 3 4 4" xfId="34529"/>
    <cellStyle name="Note 3 4 2 3 4 4 2" xfId="34530"/>
    <cellStyle name="Note 3 4 2 3 4 4 3" xfId="34531"/>
    <cellStyle name="Note 3 4 2 3 4 4 4" xfId="34532"/>
    <cellStyle name="Note 3 4 2 3 4 5" xfId="34533"/>
    <cellStyle name="Note 3 4 2 3 4 6" xfId="34534"/>
    <cellStyle name="Note 3 4 2 3 4 7" xfId="34535"/>
    <cellStyle name="Note 3 4 2 3 4 8" xfId="34536"/>
    <cellStyle name="Note 3 4 2 3 5" xfId="34537"/>
    <cellStyle name="Note 3 4 2 3 5 2" xfId="34538"/>
    <cellStyle name="Note 3 4 2 3 5 2 2" xfId="34539"/>
    <cellStyle name="Note 3 4 2 3 5 2 3" xfId="34540"/>
    <cellStyle name="Note 3 4 2 3 5 2 4" xfId="34541"/>
    <cellStyle name="Note 3 4 2 3 5 3" xfId="34542"/>
    <cellStyle name="Note 3 4 2 3 5 3 2" xfId="34543"/>
    <cellStyle name="Note 3 4 2 3 5 3 3" xfId="34544"/>
    <cellStyle name="Note 3 4 2 3 5 3 4" xfId="34545"/>
    <cellStyle name="Note 3 4 2 3 5 4" xfId="34546"/>
    <cellStyle name="Note 3 4 2 3 5 4 2" xfId="34547"/>
    <cellStyle name="Note 3 4 2 3 5 4 3" xfId="34548"/>
    <cellStyle name="Note 3 4 2 3 5 4 4" xfId="34549"/>
    <cellStyle name="Note 3 4 2 3 5 5" xfId="34550"/>
    <cellStyle name="Note 3 4 2 3 5 6" xfId="34551"/>
    <cellStyle name="Note 3 4 2 3 5 7" xfId="34552"/>
    <cellStyle name="Note 3 4 2 3 5 8" xfId="34553"/>
    <cellStyle name="Note 3 4 2 3 6" xfId="34554"/>
    <cellStyle name="Note 3 4 2 3 6 2" xfId="34555"/>
    <cellStyle name="Note 3 4 2 3 6 3" xfId="34556"/>
    <cellStyle name="Note 3 4 2 3 6 4" xfId="34557"/>
    <cellStyle name="Note 3 4 2 3 7" xfId="34558"/>
    <cellStyle name="Note 3 4 2 3 7 2" xfId="34559"/>
    <cellStyle name="Note 3 4 2 3 7 3" xfId="34560"/>
    <cellStyle name="Note 3 4 2 3 7 4" xfId="34561"/>
    <cellStyle name="Note 3 4 2 3 8" xfId="34562"/>
    <cellStyle name="Note 3 4 2 3 9" xfId="34563"/>
    <cellStyle name="Note 3 4 2 4" xfId="34564"/>
    <cellStyle name="Note 3 4 2 4 2" xfId="34565"/>
    <cellStyle name="Note 3 4 2 4 2 2" xfId="34566"/>
    <cellStyle name="Note 3 4 2 4 2 3" xfId="34567"/>
    <cellStyle name="Note 3 4 2 4 2 4" xfId="34568"/>
    <cellStyle name="Note 3 4 2 4 3" xfId="34569"/>
    <cellStyle name="Note 3 4 2 4 3 2" xfId="34570"/>
    <cellStyle name="Note 3 4 2 4 3 3" xfId="34571"/>
    <cellStyle name="Note 3 4 2 4 3 4" xfId="34572"/>
    <cellStyle name="Note 3 4 2 4 4" xfId="34573"/>
    <cellStyle name="Note 3 4 2 4 4 2" xfId="34574"/>
    <cellStyle name="Note 3 4 2 4 4 3" xfId="34575"/>
    <cellStyle name="Note 3 4 2 4 4 4" xfId="34576"/>
    <cellStyle name="Note 3 4 2 4 5" xfId="34577"/>
    <cellStyle name="Note 3 4 2 4 6" xfId="34578"/>
    <cellStyle name="Note 3 4 2 4 7" xfId="34579"/>
    <cellStyle name="Note 3 4 2 4 8" xfId="34580"/>
    <cellStyle name="Note 3 4 2 5" xfId="34581"/>
    <cellStyle name="Note 3 4 2 5 2" xfId="34582"/>
    <cellStyle name="Note 3 4 2 5 2 2" xfId="34583"/>
    <cellStyle name="Note 3 4 2 5 2 3" xfId="34584"/>
    <cellStyle name="Note 3 4 2 5 2 4" xfId="34585"/>
    <cellStyle name="Note 3 4 2 5 3" xfId="34586"/>
    <cellStyle name="Note 3 4 2 5 3 2" xfId="34587"/>
    <cellStyle name="Note 3 4 2 5 3 3" xfId="34588"/>
    <cellStyle name="Note 3 4 2 5 3 4" xfId="34589"/>
    <cellStyle name="Note 3 4 2 5 4" xfId="34590"/>
    <cellStyle name="Note 3 4 2 5 4 2" xfId="34591"/>
    <cellStyle name="Note 3 4 2 5 4 3" xfId="34592"/>
    <cellStyle name="Note 3 4 2 5 4 4" xfId="34593"/>
    <cellStyle name="Note 3 4 2 5 5" xfId="34594"/>
    <cellStyle name="Note 3 4 2 5 6" xfId="34595"/>
    <cellStyle name="Note 3 4 2 5 7" xfId="34596"/>
    <cellStyle name="Note 3 4 2 5 8" xfId="34597"/>
    <cellStyle name="Note 3 4 2 6" xfId="34598"/>
    <cellStyle name="Note 3 4 2 6 2" xfId="34599"/>
    <cellStyle name="Note 3 4 2 6 2 2" xfId="34600"/>
    <cellStyle name="Note 3 4 2 6 2 3" xfId="34601"/>
    <cellStyle name="Note 3 4 2 6 2 4" xfId="34602"/>
    <cellStyle name="Note 3 4 2 6 3" xfId="34603"/>
    <cellStyle name="Note 3 4 2 6 3 2" xfId="34604"/>
    <cellStyle name="Note 3 4 2 6 3 3" xfId="34605"/>
    <cellStyle name="Note 3 4 2 6 3 4" xfId="34606"/>
    <cellStyle name="Note 3 4 2 6 4" xfId="34607"/>
    <cellStyle name="Note 3 4 2 6 4 2" xfId="34608"/>
    <cellStyle name="Note 3 4 2 6 4 3" xfId="34609"/>
    <cellStyle name="Note 3 4 2 6 4 4" xfId="34610"/>
    <cellStyle name="Note 3 4 2 6 5" xfId="34611"/>
    <cellStyle name="Note 3 4 2 6 6" xfId="34612"/>
    <cellStyle name="Note 3 4 2 6 7" xfId="34613"/>
    <cellStyle name="Note 3 4 2 6 8" xfId="34614"/>
    <cellStyle name="Note 3 4 2 7" xfId="34615"/>
    <cellStyle name="Note 3 4 2 7 2" xfId="34616"/>
    <cellStyle name="Note 3 4 2 7 2 2" xfId="34617"/>
    <cellStyle name="Note 3 4 2 7 2 3" xfId="34618"/>
    <cellStyle name="Note 3 4 2 7 2 4" xfId="34619"/>
    <cellStyle name="Note 3 4 2 7 3" xfId="34620"/>
    <cellStyle name="Note 3 4 2 7 3 2" xfId="34621"/>
    <cellStyle name="Note 3 4 2 7 3 3" xfId="34622"/>
    <cellStyle name="Note 3 4 2 7 3 4" xfId="34623"/>
    <cellStyle name="Note 3 4 2 7 4" xfId="34624"/>
    <cellStyle name="Note 3 4 2 7 4 2" xfId="34625"/>
    <cellStyle name="Note 3 4 2 7 4 3" xfId="34626"/>
    <cellStyle name="Note 3 4 2 7 4 4" xfId="34627"/>
    <cellStyle name="Note 3 4 2 7 5" xfId="34628"/>
    <cellStyle name="Note 3 4 2 7 6" xfId="34629"/>
    <cellStyle name="Note 3 4 2 7 7" xfId="34630"/>
    <cellStyle name="Note 3 4 2 7 8" xfId="34631"/>
    <cellStyle name="Note 3 4 2 8" xfId="34632"/>
    <cellStyle name="Note 3 4 2 8 2" xfId="34633"/>
    <cellStyle name="Note 3 4 2 8 2 2" xfId="34634"/>
    <cellStyle name="Note 3 4 2 8 2 3" xfId="34635"/>
    <cellStyle name="Note 3 4 2 8 2 4" xfId="34636"/>
    <cellStyle name="Note 3 4 2 8 3" xfId="34637"/>
    <cellStyle name="Note 3 4 2 8 3 2" xfId="34638"/>
    <cellStyle name="Note 3 4 2 8 3 3" xfId="34639"/>
    <cellStyle name="Note 3 4 2 8 3 4" xfId="34640"/>
    <cellStyle name="Note 3 4 2 8 4" xfId="34641"/>
    <cellStyle name="Note 3 4 2 8 4 2" xfId="34642"/>
    <cellStyle name="Note 3 4 2 8 4 3" xfId="34643"/>
    <cellStyle name="Note 3 4 2 8 4 4" xfId="34644"/>
    <cellStyle name="Note 3 4 2 8 5" xfId="34645"/>
    <cellStyle name="Note 3 4 2 8 6" xfId="34646"/>
    <cellStyle name="Note 3 4 2 8 7" xfId="34647"/>
    <cellStyle name="Note 3 4 2 8 8" xfId="34648"/>
    <cellStyle name="Note 3 4 2 9" xfId="34649"/>
    <cellStyle name="Note 3 4 2 9 2" xfId="34650"/>
    <cellStyle name="Note 3 4 2 9 3" xfId="34651"/>
    <cellStyle name="Note 3 4 2 9 4" xfId="34652"/>
    <cellStyle name="Note 3 4 3" xfId="34653"/>
    <cellStyle name="Note 3 4 3 10" xfId="34654"/>
    <cellStyle name="Note 3 4 3 11" xfId="34655"/>
    <cellStyle name="Note 3 4 3 2" xfId="34656"/>
    <cellStyle name="Note 3 4 3 2 2" xfId="34657"/>
    <cellStyle name="Note 3 4 3 2 2 2" xfId="34658"/>
    <cellStyle name="Note 3 4 3 2 2 2 2" xfId="34659"/>
    <cellStyle name="Note 3 4 3 2 2 2 3" xfId="34660"/>
    <cellStyle name="Note 3 4 3 2 2 2 4" xfId="34661"/>
    <cellStyle name="Note 3 4 3 2 2 3" xfId="34662"/>
    <cellStyle name="Note 3 4 3 2 2 3 2" xfId="34663"/>
    <cellStyle name="Note 3 4 3 2 2 3 3" xfId="34664"/>
    <cellStyle name="Note 3 4 3 2 2 3 4" xfId="34665"/>
    <cellStyle name="Note 3 4 3 2 2 4" xfId="34666"/>
    <cellStyle name="Note 3 4 3 2 2 4 2" xfId="34667"/>
    <cellStyle name="Note 3 4 3 2 2 4 3" xfId="34668"/>
    <cellStyle name="Note 3 4 3 2 2 4 4" xfId="34669"/>
    <cellStyle name="Note 3 4 3 2 2 5" xfId="34670"/>
    <cellStyle name="Note 3 4 3 2 2 6" xfId="34671"/>
    <cellStyle name="Note 3 4 3 2 2 7" xfId="34672"/>
    <cellStyle name="Note 3 4 3 2 2 8" xfId="34673"/>
    <cellStyle name="Note 3 4 3 2 3" xfId="34674"/>
    <cellStyle name="Note 3 4 3 2 3 2" xfId="34675"/>
    <cellStyle name="Note 3 4 3 2 3 2 2" xfId="34676"/>
    <cellStyle name="Note 3 4 3 2 3 2 3" xfId="34677"/>
    <cellStyle name="Note 3 4 3 2 3 2 4" xfId="34678"/>
    <cellStyle name="Note 3 4 3 2 3 3" xfId="34679"/>
    <cellStyle name="Note 3 4 3 2 3 3 2" xfId="34680"/>
    <cellStyle name="Note 3 4 3 2 3 3 3" xfId="34681"/>
    <cellStyle name="Note 3 4 3 2 3 3 4" xfId="34682"/>
    <cellStyle name="Note 3 4 3 2 3 4" xfId="34683"/>
    <cellStyle name="Note 3 4 3 2 3 4 2" xfId="34684"/>
    <cellStyle name="Note 3 4 3 2 3 4 3" xfId="34685"/>
    <cellStyle name="Note 3 4 3 2 3 4 4" xfId="34686"/>
    <cellStyle name="Note 3 4 3 2 3 5" xfId="34687"/>
    <cellStyle name="Note 3 4 3 2 3 6" xfId="34688"/>
    <cellStyle name="Note 3 4 3 2 3 7" xfId="34689"/>
    <cellStyle name="Note 3 4 3 2 3 8" xfId="34690"/>
    <cellStyle name="Note 3 4 3 2 4" xfId="34691"/>
    <cellStyle name="Note 3 4 3 2 4 2" xfId="34692"/>
    <cellStyle name="Note 3 4 3 2 4 2 2" xfId="34693"/>
    <cellStyle name="Note 3 4 3 2 4 2 3" xfId="34694"/>
    <cellStyle name="Note 3 4 3 2 4 2 4" xfId="34695"/>
    <cellStyle name="Note 3 4 3 2 4 3" xfId="34696"/>
    <cellStyle name="Note 3 4 3 2 4 3 2" xfId="34697"/>
    <cellStyle name="Note 3 4 3 2 4 3 3" xfId="34698"/>
    <cellStyle name="Note 3 4 3 2 4 3 4" xfId="34699"/>
    <cellStyle name="Note 3 4 3 2 4 4" xfId="34700"/>
    <cellStyle name="Note 3 4 3 2 4 4 2" xfId="34701"/>
    <cellStyle name="Note 3 4 3 2 4 4 3" xfId="34702"/>
    <cellStyle name="Note 3 4 3 2 4 4 4" xfId="34703"/>
    <cellStyle name="Note 3 4 3 2 4 5" xfId="34704"/>
    <cellStyle name="Note 3 4 3 2 4 6" xfId="34705"/>
    <cellStyle name="Note 3 4 3 2 4 7" xfId="34706"/>
    <cellStyle name="Note 3 4 3 2 4 8" xfId="34707"/>
    <cellStyle name="Note 3 4 3 2 5" xfId="34708"/>
    <cellStyle name="Note 3 4 3 2 5 2" xfId="34709"/>
    <cellStyle name="Note 3 4 3 2 5 2 2" xfId="34710"/>
    <cellStyle name="Note 3 4 3 2 5 2 3" xfId="34711"/>
    <cellStyle name="Note 3 4 3 2 5 2 4" xfId="34712"/>
    <cellStyle name="Note 3 4 3 2 5 3" xfId="34713"/>
    <cellStyle name="Note 3 4 3 2 5 3 2" xfId="34714"/>
    <cellStyle name="Note 3 4 3 2 5 3 3" xfId="34715"/>
    <cellStyle name="Note 3 4 3 2 5 3 4" xfId="34716"/>
    <cellStyle name="Note 3 4 3 2 5 4" xfId="34717"/>
    <cellStyle name="Note 3 4 3 2 5 4 2" xfId="34718"/>
    <cellStyle name="Note 3 4 3 2 5 4 3" xfId="34719"/>
    <cellStyle name="Note 3 4 3 2 5 4 4" xfId="34720"/>
    <cellStyle name="Note 3 4 3 2 5 5" xfId="34721"/>
    <cellStyle name="Note 3 4 3 2 5 6" xfId="34722"/>
    <cellStyle name="Note 3 4 3 2 5 7" xfId="34723"/>
    <cellStyle name="Note 3 4 3 2 5 8" xfId="34724"/>
    <cellStyle name="Note 3 4 3 2 6" xfId="34725"/>
    <cellStyle name="Note 3 4 3 2 6 2" xfId="34726"/>
    <cellStyle name="Note 3 4 3 2 6 3" xfId="34727"/>
    <cellStyle name="Note 3 4 3 2 6 4" xfId="34728"/>
    <cellStyle name="Note 3 4 3 2 7" xfId="34729"/>
    <cellStyle name="Note 3 4 3 2 7 2" xfId="34730"/>
    <cellStyle name="Note 3 4 3 2 7 3" xfId="34731"/>
    <cellStyle name="Note 3 4 3 2 7 4" xfId="34732"/>
    <cellStyle name="Note 3 4 3 2 8" xfId="34733"/>
    <cellStyle name="Note 3 4 3 2 9" xfId="34734"/>
    <cellStyle name="Note 3 4 3 3" xfId="34735"/>
    <cellStyle name="Note 3 4 3 3 2" xfId="34736"/>
    <cellStyle name="Note 3 4 3 3 2 2" xfId="34737"/>
    <cellStyle name="Note 3 4 3 3 2 3" xfId="34738"/>
    <cellStyle name="Note 3 4 3 3 2 4" xfId="34739"/>
    <cellStyle name="Note 3 4 3 3 3" xfId="34740"/>
    <cellStyle name="Note 3 4 3 3 3 2" xfId="34741"/>
    <cellStyle name="Note 3 4 3 3 3 3" xfId="34742"/>
    <cellStyle name="Note 3 4 3 3 3 4" xfId="34743"/>
    <cellStyle name="Note 3 4 3 3 4" xfId="34744"/>
    <cellStyle name="Note 3 4 3 3 4 2" xfId="34745"/>
    <cellStyle name="Note 3 4 3 3 4 3" xfId="34746"/>
    <cellStyle name="Note 3 4 3 3 4 4" xfId="34747"/>
    <cellStyle name="Note 3 4 3 3 5" xfId="34748"/>
    <cellStyle name="Note 3 4 3 3 6" xfId="34749"/>
    <cellStyle name="Note 3 4 3 3 7" xfId="34750"/>
    <cellStyle name="Note 3 4 3 3 8" xfId="34751"/>
    <cellStyle name="Note 3 4 3 4" xfId="34752"/>
    <cellStyle name="Note 3 4 3 4 2" xfId="34753"/>
    <cellStyle name="Note 3 4 3 4 2 2" xfId="34754"/>
    <cellStyle name="Note 3 4 3 4 2 3" xfId="34755"/>
    <cellStyle name="Note 3 4 3 4 2 4" xfId="34756"/>
    <cellStyle name="Note 3 4 3 4 3" xfId="34757"/>
    <cellStyle name="Note 3 4 3 4 3 2" xfId="34758"/>
    <cellStyle name="Note 3 4 3 4 3 3" xfId="34759"/>
    <cellStyle name="Note 3 4 3 4 3 4" xfId="34760"/>
    <cellStyle name="Note 3 4 3 4 4" xfId="34761"/>
    <cellStyle name="Note 3 4 3 4 4 2" xfId="34762"/>
    <cellStyle name="Note 3 4 3 4 4 3" xfId="34763"/>
    <cellStyle name="Note 3 4 3 4 4 4" xfId="34764"/>
    <cellStyle name="Note 3 4 3 4 5" xfId="34765"/>
    <cellStyle name="Note 3 4 3 4 6" xfId="34766"/>
    <cellStyle name="Note 3 4 3 4 7" xfId="34767"/>
    <cellStyle name="Note 3 4 3 4 8" xfId="34768"/>
    <cellStyle name="Note 3 4 3 5" xfId="34769"/>
    <cellStyle name="Note 3 4 3 5 2" xfId="34770"/>
    <cellStyle name="Note 3 4 3 5 2 2" xfId="34771"/>
    <cellStyle name="Note 3 4 3 5 2 3" xfId="34772"/>
    <cellStyle name="Note 3 4 3 5 2 4" xfId="34773"/>
    <cellStyle name="Note 3 4 3 5 3" xfId="34774"/>
    <cellStyle name="Note 3 4 3 5 3 2" xfId="34775"/>
    <cellStyle name="Note 3 4 3 5 3 3" xfId="34776"/>
    <cellStyle name="Note 3 4 3 5 3 4" xfId="34777"/>
    <cellStyle name="Note 3 4 3 5 4" xfId="34778"/>
    <cellStyle name="Note 3 4 3 5 4 2" xfId="34779"/>
    <cellStyle name="Note 3 4 3 5 4 3" xfId="34780"/>
    <cellStyle name="Note 3 4 3 5 4 4" xfId="34781"/>
    <cellStyle name="Note 3 4 3 5 5" xfId="34782"/>
    <cellStyle name="Note 3 4 3 5 6" xfId="34783"/>
    <cellStyle name="Note 3 4 3 5 7" xfId="34784"/>
    <cellStyle name="Note 3 4 3 5 8" xfId="34785"/>
    <cellStyle name="Note 3 4 3 6" xfId="34786"/>
    <cellStyle name="Note 3 4 3 6 2" xfId="34787"/>
    <cellStyle name="Note 3 4 3 6 2 2" xfId="34788"/>
    <cellStyle name="Note 3 4 3 6 2 3" xfId="34789"/>
    <cellStyle name="Note 3 4 3 6 2 4" xfId="34790"/>
    <cellStyle name="Note 3 4 3 6 3" xfId="34791"/>
    <cellStyle name="Note 3 4 3 6 3 2" xfId="34792"/>
    <cellStyle name="Note 3 4 3 6 3 3" xfId="34793"/>
    <cellStyle name="Note 3 4 3 6 3 4" xfId="34794"/>
    <cellStyle name="Note 3 4 3 6 4" xfId="34795"/>
    <cellStyle name="Note 3 4 3 6 4 2" xfId="34796"/>
    <cellStyle name="Note 3 4 3 6 4 3" xfId="34797"/>
    <cellStyle name="Note 3 4 3 6 4 4" xfId="34798"/>
    <cellStyle name="Note 3 4 3 6 5" xfId="34799"/>
    <cellStyle name="Note 3 4 3 6 6" xfId="34800"/>
    <cellStyle name="Note 3 4 3 6 7" xfId="34801"/>
    <cellStyle name="Note 3 4 3 6 8" xfId="34802"/>
    <cellStyle name="Note 3 4 3 7" xfId="34803"/>
    <cellStyle name="Note 3 4 3 7 2" xfId="34804"/>
    <cellStyle name="Note 3 4 3 7 2 2" xfId="34805"/>
    <cellStyle name="Note 3 4 3 7 2 3" xfId="34806"/>
    <cellStyle name="Note 3 4 3 7 2 4" xfId="34807"/>
    <cellStyle name="Note 3 4 3 7 3" xfId="34808"/>
    <cellStyle name="Note 3 4 3 7 3 2" xfId="34809"/>
    <cellStyle name="Note 3 4 3 7 3 3" xfId="34810"/>
    <cellStyle name="Note 3 4 3 7 3 4" xfId="34811"/>
    <cellStyle name="Note 3 4 3 7 4" xfId="34812"/>
    <cellStyle name="Note 3 4 3 7 4 2" xfId="34813"/>
    <cellStyle name="Note 3 4 3 7 4 3" xfId="34814"/>
    <cellStyle name="Note 3 4 3 7 4 4" xfId="34815"/>
    <cellStyle name="Note 3 4 3 7 5" xfId="34816"/>
    <cellStyle name="Note 3 4 3 7 6" xfId="34817"/>
    <cellStyle name="Note 3 4 3 7 7" xfId="34818"/>
    <cellStyle name="Note 3 4 3 7 8" xfId="34819"/>
    <cellStyle name="Note 3 4 3 8" xfId="34820"/>
    <cellStyle name="Note 3 4 3 8 2" xfId="34821"/>
    <cellStyle name="Note 3 4 3 8 3" xfId="34822"/>
    <cellStyle name="Note 3 4 3 8 4" xfId="34823"/>
    <cellStyle name="Note 3 4 3 9" xfId="34824"/>
    <cellStyle name="Note 3 4 3 9 2" xfId="34825"/>
    <cellStyle name="Note 3 4 3 9 3" xfId="34826"/>
    <cellStyle name="Note 3 4 3 9 4" xfId="34827"/>
    <cellStyle name="Note 3 4 4" xfId="34828"/>
    <cellStyle name="Note 3 4 4 2" xfId="34829"/>
    <cellStyle name="Note 3 4 4 2 2" xfId="34830"/>
    <cellStyle name="Note 3 4 4 2 2 2" xfId="34831"/>
    <cellStyle name="Note 3 4 4 2 2 3" xfId="34832"/>
    <cellStyle name="Note 3 4 4 2 2 4" xfId="34833"/>
    <cellStyle name="Note 3 4 4 2 3" xfId="34834"/>
    <cellStyle name="Note 3 4 4 2 3 2" xfId="34835"/>
    <cellStyle name="Note 3 4 4 2 3 3" xfId="34836"/>
    <cellStyle name="Note 3 4 4 2 3 4" xfId="34837"/>
    <cellStyle name="Note 3 4 4 2 4" xfId="34838"/>
    <cellStyle name="Note 3 4 4 2 4 2" xfId="34839"/>
    <cellStyle name="Note 3 4 4 2 4 3" xfId="34840"/>
    <cellStyle name="Note 3 4 4 2 4 4" xfId="34841"/>
    <cellStyle name="Note 3 4 4 2 5" xfId="34842"/>
    <cellStyle name="Note 3 4 4 2 6" xfId="34843"/>
    <cellStyle name="Note 3 4 4 2 7" xfId="34844"/>
    <cellStyle name="Note 3 4 4 2 8" xfId="34845"/>
    <cellStyle name="Note 3 4 4 3" xfId="34846"/>
    <cellStyle name="Note 3 4 4 3 2" xfId="34847"/>
    <cellStyle name="Note 3 4 4 3 2 2" xfId="34848"/>
    <cellStyle name="Note 3 4 4 3 2 3" xfId="34849"/>
    <cellStyle name="Note 3 4 4 3 2 4" xfId="34850"/>
    <cellStyle name="Note 3 4 4 3 3" xfId="34851"/>
    <cellStyle name="Note 3 4 4 3 3 2" xfId="34852"/>
    <cellStyle name="Note 3 4 4 3 3 3" xfId="34853"/>
    <cellStyle name="Note 3 4 4 3 3 4" xfId="34854"/>
    <cellStyle name="Note 3 4 4 3 4" xfId="34855"/>
    <cellStyle name="Note 3 4 4 3 4 2" xfId="34856"/>
    <cellStyle name="Note 3 4 4 3 4 3" xfId="34857"/>
    <cellStyle name="Note 3 4 4 3 4 4" xfId="34858"/>
    <cellStyle name="Note 3 4 4 3 5" xfId="34859"/>
    <cellStyle name="Note 3 4 4 3 6" xfId="34860"/>
    <cellStyle name="Note 3 4 4 3 7" xfId="34861"/>
    <cellStyle name="Note 3 4 4 3 8" xfId="34862"/>
    <cellStyle name="Note 3 4 4 4" xfId="34863"/>
    <cellStyle name="Note 3 4 4 4 2" xfId="34864"/>
    <cellStyle name="Note 3 4 4 4 2 2" xfId="34865"/>
    <cellStyle name="Note 3 4 4 4 2 3" xfId="34866"/>
    <cellStyle name="Note 3 4 4 4 2 4" xfId="34867"/>
    <cellStyle name="Note 3 4 4 4 3" xfId="34868"/>
    <cellStyle name="Note 3 4 4 4 3 2" xfId="34869"/>
    <cellStyle name="Note 3 4 4 4 3 3" xfId="34870"/>
    <cellStyle name="Note 3 4 4 4 3 4" xfId="34871"/>
    <cellStyle name="Note 3 4 4 4 4" xfId="34872"/>
    <cellStyle name="Note 3 4 4 4 4 2" xfId="34873"/>
    <cellStyle name="Note 3 4 4 4 4 3" xfId="34874"/>
    <cellStyle name="Note 3 4 4 4 4 4" xfId="34875"/>
    <cellStyle name="Note 3 4 4 4 5" xfId="34876"/>
    <cellStyle name="Note 3 4 4 4 6" xfId="34877"/>
    <cellStyle name="Note 3 4 4 4 7" xfId="34878"/>
    <cellStyle name="Note 3 4 4 4 8" xfId="34879"/>
    <cellStyle name="Note 3 4 4 5" xfId="34880"/>
    <cellStyle name="Note 3 4 4 5 2" xfId="34881"/>
    <cellStyle name="Note 3 4 4 5 2 2" xfId="34882"/>
    <cellStyle name="Note 3 4 4 5 2 3" xfId="34883"/>
    <cellStyle name="Note 3 4 4 5 2 4" xfId="34884"/>
    <cellStyle name="Note 3 4 4 5 3" xfId="34885"/>
    <cellStyle name="Note 3 4 4 5 3 2" xfId="34886"/>
    <cellStyle name="Note 3 4 4 5 3 3" xfId="34887"/>
    <cellStyle name="Note 3 4 4 5 3 4" xfId="34888"/>
    <cellStyle name="Note 3 4 4 5 4" xfId="34889"/>
    <cellStyle name="Note 3 4 4 5 4 2" xfId="34890"/>
    <cellStyle name="Note 3 4 4 5 4 3" xfId="34891"/>
    <cellStyle name="Note 3 4 4 5 4 4" xfId="34892"/>
    <cellStyle name="Note 3 4 4 5 5" xfId="34893"/>
    <cellStyle name="Note 3 4 4 5 6" xfId="34894"/>
    <cellStyle name="Note 3 4 4 5 7" xfId="34895"/>
    <cellStyle name="Note 3 4 4 5 8" xfId="34896"/>
    <cellStyle name="Note 3 4 4 6" xfId="34897"/>
    <cellStyle name="Note 3 4 4 6 2" xfId="34898"/>
    <cellStyle name="Note 3 4 4 6 3" xfId="34899"/>
    <cellStyle name="Note 3 4 4 6 4" xfId="34900"/>
    <cellStyle name="Note 3 4 4 7" xfId="34901"/>
    <cellStyle name="Note 3 4 4 7 2" xfId="34902"/>
    <cellStyle name="Note 3 4 4 7 3" xfId="34903"/>
    <cellStyle name="Note 3 4 4 7 4" xfId="34904"/>
    <cellStyle name="Note 3 4 4 8" xfId="34905"/>
    <cellStyle name="Note 3 4 4 9" xfId="34906"/>
    <cellStyle name="Note 3 4 5" xfId="34907"/>
    <cellStyle name="Note 3 4 5 2" xfId="34908"/>
    <cellStyle name="Note 3 4 5 2 2" xfId="34909"/>
    <cellStyle name="Note 3 4 5 2 3" xfId="34910"/>
    <cellStyle name="Note 3 4 5 2 4" xfId="34911"/>
    <cellStyle name="Note 3 4 5 3" xfId="34912"/>
    <cellStyle name="Note 3 4 5 3 2" xfId="34913"/>
    <cellStyle name="Note 3 4 5 3 3" xfId="34914"/>
    <cellStyle name="Note 3 4 5 3 4" xfId="34915"/>
    <cellStyle name="Note 3 4 5 4" xfId="34916"/>
    <cellStyle name="Note 3 4 5 4 2" xfId="34917"/>
    <cellStyle name="Note 3 4 5 4 3" xfId="34918"/>
    <cellStyle name="Note 3 4 5 4 4" xfId="34919"/>
    <cellStyle name="Note 3 4 5 5" xfId="34920"/>
    <cellStyle name="Note 3 4 5 6" xfId="34921"/>
    <cellStyle name="Note 3 4 5 7" xfId="34922"/>
    <cellStyle name="Note 3 4 5 8" xfId="34923"/>
    <cellStyle name="Note 3 4 6" xfId="34924"/>
    <cellStyle name="Note 3 4 6 2" xfId="34925"/>
    <cellStyle name="Note 3 4 6 2 2" xfId="34926"/>
    <cellStyle name="Note 3 4 6 2 3" xfId="34927"/>
    <cellStyle name="Note 3 4 6 2 4" xfId="34928"/>
    <cellStyle name="Note 3 4 6 3" xfId="34929"/>
    <cellStyle name="Note 3 4 6 3 2" xfId="34930"/>
    <cellStyle name="Note 3 4 6 3 3" xfId="34931"/>
    <cellStyle name="Note 3 4 6 3 4" xfId="34932"/>
    <cellStyle name="Note 3 4 6 4" xfId="34933"/>
    <cellStyle name="Note 3 4 6 4 2" xfId="34934"/>
    <cellStyle name="Note 3 4 6 4 3" xfId="34935"/>
    <cellStyle name="Note 3 4 6 4 4" xfId="34936"/>
    <cellStyle name="Note 3 4 6 5" xfId="34937"/>
    <cellStyle name="Note 3 4 6 6" xfId="34938"/>
    <cellStyle name="Note 3 4 6 7" xfId="34939"/>
    <cellStyle name="Note 3 4 6 8" xfId="34940"/>
    <cellStyle name="Note 3 4 7" xfId="34941"/>
    <cellStyle name="Note 3 4 7 2" xfId="34942"/>
    <cellStyle name="Note 3 4 7 2 2" xfId="34943"/>
    <cellStyle name="Note 3 4 7 2 3" xfId="34944"/>
    <cellStyle name="Note 3 4 7 2 4" xfId="34945"/>
    <cellStyle name="Note 3 4 7 3" xfId="34946"/>
    <cellStyle name="Note 3 4 7 3 2" xfId="34947"/>
    <cellStyle name="Note 3 4 7 3 3" xfId="34948"/>
    <cellStyle name="Note 3 4 7 3 4" xfId="34949"/>
    <cellStyle name="Note 3 4 7 4" xfId="34950"/>
    <cellStyle name="Note 3 4 7 4 2" xfId="34951"/>
    <cellStyle name="Note 3 4 7 4 3" xfId="34952"/>
    <cellStyle name="Note 3 4 7 4 4" xfId="34953"/>
    <cellStyle name="Note 3 4 7 5" xfId="34954"/>
    <cellStyle name="Note 3 4 7 6" xfId="34955"/>
    <cellStyle name="Note 3 4 7 7" xfId="34956"/>
    <cellStyle name="Note 3 4 7 8" xfId="34957"/>
    <cellStyle name="Note 3 4 8" xfId="34958"/>
    <cellStyle name="Note 3 4 8 2" xfId="34959"/>
    <cellStyle name="Note 3 4 8 2 2" xfId="34960"/>
    <cellStyle name="Note 3 4 8 2 3" xfId="34961"/>
    <cellStyle name="Note 3 4 8 2 4" xfId="34962"/>
    <cellStyle name="Note 3 4 8 3" xfId="34963"/>
    <cellStyle name="Note 3 4 8 3 2" xfId="34964"/>
    <cellStyle name="Note 3 4 8 3 3" xfId="34965"/>
    <cellStyle name="Note 3 4 8 3 4" xfId="34966"/>
    <cellStyle name="Note 3 4 8 4" xfId="34967"/>
    <cellStyle name="Note 3 4 8 4 2" xfId="34968"/>
    <cellStyle name="Note 3 4 8 4 3" xfId="34969"/>
    <cellStyle name="Note 3 4 8 4 4" xfId="34970"/>
    <cellStyle name="Note 3 4 8 5" xfId="34971"/>
    <cellStyle name="Note 3 4 8 6" xfId="34972"/>
    <cellStyle name="Note 3 4 8 7" xfId="34973"/>
    <cellStyle name="Note 3 4 8 8" xfId="34974"/>
    <cellStyle name="Note 3 4 9" xfId="34975"/>
    <cellStyle name="Note 3 4 9 2" xfId="34976"/>
    <cellStyle name="Note 3 4 9 2 2" xfId="34977"/>
    <cellStyle name="Note 3 4 9 2 3" xfId="34978"/>
    <cellStyle name="Note 3 4 9 2 4" xfId="34979"/>
    <cellStyle name="Note 3 4 9 3" xfId="34980"/>
    <cellStyle name="Note 3 4 9 3 2" xfId="34981"/>
    <cellStyle name="Note 3 4 9 3 3" xfId="34982"/>
    <cellStyle name="Note 3 4 9 3 4" xfId="34983"/>
    <cellStyle name="Note 3 4 9 4" xfId="34984"/>
    <cellStyle name="Note 3 4 9 4 2" xfId="34985"/>
    <cellStyle name="Note 3 4 9 4 3" xfId="34986"/>
    <cellStyle name="Note 3 4 9 4 4" xfId="34987"/>
    <cellStyle name="Note 3 4 9 5" xfId="34988"/>
    <cellStyle name="Note 3 4 9 6" xfId="34989"/>
    <cellStyle name="Note 3 4 9 7" xfId="34990"/>
    <cellStyle name="Note 3 4 9 8" xfId="34991"/>
    <cellStyle name="Note 3 5" xfId="34992"/>
    <cellStyle name="Note 3 5 10" xfId="34993"/>
    <cellStyle name="Note 3 5 10 2" xfId="34994"/>
    <cellStyle name="Note 3 5 10 3" xfId="34995"/>
    <cellStyle name="Note 3 5 10 4" xfId="34996"/>
    <cellStyle name="Note 3 5 11" xfId="34997"/>
    <cellStyle name="Note 3 5 11 2" xfId="34998"/>
    <cellStyle name="Note 3 5 11 3" xfId="34999"/>
    <cellStyle name="Note 3 5 11 4" xfId="35000"/>
    <cellStyle name="Note 3 5 12" xfId="35001"/>
    <cellStyle name="Note 3 5 13" xfId="35002"/>
    <cellStyle name="Note 3 5 2" xfId="35003"/>
    <cellStyle name="Note 3 5 2 10" xfId="35004"/>
    <cellStyle name="Note 3 5 2 11" xfId="35005"/>
    <cellStyle name="Note 3 5 2 2" xfId="35006"/>
    <cellStyle name="Note 3 5 2 2 2" xfId="35007"/>
    <cellStyle name="Note 3 5 2 2 2 2" xfId="35008"/>
    <cellStyle name="Note 3 5 2 2 2 2 2" xfId="35009"/>
    <cellStyle name="Note 3 5 2 2 2 2 3" xfId="35010"/>
    <cellStyle name="Note 3 5 2 2 2 2 4" xfId="35011"/>
    <cellStyle name="Note 3 5 2 2 2 3" xfId="35012"/>
    <cellStyle name="Note 3 5 2 2 2 3 2" xfId="35013"/>
    <cellStyle name="Note 3 5 2 2 2 3 3" xfId="35014"/>
    <cellStyle name="Note 3 5 2 2 2 3 4" xfId="35015"/>
    <cellStyle name="Note 3 5 2 2 2 4" xfId="35016"/>
    <cellStyle name="Note 3 5 2 2 2 4 2" xfId="35017"/>
    <cellStyle name="Note 3 5 2 2 2 4 3" xfId="35018"/>
    <cellStyle name="Note 3 5 2 2 2 4 4" xfId="35019"/>
    <cellStyle name="Note 3 5 2 2 2 5" xfId="35020"/>
    <cellStyle name="Note 3 5 2 2 2 6" xfId="35021"/>
    <cellStyle name="Note 3 5 2 2 2 7" xfId="35022"/>
    <cellStyle name="Note 3 5 2 2 2 8" xfId="35023"/>
    <cellStyle name="Note 3 5 2 2 3" xfId="35024"/>
    <cellStyle name="Note 3 5 2 2 3 2" xfId="35025"/>
    <cellStyle name="Note 3 5 2 2 3 2 2" xfId="35026"/>
    <cellStyle name="Note 3 5 2 2 3 2 3" xfId="35027"/>
    <cellStyle name="Note 3 5 2 2 3 2 4" xfId="35028"/>
    <cellStyle name="Note 3 5 2 2 3 3" xfId="35029"/>
    <cellStyle name="Note 3 5 2 2 3 3 2" xfId="35030"/>
    <cellStyle name="Note 3 5 2 2 3 3 3" xfId="35031"/>
    <cellStyle name="Note 3 5 2 2 3 3 4" xfId="35032"/>
    <cellStyle name="Note 3 5 2 2 3 4" xfId="35033"/>
    <cellStyle name="Note 3 5 2 2 3 4 2" xfId="35034"/>
    <cellStyle name="Note 3 5 2 2 3 4 3" xfId="35035"/>
    <cellStyle name="Note 3 5 2 2 3 4 4" xfId="35036"/>
    <cellStyle name="Note 3 5 2 2 3 5" xfId="35037"/>
    <cellStyle name="Note 3 5 2 2 3 6" xfId="35038"/>
    <cellStyle name="Note 3 5 2 2 3 7" xfId="35039"/>
    <cellStyle name="Note 3 5 2 2 3 8" xfId="35040"/>
    <cellStyle name="Note 3 5 2 2 4" xfId="35041"/>
    <cellStyle name="Note 3 5 2 2 4 2" xfId="35042"/>
    <cellStyle name="Note 3 5 2 2 4 2 2" xfId="35043"/>
    <cellStyle name="Note 3 5 2 2 4 2 3" xfId="35044"/>
    <cellStyle name="Note 3 5 2 2 4 2 4" xfId="35045"/>
    <cellStyle name="Note 3 5 2 2 4 3" xfId="35046"/>
    <cellStyle name="Note 3 5 2 2 4 3 2" xfId="35047"/>
    <cellStyle name="Note 3 5 2 2 4 3 3" xfId="35048"/>
    <cellStyle name="Note 3 5 2 2 4 3 4" xfId="35049"/>
    <cellStyle name="Note 3 5 2 2 4 4" xfId="35050"/>
    <cellStyle name="Note 3 5 2 2 4 4 2" xfId="35051"/>
    <cellStyle name="Note 3 5 2 2 4 4 3" xfId="35052"/>
    <cellStyle name="Note 3 5 2 2 4 4 4" xfId="35053"/>
    <cellStyle name="Note 3 5 2 2 4 5" xfId="35054"/>
    <cellStyle name="Note 3 5 2 2 4 6" xfId="35055"/>
    <cellStyle name="Note 3 5 2 2 4 7" xfId="35056"/>
    <cellStyle name="Note 3 5 2 2 4 8" xfId="35057"/>
    <cellStyle name="Note 3 5 2 2 5" xfId="35058"/>
    <cellStyle name="Note 3 5 2 2 5 2" xfId="35059"/>
    <cellStyle name="Note 3 5 2 2 5 2 2" xfId="35060"/>
    <cellStyle name="Note 3 5 2 2 5 2 3" xfId="35061"/>
    <cellStyle name="Note 3 5 2 2 5 2 4" xfId="35062"/>
    <cellStyle name="Note 3 5 2 2 5 3" xfId="35063"/>
    <cellStyle name="Note 3 5 2 2 5 3 2" xfId="35064"/>
    <cellStyle name="Note 3 5 2 2 5 3 3" xfId="35065"/>
    <cellStyle name="Note 3 5 2 2 5 3 4" xfId="35066"/>
    <cellStyle name="Note 3 5 2 2 5 4" xfId="35067"/>
    <cellStyle name="Note 3 5 2 2 5 4 2" xfId="35068"/>
    <cellStyle name="Note 3 5 2 2 5 4 3" xfId="35069"/>
    <cellStyle name="Note 3 5 2 2 5 4 4" xfId="35070"/>
    <cellStyle name="Note 3 5 2 2 5 5" xfId="35071"/>
    <cellStyle name="Note 3 5 2 2 5 6" xfId="35072"/>
    <cellStyle name="Note 3 5 2 2 5 7" xfId="35073"/>
    <cellStyle name="Note 3 5 2 2 5 8" xfId="35074"/>
    <cellStyle name="Note 3 5 2 2 6" xfId="35075"/>
    <cellStyle name="Note 3 5 2 2 6 2" xfId="35076"/>
    <cellStyle name="Note 3 5 2 2 6 3" xfId="35077"/>
    <cellStyle name="Note 3 5 2 2 6 4" xfId="35078"/>
    <cellStyle name="Note 3 5 2 2 7" xfId="35079"/>
    <cellStyle name="Note 3 5 2 2 7 2" xfId="35080"/>
    <cellStyle name="Note 3 5 2 2 7 3" xfId="35081"/>
    <cellStyle name="Note 3 5 2 2 7 4" xfId="35082"/>
    <cellStyle name="Note 3 5 2 2 8" xfId="35083"/>
    <cellStyle name="Note 3 5 2 2 9" xfId="35084"/>
    <cellStyle name="Note 3 5 2 3" xfId="35085"/>
    <cellStyle name="Note 3 5 2 3 2" xfId="35086"/>
    <cellStyle name="Note 3 5 2 3 2 2" xfId="35087"/>
    <cellStyle name="Note 3 5 2 3 2 3" xfId="35088"/>
    <cellStyle name="Note 3 5 2 3 2 4" xfId="35089"/>
    <cellStyle name="Note 3 5 2 3 3" xfId="35090"/>
    <cellStyle name="Note 3 5 2 3 3 2" xfId="35091"/>
    <cellStyle name="Note 3 5 2 3 3 3" xfId="35092"/>
    <cellStyle name="Note 3 5 2 3 3 4" xfId="35093"/>
    <cellStyle name="Note 3 5 2 3 4" xfId="35094"/>
    <cellStyle name="Note 3 5 2 3 4 2" xfId="35095"/>
    <cellStyle name="Note 3 5 2 3 4 3" xfId="35096"/>
    <cellStyle name="Note 3 5 2 3 4 4" xfId="35097"/>
    <cellStyle name="Note 3 5 2 3 5" xfId="35098"/>
    <cellStyle name="Note 3 5 2 3 6" xfId="35099"/>
    <cellStyle name="Note 3 5 2 3 7" xfId="35100"/>
    <cellStyle name="Note 3 5 2 3 8" xfId="35101"/>
    <cellStyle name="Note 3 5 2 4" xfId="35102"/>
    <cellStyle name="Note 3 5 2 4 2" xfId="35103"/>
    <cellStyle name="Note 3 5 2 4 2 2" xfId="35104"/>
    <cellStyle name="Note 3 5 2 4 2 3" xfId="35105"/>
    <cellStyle name="Note 3 5 2 4 2 4" xfId="35106"/>
    <cellStyle name="Note 3 5 2 4 3" xfId="35107"/>
    <cellStyle name="Note 3 5 2 4 3 2" xfId="35108"/>
    <cellStyle name="Note 3 5 2 4 3 3" xfId="35109"/>
    <cellStyle name="Note 3 5 2 4 3 4" xfId="35110"/>
    <cellStyle name="Note 3 5 2 4 4" xfId="35111"/>
    <cellStyle name="Note 3 5 2 4 4 2" xfId="35112"/>
    <cellStyle name="Note 3 5 2 4 4 3" xfId="35113"/>
    <cellStyle name="Note 3 5 2 4 4 4" xfId="35114"/>
    <cellStyle name="Note 3 5 2 4 5" xfId="35115"/>
    <cellStyle name="Note 3 5 2 4 6" xfId="35116"/>
    <cellStyle name="Note 3 5 2 4 7" xfId="35117"/>
    <cellStyle name="Note 3 5 2 4 8" xfId="35118"/>
    <cellStyle name="Note 3 5 2 5" xfId="35119"/>
    <cellStyle name="Note 3 5 2 5 2" xfId="35120"/>
    <cellStyle name="Note 3 5 2 5 2 2" xfId="35121"/>
    <cellStyle name="Note 3 5 2 5 2 3" xfId="35122"/>
    <cellStyle name="Note 3 5 2 5 2 4" xfId="35123"/>
    <cellStyle name="Note 3 5 2 5 3" xfId="35124"/>
    <cellStyle name="Note 3 5 2 5 3 2" xfId="35125"/>
    <cellStyle name="Note 3 5 2 5 3 3" xfId="35126"/>
    <cellStyle name="Note 3 5 2 5 3 4" xfId="35127"/>
    <cellStyle name="Note 3 5 2 5 4" xfId="35128"/>
    <cellStyle name="Note 3 5 2 5 4 2" xfId="35129"/>
    <cellStyle name="Note 3 5 2 5 4 3" xfId="35130"/>
    <cellStyle name="Note 3 5 2 5 4 4" xfId="35131"/>
    <cellStyle name="Note 3 5 2 5 5" xfId="35132"/>
    <cellStyle name="Note 3 5 2 5 6" xfId="35133"/>
    <cellStyle name="Note 3 5 2 5 7" xfId="35134"/>
    <cellStyle name="Note 3 5 2 5 8" xfId="35135"/>
    <cellStyle name="Note 3 5 2 6" xfId="35136"/>
    <cellStyle name="Note 3 5 2 6 2" xfId="35137"/>
    <cellStyle name="Note 3 5 2 6 2 2" xfId="35138"/>
    <cellStyle name="Note 3 5 2 6 2 3" xfId="35139"/>
    <cellStyle name="Note 3 5 2 6 2 4" xfId="35140"/>
    <cellStyle name="Note 3 5 2 6 3" xfId="35141"/>
    <cellStyle name="Note 3 5 2 6 3 2" xfId="35142"/>
    <cellStyle name="Note 3 5 2 6 3 3" xfId="35143"/>
    <cellStyle name="Note 3 5 2 6 3 4" xfId="35144"/>
    <cellStyle name="Note 3 5 2 6 4" xfId="35145"/>
    <cellStyle name="Note 3 5 2 6 4 2" xfId="35146"/>
    <cellStyle name="Note 3 5 2 6 4 3" xfId="35147"/>
    <cellStyle name="Note 3 5 2 6 4 4" xfId="35148"/>
    <cellStyle name="Note 3 5 2 6 5" xfId="35149"/>
    <cellStyle name="Note 3 5 2 6 6" xfId="35150"/>
    <cellStyle name="Note 3 5 2 6 7" xfId="35151"/>
    <cellStyle name="Note 3 5 2 6 8" xfId="35152"/>
    <cellStyle name="Note 3 5 2 7" xfId="35153"/>
    <cellStyle name="Note 3 5 2 7 2" xfId="35154"/>
    <cellStyle name="Note 3 5 2 7 2 2" xfId="35155"/>
    <cellStyle name="Note 3 5 2 7 2 3" xfId="35156"/>
    <cellStyle name="Note 3 5 2 7 2 4" xfId="35157"/>
    <cellStyle name="Note 3 5 2 7 3" xfId="35158"/>
    <cellStyle name="Note 3 5 2 7 3 2" xfId="35159"/>
    <cellStyle name="Note 3 5 2 7 3 3" xfId="35160"/>
    <cellStyle name="Note 3 5 2 7 3 4" xfId="35161"/>
    <cellStyle name="Note 3 5 2 7 4" xfId="35162"/>
    <cellStyle name="Note 3 5 2 7 4 2" xfId="35163"/>
    <cellStyle name="Note 3 5 2 7 4 3" xfId="35164"/>
    <cellStyle name="Note 3 5 2 7 4 4" xfId="35165"/>
    <cellStyle name="Note 3 5 2 7 5" xfId="35166"/>
    <cellStyle name="Note 3 5 2 7 6" xfId="35167"/>
    <cellStyle name="Note 3 5 2 7 7" xfId="35168"/>
    <cellStyle name="Note 3 5 2 7 8" xfId="35169"/>
    <cellStyle name="Note 3 5 2 8" xfId="35170"/>
    <cellStyle name="Note 3 5 2 8 2" xfId="35171"/>
    <cellStyle name="Note 3 5 2 8 3" xfId="35172"/>
    <cellStyle name="Note 3 5 2 8 4" xfId="35173"/>
    <cellStyle name="Note 3 5 2 9" xfId="35174"/>
    <cellStyle name="Note 3 5 2 9 2" xfId="35175"/>
    <cellStyle name="Note 3 5 2 9 3" xfId="35176"/>
    <cellStyle name="Note 3 5 2 9 4" xfId="35177"/>
    <cellStyle name="Note 3 5 3" xfId="35178"/>
    <cellStyle name="Note 3 5 3 10" xfId="35179"/>
    <cellStyle name="Note 3 5 3 11" xfId="35180"/>
    <cellStyle name="Note 3 5 3 2" xfId="35181"/>
    <cellStyle name="Note 3 5 3 2 2" xfId="35182"/>
    <cellStyle name="Note 3 5 3 2 2 2" xfId="35183"/>
    <cellStyle name="Note 3 5 3 2 2 2 2" xfId="35184"/>
    <cellStyle name="Note 3 5 3 2 2 2 3" xfId="35185"/>
    <cellStyle name="Note 3 5 3 2 2 2 4" xfId="35186"/>
    <cellStyle name="Note 3 5 3 2 2 3" xfId="35187"/>
    <cellStyle name="Note 3 5 3 2 2 3 2" xfId="35188"/>
    <cellStyle name="Note 3 5 3 2 2 3 3" xfId="35189"/>
    <cellStyle name="Note 3 5 3 2 2 3 4" xfId="35190"/>
    <cellStyle name="Note 3 5 3 2 2 4" xfId="35191"/>
    <cellStyle name="Note 3 5 3 2 2 4 2" xfId="35192"/>
    <cellStyle name="Note 3 5 3 2 2 4 3" xfId="35193"/>
    <cellStyle name="Note 3 5 3 2 2 4 4" xfId="35194"/>
    <cellStyle name="Note 3 5 3 2 2 5" xfId="35195"/>
    <cellStyle name="Note 3 5 3 2 2 6" xfId="35196"/>
    <cellStyle name="Note 3 5 3 2 2 7" xfId="35197"/>
    <cellStyle name="Note 3 5 3 2 2 8" xfId="35198"/>
    <cellStyle name="Note 3 5 3 2 3" xfId="35199"/>
    <cellStyle name="Note 3 5 3 2 3 2" xfId="35200"/>
    <cellStyle name="Note 3 5 3 2 3 2 2" xfId="35201"/>
    <cellStyle name="Note 3 5 3 2 3 2 3" xfId="35202"/>
    <cellStyle name="Note 3 5 3 2 3 2 4" xfId="35203"/>
    <cellStyle name="Note 3 5 3 2 3 3" xfId="35204"/>
    <cellStyle name="Note 3 5 3 2 3 3 2" xfId="35205"/>
    <cellStyle name="Note 3 5 3 2 3 3 3" xfId="35206"/>
    <cellStyle name="Note 3 5 3 2 3 3 4" xfId="35207"/>
    <cellStyle name="Note 3 5 3 2 3 4" xfId="35208"/>
    <cellStyle name="Note 3 5 3 2 3 4 2" xfId="35209"/>
    <cellStyle name="Note 3 5 3 2 3 4 3" xfId="35210"/>
    <cellStyle name="Note 3 5 3 2 3 4 4" xfId="35211"/>
    <cellStyle name="Note 3 5 3 2 3 5" xfId="35212"/>
    <cellStyle name="Note 3 5 3 2 3 6" xfId="35213"/>
    <cellStyle name="Note 3 5 3 2 3 7" xfId="35214"/>
    <cellStyle name="Note 3 5 3 2 3 8" xfId="35215"/>
    <cellStyle name="Note 3 5 3 2 4" xfId="35216"/>
    <cellStyle name="Note 3 5 3 2 4 2" xfId="35217"/>
    <cellStyle name="Note 3 5 3 2 4 2 2" xfId="35218"/>
    <cellStyle name="Note 3 5 3 2 4 2 3" xfId="35219"/>
    <cellStyle name="Note 3 5 3 2 4 2 4" xfId="35220"/>
    <cellStyle name="Note 3 5 3 2 4 3" xfId="35221"/>
    <cellStyle name="Note 3 5 3 2 4 3 2" xfId="35222"/>
    <cellStyle name="Note 3 5 3 2 4 3 3" xfId="35223"/>
    <cellStyle name="Note 3 5 3 2 4 3 4" xfId="35224"/>
    <cellStyle name="Note 3 5 3 2 4 4" xfId="35225"/>
    <cellStyle name="Note 3 5 3 2 4 4 2" xfId="35226"/>
    <cellStyle name="Note 3 5 3 2 4 4 3" xfId="35227"/>
    <cellStyle name="Note 3 5 3 2 4 4 4" xfId="35228"/>
    <cellStyle name="Note 3 5 3 2 4 5" xfId="35229"/>
    <cellStyle name="Note 3 5 3 2 4 6" xfId="35230"/>
    <cellStyle name="Note 3 5 3 2 4 7" xfId="35231"/>
    <cellStyle name="Note 3 5 3 2 4 8" xfId="35232"/>
    <cellStyle name="Note 3 5 3 2 5" xfId="35233"/>
    <cellStyle name="Note 3 5 3 2 5 2" xfId="35234"/>
    <cellStyle name="Note 3 5 3 2 5 2 2" xfId="35235"/>
    <cellStyle name="Note 3 5 3 2 5 2 3" xfId="35236"/>
    <cellStyle name="Note 3 5 3 2 5 2 4" xfId="35237"/>
    <cellStyle name="Note 3 5 3 2 5 3" xfId="35238"/>
    <cellStyle name="Note 3 5 3 2 5 3 2" xfId="35239"/>
    <cellStyle name="Note 3 5 3 2 5 3 3" xfId="35240"/>
    <cellStyle name="Note 3 5 3 2 5 3 4" xfId="35241"/>
    <cellStyle name="Note 3 5 3 2 5 4" xfId="35242"/>
    <cellStyle name="Note 3 5 3 2 5 4 2" xfId="35243"/>
    <cellStyle name="Note 3 5 3 2 5 4 3" xfId="35244"/>
    <cellStyle name="Note 3 5 3 2 5 4 4" xfId="35245"/>
    <cellStyle name="Note 3 5 3 2 5 5" xfId="35246"/>
    <cellStyle name="Note 3 5 3 2 5 6" xfId="35247"/>
    <cellStyle name="Note 3 5 3 2 5 7" xfId="35248"/>
    <cellStyle name="Note 3 5 3 2 5 8" xfId="35249"/>
    <cellStyle name="Note 3 5 3 2 6" xfId="35250"/>
    <cellStyle name="Note 3 5 3 2 6 2" xfId="35251"/>
    <cellStyle name="Note 3 5 3 2 6 3" xfId="35252"/>
    <cellStyle name="Note 3 5 3 2 6 4" xfId="35253"/>
    <cellStyle name="Note 3 5 3 2 7" xfId="35254"/>
    <cellStyle name="Note 3 5 3 2 7 2" xfId="35255"/>
    <cellStyle name="Note 3 5 3 2 7 3" xfId="35256"/>
    <cellStyle name="Note 3 5 3 2 7 4" xfId="35257"/>
    <cellStyle name="Note 3 5 3 2 8" xfId="35258"/>
    <cellStyle name="Note 3 5 3 2 9" xfId="35259"/>
    <cellStyle name="Note 3 5 3 3" xfId="35260"/>
    <cellStyle name="Note 3 5 3 3 2" xfId="35261"/>
    <cellStyle name="Note 3 5 3 3 2 2" xfId="35262"/>
    <cellStyle name="Note 3 5 3 3 2 3" xfId="35263"/>
    <cellStyle name="Note 3 5 3 3 2 4" xfId="35264"/>
    <cellStyle name="Note 3 5 3 3 3" xfId="35265"/>
    <cellStyle name="Note 3 5 3 3 3 2" xfId="35266"/>
    <cellStyle name="Note 3 5 3 3 3 3" xfId="35267"/>
    <cellStyle name="Note 3 5 3 3 3 4" xfId="35268"/>
    <cellStyle name="Note 3 5 3 3 4" xfId="35269"/>
    <cellStyle name="Note 3 5 3 3 4 2" xfId="35270"/>
    <cellStyle name="Note 3 5 3 3 4 3" xfId="35271"/>
    <cellStyle name="Note 3 5 3 3 4 4" xfId="35272"/>
    <cellStyle name="Note 3 5 3 3 5" xfId="35273"/>
    <cellStyle name="Note 3 5 3 3 6" xfId="35274"/>
    <cellStyle name="Note 3 5 3 3 7" xfId="35275"/>
    <cellStyle name="Note 3 5 3 3 8" xfId="35276"/>
    <cellStyle name="Note 3 5 3 4" xfId="35277"/>
    <cellStyle name="Note 3 5 3 4 2" xfId="35278"/>
    <cellStyle name="Note 3 5 3 4 2 2" xfId="35279"/>
    <cellStyle name="Note 3 5 3 4 2 3" xfId="35280"/>
    <cellStyle name="Note 3 5 3 4 2 4" xfId="35281"/>
    <cellStyle name="Note 3 5 3 4 3" xfId="35282"/>
    <cellStyle name="Note 3 5 3 4 3 2" xfId="35283"/>
    <cellStyle name="Note 3 5 3 4 3 3" xfId="35284"/>
    <cellStyle name="Note 3 5 3 4 3 4" xfId="35285"/>
    <cellStyle name="Note 3 5 3 4 4" xfId="35286"/>
    <cellStyle name="Note 3 5 3 4 4 2" xfId="35287"/>
    <cellStyle name="Note 3 5 3 4 4 3" xfId="35288"/>
    <cellStyle name="Note 3 5 3 4 4 4" xfId="35289"/>
    <cellStyle name="Note 3 5 3 4 5" xfId="35290"/>
    <cellStyle name="Note 3 5 3 4 6" xfId="35291"/>
    <cellStyle name="Note 3 5 3 4 7" xfId="35292"/>
    <cellStyle name="Note 3 5 3 4 8" xfId="35293"/>
    <cellStyle name="Note 3 5 3 5" xfId="35294"/>
    <cellStyle name="Note 3 5 3 5 2" xfId="35295"/>
    <cellStyle name="Note 3 5 3 5 2 2" xfId="35296"/>
    <cellStyle name="Note 3 5 3 5 2 3" xfId="35297"/>
    <cellStyle name="Note 3 5 3 5 2 4" xfId="35298"/>
    <cellStyle name="Note 3 5 3 5 3" xfId="35299"/>
    <cellStyle name="Note 3 5 3 5 3 2" xfId="35300"/>
    <cellStyle name="Note 3 5 3 5 3 3" xfId="35301"/>
    <cellStyle name="Note 3 5 3 5 3 4" xfId="35302"/>
    <cellStyle name="Note 3 5 3 5 4" xfId="35303"/>
    <cellStyle name="Note 3 5 3 5 4 2" xfId="35304"/>
    <cellStyle name="Note 3 5 3 5 4 3" xfId="35305"/>
    <cellStyle name="Note 3 5 3 5 4 4" xfId="35306"/>
    <cellStyle name="Note 3 5 3 5 5" xfId="35307"/>
    <cellStyle name="Note 3 5 3 5 6" xfId="35308"/>
    <cellStyle name="Note 3 5 3 5 7" xfId="35309"/>
    <cellStyle name="Note 3 5 3 5 8" xfId="35310"/>
    <cellStyle name="Note 3 5 3 6" xfId="35311"/>
    <cellStyle name="Note 3 5 3 6 2" xfId="35312"/>
    <cellStyle name="Note 3 5 3 6 2 2" xfId="35313"/>
    <cellStyle name="Note 3 5 3 6 2 3" xfId="35314"/>
    <cellStyle name="Note 3 5 3 6 2 4" xfId="35315"/>
    <cellStyle name="Note 3 5 3 6 3" xfId="35316"/>
    <cellStyle name="Note 3 5 3 6 3 2" xfId="35317"/>
    <cellStyle name="Note 3 5 3 6 3 3" xfId="35318"/>
    <cellStyle name="Note 3 5 3 6 3 4" xfId="35319"/>
    <cellStyle name="Note 3 5 3 6 4" xfId="35320"/>
    <cellStyle name="Note 3 5 3 6 4 2" xfId="35321"/>
    <cellStyle name="Note 3 5 3 6 4 3" xfId="35322"/>
    <cellStyle name="Note 3 5 3 6 4 4" xfId="35323"/>
    <cellStyle name="Note 3 5 3 6 5" xfId="35324"/>
    <cellStyle name="Note 3 5 3 6 6" xfId="35325"/>
    <cellStyle name="Note 3 5 3 6 7" xfId="35326"/>
    <cellStyle name="Note 3 5 3 6 8" xfId="35327"/>
    <cellStyle name="Note 3 5 3 7" xfId="35328"/>
    <cellStyle name="Note 3 5 3 7 2" xfId="35329"/>
    <cellStyle name="Note 3 5 3 7 2 2" xfId="35330"/>
    <cellStyle name="Note 3 5 3 7 2 3" xfId="35331"/>
    <cellStyle name="Note 3 5 3 7 2 4" xfId="35332"/>
    <cellStyle name="Note 3 5 3 7 3" xfId="35333"/>
    <cellStyle name="Note 3 5 3 7 3 2" xfId="35334"/>
    <cellStyle name="Note 3 5 3 7 3 3" xfId="35335"/>
    <cellStyle name="Note 3 5 3 7 3 4" xfId="35336"/>
    <cellStyle name="Note 3 5 3 7 4" xfId="35337"/>
    <cellStyle name="Note 3 5 3 7 4 2" xfId="35338"/>
    <cellStyle name="Note 3 5 3 7 4 3" xfId="35339"/>
    <cellStyle name="Note 3 5 3 7 4 4" xfId="35340"/>
    <cellStyle name="Note 3 5 3 7 5" xfId="35341"/>
    <cellStyle name="Note 3 5 3 7 6" xfId="35342"/>
    <cellStyle name="Note 3 5 3 7 7" xfId="35343"/>
    <cellStyle name="Note 3 5 3 7 8" xfId="35344"/>
    <cellStyle name="Note 3 5 3 8" xfId="35345"/>
    <cellStyle name="Note 3 5 3 8 2" xfId="35346"/>
    <cellStyle name="Note 3 5 3 8 3" xfId="35347"/>
    <cellStyle name="Note 3 5 3 8 4" xfId="35348"/>
    <cellStyle name="Note 3 5 3 9" xfId="35349"/>
    <cellStyle name="Note 3 5 3 9 2" xfId="35350"/>
    <cellStyle name="Note 3 5 3 9 3" xfId="35351"/>
    <cellStyle name="Note 3 5 3 9 4" xfId="35352"/>
    <cellStyle name="Note 3 5 4" xfId="35353"/>
    <cellStyle name="Note 3 5 4 2" xfId="35354"/>
    <cellStyle name="Note 3 5 4 2 2" xfId="35355"/>
    <cellStyle name="Note 3 5 4 2 2 2" xfId="35356"/>
    <cellStyle name="Note 3 5 4 2 2 3" xfId="35357"/>
    <cellStyle name="Note 3 5 4 2 2 4" xfId="35358"/>
    <cellStyle name="Note 3 5 4 2 3" xfId="35359"/>
    <cellStyle name="Note 3 5 4 2 3 2" xfId="35360"/>
    <cellStyle name="Note 3 5 4 2 3 3" xfId="35361"/>
    <cellStyle name="Note 3 5 4 2 3 4" xfId="35362"/>
    <cellStyle name="Note 3 5 4 2 4" xfId="35363"/>
    <cellStyle name="Note 3 5 4 2 4 2" xfId="35364"/>
    <cellStyle name="Note 3 5 4 2 4 3" xfId="35365"/>
    <cellStyle name="Note 3 5 4 2 4 4" xfId="35366"/>
    <cellStyle name="Note 3 5 4 2 5" xfId="35367"/>
    <cellStyle name="Note 3 5 4 2 6" xfId="35368"/>
    <cellStyle name="Note 3 5 4 2 7" xfId="35369"/>
    <cellStyle name="Note 3 5 4 2 8" xfId="35370"/>
    <cellStyle name="Note 3 5 4 3" xfId="35371"/>
    <cellStyle name="Note 3 5 4 3 2" xfId="35372"/>
    <cellStyle name="Note 3 5 4 3 2 2" xfId="35373"/>
    <cellStyle name="Note 3 5 4 3 2 3" xfId="35374"/>
    <cellStyle name="Note 3 5 4 3 2 4" xfId="35375"/>
    <cellStyle name="Note 3 5 4 3 3" xfId="35376"/>
    <cellStyle name="Note 3 5 4 3 3 2" xfId="35377"/>
    <cellStyle name="Note 3 5 4 3 3 3" xfId="35378"/>
    <cellStyle name="Note 3 5 4 3 3 4" xfId="35379"/>
    <cellStyle name="Note 3 5 4 3 4" xfId="35380"/>
    <cellStyle name="Note 3 5 4 3 4 2" xfId="35381"/>
    <cellStyle name="Note 3 5 4 3 4 3" xfId="35382"/>
    <cellStyle name="Note 3 5 4 3 4 4" xfId="35383"/>
    <cellStyle name="Note 3 5 4 3 5" xfId="35384"/>
    <cellStyle name="Note 3 5 4 3 6" xfId="35385"/>
    <cellStyle name="Note 3 5 4 3 7" xfId="35386"/>
    <cellStyle name="Note 3 5 4 3 8" xfId="35387"/>
    <cellStyle name="Note 3 5 4 4" xfId="35388"/>
    <cellStyle name="Note 3 5 4 4 2" xfId="35389"/>
    <cellStyle name="Note 3 5 4 4 2 2" xfId="35390"/>
    <cellStyle name="Note 3 5 4 4 2 3" xfId="35391"/>
    <cellStyle name="Note 3 5 4 4 2 4" xfId="35392"/>
    <cellStyle name="Note 3 5 4 4 3" xfId="35393"/>
    <cellStyle name="Note 3 5 4 4 3 2" xfId="35394"/>
    <cellStyle name="Note 3 5 4 4 3 3" xfId="35395"/>
    <cellStyle name="Note 3 5 4 4 3 4" xfId="35396"/>
    <cellStyle name="Note 3 5 4 4 4" xfId="35397"/>
    <cellStyle name="Note 3 5 4 4 4 2" xfId="35398"/>
    <cellStyle name="Note 3 5 4 4 4 3" xfId="35399"/>
    <cellStyle name="Note 3 5 4 4 4 4" xfId="35400"/>
    <cellStyle name="Note 3 5 4 4 5" xfId="35401"/>
    <cellStyle name="Note 3 5 4 4 6" xfId="35402"/>
    <cellStyle name="Note 3 5 4 4 7" xfId="35403"/>
    <cellStyle name="Note 3 5 4 4 8" xfId="35404"/>
    <cellStyle name="Note 3 5 4 5" xfId="35405"/>
    <cellStyle name="Note 3 5 4 5 2" xfId="35406"/>
    <cellStyle name="Note 3 5 4 5 2 2" xfId="35407"/>
    <cellStyle name="Note 3 5 4 5 2 3" xfId="35408"/>
    <cellStyle name="Note 3 5 4 5 2 4" xfId="35409"/>
    <cellStyle name="Note 3 5 4 5 3" xfId="35410"/>
    <cellStyle name="Note 3 5 4 5 3 2" xfId="35411"/>
    <cellStyle name="Note 3 5 4 5 3 3" xfId="35412"/>
    <cellStyle name="Note 3 5 4 5 3 4" xfId="35413"/>
    <cellStyle name="Note 3 5 4 5 4" xfId="35414"/>
    <cellStyle name="Note 3 5 4 5 4 2" xfId="35415"/>
    <cellStyle name="Note 3 5 4 5 4 3" xfId="35416"/>
    <cellStyle name="Note 3 5 4 5 4 4" xfId="35417"/>
    <cellStyle name="Note 3 5 4 5 5" xfId="35418"/>
    <cellStyle name="Note 3 5 4 5 6" xfId="35419"/>
    <cellStyle name="Note 3 5 4 5 7" xfId="35420"/>
    <cellStyle name="Note 3 5 4 5 8" xfId="35421"/>
    <cellStyle name="Note 3 5 4 6" xfId="35422"/>
    <cellStyle name="Note 3 5 4 6 2" xfId="35423"/>
    <cellStyle name="Note 3 5 4 6 3" xfId="35424"/>
    <cellStyle name="Note 3 5 4 6 4" xfId="35425"/>
    <cellStyle name="Note 3 5 4 7" xfId="35426"/>
    <cellStyle name="Note 3 5 4 7 2" xfId="35427"/>
    <cellStyle name="Note 3 5 4 7 3" xfId="35428"/>
    <cellStyle name="Note 3 5 4 7 4" xfId="35429"/>
    <cellStyle name="Note 3 5 4 8" xfId="35430"/>
    <cellStyle name="Note 3 5 4 9" xfId="35431"/>
    <cellStyle name="Note 3 5 5" xfId="35432"/>
    <cellStyle name="Note 3 5 5 2" xfId="35433"/>
    <cellStyle name="Note 3 5 5 2 2" xfId="35434"/>
    <cellStyle name="Note 3 5 5 2 3" xfId="35435"/>
    <cellStyle name="Note 3 5 5 2 4" xfId="35436"/>
    <cellStyle name="Note 3 5 5 3" xfId="35437"/>
    <cellStyle name="Note 3 5 5 3 2" xfId="35438"/>
    <cellStyle name="Note 3 5 5 3 3" xfId="35439"/>
    <cellStyle name="Note 3 5 5 3 4" xfId="35440"/>
    <cellStyle name="Note 3 5 5 4" xfId="35441"/>
    <cellStyle name="Note 3 5 5 4 2" xfId="35442"/>
    <cellStyle name="Note 3 5 5 4 3" xfId="35443"/>
    <cellStyle name="Note 3 5 5 4 4" xfId="35444"/>
    <cellStyle name="Note 3 5 5 5" xfId="35445"/>
    <cellStyle name="Note 3 5 5 6" xfId="35446"/>
    <cellStyle name="Note 3 5 5 7" xfId="35447"/>
    <cellStyle name="Note 3 5 5 8" xfId="35448"/>
    <cellStyle name="Note 3 5 6" xfId="35449"/>
    <cellStyle name="Note 3 5 6 2" xfId="35450"/>
    <cellStyle name="Note 3 5 6 2 2" xfId="35451"/>
    <cellStyle name="Note 3 5 6 2 3" xfId="35452"/>
    <cellStyle name="Note 3 5 6 2 4" xfId="35453"/>
    <cellStyle name="Note 3 5 6 3" xfId="35454"/>
    <cellStyle name="Note 3 5 6 3 2" xfId="35455"/>
    <cellStyle name="Note 3 5 6 3 3" xfId="35456"/>
    <cellStyle name="Note 3 5 6 3 4" xfId="35457"/>
    <cellStyle name="Note 3 5 6 4" xfId="35458"/>
    <cellStyle name="Note 3 5 6 4 2" xfId="35459"/>
    <cellStyle name="Note 3 5 6 4 3" xfId="35460"/>
    <cellStyle name="Note 3 5 6 4 4" xfId="35461"/>
    <cellStyle name="Note 3 5 6 5" xfId="35462"/>
    <cellStyle name="Note 3 5 6 6" xfId="35463"/>
    <cellStyle name="Note 3 5 6 7" xfId="35464"/>
    <cellStyle name="Note 3 5 6 8" xfId="35465"/>
    <cellStyle name="Note 3 5 7" xfId="35466"/>
    <cellStyle name="Note 3 5 7 2" xfId="35467"/>
    <cellStyle name="Note 3 5 7 2 2" xfId="35468"/>
    <cellStyle name="Note 3 5 7 2 3" xfId="35469"/>
    <cellStyle name="Note 3 5 7 2 4" xfId="35470"/>
    <cellStyle name="Note 3 5 7 3" xfId="35471"/>
    <cellStyle name="Note 3 5 7 3 2" xfId="35472"/>
    <cellStyle name="Note 3 5 7 3 3" xfId="35473"/>
    <cellStyle name="Note 3 5 7 3 4" xfId="35474"/>
    <cellStyle name="Note 3 5 7 4" xfId="35475"/>
    <cellStyle name="Note 3 5 7 4 2" xfId="35476"/>
    <cellStyle name="Note 3 5 7 4 3" xfId="35477"/>
    <cellStyle name="Note 3 5 7 4 4" xfId="35478"/>
    <cellStyle name="Note 3 5 7 5" xfId="35479"/>
    <cellStyle name="Note 3 5 7 6" xfId="35480"/>
    <cellStyle name="Note 3 5 7 7" xfId="35481"/>
    <cellStyle name="Note 3 5 7 8" xfId="35482"/>
    <cellStyle name="Note 3 5 8" xfId="35483"/>
    <cellStyle name="Note 3 5 8 2" xfId="35484"/>
    <cellStyle name="Note 3 5 8 2 2" xfId="35485"/>
    <cellStyle name="Note 3 5 8 2 3" xfId="35486"/>
    <cellStyle name="Note 3 5 8 2 4" xfId="35487"/>
    <cellStyle name="Note 3 5 8 3" xfId="35488"/>
    <cellStyle name="Note 3 5 8 3 2" xfId="35489"/>
    <cellStyle name="Note 3 5 8 3 3" xfId="35490"/>
    <cellStyle name="Note 3 5 8 3 4" xfId="35491"/>
    <cellStyle name="Note 3 5 8 4" xfId="35492"/>
    <cellStyle name="Note 3 5 8 4 2" xfId="35493"/>
    <cellStyle name="Note 3 5 8 4 3" xfId="35494"/>
    <cellStyle name="Note 3 5 8 4 4" xfId="35495"/>
    <cellStyle name="Note 3 5 8 5" xfId="35496"/>
    <cellStyle name="Note 3 5 8 6" xfId="35497"/>
    <cellStyle name="Note 3 5 8 7" xfId="35498"/>
    <cellStyle name="Note 3 5 8 8" xfId="35499"/>
    <cellStyle name="Note 3 5 9" xfId="35500"/>
    <cellStyle name="Note 3 5 9 2" xfId="35501"/>
    <cellStyle name="Note 3 5 9 2 2" xfId="35502"/>
    <cellStyle name="Note 3 5 9 2 3" xfId="35503"/>
    <cellStyle name="Note 3 5 9 2 4" xfId="35504"/>
    <cellStyle name="Note 3 5 9 3" xfId="35505"/>
    <cellStyle name="Note 3 5 9 3 2" xfId="35506"/>
    <cellStyle name="Note 3 5 9 3 3" xfId="35507"/>
    <cellStyle name="Note 3 5 9 3 4" xfId="35508"/>
    <cellStyle name="Note 3 5 9 4" xfId="35509"/>
    <cellStyle name="Note 3 5 9 4 2" xfId="35510"/>
    <cellStyle name="Note 3 5 9 4 3" xfId="35511"/>
    <cellStyle name="Note 3 5 9 4 4" xfId="35512"/>
    <cellStyle name="Note 3 5 9 5" xfId="35513"/>
    <cellStyle name="Note 3 5 9 6" xfId="35514"/>
    <cellStyle name="Note 3 5 9 7" xfId="35515"/>
    <cellStyle name="Note 3 5 9 8" xfId="35516"/>
    <cellStyle name="Note 3 6" xfId="35517"/>
    <cellStyle name="Note 3 6 10" xfId="35518"/>
    <cellStyle name="Note 3 6 10 2" xfId="35519"/>
    <cellStyle name="Note 3 6 10 3" xfId="35520"/>
    <cellStyle name="Note 3 6 10 4" xfId="35521"/>
    <cellStyle name="Note 3 6 11" xfId="35522"/>
    <cellStyle name="Note 3 6 11 2" xfId="35523"/>
    <cellStyle name="Note 3 6 11 3" xfId="35524"/>
    <cellStyle name="Note 3 6 11 4" xfId="35525"/>
    <cellStyle name="Note 3 6 12" xfId="35526"/>
    <cellStyle name="Note 3 6 13" xfId="35527"/>
    <cellStyle name="Note 3 6 2" xfId="35528"/>
    <cellStyle name="Note 3 6 2 10" xfId="35529"/>
    <cellStyle name="Note 3 6 2 11" xfId="35530"/>
    <cellStyle name="Note 3 6 2 2" xfId="35531"/>
    <cellStyle name="Note 3 6 2 2 2" xfId="35532"/>
    <cellStyle name="Note 3 6 2 2 2 2" xfId="35533"/>
    <cellStyle name="Note 3 6 2 2 2 2 2" xfId="35534"/>
    <cellStyle name="Note 3 6 2 2 2 2 3" xfId="35535"/>
    <cellStyle name="Note 3 6 2 2 2 2 4" xfId="35536"/>
    <cellStyle name="Note 3 6 2 2 2 3" xfId="35537"/>
    <cellStyle name="Note 3 6 2 2 2 3 2" xfId="35538"/>
    <cellStyle name="Note 3 6 2 2 2 3 3" xfId="35539"/>
    <cellStyle name="Note 3 6 2 2 2 3 4" xfId="35540"/>
    <cellStyle name="Note 3 6 2 2 2 4" xfId="35541"/>
    <cellStyle name="Note 3 6 2 2 2 4 2" xfId="35542"/>
    <cellStyle name="Note 3 6 2 2 2 4 3" xfId="35543"/>
    <cellStyle name="Note 3 6 2 2 2 4 4" xfId="35544"/>
    <cellStyle name="Note 3 6 2 2 2 5" xfId="35545"/>
    <cellStyle name="Note 3 6 2 2 2 6" xfId="35546"/>
    <cellStyle name="Note 3 6 2 2 2 7" xfId="35547"/>
    <cellStyle name="Note 3 6 2 2 2 8" xfId="35548"/>
    <cellStyle name="Note 3 6 2 2 3" xfId="35549"/>
    <cellStyle name="Note 3 6 2 2 3 2" xfId="35550"/>
    <cellStyle name="Note 3 6 2 2 3 2 2" xfId="35551"/>
    <cellStyle name="Note 3 6 2 2 3 2 3" xfId="35552"/>
    <cellStyle name="Note 3 6 2 2 3 2 4" xfId="35553"/>
    <cellStyle name="Note 3 6 2 2 3 3" xfId="35554"/>
    <cellStyle name="Note 3 6 2 2 3 3 2" xfId="35555"/>
    <cellStyle name="Note 3 6 2 2 3 3 3" xfId="35556"/>
    <cellStyle name="Note 3 6 2 2 3 3 4" xfId="35557"/>
    <cellStyle name="Note 3 6 2 2 3 4" xfId="35558"/>
    <cellStyle name="Note 3 6 2 2 3 4 2" xfId="35559"/>
    <cellStyle name="Note 3 6 2 2 3 4 3" xfId="35560"/>
    <cellStyle name="Note 3 6 2 2 3 4 4" xfId="35561"/>
    <cellStyle name="Note 3 6 2 2 3 5" xfId="35562"/>
    <cellStyle name="Note 3 6 2 2 3 6" xfId="35563"/>
    <cellStyle name="Note 3 6 2 2 3 7" xfId="35564"/>
    <cellStyle name="Note 3 6 2 2 3 8" xfId="35565"/>
    <cellStyle name="Note 3 6 2 2 4" xfId="35566"/>
    <cellStyle name="Note 3 6 2 2 4 2" xfId="35567"/>
    <cellStyle name="Note 3 6 2 2 4 2 2" xfId="35568"/>
    <cellStyle name="Note 3 6 2 2 4 2 3" xfId="35569"/>
    <cellStyle name="Note 3 6 2 2 4 2 4" xfId="35570"/>
    <cellStyle name="Note 3 6 2 2 4 3" xfId="35571"/>
    <cellStyle name="Note 3 6 2 2 4 3 2" xfId="35572"/>
    <cellStyle name="Note 3 6 2 2 4 3 3" xfId="35573"/>
    <cellStyle name="Note 3 6 2 2 4 3 4" xfId="35574"/>
    <cellStyle name="Note 3 6 2 2 4 4" xfId="35575"/>
    <cellStyle name="Note 3 6 2 2 4 4 2" xfId="35576"/>
    <cellStyle name="Note 3 6 2 2 4 4 3" xfId="35577"/>
    <cellStyle name="Note 3 6 2 2 4 4 4" xfId="35578"/>
    <cellStyle name="Note 3 6 2 2 4 5" xfId="35579"/>
    <cellStyle name="Note 3 6 2 2 4 6" xfId="35580"/>
    <cellStyle name="Note 3 6 2 2 4 7" xfId="35581"/>
    <cellStyle name="Note 3 6 2 2 4 8" xfId="35582"/>
    <cellStyle name="Note 3 6 2 2 5" xfId="35583"/>
    <cellStyle name="Note 3 6 2 2 5 2" xfId="35584"/>
    <cellStyle name="Note 3 6 2 2 5 2 2" xfId="35585"/>
    <cellStyle name="Note 3 6 2 2 5 2 3" xfId="35586"/>
    <cellStyle name="Note 3 6 2 2 5 2 4" xfId="35587"/>
    <cellStyle name="Note 3 6 2 2 5 3" xfId="35588"/>
    <cellStyle name="Note 3 6 2 2 5 3 2" xfId="35589"/>
    <cellStyle name="Note 3 6 2 2 5 3 3" xfId="35590"/>
    <cellStyle name="Note 3 6 2 2 5 3 4" xfId="35591"/>
    <cellStyle name="Note 3 6 2 2 5 4" xfId="35592"/>
    <cellStyle name="Note 3 6 2 2 5 4 2" xfId="35593"/>
    <cellStyle name="Note 3 6 2 2 5 4 3" xfId="35594"/>
    <cellStyle name="Note 3 6 2 2 5 4 4" xfId="35595"/>
    <cellStyle name="Note 3 6 2 2 5 5" xfId="35596"/>
    <cellStyle name="Note 3 6 2 2 5 6" xfId="35597"/>
    <cellStyle name="Note 3 6 2 2 5 7" xfId="35598"/>
    <cellStyle name="Note 3 6 2 2 5 8" xfId="35599"/>
    <cellStyle name="Note 3 6 2 2 6" xfId="35600"/>
    <cellStyle name="Note 3 6 2 2 6 2" xfId="35601"/>
    <cellStyle name="Note 3 6 2 2 6 3" xfId="35602"/>
    <cellStyle name="Note 3 6 2 2 6 4" xfId="35603"/>
    <cellStyle name="Note 3 6 2 2 7" xfId="35604"/>
    <cellStyle name="Note 3 6 2 2 7 2" xfId="35605"/>
    <cellStyle name="Note 3 6 2 2 7 3" xfId="35606"/>
    <cellStyle name="Note 3 6 2 2 7 4" xfId="35607"/>
    <cellStyle name="Note 3 6 2 2 8" xfId="35608"/>
    <cellStyle name="Note 3 6 2 2 9" xfId="35609"/>
    <cellStyle name="Note 3 6 2 3" xfId="35610"/>
    <cellStyle name="Note 3 6 2 3 2" xfId="35611"/>
    <cellStyle name="Note 3 6 2 3 2 2" xfId="35612"/>
    <cellStyle name="Note 3 6 2 3 2 3" xfId="35613"/>
    <cellStyle name="Note 3 6 2 3 2 4" xfId="35614"/>
    <cellStyle name="Note 3 6 2 3 3" xfId="35615"/>
    <cellStyle name="Note 3 6 2 3 3 2" xfId="35616"/>
    <cellStyle name="Note 3 6 2 3 3 3" xfId="35617"/>
    <cellStyle name="Note 3 6 2 3 3 4" xfId="35618"/>
    <cellStyle name="Note 3 6 2 3 4" xfId="35619"/>
    <cellStyle name="Note 3 6 2 3 4 2" xfId="35620"/>
    <cellStyle name="Note 3 6 2 3 4 3" xfId="35621"/>
    <cellStyle name="Note 3 6 2 3 4 4" xfId="35622"/>
    <cellStyle name="Note 3 6 2 3 5" xfId="35623"/>
    <cellStyle name="Note 3 6 2 3 6" xfId="35624"/>
    <cellStyle name="Note 3 6 2 3 7" xfId="35625"/>
    <cellStyle name="Note 3 6 2 3 8" xfId="35626"/>
    <cellStyle name="Note 3 6 2 4" xfId="35627"/>
    <cellStyle name="Note 3 6 2 4 2" xfId="35628"/>
    <cellStyle name="Note 3 6 2 4 2 2" xfId="35629"/>
    <cellStyle name="Note 3 6 2 4 2 3" xfId="35630"/>
    <cellStyle name="Note 3 6 2 4 2 4" xfId="35631"/>
    <cellStyle name="Note 3 6 2 4 3" xfId="35632"/>
    <cellStyle name="Note 3 6 2 4 3 2" xfId="35633"/>
    <cellStyle name="Note 3 6 2 4 3 3" xfId="35634"/>
    <cellStyle name="Note 3 6 2 4 3 4" xfId="35635"/>
    <cellStyle name="Note 3 6 2 4 4" xfId="35636"/>
    <cellStyle name="Note 3 6 2 4 4 2" xfId="35637"/>
    <cellStyle name="Note 3 6 2 4 4 3" xfId="35638"/>
    <cellStyle name="Note 3 6 2 4 4 4" xfId="35639"/>
    <cellStyle name="Note 3 6 2 4 5" xfId="35640"/>
    <cellStyle name="Note 3 6 2 4 6" xfId="35641"/>
    <cellStyle name="Note 3 6 2 4 7" xfId="35642"/>
    <cellStyle name="Note 3 6 2 4 8" xfId="35643"/>
    <cellStyle name="Note 3 6 2 5" xfId="35644"/>
    <cellStyle name="Note 3 6 2 5 2" xfId="35645"/>
    <cellStyle name="Note 3 6 2 5 2 2" xfId="35646"/>
    <cellStyle name="Note 3 6 2 5 2 3" xfId="35647"/>
    <cellStyle name="Note 3 6 2 5 2 4" xfId="35648"/>
    <cellStyle name="Note 3 6 2 5 3" xfId="35649"/>
    <cellStyle name="Note 3 6 2 5 3 2" xfId="35650"/>
    <cellStyle name="Note 3 6 2 5 3 3" xfId="35651"/>
    <cellStyle name="Note 3 6 2 5 3 4" xfId="35652"/>
    <cellStyle name="Note 3 6 2 5 4" xfId="35653"/>
    <cellStyle name="Note 3 6 2 5 4 2" xfId="35654"/>
    <cellStyle name="Note 3 6 2 5 4 3" xfId="35655"/>
    <cellStyle name="Note 3 6 2 5 4 4" xfId="35656"/>
    <cellStyle name="Note 3 6 2 5 5" xfId="35657"/>
    <cellStyle name="Note 3 6 2 5 6" xfId="35658"/>
    <cellStyle name="Note 3 6 2 5 7" xfId="35659"/>
    <cellStyle name="Note 3 6 2 5 8" xfId="35660"/>
    <cellStyle name="Note 3 6 2 6" xfId="35661"/>
    <cellStyle name="Note 3 6 2 6 2" xfId="35662"/>
    <cellStyle name="Note 3 6 2 6 2 2" xfId="35663"/>
    <cellStyle name="Note 3 6 2 6 2 3" xfId="35664"/>
    <cellStyle name="Note 3 6 2 6 2 4" xfId="35665"/>
    <cellStyle name="Note 3 6 2 6 3" xfId="35666"/>
    <cellStyle name="Note 3 6 2 6 3 2" xfId="35667"/>
    <cellStyle name="Note 3 6 2 6 3 3" xfId="35668"/>
    <cellStyle name="Note 3 6 2 6 3 4" xfId="35669"/>
    <cellStyle name="Note 3 6 2 6 4" xfId="35670"/>
    <cellStyle name="Note 3 6 2 6 4 2" xfId="35671"/>
    <cellStyle name="Note 3 6 2 6 4 3" xfId="35672"/>
    <cellStyle name="Note 3 6 2 6 4 4" xfId="35673"/>
    <cellStyle name="Note 3 6 2 6 5" xfId="35674"/>
    <cellStyle name="Note 3 6 2 6 6" xfId="35675"/>
    <cellStyle name="Note 3 6 2 6 7" xfId="35676"/>
    <cellStyle name="Note 3 6 2 6 8" xfId="35677"/>
    <cellStyle name="Note 3 6 2 7" xfId="35678"/>
    <cellStyle name="Note 3 6 2 7 2" xfId="35679"/>
    <cellStyle name="Note 3 6 2 7 2 2" xfId="35680"/>
    <cellStyle name="Note 3 6 2 7 2 3" xfId="35681"/>
    <cellStyle name="Note 3 6 2 7 2 4" xfId="35682"/>
    <cellStyle name="Note 3 6 2 7 3" xfId="35683"/>
    <cellStyle name="Note 3 6 2 7 3 2" xfId="35684"/>
    <cellStyle name="Note 3 6 2 7 3 3" xfId="35685"/>
    <cellStyle name="Note 3 6 2 7 3 4" xfId="35686"/>
    <cellStyle name="Note 3 6 2 7 4" xfId="35687"/>
    <cellStyle name="Note 3 6 2 7 4 2" xfId="35688"/>
    <cellStyle name="Note 3 6 2 7 4 3" xfId="35689"/>
    <cellStyle name="Note 3 6 2 7 4 4" xfId="35690"/>
    <cellStyle name="Note 3 6 2 7 5" xfId="35691"/>
    <cellStyle name="Note 3 6 2 7 6" xfId="35692"/>
    <cellStyle name="Note 3 6 2 7 7" xfId="35693"/>
    <cellStyle name="Note 3 6 2 7 8" xfId="35694"/>
    <cellStyle name="Note 3 6 2 8" xfId="35695"/>
    <cellStyle name="Note 3 6 2 8 2" xfId="35696"/>
    <cellStyle name="Note 3 6 2 8 3" xfId="35697"/>
    <cellStyle name="Note 3 6 2 8 4" xfId="35698"/>
    <cellStyle name="Note 3 6 2 9" xfId="35699"/>
    <cellStyle name="Note 3 6 2 9 2" xfId="35700"/>
    <cellStyle name="Note 3 6 2 9 3" xfId="35701"/>
    <cellStyle name="Note 3 6 2 9 4" xfId="35702"/>
    <cellStyle name="Note 3 6 3" xfId="35703"/>
    <cellStyle name="Note 3 6 3 10" xfId="35704"/>
    <cellStyle name="Note 3 6 3 11" xfId="35705"/>
    <cellStyle name="Note 3 6 3 2" xfId="35706"/>
    <cellStyle name="Note 3 6 3 2 2" xfId="35707"/>
    <cellStyle name="Note 3 6 3 2 2 2" xfId="35708"/>
    <cellStyle name="Note 3 6 3 2 2 2 2" xfId="35709"/>
    <cellStyle name="Note 3 6 3 2 2 2 3" xfId="35710"/>
    <cellStyle name="Note 3 6 3 2 2 2 4" xfId="35711"/>
    <cellStyle name="Note 3 6 3 2 2 3" xfId="35712"/>
    <cellStyle name="Note 3 6 3 2 2 3 2" xfId="35713"/>
    <cellStyle name="Note 3 6 3 2 2 3 3" xfId="35714"/>
    <cellStyle name="Note 3 6 3 2 2 3 4" xfId="35715"/>
    <cellStyle name="Note 3 6 3 2 2 4" xfId="35716"/>
    <cellStyle name="Note 3 6 3 2 2 4 2" xfId="35717"/>
    <cellStyle name="Note 3 6 3 2 2 4 3" xfId="35718"/>
    <cellStyle name="Note 3 6 3 2 2 4 4" xfId="35719"/>
    <cellStyle name="Note 3 6 3 2 2 5" xfId="35720"/>
    <cellStyle name="Note 3 6 3 2 2 6" xfId="35721"/>
    <cellStyle name="Note 3 6 3 2 2 7" xfId="35722"/>
    <cellStyle name="Note 3 6 3 2 2 8" xfId="35723"/>
    <cellStyle name="Note 3 6 3 2 3" xfId="35724"/>
    <cellStyle name="Note 3 6 3 2 3 2" xfId="35725"/>
    <cellStyle name="Note 3 6 3 2 3 2 2" xfId="35726"/>
    <cellStyle name="Note 3 6 3 2 3 2 3" xfId="35727"/>
    <cellStyle name="Note 3 6 3 2 3 2 4" xfId="35728"/>
    <cellStyle name="Note 3 6 3 2 3 3" xfId="35729"/>
    <cellStyle name="Note 3 6 3 2 3 3 2" xfId="35730"/>
    <cellStyle name="Note 3 6 3 2 3 3 3" xfId="35731"/>
    <cellStyle name="Note 3 6 3 2 3 3 4" xfId="35732"/>
    <cellStyle name="Note 3 6 3 2 3 4" xfId="35733"/>
    <cellStyle name="Note 3 6 3 2 3 4 2" xfId="35734"/>
    <cellStyle name="Note 3 6 3 2 3 4 3" xfId="35735"/>
    <cellStyle name="Note 3 6 3 2 3 4 4" xfId="35736"/>
    <cellStyle name="Note 3 6 3 2 3 5" xfId="35737"/>
    <cellStyle name="Note 3 6 3 2 3 6" xfId="35738"/>
    <cellStyle name="Note 3 6 3 2 3 7" xfId="35739"/>
    <cellStyle name="Note 3 6 3 2 3 8" xfId="35740"/>
    <cellStyle name="Note 3 6 3 2 4" xfId="35741"/>
    <cellStyle name="Note 3 6 3 2 4 2" xfId="35742"/>
    <cellStyle name="Note 3 6 3 2 4 2 2" xfId="35743"/>
    <cellStyle name="Note 3 6 3 2 4 2 3" xfId="35744"/>
    <cellStyle name="Note 3 6 3 2 4 2 4" xfId="35745"/>
    <cellStyle name="Note 3 6 3 2 4 3" xfId="35746"/>
    <cellStyle name="Note 3 6 3 2 4 3 2" xfId="35747"/>
    <cellStyle name="Note 3 6 3 2 4 3 3" xfId="35748"/>
    <cellStyle name="Note 3 6 3 2 4 3 4" xfId="35749"/>
    <cellStyle name="Note 3 6 3 2 4 4" xfId="35750"/>
    <cellStyle name="Note 3 6 3 2 4 4 2" xfId="35751"/>
    <cellStyle name="Note 3 6 3 2 4 4 3" xfId="35752"/>
    <cellStyle name="Note 3 6 3 2 4 4 4" xfId="35753"/>
    <cellStyle name="Note 3 6 3 2 4 5" xfId="35754"/>
    <cellStyle name="Note 3 6 3 2 4 6" xfId="35755"/>
    <cellStyle name="Note 3 6 3 2 4 7" xfId="35756"/>
    <cellStyle name="Note 3 6 3 2 4 8" xfId="35757"/>
    <cellStyle name="Note 3 6 3 2 5" xfId="35758"/>
    <cellStyle name="Note 3 6 3 2 5 2" xfId="35759"/>
    <cellStyle name="Note 3 6 3 2 5 2 2" xfId="35760"/>
    <cellStyle name="Note 3 6 3 2 5 2 3" xfId="35761"/>
    <cellStyle name="Note 3 6 3 2 5 2 4" xfId="35762"/>
    <cellStyle name="Note 3 6 3 2 5 3" xfId="35763"/>
    <cellStyle name="Note 3 6 3 2 5 3 2" xfId="35764"/>
    <cellStyle name="Note 3 6 3 2 5 3 3" xfId="35765"/>
    <cellStyle name="Note 3 6 3 2 5 3 4" xfId="35766"/>
    <cellStyle name="Note 3 6 3 2 5 4" xfId="35767"/>
    <cellStyle name="Note 3 6 3 2 5 4 2" xfId="35768"/>
    <cellStyle name="Note 3 6 3 2 5 4 3" xfId="35769"/>
    <cellStyle name="Note 3 6 3 2 5 4 4" xfId="35770"/>
    <cellStyle name="Note 3 6 3 2 5 5" xfId="35771"/>
    <cellStyle name="Note 3 6 3 2 5 6" xfId="35772"/>
    <cellStyle name="Note 3 6 3 2 5 7" xfId="35773"/>
    <cellStyle name="Note 3 6 3 2 5 8" xfId="35774"/>
    <cellStyle name="Note 3 6 3 2 6" xfId="35775"/>
    <cellStyle name="Note 3 6 3 2 6 2" xfId="35776"/>
    <cellStyle name="Note 3 6 3 2 6 3" xfId="35777"/>
    <cellStyle name="Note 3 6 3 2 6 4" xfId="35778"/>
    <cellStyle name="Note 3 6 3 2 7" xfId="35779"/>
    <cellStyle name="Note 3 6 3 2 7 2" xfId="35780"/>
    <cellStyle name="Note 3 6 3 2 7 3" xfId="35781"/>
    <cellStyle name="Note 3 6 3 2 7 4" xfId="35782"/>
    <cellStyle name="Note 3 6 3 2 8" xfId="35783"/>
    <cellStyle name="Note 3 6 3 2 9" xfId="35784"/>
    <cellStyle name="Note 3 6 3 3" xfId="35785"/>
    <cellStyle name="Note 3 6 3 3 2" xfId="35786"/>
    <cellStyle name="Note 3 6 3 3 2 2" xfId="35787"/>
    <cellStyle name="Note 3 6 3 3 2 3" xfId="35788"/>
    <cellStyle name="Note 3 6 3 3 2 4" xfId="35789"/>
    <cellStyle name="Note 3 6 3 3 3" xfId="35790"/>
    <cellStyle name="Note 3 6 3 3 3 2" xfId="35791"/>
    <cellStyle name="Note 3 6 3 3 3 3" xfId="35792"/>
    <cellStyle name="Note 3 6 3 3 3 4" xfId="35793"/>
    <cellStyle name="Note 3 6 3 3 4" xfId="35794"/>
    <cellStyle name="Note 3 6 3 3 4 2" xfId="35795"/>
    <cellStyle name="Note 3 6 3 3 4 3" xfId="35796"/>
    <cellStyle name="Note 3 6 3 3 4 4" xfId="35797"/>
    <cellStyle name="Note 3 6 3 3 5" xfId="35798"/>
    <cellStyle name="Note 3 6 3 3 6" xfId="35799"/>
    <cellStyle name="Note 3 6 3 3 7" xfId="35800"/>
    <cellStyle name="Note 3 6 3 3 8" xfId="35801"/>
    <cellStyle name="Note 3 6 3 4" xfId="35802"/>
    <cellStyle name="Note 3 6 3 4 2" xfId="35803"/>
    <cellStyle name="Note 3 6 3 4 2 2" xfId="35804"/>
    <cellStyle name="Note 3 6 3 4 2 3" xfId="35805"/>
    <cellStyle name="Note 3 6 3 4 2 4" xfId="35806"/>
    <cellStyle name="Note 3 6 3 4 3" xfId="35807"/>
    <cellStyle name="Note 3 6 3 4 3 2" xfId="35808"/>
    <cellStyle name="Note 3 6 3 4 3 3" xfId="35809"/>
    <cellStyle name="Note 3 6 3 4 3 4" xfId="35810"/>
    <cellStyle name="Note 3 6 3 4 4" xfId="35811"/>
    <cellStyle name="Note 3 6 3 4 4 2" xfId="35812"/>
    <cellStyle name="Note 3 6 3 4 4 3" xfId="35813"/>
    <cellStyle name="Note 3 6 3 4 4 4" xfId="35814"/>
    <cellStyle name="Note 3 6 3 4 5" xfId="35815"/>
    <cellStyle name="Note 3 6 3 4 6" xfId="35816"/>
    <cellStyle name="Note 3 6 3 4 7" xfId="35817"/>
    <cellStyle name="Note 3 6 3 4 8" xfId="35818"/>
    <cellStyle name="Note 3 6 3 5" xfId="35819"/>
    <cellStyle name="Note 3 6 3 5 2" xfId="35820"/>
    <cellStyle name="Note 3 6 3 5 2 2" xfId="35821"/>
    <cellStyle name="Note 3 6 3 5 2 3" xfId="35822"/>
    <cellStyle name="Note 3 6 3 5 2 4" xfId="35823"/>
    <cellStyle name="Note 3 6 3 5 3" xfId="35824"/>
    <cellStyle name="Note 3 6 3 5 3 2" xfId="35825"/>
    <cellStyle name="Note 3 6 3 5 3 3" xfId="35826"/>
    <cellStyle name="Note 3 6 3 5 3 4" xfId="35827"/>
    <cellStyle name="Note 3 6 3 5 4" xfId="35828"/>
    <cellStyle name="Note 3 6 3 5 4 2" xfId="35829"/>
    <cellStyle name="Note 3 6 3 5 4 3" xfId="35830"/>
    <cellStyle name="Note 3 6 3 5 4 4" xfId="35831"/>
    <cellStyle name="Note 3 6 3 5 5" xfId="35832"/>
    <cellStyle name="Note 3 6 3 5 6" xfId="35833"/>
    <cellStyle name="Note 3 6 3 5 7" xfId="35834"/>
    <cellStyle name="Note 3 6 3 5 8" xfId="35835"/>
    <cellStyle name="Note 3 6 3 6" xfId="35836"/>
    <cellStyle name="Note 3 6 3 6 2" xfId="35837"/>
    <cellStyle name="Note 3 6 3 6 2 2" xfId="35838"/>
    <cellStyle name="Note 3 6 3 6 2 3" xfId="35839"/>
    <cellStyle name="Note 3 6 3 6 2 4" xfId="35840"/>
    <cellStyle name="Note 3 6 3 6 3" xfId="35841"/>
    <cellStyle name="Note 3 6 3 6 3 2" xfId="35842"/>
    <cellStyle name="Note 3 6 3 6 3 3" xfId="35843"/>
    <cellStyle name="Note 3 6 3 6 3 4" xfId="35844"/>
    <cellStyle name="Note 3 6 3 6 4" xfId="35845"/>
    <cellStyle name="Note 3 6 3 6 4 2" xfId="35846"/>
    <cellStyle name="Note 3 6 3 6 4 3" xfId="35847"/>
    <cellStyle name="Note 3 6 3 6 4 4" xfId="35848"/>
    <cellStyle name="Note 3 6 3 6 5" xfId="35849"/>
    <cellStyle name="Note 3 6 3 6 6" xfId="35850"/>
    <cellStyle name="Note 3 6 3 6 7" xfId="35851"/>
    <cellStyle name="Note 3 6 3 6 8" xfId="35852"/>
    <cellStyle name="Note 3 6 3 7" xfId="35853"/>
    <cellStyle name="Note 3 6 3 7 2" xfId="35854"/>
    <cellStyle name="Note 3 6 3 7 2 2" xfId="35855"/>
    <cellStyle name="Note 3 6 3 7 2 3" xfId="35856"/>
    <cellStyle name="Note 3 6 3 7 2 4" xfId="35857"/>
    <cellStyle name="Note 3 6 3 7 3" xfId="35858"/>
    <cellStyle name="Note 3 6 3 7 3 2" xfId="35859"/>
    <cellStyle name="Note 3 6 3 7 3 3" xfId="35860"/>
    <cellStyle name="Note 3 6 3 7 3 4" xfId="35861"/>
    <cellStyle name="Note 3 6 3 7 4" xfId="35862"/>
    <cellStyle name="Note 3 6 3 7 4 2" xfId="35863"/>
    <cellStyle name="Note 3 6 3 7 4 3" xfId="35864"/>
    <cellStyle name="Note 3 6 3 7 4 4" xfId="35865"/>
    <cellStyle name="Note 3 6 3 7 5" xfId="35866"/>
    <cellStyle name="Note 3 6 3 7 6" xfId="35867"/>
    <cellStyle name="Note 3 6 3 7 7" xfId="35868"/>
    <cellStyle name="Note 3 6 3 7 8" xfId="35869"/>
    <cellStyle name="Note 3 6 3 8" xfId="35870"/>
    <cellStyle name="Note 3 6 3 8 2" xfId="35871"/>
    <cellStyle name="Note 3 6 3 8 3" xfId="35872"/>
    <cellStyle name="Note 3 6 3 8 4" xfId="35873"/>
    <cellStyle name="Note 3 6 3 9" xfId="35874"/>
    <cellStyle name="Note 3 6 3 9 2" xfId="35875"/>
    <cellStyle name="Note 3 6 3 9 3" xfId="35876"/>
    <cellStyle name="Note 3 6 3 9 4" xfId="35877"/>
    <cellStyle name="Note 3 6 4" xfId="35878"/>
    <cellStyle name="Note 3 6 4 2" xfId="35879"/>
    <cellStyle name="Note 3 6 4 2 2" xfId="35880"/>
    <cellStyle name="Note 3 6 4 2 2 2" xfId="35881"/>
    <cellStyle name="Note 3 6 4 2 2 3" xfId="35882"/>
    <cellStyle name="Note 3 6 4 2 2 4" xfId="35883"/>
    <cellStyle name="Note 3 6 4 2 3" xfId="35884"/>
    <cellStyle name="Note 3 6 4 2 3 2" xfId="35885"/>
    <cellStyle name="Note 3 6 4 2 3 3" xfId="35886"/>
    <cellStyle name="Note 3 6 4 2 3 4" xfId="35887"/>
    <cellStyle name="Note 3 6 4 2 4" xfId="35888"/>
    <cellStyle name="Note 3 6 4 2 4 2" xfId="35889"/>
    <cellStyle name="Note 3 6 4 2 4 3" xfId="35890"/>
    <cellStyle name="Note 3 6 4 2 4 4" xfId="35891"/>
    <cellStyle name="Note 3 6 4 2 5" xfId="35892"/>
    <cellStyle name="Note 3 6 4 2 6" xfId="35893"/>
    <cellStyle name="Note 3 6 4 2 7" xfId="35894"/>
    <cellStyle name="Note 3 6 4 2 8" xfId="35895"/>
    <cellStyle name="Note 3 6 4 3" xfId="35896"/>
    <cellStyle name="Note 3 6 4 3 2" xfId="35897"/>
    <cellStyle name="Note 3 6 4 3 2 2" xfId="35898"/>
    <cellStyle name="Note 3 6 4 3 2 3" xfId="35899"/>
    <cellStyle name="Note 3 6 4 3 2 4" xfId="35900"/>
    <cellStyle name="Note 3 6 4 3 3" xfId="35901"/>
    <cellStyle name="Note 3 6 4 3 3 2" xfId="35902"/>
    <cellStyle name="Note 3 6 4 3 3 3" xfId="35903"/>
    <cellStyle name="Note 3 6 4 3 3 4" xfId="35904"/>
    <cellStyle name="Note 3 6 4 3 4" xfId="35905"/>
    <cellStyle name="Note 3 6 4 3 4 2" xfId="35906"/>
    <cellStyle name="Note 3 6 4 3 4 3" xfId="35907"/>
    <cellStyle name="Note 3 6 4 3 4 4" xfId="35908"/>
    <cellStyle name="Note 3 6 4 3 5" xfId="35909"/>
    <cellStyle name="Note 3 6 4 3 6" xfId="35910"/>
    <cellStyle name="Note 3 6 4 3 7" xfId="35911"/>
    <cellStyle name="Note 3 6 4 3 8" xfId="35912"/>
    <cellStyle name="Note 3 6 4 4" xfId="35913"/>
    <cellStyle name="Note 3 6 4 4 2" xfId="35914"/>
    <cellStyle name="Note 3 6 4 4 2 2" xfId="35915"/>
    <cellStyle name="Note 3 6 4 4 2 3" xfId="35916"/>
    <cellStyle name="Note 3 6 4 4 2 4" xfId="35917"/>
    <cellStyle name="Note 3 6 4 4 3" xfId="35918"/>
    <cellStyle name="Note 3 6 4 4 3 2" xfId="35919"/>
    <cellStyle name="Note 3 6 4 4 3 3" xfId="35920"/>
    <cellStyle name="Note 3 6 4 4 3 4" xfId="35921"/>
    <cellStyle name="Note 3 6 4 4 4" xfId="35922"/>
    <cellStyle name="Note 3 6 4 4 4 2" xfId="35923"/>
    <cellStyle name="Note 3 6 4 4 4 3" xfId="35924"/>
    <cellStyle name="Note 3 6 4 4 4 4" xfId="35925"/>
    <cellStyle name="Note 3 6 4 4 5" xfId="35926"/>
    <cellStyle name="Note 3 6 4 4 6" xfId="35927"/>
    <cellStyle name="Note 3 6 4 4 7" xfId="35928"/>
    <cellStyle name="Note 3 6 4 4 8" xfId="35929"/>
    <cellStyle name="Note 3 6 4 5" xfId="35930"/>
    <cellStyle name="Note 3 6 4 5 2" xfId="35931"/>
    <cellStyle name="Note 3 6 4 5 2 2" xfId="35932"/>
    <cellStyle name="Note 3 6 4 5 2 3" xfId="35933"/>
    <cellStyle name="Note 3 6 4 5 2 4" xfId="35934"/>
    <cellStyle name="Note 3 6 4 5 3" xfId="35935"/>
    <cellStyle name="Note 3 6 4 5 3 2" xfId="35936"/>
    <cellStyle name="Note 3 6 4 5 3 3" xfId="35937"/>
    <cellStyle name="Note 3 6 4 5 3 4" xfId="35938"/>
    <cellStyle name="Note 3 6 4 5 4" xfId="35939"/>
    <cellStyle name="Note 3 6 4 5 4 2" xfId="35940"/>
    <cellStyle name="Note 3 6 4 5 4 3" xfId="35941"/>
    <cellStyle name="Note 3 6 4 5 4 4" xfId="35942"/>
    <cellStyle name="Note 3 6 4 5 5" xfId="35943"/>
    <cellStyle name="Note 3 6 4 5 6" xfId="35944"/>
    <cellStyle name="Note 3 6 4 5 7" xfId="35945"/>
    <cellStyle name="Note 3 6 4 5 8" xfId="35946"/>
    <cellStyle name="Note 3 6 4 6" xfId="35947"/>
    <cellStyle name="Note 3 6 4 6 2" xfId="35948"/>
    <cellStyle name="Note 3 6 4 6 3" xfId="35949"/>
    <cellStyle name="Note 3 6 4 6 4" xfId="35950"/>
    <cellStyle name="Note 3 6 4 7" xfId="35951"/>
    <cellStyle name="Note 3 6 4 7 2" xfId="35952"/>
    <cellStyle name="Note 3 6 4 7 3" xfId="35953"/>
    <cellStyle name="Note 3 6 4 7 4" xfId="35954"/>
    <cellStyle name="Note 3 6 4 8" xfId="35955"/>
    <cellStyle name="Note 3 6 4 9" xfId="35956"/>
    <cellStyle name="Note 3 6 5" xfId="35957"/>
    <cellStyle name="Note 3 6 5 2" xfId="35958"/>
    <cellStyle name="Note 3 6 5 2 2" xfId="35959"/>
    <cellStyle name="Note 3 6 5 2 3" xfId="35960"/>
    <cellStyle name="Note 3 6 5 2 4" xfId="35961"/>
    <cellStyle name="Note 3 6 5 3" xfId="35962"/>
    <cellStyle name="Note 3 6 5 3 2" xfId="35963"/>
    <cellStyle name="Note 3 6 5 3 3" xfId="35964"/>
    <cellStyle name="Note 3 6 5 3 4" xfId="35965"/>
    <cellStyle name="Note 3 6 5 4" xfId="35966"/>
    <cellStyle name="Note 3 6 5 4 2" xfId="35967"/>
    <cellStyle name="Note 3 6 5 4 3" xfId="35968"/>
    <cellStyle name="Note 3 6 5 4 4" xfId="35969"/>
    <cellStyle name="Note 3 6 5 5" xfId="35970"/>
    <cellStyle name="Note 3 6 5 6" xfId="35971"/>
    <cellStyle name="Note 3 6 5 7" xfId="35972"/>
    <cellStyle name="Note 3 6 5 8" xfId="35973"/>
    <cellStyle name="Note 3 6 6" xfId="35974"/>
    <cellStyle name="Note 3 6 6 2" xfId="35975"/>
    <cellStyle name="Note 3 6 6 2 2" xfId="35976"/>
    <cellStyle name="Note 3 6 6 2 3" xfId="35977"/>
    <cellStyle name="Note 3 6 6 2 4" xfId="35978"/>
    <cellStyle name="Note 3 6 6 3" xfId="35979"/>
    <cellStyle name="Note 3 6 6 3 2" xfId="35980"/>
    <cellStyle name="Note 3 6 6 3 3" xfId="35981"/>
    <cellStyle name="Note 3 6 6 3 4" xfId="35982"/>
    <cellStyle name="Note 3 6 6 4" xfId="35983"/>
    <cellStyle name="Note 3 6 6 4 2" xfId="35984"/>
    <cellStyle name="Note 3 6 6 4 3" xfId="35985"/>
    <cellStyle name="Note 3 6 6 4 4" xfId="35986"/>
    <cellStyle name="Note 3 6 6 5" xfId="35987"/>
    <cellStyle name="Note 3 6 6 6" xfId="35988"/>
    <cellStyle name="Note 3 6 6 7" xfId="35989"/>
    <cellStyle name="Note 3 6 6 8" xfId="35990"/>
    <cellStyle name="Note 3 6 7" xfId="35991"/>
    <cellStyle name="Note 3 6 7 2" xfId="35992"/>
    <cellStyle name="Note 3 6 7 2 2" xfId="35993"/>
    <cellStyle name="Note 3 6 7 2 3" xfId="35994"/>
    <cellStyle name="Note 3 6 7 2 4" xfId="35995"/>
    <cellStyle name="Note 3 6 7 3" xfId="35996"/>
    <cellStyle name="Note 3 6 7 3 2" xfId="35997"/>
    <cellStyle name="Note 3 6 7 3 3" xfId="35998"/>
    <cellStyle name="Note 3 6 7 3 4" xfId="35999"/>
    <cellStyle name="Note 3 6 7 4" xfId="36000"/>
    <cellStyle name="Note 3 6 7 4 2" xfId="36001"/>
    <cellStyle name="Note 3 6 7 4 3" xfId="36002"/>
    <cellStyle name="Note 3 6 7 4 4" xfId="36003"/>
    <cellStyle name="Note 3 6 7 5" xfId="36004"/>
    <cellStyle name="Note 3 6 7 6" xfId="36005"/>
    <cellStyle name="Note 3 6 7 7" xfId="36006"/>
    <cellStyle name="Note 3 6 7 8" xfId="36007"/>
    <cellStyle name="Note 3 6 8" xfId="36008"/>
    <cellStyle name="Note 3 6 8 2" xfId="36009"/>
    <cellStyle name="Note 3 6 8 2 2" xfId="36010"/>
    <cellStyle name="Note 3 6 8 2 3" xfId="36011"/>
    <cellStyle name="Note 3 6 8 2 4" xfId="36012"/>
    <cellStyle name="Note 3 6 8 3" xfId="36013"/>
    <cellStyle name="Note 3 6 8 3 2" xfId="36014"/>
    <cellStyle name="Note 3 6 8 3 3" xfId="36015"/>
    <cellStyle name="Note 3 6 8 3 4" xfId="36016"/>
    <cellStyle name="Note 3 6 8 4" xfId="36017"/>
    <cellStyle name="Note 3 6 8 4 2" xfId="36018"/>
    <cellStyle name="Note 3 6 8 4 3" xfId="36019"/>
    <cellStyle name="Note 3 6 8 4 4" xfId="36020"/>
    <cellStyle name="Note 3 6 8 5" xfId="36021"/>
    <cellStyle name="Note 3 6 8 6" xfId="36022"/>
    <cellStyle name="Note 3 6 8 7" xfId="36023"/>
    <cellStyle name="Note 3 6 8 8" xfId="36024"/>
    <cellStyle name="Note 3 6 9" xfId="36025"/>
    <cellStyle name="Note 3 6 9 2" xfId="36026"/>
    <cellStyle name="Note 3 6 9 2 2" xfId="36027"/>
    <cellStyle name="Note 3 6 9 2 3" xfId="36028"/>
    <cellStyle name="Note 3 6 9 2 4" xfId="36029"/>
    <cellStyle name="Note 3 6 9 3" xfId="36030"/>
    <cellStyle name="Note 3 6 9 3 2" xfId="36031"/>
    <cellStyle name="Note 3 6 9 3 3" xfId="36032"/>
    <cellStyle name="Note 3 6 9 3 4" xfId="36033"/>
    <cellStyle name="Note 3 6 9 4" xfId="36034"/>
    <cellStyle name="Note 3 6 9 4 2" xfId="36035"/>
    <cellStyle name="Note 3 6 9 4 3" xfId="36036"/>
    <cellStyle name="Note 3 6 9 4 4" xfId="36037"/>
    <cellStyle name="Note 3 6 9 5" xfId="36038"/>
    <cellStyle name="Note 3 6 9 6" xfId="36039"/>
    <cellStyle name="Note 3 6 9 7" xfId="36040"/>
    <cellStyle name="Note 3 6 9 8" xfId="36041"/>
    <cellStyle name="Note 3 7" xfId="36042"/>
    <cellStyle name="Note 3 7 10" xfId="36043"/>
    <cellStyle name="Note 3 7 10 2" xfId="36044"/>
    <cellStyle name="Note 3 7 10 3" xfId="36045"/>
    <cellStyle name="Note 3 7 10 4" xfId="36046"/>
    <cellStyle name="Note 3 7 11" xfId="36047"/>
    <cellStyle name="Note 3 7 11 2" xfId="36048"/>
    <cellStyle name="Note 3 7 11 3" xfId="36049"/>
    <cellStyle name="Note 3 7 11 4" xfId="36050"/>
    <cellStyle name="Note 3 7 12" xfId="36051"/>
    <cellStyle name="Note 3 7 13" xfId="36052"/>
    <cellStyle name="Note 3 7 2" xfId="36053"/>
    <cellStyle name="Note 3 7 2 10" xfId="36054"/>
    <cellStyle name="Note 3 7 2 11" xfId="36055"/>
    <cellStyle name="Note 3 7 2 2" xfId="36056"/>
    <cellStyle name="Note 3 7 2 2 2" xfId="36057"/>
    <cellStyle name="Note 3 7 2 2 2 2" xfId="36058"/>
    <cellStyle name="Note 3 7 2 2 2 2 2" xfId="36059"/>
    <cellStyle name="Note 3 7 2 2 2 2 3" xfId="36060"/>
    <cellStyle name="Note 3 7 2 2 2 2 4" xfId="36061"/>
    <cellStyle name="Note 3 7 2 2 2 3" xfId="36062"/>
    <cellStyle name="Note 3 7 2 2 2 3 2" xfId="36063"/>
    <cellStyle name="Note 3 7 2 2 2 3 3" xfId="36064"/>
    <cellStyle name="Note 3 7 2 2 2 3 4" xfId="36065"/>
    <cellStyle name="Note 3 7 2 2 2 4" xfId="36066"/>
    <cellStyle name="Note 3 7 2 2 2 4 2" xfId="36067"/>
    <cellStyle name="Note 3 7 2 2 2 4 3" xfId="36068"/>
    <cellStyle name="Note 3 7 2 2 2 4 4" xfId="36069"/>
    <cellStyle name="Note 3 7 2 2 2 5" xfId="36070"/>
    <cellStyle name="Note 3 7 2 2 2 6" xfId="36071"/>
    <cellStyle name="Note 3 7 2 2 2 7" xfId="36072"/>
    <cellStyle name="Note 3 7 2 2 2 8" xfId="36073"/>
    <cellStyle name="Note 3 7 2 2 3" xfId="36074"/>
    <cellStyle name="Note 3 7 2 2 3 2" xfId="36075"/>
    <cellStyle name="Note 3 7 2 2 3 2 2" xfId="36076"/>
    <cellStyle name="Note 3 7 2 2 3 2 3" xfId="36077"/>
    <cellStyle name="Note 3 7 2 2 3 2 4" xfId="36078"/>
    <cellStyle name="Note 3 7 2 2 3 3" xfId="36079"/>
    <cellStyle name="Note 3 7 2 2 3 3 2" xfId="36080"/>
    <cellStyle name="Note 3 7 2 2 3 3 3" xfId="36081"/>
    <cellStyle name="Note 3 7 2 2 3 3 4" xfId="36082"/>
    <cellStyle name="Note 3 7 2 2 3 4" xfId="36083"/>
    <cellStyle name="Note 3 7 2 2 3 4 2" xfId="36084"/>
    <cellStyle name="Note 3 7 2 2 3 4 3" xfId="36085"/>
    <cellStyle name="Note 3 7 2 2 3 4 4" xfId="36086"/>
    <cellStyle name="Note 3 7 2 2 3 5" xfId="36087"/>
    <cellStyle name="Note 3 7 2 2 3 6" xfId="36088"/>
    <cellStyle name="Note 3 7 2 2 3 7" xfId="36089"/>
    <cellStyle name="Note 3 7 2 2 3 8" xfId="36090"/>
    <cellStyle name="Note 3 7 2 2 4" xfId="36091"/>
    <cellStyle name="Note 3 7 2 2 4 2" xfId="36092"/>
    <cellStyle name="Note 3 7 2 2 4 2 2" xfId="36093"/>
    <cellStyle name="Note 3 7 2 2 4 2 3" xfId="36094"/>
    <cellStyle name="Note 3 7 2 2 4 2 4" xfId="36095"/>
    <cellStyle name="Note 3 7 2 2 4 3" xfId="36096"/>
    <cellStyle name="Note 3 7 2 2 4 3 2" xfId="36097"/>
    <cellStyle name="Note 3 7 2 2 4 3 3" xfId="36098"/>
    <cellStyle name="Note 3 7 2 2 4 3 4" xfId="36099"/>
    <cellStyle name="Note 3 7 2 2 4 4" xfId="36100"/>
    <cellStyle name="Note 3 7 2 2 4 4 2" xfId="36101"/>
    <cellStyle name="Note 3 7 2 2 4 4 3" xfId="36102"/>
    <cellStyle name="Note 3 7 2 2 4 4 4" xfId="36103"/>
    <cellStyle name="Note 3 7 2 2 4 5" xfId="36104"/>
    <cellStyle name="Note 3 7 2 2 4 6" xfId="36105"/>
    <cellStyle name="Note 3 7 2 2 4 7" xfId="36106"/>
    <cellStyle name="Note 3 7 2 2 4 8" xfId="36107"/>
    <cellStyle name="Note 3 7 2 2 5" xfId="36108"/>
    <cellStyle name="Note 3 7 2 2 5 2" xfId="36109"/>
    <cellStyle name="Note 3 7 2 2 5 2 2" xfId="36110"/>
    <cellStyle name="Note 3 7 2 2 5 2 3" xfId="36111"/>
    <cellStyle name="Note 3 7 2 2 5 2 4" xfId="36112"/>
    <cellStyle name="Note 3 7 2 2 5 3" xfId="36113"/>
    <cellStyle name="Note 3 7 2 2 5 3 2" xfId="36114"/>
    <cellStyle name="Note 3 7 2 2 5 3 3" xfId="36115"/>
    <cellStyle name="Note 3 7 2 2 5 3 4" xfId="36116"/>
    <cellStyle name="Note 3 7 2 2 5 4" xfId="36117"/>
    <cellStyle name="Note 3 7 2 2 5 4 2" xfId="36118"/>
    <cellStyle name="Note 3 7 2 2 5 4 3" xfId="36119"/>
    <cellStyle name="Note 3 7 2 2 5 4 4" xfId="36120"/>
    <cellStyle name="Note 3 7 2 2 5 5" xfId="36121"/>
    <cellStyle name="Note 3 7 2 2 5 6" xfId="36122"/>
    <cellStyle name="Note 3 7 2 2 5 7" xfId="36123"/>
    <cellStyle name="Note 3 7 2 2 5 8" xfId="36124"/>
    <cellStyle name="Note 3 7 2 2 6" xfId="36125"/>
    <cellStyle name="Note 3 7 2 2 6 2" xfId="36126"/>
    <cellStyle name="Note 3 7 2 2 6 3" xfId="36127"/>
    <cellStyle name="Note 3 7 2 2 6 4" xfId="36128"/>
    <cellStyle name="Note 3 7 2 2 7" xfId="36129"/>
    <cellStyle name="Note 3 7 2 2 7 2" xfId="36130"/>
    <cellStyle name="Note 3 7 2 2 7 3" xfId="36131"/>
    <cellStyle name="Note 3 7 2 2 7 4" xfId="36132"/>
    <cellStyle name="Note 3 7 2 2 8" xfId="36133"/>
    <cellStyle name="Note 3 7 2 2 9" xfId="36134"/>
    <cellStyle name="Note 3 7 2 3" xfId="36135"/>
    <cellStyle name="Note 3 7 2 3 2" xfId="36136"/>
    <cellStyle name="Note 3 7 2 3 2 2" xfId="36137"/>
    <cellStyle name="Note 3 7 2 3 2 3" xfId="36138"/>
    <cellStyle name="Note 3 7 2 3 2 4" xfId="36139"/>
    <cellStyle name="Note 3 7 2 3 3" xfId="36140"/>
    <cellStyle name="Note 3 7 2 3 3 2" xfId="36141"/>
    <cellStyle name="Note 3 7 2 3 3 3" xfId="36142"/>
    <cellStyle name="Note 3 7 2 3 3 4" xfId="36143"/>
    <cellStyle name="Note 3 7 2 3 4" xfId="36144"/>
    <cellStyle name="Note 3 7 2 3 4 2" xfId="36145"/>
    <cellStyle name="Note 3 7 2 3 4 3" xfId="36146"/>
    <cellStyle name="Note 3 7 2 3 4 4" xfId="36147"/>
    <cellStyle name="Note 3 7 2 3 5" xfId="36148"/>
    <cellStyle name="Note 3 7 2 3 6" xfId="36149"/>
    <cellStyle name="Note 3 7 2 3 7" xfId="36150"/>
    <cellStyle name="Note 3 7 2 3 8" xfId="36151"/>
    <cellStyle name="Note 3 7 2 4" xfId="36152"/>
    <cellStyle name="Note 3 7 2 4 2" xfId="36153"/>
    <cellStyle name="Note 3 7 2 4 2 2" xfId="36154"/>
    <cellStyle name="Note 3 7 2 4 2 3" xfId="36155"/>
    <cellStyle name="Note 3 7 2 4 2 4" xfId="36156"/>
    <cellStyle name="Note 3 7 2 4 3" xfId="36157"/>
    <cellStyle name="Note 3 7 2 4 3 2" xfId="36158"/>
    <cellStyle name="Note 3 7 2 4 3 3" xfId="36159"/>
    <cellStyle name="Note 3 7 2 4 3 4" xfId="36160"/>
    <cellStyle name="Note 3 7 2 4 4" xfId="36161"/>
    <cellStyle name="Note 3 7 2 4 4 2" xfId="36162"/>
    <cellStyle name="Note 3 7 2 4 4 3" xfId="36163"/>
    <cellStyle name="Note 3 7 2 4 4 4" xfId="36164"/>
    <cellStyle name="Note 3 7 2 4 5" xfId="36165"/>
    <cellStyle name="Note 3 7 2 4 6" xfId="36166"/>
    <cellStyle name="Note 3 7 2 4 7" xfId="36167"/>
    <cellStyle name="Note 3 7 2 4 8" xfId="36168"/>
    <cellStyle name="Note 3 7 2 5" xfId="36169"/>
    <cellStyle name="Note 3 7 2 5 2" xfId="36170"/>
    <cellStyle name="Note 3 7 2 5 2 2" xfId="36171"/>
    <cellStyle name="Note 3 7 2 5 2 3" xfId="36172"/>
    <cellStyle name="Note 3 7 2 5 2 4" xfId="36173"/>
    <cellStyle name="Note 3 7 2 5 3" xfId="36174"/>
    <cellStyle name="Note 3 7 2 5 3 2" xfId="36175"/>
    <cellStyle name="Note 3 7 2 5 3 3" xfId="36176"/>
    <cellStyle name="Note 3 7 2 5 3 4" xfId="36177"/>
    <cellStyle name="Note 3 7 2 5 4" xfId="36178"/>
    <cellStyle name="Note 3 7 2 5 4 2" xfId="36179"/>
    <cellStyle name="Note 3 7 2 5 4 3" xfId="36180"/>
    <cellStyle name="Note 3 7 2 5 4 4" xfId="36181"/>
    <cellStyle name="Note 3 7 2 5 5" xfId="36182"/>
    <cellStyle name="Note 3 7 2 5 6" xfId="36183"/>
    <cellStyle name="Note 3 7 2 5 7" xfId="36184"/>
    <cellStyle name="Note 3 7 2 5 8" xfId="36185"/>
    <cellStyle name="Note 3 7 2 6" xfId="36186"/>
    <cellStyle name="Note 3 7 2 6 2" xfId="36187"/>
    <cellStyle name="Note 3 7 2 6 2 2" xfId="36188"/>
    <cellStyle name="Note 3 7 2 6 2 3" xfId="36189"/>
    <cellStyle name="Note 3 7 2 6 2 4" xfId="36190"/>
    <cellStyle name="Note 3 7 2 6 3" xfId="36191"/>
    <cellStyle name="Note 3 7 2 6 3 2" xfId="36192"/>
    <cellStyle name="Note 3 7 2 6 3 3" xfId="36193"/>
    <cellStyle name="Note 3 7 2 6 3 4" xfId="36194"/>
    <cellStyle name="Note 3 7 2 6 4" xfId="36195"/>
    <cellStyle name="Note 3 7 2 6 4 2" xfId="36196"/>
    <cellStyle name="Note 3 7 2 6 4 3" xfId="36197"/>
    <cellStyle name="Note 3 7 2 6 4 4" xfId="36198"/>
    <cellStyle name="Note 3 7 2 6 5" xfId="36199"/>
    <cellStyle name="Note 3 7 2 6 6" xfId="36200"/>
    <cellStyle name="Note 3 7 2 6 7" xfId="36201"/>
    <cellStyle name="Note 3 7 2 6 8" xfId="36202"/>
    <cellStyle name="Note 3 7 2 7" xfId="36203"/>
    <cellStyle name="Note 3 7 2 7 2" xfId="36204"/>
    <cellStyle name="Note 3 7 2 7 2 2" xfId="36205"/>
    <cellStyle name="Note 3 7 2 7 2 3" xfId="36206"/>
    <cellStyle name="Note 3 7 2 7 2 4" xfId="36207"/>
    <cellStyle name="Note 3 7 2 7 3" xfId="36208"/>
    <cellStyle name="Note 3 7 2 7 3 2" xfId="36209"/>
    <cellStyle name="Note 3 7 2 7 3 3" xfId="36210"/>
    <cellStyle name="Note 3 7 2 7 3 4" xfId="36211"/>
    <cellStyle name="Note 3 7 2 7 4" xfId="36212"/>
    <cellStyle name="Note 3 7 2 7 4 2" xfId="36213"/>
    <cellStyle name="Note 3 7 2 7 4 3" xfId="36214"/>
    <cellStyle name="Note 3 7 2 7 4 4" xfId="36215"/>
    <cellStyle name="Note 3 7 2 7 5" xfId="36216"/>
    <cellStyle name="Note 3 7 2 7 6" xfId="36217"/>
    <cellStyle name="Note 3 7 2 7 7" xfId="36218"/>
    <cellStyle name="Note 3 7 2 7 8" xfId="36219"/>
    <cellStyle name="Note 3 7 2 8" xfId="36220"/>
    <cellStyle name="Note 3 7 2 8 2" xfId="36221"/>
    <cellStyle name="Note 3 7 2 8 3" xfId="36222"/>
    <cellStyle name="Note 3 7 2 8 4" xfId="36223"/>
    <cellStyle name="Note 3 7 2 9" xfId="36224"/>
    <cellStyle name="Note 3 7 2 9 2" xfId="36225"/>
    <cellStyle name="Note 3 7 2 9 3" xfId="36226"/>
    <cellStyle name="Note 3 7 2 9 4" xfId="36227"/>
    <cellStyle name="Note 3 7 3" xfId="36228"/>
    <cellStyle name="Note 3 7 3 10" xfId="36229"/>
    <cellStyle name="Note 3 7 3 11" xfId="36230"/>
    <cellStyle name="Note 3 7 3 2" xfId="36231"/>
    <cellStyle name="Note 3 7 3 2 2" xfId="36232"/>
    <cellStyle name="Note 3 7 3 2 2 2" xfId="36233"/>
    <cellStyle name="Note 3 7 3 2 2 2 2" xfId="36234"/>
    <cellStyle name="Note 3 7 3 2 2 2 3" xfId="36235"/>
    <cellStyle name="Note 3 7 3 2 2 2 4" xfId="36236"/>
    <cellStyle name="Note 3 7 3 2 2 3" xfId="36237"/>
    <cellStyle name="Note 3 7 3 2 2 3 2" xfId="36238"/>
    <cellStyle name="Note 3 7 3 2 2 3 3" xfId="36239"/>
    <cellStyle name="Note 3 7 3 2 2 3 4" xfId="36240"/>
    <cellStyle name="Note 3 7 3 2 2 4" xfId="36241"/>
    <cellStyle name="Note 3 7 3 2 2 4 2" xfId="36242"/>
    <cellStyle name="Note 3 7 3 2 2 4 3" xfId="36243"/>
    <cellStyle name="Note 3 7 3 2 2 4 4" xfId="36244"/>
    <cellStyle name="Note 3 7 3 2 2 5" xfId="36245"/>
    <cellStyle name="Note 3 7 3 2 2 6" xfId="36246"/>
    <cellStyle name="Note 3 7 3 2 2 7" xfId="36247"/>
    <cellStyle name="Note 3 7 3 2 2 8" xfId="36248"/>
    <cellStyle name="Note 3 7 3 2 3" xfId="36249"/>
    <cellStyle name="Note 3 7 3 2 3 2" xfId="36250"/>
    <cellStyle name="Note 3 7 3 2 3 2 2" xfId="36251"/>
    <cellStyle name="Note 3 7 3 2 3 2 3" xfId="36252"/>
    <cellStyle name="Note 3 7 3 2 3 2 4" xfId="36253"/>
    <cellStyle name="Note 3 7 3 2 3 3" xfId="36254"/>
    <cellStyle name="Note 3 7 3 2 3 3 2" xfId="36255"/>
    <cellStyle name="Note 3 7 3 2 3 3 3" xfId="36256"/>
    <cellStyle name="Note 3 7 3 2 3 3 4" xfId="36257"/>
    <cellStyle name="Note 3 7 3 2 3 4" xfId="36258"/>
    <cellStyle name="Note 3 7 3 2 3 4 2" xfId="36259"/>
    <cellStyle name="Note 3 7 3 2 3 4 3" xfId="36260"/>
    <cellStyle name="Note 3 7 3 2 3 4 4" xfId="36261"/>
    <cellStyle name="Note 3 7 3 2 3 5" xfId="36262"/>
    <cellStyle name="Note 3 7 3 2 3 6" xfId="36263"/>
    <cellStyle name="Note 3 7 3 2 3 7" xfId="36264"/>
    <cellStyle name="Note 3 7 3 2 3 8" xfId="36265"/>
    <cellStyle name="Note 3 7 3 2 4" xfId="36266"/>
    <cellStyle name="Note 3 7 3 2 4 2" xfId="36267"/>
    <cellStyle name="Note 3 7 3 2 4 2 2" xfId="36268"/>
    <cellStyle name="Note 3 7 3 2 4 2 3" xfId="36269"/>
    <cellStyle name="Note 3 7 3 2 4 2 4" xfId="36270"/>
    <cellStyle name="Note 3 7 3 2 4 3" xfId="36271"/>
    <cellStyle name="Note 3 7 3 2 4 3 2" xfId="36272"/>
    <cellStyle name="Note 3 7 3 2 4 3 3" xfId="36273"/>
    <cellStyle name="Note 3 7 3 2 4 3 4" xfId="36274"/>
    <cellStyle name="Note 3 7 3 2 4 4" xfId="36275"/>
    <cellStyle name="Note 3 7 3 2 4 4 2" xfId="36276"/>
    <cellStyle name="Note 3 7 3 2 4 4 3" xfId="36277"/>
    <cellStyle name="Note 3 7 3 2 4 4 4" xfId="36278"/>
    <cellStyle name="Note 3 7 3 2 4 5" xfId="36279"/>
    <cellStyle name="Note 3 7 3 2 4 6" xfId="36280"/>
    <cellStyle name="Note 3 7 3 2 4 7" xfId="36281"/>
    <cellStyle name="Note 3 7 3 2 4 8" xfId="36282"/>
    <cellStyle name="Note 3 7 3 2 5" xfId="36283"/>
    <cellStyle name="Note 3 7 3 2 5 2" xfId="36284"/>
    <cellStyle name="Note 3 7 3 2 5 2 2" xfId="36285"/>
    <cellStyle name="Note 3 7 3 2 5 2 3" xfId="36286"/>
    <cellStyle name="Note 3 7 3 2 5 2 4" xfId="36287"/>
    <cellStyle name="Note 3 7 3 2 5 3" xfId="36288"/>
    <cellStyle name="Note 3 7 3 2 5 3 2" xfId="36289"/>
    <cellStyle name="Note 3 7 3 2 5 3 3" xfId="36290"/>
    <cellStyle name="Note 3 7 3 2 5 3 4" xfId="36291"/>
    <cellStyle name="Note 3 7 3 2 5 4" xfId="36292"/>
    <cellStyle name="Note 3 7 3 2 5 4 2" xfId="36293"/>
    <cellStyle name="Note 3 7 3 2 5 4 3" xfId="36294"/>
    <cellStyle name="Note 3 7 3 2 5 4 4" xfId="36295"/>
    <cellStyle name="Note 3 7 3 2 5 5" xfId="36296"/>
    <cellStyle name="Note 3 7 3 2 5 6" xfId="36297"/>
    <cellStyle name="Note 3 7 3 2 5 7" xfId="36298"/>
    <cellStyle name="Note 3 7 3 2 5 8" xfId="36299"/>
    <cellStyle name="Note 3 7 3 2 6" xfId="36300"/>
    <cellStyle name="Note 3 7 3 2 6 2" xfId="36301"/>
    <cellStyle name="Note 3 7 3 2 6 3" xfId="36302"/>
    <cellStyle name="Note 3 7 3 2 6 4" xfId="36303"/>
    <cellStyle name="Note 3 7 3 2 7" xfId="36304"/>
    <cellStyle name="Note 3 7 3 2 7 2" xfId="36305"/>
    <cellStyle name="Note 3 7 3 2 7 3" xfId="36306"/>
    <cellStyle name="Note 3 7 3 2 7 4" xfId="36307"/>
    <cellStyle name="Note 3 7 3 2 8" xfId="36308"/>
    <cellStyle name="Note 3 7 3 2 9" xfId="36309"/>
    <cellStyle name="Note 3 7 3 3" xfId="36310"/>
    <cellStyle name="Note 3 7 3 3 2" xfId="36311"/>
    <cellStyle name="Note 3 7 3 3 2 2" xfId="36312"/>
    <cellStyle name="Note 3 7 3 3 2 3" xfId="36313"/>
    <cellStyle name="Note 3 7 3 3 2 4" xfId="36314"/>
    <cellStyle name="Note 3 7 3 3 3" xfId="36315"/>
    <cellStyle name="Note 3 7 3 3 3 2" xfId="36316"/>
    <cellStyle name="Note 3 7 3 3 3 3" xfId="36317"/>
    <cellStyle name="Note 3 7 3 3 3 4" xfId="36318"/>
    <cellStyle name="Note 3 7 3 3 4" xfId="36319"/>
    <cellStyle name="Note 3 7 3 3 4 2" xfId="36320"/>
    <cellStyle name="Note 3 7 3 3 4 3" xfId="36321"/>
    <cellStyle name="Note 3 7 3 3 4 4" xfId="36322"/>
    <cellStyle name="Note 3 7 3 3 5" xfId="36323"/>
    <cellStyle name="Note 3 7 3 3 6" xfId="36324"/>
    <cellStyle name="Note 3 7 3 3 7" xfId="36325"/>
    <cellStyle name="Note 3 7 3 3 8" xfId="36326"/>
    <cellStyle name="Note 3 7 3 4" xfId="36327"/>
    <cellStyle name="Note 3 7 3 4 2" xfId="36328"/>
    <cellStyle name="Note 3 7 3 4 2 2" xfId="36329"/>
    <cellStyle name="Note 3 7 3 4 2 3" xfId="36330"/>
    <cellStyle name="Note 3 7 3 4 2 4" xfId="36331"/>
    <cellStyle name="Note 3 7 3 4 3" xfId="36332"/>
    <cellStyle name="Note 3 7 3 4 3 2" xfId="36333"/>
    <cellStyle name="Note 3 7 3 4 3 3" xfId="36334"/>
    <cellStyle name="Note 3 7 3 4 3 4" xfId="36335"/>
    <cellStyle name="Note 3 7 3 4 4" xfId="36336"/>
    <cellStyle name="Note 3 7 3 4 4 2" xfId="36337"/>
    <cellStyle name="Note 3 7 3 4 4 3" xfId="36338"/>
    <cellStyle name="Note 3 7 3 4 4 4" xfId="36339"/>
    <cellStyle name="Note 3 7 3 4 5" xfId="36340"/>
    <cellStyle name="Note 3 7 3 4 6" xfId="36341"/>
    <cellStyle name="Note 3 7 3 4 7" xfId="36342"/>
    <cellStyle name="Note 3 7 3 4 8" xfId="36343"/>
    <cellStyle name="Note 3 7 3 5" xfId="36344"/>
    <cellStyle name="Note 3 7 3 5 2" xfId="36345"/>
    <cellStyle name="Note 3 7 3 5 2 2" xfId="36346"/>
    <cellStyle name="Note 3 7 3 5 2 3" xfId="36347"/>
    <cellStyle name="Note 3 7 3 5 2 4" xfId="36348"/>
    <cellStyle name="Note 3 7 3 5 3" xfId="36349"/>
    <cellStyle name="Note 3 7 3 5 3 2" xfId="36350"/>
    <cellStyle name="Note 3 7 3 5 3 3" xfId="36351"/>
    <cellStyle name="Note 3 7 3 5 3 4" xfId="36352"/>
    <cellStyle name="Note 3 7 3 5 4" xfId="36353"/>
    <cellStyle name="Note 3 7 3 5 4 2" xfId="36354"/>
    <cellStyle name="Note 3 7 3 5 4 3" xfId="36355"/>
    <cellStyle name="Note 3 7 3 5 4 4" xfId="36356"/>
    <cellStyle name="Note 3 7 3 5 5" xfId="36357"/>
    <cellStyle name="Note 3 7 3 5 6" xfId="36358"/>
    <cellStyle name="Note 3 7 3 5 7" xfId="36359"/>
    <cellStyle name="Note 3 7 3 5 8" xfId="36360"/>
    <cellStyle name="Note 3 7 3 6" xfId="36361"/>
    <cellStyle name="Note 3 7 3 6 2" xfId="36362"/>
    <cellStyle name="Note 3 7 3 6 2 2" xfId="36363"/>
    <cellStyle name="Note 3 7 3 6 2 3" xfId="36364"/>
    <cellStyle name="Note 3 7 3 6 2 4" xfId="36365"/>
    <cellStyle name="Note 3 7 3 6 3" xfId="36366"/>
    <cellStyle name="Note 3 7 3 6 3 2" xfId="36367"/>
    <cellStyle name="Note 3 7 3 6 3 3" xfId="36368"/>
    <cellStyle name="Note 3 7 3 6 3 4" xfId="36369"/>
    <cellStyle name="Note 3 7 3 6 4" xfId="36370"/>
    <cellStyle name="Note 3 7 3 6 4 2" xfId="36371"/>
    <cellStyle name="Note 3 7 3 6 4 3" xfId="36372"/>
    <cellStyle name="Note 3 7 3 6 4 4" xfId="36373"/>
    <cellStyle name="Note 3 7 3 6 5" xfId="36374"/>
    <cellStyle name="Note 3 7 3 6 6" xfId="36375"/>
    <cellStyle name="Note 3 7 3 6 7" xfId="36376"/>
    <cellStyle name="Note 3 7 3 6 8" xfId="36377"/>
    <cellStyle name="Note 3 7 3 7" xfId="36378"/>
    <cellStyle name="Note 3 7 3 7 2" xfId="36379"/>
    <cellStyle name="Note 3 7 3 7 2 2" xfId="36380"/>
    <cellStyle name="Note 3 7 3 7 2 3" xfId="36381"/>
    <cellStyle name="Note 3 7 3 7 2 4" xfId="36382"/>
    <cellStyle name="Note 3 7 3 7 3" xfId="36383"/>
    <cellStyle name="Note 3 7 3 7 3 2" xfId="36384"/>
    <cellStyle name="Note 3 7 3 7 3 3" xfId="36385"/>
    <cellStyle name="Note 3 7 3 7 3 4" xfId="36386"/>
    <cellStyle name="Note 3 7 3 7 4" xfId="36387"/>
    <cellStyle name="Note 3 7 3 7 4 2" xfId="36388"/>
    <cellStyle name="Note 3 7 3 7 4 3" xfId="36389"/>
    <cellStyle name="Note 3 7 3 7 4 4" xfId="36390"/>
    <cellStyle name="Note 3 7 3 7 5" xfId="36391"/>
    <cellStyle name="Note 3 7 3 7 6" xfId="36392"/>
    <cellStyle name="Note 3 7 3 7 7" xfId="36393"/>
    <cellStyle name="Note 3 7 3 7 8" xfId="36394"/>
    <cellStyle name="Note 3 7 3 8" xfId="36395"/>
    <cellStyle name="Note 3 7 3 8 2" xfId="36396"/>
    <cellStyle name="Note 3 7 3 8 3" xfId="36397"/>
    <cellStyle name="Note 3 7 3 8 4" xfId="36398"/>
    <cellStyle name="Note 3 7 3 9" xfId="36399"/>
    <cellStyle name="Note 3 7 3 9 2" xfId="36400"/>
    <cellStyle name="Note 3 7 3 9 3" xfId="36401"/>
    <cellStyle name="Note 3 7 3 9 4" xfId="36402"/>
    <cellStyle name="Note 3 7 4" xfId="36403"/>
    <cellStyle name="Note 3 7 4 2" xfId="36404"/>
    <cellStyle name="Note 3 7 4 2 2" xfId="36405"/>
    <cellStyle name="Note 3 7 4 2 2 2" xfId="36406"/>
    <cellStyle name="Note 3 7 4 2 2 3" xfId="36407"/>
    <cellStyle name="Note 3 7 4 2 2 4" xfId="36408"/>
    <cellStyle name="Note 3 7 4 2 3" xfId="36409"/>
    <cellStyle name="Note 3 7 4 2 3 2" xfId="36410"/>
    <cellStyle name="Note 3 7 4 2 3 3" xfId="36411"/>
    <cellStyle name="Note 3 7 4 2 3 4" xfId="36412"/>
    <cellStyle name="Note 3 7 4 2 4" xfId="36413"/>
    <cellStyle name="Note 3 7 4 2 4 2" xfId="36414"/>
    <cellStyle name="Note 3 7 4 2 4 3" xfId="36415"/>
    <cellStyle name="Note 3 7 4 2 4 4" xfId="36416"/>
    <cellStyle name="Note 3 7 4 2 5" xfId="36417"/>
    <cellStyle name="Note 3 7 4 2 6" xfId="36418"/>
    <cellStyle name="Note 3 7 4 2 7" xfId="36419"/>
    <cellStyle name="Note 3 7 4 2 8" xfId="36420"/>
    <cellStyle name="Note 3 7 4 3" xfId="36421"/>
    <cellStyle name="Note 3 7 4 3 2" xfId="36422"/>
    <cellStyle name="Note 3 7 4 3 2 2" xfId="36423"/>
    <cellStyle name="Note 3 7 4 3 2 3" xfId="36424"/>
    <cellStyle name="Note 3 7 4 3 2 4" xfId="36425"/>
    <cellStyle name="Note 3 7 4 3 3" xfId="36426"/>
    <cellStyle name="Note 3 7 4 3 3 2" xfId="36427"/>
    <cellStyle name="Note 3 7 4 3 3 3" xfId="36428"/>
    <cellStyle name="Note 3 7 4 3 3 4" xfId="36429"/>
    <cellStyle name="Note 3 7 4 3 4" xfId="36430"/>
    <cellStyle name="Note 3 7 4 3 4 2" xfId="36431"/>
    <cellStyle name="Note 3 7 4 3 4 3" xfId="36432"/>
    <cellStyle name="Note 3 7 4 3 4 4" xfId="36433"/>
    <cellStyle name="Note 3 7 4 3 5" xfId="36434"/>
    <cellStyle name="Note 3 7 4 3 6" xfId="36435"/>
    <cellStyle name="Note 3 7 4 3 7" xfId="36436"/>
    <cellStyle name="Note 3 7 4 3 8" xfId="36437"/>
    <cellStyle name="Note 3 7 4 4" xfId="36438"/>
    <cellStyle name="Note 3 7 4 4 2" xfId="36439"/>
    <cellStyle name="Note 3 7 4 4 2 2" xfId="36440"/>
    <cellStyle name="Note 3 7 4 4 2 3" xfId="36441"/>
    <cellStyle name="Note 3 7 4 4 2 4" xfId="36442"/>
    <cellStyle name="Note 3 7 4 4 3" xfId="36443"/>
    <cellStyle name="Note 3 7 4 4 3 2" xfId="36444"/>
    <cellStyle name="Note 3 7 4 4 3 3" xfId="36445"/>
    <cellStyle name="Note 3 7 4 4 3 4" xfId="36446"/>
    <cellStyle name="Note 3 7 4 4 4" xfId="36447"/>
    <cellStyle name="Note 3 7 4 4 4 2" xfId="36448"/>
    <cellStyle name="Note 3 7 4 4 4 3" xfId="36449"/>
    <cellStyle name="Note 3 7 4 4 4 4" xfId="36450"/>
    <cellStyle name="Note 3 7 4 4 5" xfId="36451"/>
    <cellStyle name="Note 3 7 4 4 6" xfId="36452"/>
    <cellStyle name="Note 3 7 4 4 7" xfId="36453"/>
    <cellStyle name="Note 3 7 4 4 8" xfId="36454"/>
    <cellStyle name="Note 3 7 4 5" xfId="36455"/>
    <cellStyle name="Note 3 7 4 5 2" xfId="36456"/>
    <cellStyle name="Note 3 7 4 5 2 2" xfId="36457"/>
    <cellStyle name="Note 3 7 4 5 2 3" xfId="36458"/>
    <cellStyle name="Note 3 7 4 5 2 4" xfId="36459"/>
    <cellStyle name="Note 3 7 4 5 3" xfId="36460"/>
    <cellStyle name="Note 3 7 4 5 3 2" xfId="36461"/>
    <cellStyle name="Note 3 7 4 5 3 3" xfId="36462"/>
    <cellStyle name="Note 3 7 4 5 3 4" xfId="36463"/>
    <cellStyle name="Note 3 7 4 5 4" xfId="36464"/>
    <cellStyle name="Note 3 7 4 5 4 2" xfId="36465"/>
    <cellStyle name="Note 3 7 4 5 4 3" xfId="36466"/>
    <cellStyle name="Note 3 7 4 5 4 4" xfId="36467"/>
    <cellStyle name="Note 3 7 4 5 5" xfId="36468"/>
    <cellStyle name="Note 3 7 4 5 6" xfId="36469"/>
    <cellStyle name="Note 3 7 4 5 7" xfId="36470"/>
    <cellStyle name="Note 3 7 4 5 8" xfId="36471"/>
    <cellStyle name="Note 3 7 4 6" xfId="36472"/>
    <cellStyle name="Note 3 7 4 6 2" xfId="36473"/>
    <cellStyle name="Note 3 7 4 6 3" xfId="36474"/>
    <cellStyle name="Note 3 7 4 6 4" xfId="36475"/>
    <cellStyle name="Note 3 7 4 7" xfId="36476"/>
    <cellStyle name="Note 3 7 4 7 2" xfId="36477"/>
    <cellStyle name="Note 3 7 4 7 3" xfId="36478"/>
    <cellStyle name="Note 3 7 4 7 4" xfId="36479"/>
    <cellStyle name="Note 3 7 4 8" xfId="36480"/>
    <cellStyle name="Note 3 7 4 9" xfId="36481"/>
    <cellStyle name="Note 3 7 5" xfId="36482"/>
    <cellStyle name="Note 3 7 5 2" xfId="36483"/>
    <cellStyle name="Note 3 7 5 2 2" xfId="36484"/>
    <cellStyle name="Note 3 7 5 2 3" xfId="36485"/>
    <cellStyle name="Note 3 7 5 2 4" xfId="36486"/>
    <cellStyle name="Note 3 7 5 3" xfId="36487"/>
    <cellStyle name="Note 3 7 5 3 2" xfId="36488"/>
    <cellStyle name="Note 3 7 5 3 3" xfId="36489"/>
    <cellStyle name="Note 3 7 5 3 4" xfId="36490"/>
    <cellStyle name="Note 3 7 5 4" xfId="36491"/>
    <cellStyle name="Note 3 7 5 4 2" xfId="36492"/>
    <cellStyle name="Note 3 7 5 4 3" xfId="36493"/>
    <cellStyle name="Note 3 7 5 4 4" xfId="36494"/>
    <cellStyle name="Note 3 7 5 5" xfId="36495"/>
    <cellStyle name="Note 3 7 5 6" xfId="36496"/>
    <cellStyle name="Note 3 7 5 7" xfId="36497"/>
    <cellStyle name="Note 3 7 5 8" xfId="36498"/>
    <cellStyle name="Note 3 7 6" xfId="36499"/>
    <cellStyle name="Note 3 7 6 2" xfId="36500"/>
    <cellStyle name="Note 3 7 6 2 2" xfId="36501"/>
    <cellStyle name="Note 3 7 6 2 3" xfId="36502"/>
    <cellStyle name="Note 3 7 6 2 4" xfId="36503"/>
    <cellStyle name="Note 3 7 6 3" xfId="36504"/>
    <cellStyle name="Note 3 7 6 3 2" xfId="36505"/>
    <cellStyle name="Note 3 7 6 3 3" xfId="36506"/>
    <cellStyle name="Note 3 7 6 3 4" xfId="36507"/>
    <cellStyle name="Note 3 7 6 4" xfId="36508"/>
    <cellStyle name="Note 3 7 6 4 2" xfId="36509"/>
    <cellStyle name="Note 3 7 6 4 3" xfId="36510"/>
    <cellStyle name="Note 3 7 6 4 4" xfId="36511"/>
    <cellStyle name="Note 3 7 6 5" xfId="36512"/>
    <cellStyle name="Note 3 7 6 6" xfId="36513"/>
    <cellStyle name="Note 3 7 6 7" xfId="36514"/>
    <cellStyle name="Note 3 7 6 8" xfId="36515"/>
    <cellStyle name="Note 3 7 7" xfId="36516"/>
    <cellStyle name="Note 3 7 7 2" xfId="36517"/>
    <cellStyle name="Note 3 7 7 2 2" xfId="36518"/>
    <cellStyle name="Note 3 7 7 2 3" xfId="36519"/>
    <cellStyle name="Note 3 7 7 2 4" xfId="36520"/>
    <cellStyle name="Note 3 7 7 3" xfId="36521"/>
    <cellStyle name="Note 3 7 7 3 2" xfId="36522"/>
    <cellStyle name="Note 3 7 7 3 3" xfId="36523"/>
    <cellStyle name="Note 3 7 7 3 4" xfId="36524"/>
    <cellStyle name="Note 3 7 7 4" xfId="36525"/>
    <cellStyle name="Note 3 7 7 4 2" xfId="36526"/>
    <cellStyle name="Note 3 7 7 4 3" xfId="36527"/>
    <cellStyle name="Note 3 7 7 4 4" xfId="36528"/>
    <cellStyle name="Note 3 7 7 5" xfId="36529"/>
    <cellStyle name="Note 3 7 7 6" xfId="36530"/>
    <cellStyle name="Note 3 7 7 7" xfId="36531"/>
    <cellStyle name="Note 3 7 7 8" xfId="36532"/>
    <cellStyle name="Note 3 7 8" xfId="36533"/>
    <cellStyle name="Note 3 7 8 2" xfId="36534"/>
    <cellStyle name="Note 3 7 8 2 2" xfId="36535"/>
    <cellStyle name="Note 3 7 8 2 3" xfId="36536"/>
    <cellStyle name="Note 3 7 8 2 4" xfId="36537"/>
    <cellStyle name="Note 3 7 8 3" xfId="36538"/>
    <cellStyle name="Note 3 7 8 3 2" xfId="36539"/>
    <cellStyle name="Note 3 7 8 3 3" xfId="36540"/>
    <cellStyle name="Note 3 7 8 3 4" xfId="36541"/>
    <cellStyle name="Note 3 7 8 4" xfId="36542"/>
    <cellStyle name="Note 3 7 8 4 2" xfId="36543"/>
    <cellStyle name="Note 3 7 8 4 3" xfId="36544"/>
    <cellStyle name="Note 3 7 8 4 4" xfId="36545"/>
    <cellStyle name="Note 3 7 8 5" xfId="36546"/>
    <cellStyle name="Note 3 7 8 6" xfId="36547"/>
    <cellStyle name="Note 3 7 8 7" xfId="36548"/>
    <cellStyle name="Note 3 7 8 8" xfId="36549"/>
    <cellStyle name="Note 3 7 9" xfId="36550"/>
    <cellStyle name="Note 3 7 9 2" xfId="36551"/>
    <cellStyle name="Note 3 7 9 2 2" xfId="36552"/>
    <cellStyle name="Note 3 7 9 2 3" xfId="36553"/>
    <cellStyle name="Note 3 7 9 2 4" xfId="36554"/>
    <cellStyle name="Note 3 7 9 3" xfId="36555"/>
    <cellStyle name="Note 3 7 9 3 2" xfId="36556"/>
    <cellStyle name="Note 3 7 9 3 3" xfId="36557"/>
    <cellStyle name="Note 3 7 9 3 4" xfId="36558"/>
    <cellStyle name="Note 3 7 9 4" xfId="36559"/>
    <cellStyle name="Note 3 7 9 4 2" xfId="36560"/>
    <cellStyle name="Note 3 7 9 4 3" xfId="36561"/>
    <cellStyle name="Note 3 7 9 4 4" xfId="36562"/>
    <cellStyle name="Note 3 7 9 5" xfId="36563"/>
    <cellStyle name="Note 3 7 9 6" xfId="36564"/>
    <cellStyle name="Note 3 7 9 7" xfId="36565"/>
    <cellStyle name="Note 3 7 9 8" xfId="36566"/>
    <cellStyle name="Note 3 8" xfId="36567"/>
    <cellStyle name="Note 3 8 10" xfId="36568"/>
    <cellStyle name="Note 3 8 11" xfId="36569"/>
    <cellStyle name="Note 3 8 2" xfId="36570"/>
    <cellStyle name="Note 3 8 2 2" xfId="36571"/>
    <cellStyle name="Note 3 8 2 2 2" xfId="36572"/>
    <cellStyle name="Note 3 8 2 2 2 2" xfId="36573"/>
    <cellStyle name="Note 3 8 2 2 2 3" xfId="36574"/>
    <cellStyle name="Note 3 8 2 2 2 4" xfId="36575"/>
    <cellStyle name="Note 3 8 2 2 3" xfId="36576"/>
    <cellStyle name="Note 3 8 2 2 3 2" xfId="36577"/>
    <cellStyle name="Note 3 8 2 2 3 3" xfId="36578"/>
    <cellStyle name="Note 3 8 2 2 3 4" xfId="36579"/>
    <cellStyle name="Note 3 8 2 2 4" xfId="36580"/>
    <cellStyle name="Note 3 8 2 2 4 2" xfId="36581"/>
    <cellStyle name="Note 3 8 2 2 4 3" xfId="36582"/>
    <cellStyle name="Note 3 8 2 2 4 4" xfId="36583"/>
    <cellStyle name="Note 3 8 2 2 5" xfId="36584"/>
    <cellStyle name="Note 3 8 2 2 6" xfId="36585"/>
    <cellStyle name="Note 3 8 2 2 7" xfId="36586"/>
    <cellStyle name="Note 3 8 2 2 8" xfId="36587"/>
    <cellStyle name="Note 3 8 2 3" xfId="36588"/>
    <cellStyle name="Note 3 8 2 3 2" xfId="36589"/>
    <cellStyle name="Note 3 8 2 3 2 2" xfId="36590"/>
    <cellStyle name="Note 3 8 2 3 2 3" xfId="36591"/>
    <cellStyle name="Note 3 8 2 3 2 4" xfId="36592"/>
    <cellStyle name="Note 3 8 2 3 3" xfId="36593"/>
    <cellStyle name="Note 3 8 2 3 3 2" xfId="36594"/>
    <cellStyle name="Note 3 8 2 3 3 3" xfId="36595"/>
    <cellStyle name="Note 3 8 2 3 3 4" xfId="36596"/>
    <cellStyle name="Note 3 8 2 3 4" xfId="36597"/>
    <cellStyle name="Note 3 8 2 3 4 2" xfId="36598"/>
    <cellStyle name="Note 3 8 2 3 4 3" xfId="36599"/>
    <cellStyle name="Note 3 8 2 3 4 4" xfId="36600"/>
    <cellStyle name="Note 3 8 2 3 5" xfId="36601"/>
    <cellStyle name="Note 3 8 2 3 6" xfId="36602"/>
    <cellStyle name="Note 3 8 2 3 7" xfId="36603"/>
    <cellStyle name="Note 3 8 2 3 8" xfId="36604"/>
    <cellStyle name="Note 3 8 2 4" xfId="36605"/>
    <cellStyle name="Note 3 8 2 4 2" xfId="36606"/>
    <cellStyle name="Note 3 8 2 4 2 2" xfId="36607"/>
    <cellStyle name="Note 3 8 2 4 2 3" xfId="36608"/>
    <cellStyle name="Note 3 8 2 4 2 4" xfId="36609"/>
    <cellStyle name="Note 3 8 2 4 3" xfId="36610"/>
    <cellStyle name="Note 3 8 2 4 3 2" xfId="36611"/>
    <cellStyle name="Note 3 8 2 4 3 3" xfId="36612"/>
    <cellStyle name="Note 3 8 2 4 3 4" xfId="36613"/>
    <cellStyle name="Note 3 8 2 4 4" xfId="36614"/>
    <cellStyle name="Note 3 8 2 4 4 2" xfId="36615"/>
    <cellStyle name="Note 3 8 2 4 4 3" xfId="36616"/>
    <cellStyle name="Note 3 8 2 4 4 4" xfId="36617"/>
    <cellStyle name="Note 3 8 2 4 5" xfId="36618"/>
    <cellStyle name="Note 3 8 2 4 6" xfId="36619"/>
    <cellStyle name="Note 3 8 2 4 7" xfId="36620"/>
    <cellStyle name="Note 3 8 2 4 8" xfId="36621"/>
    <cellStyle name="Note 3 8 2 5" xfId="36622"/>
    <cellStyle name="Note 3 8 2 5 2" xfId="36623"/>
    <cellStyle name="Note 3 8 2 5 2 2" xfId="36624"/>
    <cellStyle name="Note 3 8 2 5 2 3" xfId="36625"/>
    <cellStyle name="Note 3 8 2 5 2 4" xfId="36626"/>
    <cellStyle name="Note 3 8 2 5 3" xfId="36627"/>
    <cellStyle name="Note 3 8 2 5 3 2" xfId="36628"/>
    <cellStyle name="Note 3 8 2 5 3 3" xfId="36629"/>
    <cellStyle name="Note 3 8 2 5 3 4" xfId="36630"/>
    <cellStyle name="Note 3 8 2 5 4" xfId="36631"/>
    <cellStyle name="Note 3 8 2 5 4 2" xfId="36632"/>
    <cellStyle name="Note 3 8 2 5 4 3" xfId="36633"/>
    <cellStyle name="Note 3 8 2 5 4 4" xfId="36634"/>
    <cellStyle name="Note 3 8 2 5 5" xfId="36635"/>
    <cellStyle name="Note 3 8 2 5 6" xfId="36636"/>
    <cellStyle name="Note 3 8 2 5 7" xfId="36637"/>
    <cellStyle name="Note 3 8 2 5 8" xfId="36638"/>
    <cellStyle name="Note 3 8 2 6" xfId="36639"/>
    <cellStyle name="Note 3 8 2 6 2" xfId="36640"/>
    <cellStyle name="Note 3 8 2 6 3" xfId="36641"/>
    <cellStyle name="Note 3 8 2 6 4" xfId="36642"/>
    <cellStyle name="Note 3 8 2 7" xfId="36643"/>
    <cellStyle name="Note 3 8 2 7 2" xfId="36644"/>
    <cellStyle name="Note 3 8 2 7 3" xfId="36645"/>
    <cellStyle name="Note 3 8 2 7 4" xfId="36646"/>
    <cellStyle name="Note 3 8 2 8" xfId="36647"/>
    <cellStyle name="Note 3 8 2 9" xfId="36648"/>
    <cellStyle name="Note 3 8 3" xfId="36649"/>
    <cellStyle name="Note 3 8 3 2" xfId="36650"/>
    <cellStyle name="Note 3 8 3 2 2" xfId="36651"/>
    <cellStyle name="Note 3 8 3 2 3" xfId="36652"/>
    <cellStyle name="Note 3 8 3 2 4" xfId="36653"/>
    <cellStyle name="Note 3 8 3 3" xfId="36654"/>
    <cellStyle name="Note 3 8 3 3 2" xfId="36655"/>
    <cellStyle name="Note 3 8 3 3 3" xfId="36656"/>
    <cellStyle name="Note 3 8 3 3 4" xfId="36657"/>
    <cellStyle name="Note 3 8 3 4" xfId="36658"/>
    <cellStyle name="Note 3 8 3 4 2" xfId="36659"/>
    <cellStyle name="Note 3 8 3 4 3" xfId="36660"/>
    <cellStyle name="Note 3 8 3 4 4" xfId="36661"/>
    <cellStyle name="Note 3 8 3 5" xfId="36662"/>
    <cellStyle name="Note 3 8 3 6" xfId="36663"/>
    <cellStyle name="Note 3 8 3 7" xfId="36664"/>
    <cellStyle name="Note 3 8 3 8" xfId="36665"/>
    <cellStyle name="Note 3 8 4" xfId="36666"/>
    <cellStyle name="Note 3 8 4 2" xfId="36667"/>
    <cellStyle name="Note 3 8 4 2 2" xfId="36668"/>
    <cellStyle name="Note 3 8 4 2 3" xfId="36669"/>
    <cellStyle name="Note 3 8 4 2 4" xfId="36670"/>
    <cellStyle name="Note 3 8 4 3" xfId="36671"/>
    <cellStyle name="Note 3 8 4 3 2" xfId="36672"/>
    <cellStyle name="Note 3 8 4 3 3" xfId="36673"/>
    <cellStyle name="Note 3 8 4 3 4" xfId="36674"/>
    <cellStyle name="Note 3 8 4 4" xfId="36675"/>
    <cellStyle name="Note 3 8 4 4 2" xfId="36676"/>
    <cellStyle name="Note 3 8 4 4 3" xfId="36677"/>
    <cellStyle name="Note 3 8 4 4 4" xfId="36678"/>
    <cellStyle name="Note 3 8 4 5" xfId="36679"/>
    <cellStyle name="Note 3 8 4 6" xfId="36680"/>
    <cellStyle name="Note 3 8 4 7" xfId="36681"/>
    <cellStyle name="Note 3 8 4 8" xfId="36682"/>
    <cellStyle name="Note 3 8 5" xfId="36683"/>
    <cellStyle name="Note 3 8 5 2" xfId="36684"/>
    <cellStyle name="Note 3 8 5 2 2" xfId="36685"/>
    <cellStyle name="Note 3 8 5 2 3" xfId="36686"/>
    <cellStyle name="Note 3 8 5 2 4" xfId="36687"/>
    <cellStyle name="Note 3 8 5 3" xfId="36688"/>
    <cellStyle name="Note 3 8 5 3 2" xfId="36689"/>
    <cellStyle name="Note 3 8 5 3 3" xfId="36690"/>
    <cellStyle name="Note 3 8 5 3 4" xfId="36691"/>
    <cellStyle name="Note 3 8 5 4" xfId="36692"/>
    <cellStyle name="Note 3 8 5 4 2" xfId="36693"/>
    <cellStyle name="Note 3 8 5 4 3" xfId="36694"/>
    <cellStyle name="Note 3 8 5 4 4" xfId="36695"/>
    <cellStyle name="Note 3 8 5 5" xfId="36696"/>
    <cellStyle name="Note 3 8 5 6" xfId="36697"/>
    <cellStyle name="Note 3 8 5 7" xfId="36698"/>
    <cellStyle name="Note 3 8 5 8" xfId="36699"/>
    <cellStyle name="Note 3 8 6" xfId="36700"/>
    <cellStyle name="Note 3 8 6 2" xfId="36701"/>
    <cellStyle name="Note 3 8 6 2 2" xfId="36702"/>
    <cellStyle name="Note 3 8 6 2 3" xfId="36703"/>
    <cellStyle name="Note 3 8 6 2 4" xfId="36704"/>
    <cellStyle name="Note 3 8 6 3" xfId="36705"/>
    <cellStyle name="Note 3 8 6 3 2" xfId="36706"/>
    <cellStyle name="Note 3 8 6 3 3" xfId="36707"/>
    <cellStyle name="Note 3 8 6 3 4" xfId="36708"/>
    <cellStyle name="Note 3 8 6 4" xfId="36709"/>
    <cellStyle name="Note 3 8 6 4 2" xfId="36710"/>
    <cellStyle name="Note 3 8 6 4 3" xfId="36711"/>
    <cellStyle name="Note 3 8 6 4 4" xfId="36712"/>
    <cellStyle name="Note 3 8 6 5" xfId="36713"/>
    <cellStyle name="Note 3 8 6 6" xfId="36714"/>
    <cellStyle name="Note 3 8 6 7" xfId="36715"/>
    <cellStyle name="Note 3 8 6 8" xfId="36716"/>
    <cellStyle name="Note 3 8 7" xfId="36717"/>
    <cellStyle name="Note 3 8 7 2" xfId="36718"/>
    <cellStyle name="Note 3 8 7 2 2" xfId="36719"/>
    <cellStyle name="Note 3 8 7 2 3" xfId="36720"/>
    <cellStyle name="Note 3 8 7 2 4" xfId="36721"/>
    <cellStyle name="Note 3 8 7 3" xfId="36722"/>
    <cellStyle name="Note 3 8 7 3 2" xfId="36723"/>
    <cellStyle name="Note 3 8 7 3 3" xfId="36724"/>
    <cellStyle name="Note 3 8 7 3 4" xfId="36725"/>
    <cellStyle name="Note 3 8 7 4" xfId="36726"/>
    <cellStyle name="Note 3 8 7 4 2" xfId="36727"/>
    <cellStyle name="Note 3 8 7 4 3" xfId="36728"/>
    <cellStyle name="Note 3 8 7 4 4" xfId="36729"/>
    <cellStyle name="Note 3 8 7 5" xfId="36730"/>
    <cellStyle name="Note 3 8 7 6" xfId="36731"/>
    <cellStyle name="Note 3 8 7 7" xfId="36732"/>
    <cellStyle name="Note 3 8 7 8" xfId="36733"/>
    <cellStyle name="Note 3 8 8" xfId="36734"/>
    <cellStyle name="Note 3 8 8 2" xfId="36735"/>
    <cellStyle name="Note 3 8 8 3" xfId="36736"/>
    <cellStyle name="Note 3 8 8 4" xfId="36737"/>
    <cellStyle name="Note 3 8 9" xfId="36738"/>
    <cellStyle name="Note 3 8 9 2" xfId="36739"/>
    <cellStyle name="Note 3 8 9 3" xfId="36740"/>
    <cellStyle name="Note 3 8 9 4" xfId="36741"/>
    <cellStyle name="Note 3 9" xfId="36742"/>
    <cellStyle name="Note 3 9 10" xfId="36743"/>
    <cellStyle name="Note 3 9 11" xfId="36744"/>
    <cellStyle name="Note 3 9 2" xfId="36745"/>
    <cellStyle name="Note 3 9 2 2" xfId="36746"/>
    <cellStyle name="Note 3 9 2 2 2" xfId="36747"/>
    <cellStyle name="Note 3 9 2 2 2 2" xfId="36748"/>
    <cellStyle name="Note 3 9 2 2 2 3" xfId="36749"/>
    <cellStyle name="Note 3 9 2 2 2 4" xfId="36750"/>
    <cellStyle name="Note 3 9 2 2 3" xfId="36751"/>
    <cellStyle name="Note 3 9 2 2 3 2" xfId="36752"/>
    <cellStyle name="Note 3 9 2 2 3 3" xfId="36753"/>
    <cellStyle name="Note 3 9 2 2 3 4" xfId="36754"/>
    <cellStyle name="Note 3 9 2 2 4" xfId="36755"/>
    <cellStyle name="Note 3 9 2 2 4 2" xfId="36756"/>
    <cellStyle name="Note 3 9 2 2 4 3" xfId="36757"/>
    <cellStyle name="Note 3 9 2 2 4 4" xfId="36758"/>
    <cellStyle name="Note 3 9 2 2 5" xfId="36759"/>
    <cellStyle name="Note 3 9 2 2 6" xfId="36760"/>
    <cellStyle name="Note 3 9 2 2 7" xfId="36761"/>
    <cellStyle name="Note 3 9 2 2 8" xfId="36762"/>
    <cellStyle name="Note 3 9 2 3" xfId="36763"/>
    <cellStyle name="Note 3 9 2 3 2" xfId="36764"/>
    <cellStyle name="Note 3 9 2 3 2 2" xfId="36765"/>
    <cellStyle name="Note 3 9 2 3 2 3" xfId="36766"/>
    <cellStyle name="Note 3 9 2 3 2 4" xfId="36767"/>
    <cellStyle name="Note 3 9 2 3 3" xfId="36768"/>
    <cellStyle name="Note 3 9 2 3 3 2" xfId="36769"/>
    <cellStyle name="Note 3 9 2 3 3 3" xfId="36770"/>
    <cellStyle name="Note 3 9 2 3 3 4" xfId="36771"/>
    <cellStyle name="Note 3 9 2 3 4" xfId="36772"/>
    <cellStyle name="Note 3 9 2 3 4 2" xfId="36773"/>
    <cellStyle name="Note 3 9 2 3 4 3" xfId="36774"/>
    <cellStyle name="Note 3 9 2 3 4 4" xfId="36775"/>
    <cellStyle name="Note 3 9 2 3 5" xfId="36776"/>
    <cellStyle name="Note 3 9 2 3 6" xfId="36777"/>
    <cellStyle name="Note 3 9 2 3 7" xfId="36778"/>
    <cellStyle name="Note 3 9 2 3 8" xfId="36779"/>
    <cellStyle name="Note 3 9 2 4" xfId="36780"/>
    <cellStyle name="Note 3 9 2 4 2" xfId="36781"/>
    <cellStyle name="Note 3 9 2 4 2 2" xfId="36782"/>
    <cellStyle name="Note 3 9 2 4 2 3" xfId="36783"/>
    <cellStyle name="Note 3 9 2 4 2 4" xfId="36784"/>
    <cellStyle name="Note 3 9 2 4 3" xfId="36785"/>
    <cellStyle name="Note 3 9 2 4 3 2" xfId="36786"/>
    <cellStyle name="Note 3 9 2 4 3 3" xfId="36787"/>
    <cellStyle name="Note 3 9 2 4 3 4" xfId="36788"/>
    <cellStyle name="Note 3 9 2 4 4" xfId="36789"/>
    <cellStyle name="Note 3 9 2 4 4 2" xfId="36790"/>
    <cellStyle name="Note 3 9 2 4 4 3" xfId="36791"/>
    <cellStyle name="Note 3 9 2 4 4 4" xfId="36792"/>
    <cellStyle name="Note 3 9 2 4 5" xfId="36793"/>
    <cellStyle name="Note 3 9 2 4 6" xfId="36794"/>
    <cellStyle name="Note 3 9 2 4 7" xfId="36795"/>
    <cellStyle name="Note 3 9 2 4 8" xfId="36796"/>
    <cellStyle name="Note 3 9 2 5" xfId="36797"/>
    <cellStyle name="Note 3 9 2 5 2" xfId="36798"/>
    <cellStyle name="Note 3 9 2 5 2 2" xfId="36799"/>
    <cellStyle name="Note 3 9 2 5 2 3" xfId="36800"/>
    <cellStyle name="Note 3 9 2 5 2 4" xfId="36801"/>
    <cellStyle name="Note 3 9 2 5 3" xfId="36802"/>
    <cellStyle name="Note 3 9 2 5 3 2" xfId="36803"/>
    <cellStyle name="Note 3 9 2 5 3 3" xfId="36804"/>
    <cellStyle name="Note 3 9 2 5 3 4" xfId="36805"/>
    <cellStyle name="Note 3 9 2 5 4" xfId="36806"/>
    <cellStyle name="Note 3 9 2 5 4 2" xfId="36807"/>
    <cellStyle name="Note 3 9 2 5 4 3" xfId="36808"/>
    <cellStyle name="Note 3 9 2 5 4 4" xfId="36809"/>
    <cellStyle name="Note 3 9 2 5 5" xfId="36810"/>
    <cellStyle name="Note 3 9 2 5 6" xfId="36811"/>
    <cellStyle name="Note 3 9 2 5 7" xfId="36812"/>
    <cellStyle name="Note 3 9 2 5 8" xfId="36813"/>
    <cellStyle name="Note 3 9 2 6" xfId="36814"/>
    <cellStyle name="Note 3 9 2 6 2" xfId="36815"/>
    <cellStyle name="Note 3 9 2 6 3" xfId="36816"/>
    <cellStyle name="Note 3 9 2 6 4" xfId="36817"/>
    <cellStyle name="Note 3 9 2 7" xfId="36818"/>
    <cellStyle name="Note 3 9 2 7 2" xfId="36819"/>
    <cellStyle name="Note 3 9 2 7 3" xfId="36820"/>
    <cellStyle name="Note 3 9 2 7 4" xfId="36821"/>
    <cellStyle name="Note 3 9 2 8" xfId="36822"/>
    <cellStyle name="Note 3 9 2 9" xfId="36823"/>
    <cellStyle name="Note 3 9 3" xfId="36824"/>
    <cellStyle name="Note 3 9 3 2" xfId="36825"/>
    <cellStyle name="Note 3 9 3 2 2" xfId="36826"/>
    <cellStyle name="Note 3 9 3 2 3" xfId="36827"/>
    <cellStyle name="Note 3 9 3 2 4" xfId="36828"/>
    <cellStyle name="Note 3 9 3 3" xfId="36829"/>
    <cellStyle name="Note 3 9 3 3 2" xfId="36830"/>
    <cellStyle name="Note 3 9 3 3 3" xfId="36831"/>
    <cellStyle name="Note 3 9 3 3 4" xfId="36832"/>
    <cellStyle name="Note 3 9 3 4" xfId="36833"/>
    <cellStyle name="Note 3 9 3 4 2" xfId="36834"/>
    <cellStyle name="Note 3 9 3 4 3" xfId="36835"/>
    <cellStyle name="Note 3 9 3 4 4" xfId="36836"/>
    <cellStyle name="Note 3 9 3 5" xfId="36837"/>
    <cellStyle name="Note 3 9 3 6" xfId="36838"/>
    <cellStyle name="Note 3 9 3 7" xfId="36839"/>
    <cellStyle name="Note 3 9 3 8" xfId="36840"/>
    <cellStyle name="Note 3 9 4" xfId="36841"/>
    <cellStyle name="Note 3 9 4 2" xfId="36842"/>
    <cellStyle name="Note 3 9 4 2 2" xfId="36843"/>
    <cellStyle name="Note 3 9 4 2 3" xfId="36844"/>
    <cellStyle name="Note 3 9 4 2 4" xfId="36845"/>
    <cellStyle name="Note 3 9 4 3" xfId="36846"/>
    <cellStyle name="Note 3 9 4 3 2" xfId="36847"/>
    <cellStyle name="Note 3 9 4 3 3" xfId="36848"/>
    <cellStyle name="Note 3 9 4 3 4" xfId="36849"/>
    <cellStyle name="Note 3 9 4 4" xfId="36850"/>
    <cellStyle name="Note 3 9 4 4 2" xfId="36851"/>
    <cellStyle name="Note 3 9 4 4 3" xfId="36852"/>
    <cellStyle name="Note 3 9 4 4 4" xfId="36853"/>
    <cellStyle name="Note 3 9 4 5" xfId="36854"/>
    <cellStyle name="Note 3 9 4 6" xfId="36855"/>
    <cellStyle name="Note 3 9 4 7" xfId="36856"/>
    <cellStyle name="Note 3 9 4 8" xfId="36857"/>
    <cellStyle name="Note 3 9 5" xfId="36858"/>
    <cellStyle name="Note 3 9 5 2" xfId="36859"/>
    <cellStyle name="Note 3 9 5 2 2" xfId="36860"/>
    <cellStyle name="Note 3 9 5 2 3" xfId="36861"/>
    <cellStyle name="Note 3 9 5 2 4" xfId="36862"/>
    <cellStyle name="Note 3 9 5 3" xfId="36863"/>
    <cellStyle name="Note 3 9 5 3 2" xfId="36864"/>
    <cellStyle name="Note 3 9 5 3 3" xfId="36865"/>
    <cellStyle name="Note 3 9 5 3 4" xfId="36866"/>
    <cellStyle name="Note 3 9 5 4" xfId="36867"/>
    <cellStyle name="Note 3 9 5 4 2" xfId="36868"/>
    <cellStyle name="Note 3 9 5 4 3" xfId="36869"/>
    <cellStyle name="Note 3 9 5 4 4" xfId="36870"/>
    <cellStyle name="Note 3 9 5 5" xfId="36871"/>
    <cellStyle name="Note 3 9 5 6" xfId="36872"/>
    <cellStyle name="Note 3 9 5 7" xfId="36873"/>
    <cellStyle name="Note 3 9 5 8" xfId="36874"/>
    <cellStyle name="Note 3 9 6" xfId="36875"/>
    <cellStyle name="Note 3 9 6 2" xfId="36876"/>
    <cellStyle name="Note 3 9 6 2 2" xfId="36877"/>
    <cellStyle name="Note 3 9 6 2 3" xfId="36878"/>
    <cellStyle name="Note 3 9 6 2 4" xfId="36879"/>
    <cellStyle name="Note 3 9 6 3" xfId="36880"/>
    <cellStyle name="Note 3 9 6 3 2" xfId="36881"/>
    <cellStyle name="Note 3 9 6 3 3" xfId="36882"/>
    <cellStyle name="Note 3 9 6 3 4" xfId="36883"/>
    <cellStyle name="Note 3 9 6 4" xfId="36884"/>
    <cellStyle name="Note 3 9 6 4 2" xfId="36885"/>
    <cellStyle name="Note 3 9 6 4 3" xfId="36886"/>
    <cellStyle name="Note 3 9 6 4 4" xfId="36887"/>
    <cellStyle name="Note 3 9 6 5" xfId="36888"/>
    <cellStyle name="Note 3 9 6 6" xfId="36889"/>
    <cellStyle name="Note 3 9 6 7" xfId="36890"/>
    <cellStyle name="Note 3 9 6 8" xfId="36891"/>
    <cellStyle name="Note 3 9 7" xfId="36892"/>
    <cellStyle name="Note 3 9 7 2" xfId="36893"/>
    <cellStyle name="Note 3 9 7 2 2" xfId="36894"/>
    <cellStyle name="Note 3 9 7 2 3" xfId="36895"/>
    <cellStyle name="Note 3 9 7 2 4" xfId="36896"/>
    <cellStyle name="Note 3 9 7 3" xfId="36897"/>
    <cellStyle name="Note 3 9 7 3 2" xfId="36898"/>
    <cellStyle name="Note 3 9 7 3 3" xfId="36899"/>
    <cellStyle name="Note 3 9 7 3 4" xfId="36900"/>
    <cellStyle name="Note 3 9 7 4" xfId="36901"/>
    <cellStyle name="Note 3 9 7 4 2" xfId="36902"/>
    <cellStyle name="Note 3 9 7 4 3" xfId="36903"/>
    <cellStyle name="Note 3 9 7 4 4" xfId="36904"/>
    <cellStyle name="Note 3 9 7 5" xfId="36905"/>
    <cellStyle name="Note 3 9 7 6" xfId="36906"/>
    <cellStyle name="Note 3 9 7 7" xfId="36907"/>
    <cellStyle name="Note 3 9 7 8" xfId="36908"/>
    <cellStyle name="Note 3 9 8" xfId="36909"/>
    <cellStyle name="Note 3 9 8 2" xfId="36910"/>
    <cellStyle name="Note 3 9 8 3" xfId="36911"/>
    <cellStyle name="Note 3 9 8 4" xfId="36912"/>
    <cellStyle name="Note 3 9 9" xfId="36913"/>
    <cellStyle name="Note 3 9 9 2" xfId="36914"/>
    <cellStyle name="Note 3 9 9 3" xfId="36915"/>
    <cellStyle name="Note 3 9 9 4" xfId="36916"/>
    <cellStyle name="Note 4" xfId="36917"/>
    <cellStyle name="Note 4 10" xfId="36918"/>
    <cellStyle name="Note 4 11" xfId="36919"/>
    <cellStyle name="Note 4 2" xfId="36920"/>
    <cellStyle name="Note 4 2 2" xfId="36921"/>
    <cellStyle name="Note 4 2 2 2" xfId="36922"/>
    <cellStyle name="Note 4 2 2 2 2" xfId="36923"/>
    <cellStyle name="Note 4 2 2 2 3" xfId="36924"/>
    <cellStyle name="Note 4 2 2 2 4" xfId="36925"/>
    <cellStyle name="Note 4 2 2 3" xfId="36926"/>
    <cellStyle name="Note 4 2 2 3 2" xfId="36927"/>
    <cellStyle name="Note 4 2 2 3 3" xfId="36928"/>
    <cellStyle name="Note 4 2 2 3 4" xfId="36929"/>
    <cellStyle name="Note 4 2 2 4" xfId="36930"/>
    <cellStyle name="Note 4 2 2 4 2" xfId="36931"/>
    <cellStyle name="Note 4 2 2 4 3" xfId="36932"/>
    <cellStyle name="Note 4 2 2 4 4" xfId="36933"/>
    <cellStyle name="Note 4 2 2 5" xfId="36934"/>
    <cellStyle name="Note 4 2 2 6" xfId="36935"/>
    <cellStyle name="Note 4 2 2 7" xfId="36936"/>
    <cellStyle name="Note 4 2 2 8" xfId="36937"/>
    <cellStyle name="Note 4 2 3" xfId="36938"/>
    <cellStyle name="Note 4 2 3 2" xfId="36939"/>
    <cellStyle name="Note 4 2 3 2 2" xfId="36940"/>
    <cellStyle name="Note 4 2 3 2 3" xfId="36941"/>
    <cellStyle name="Note 4 2 3 2 4" xfId="36942"/>
    <cellStyle name="Note 4 2 3 3" xfId="36943"/>
    <cellStyle name="Note 4 2 3 3 2" xfId="36944"/>
    <cellStyle name="Note 4 2 3 3 3" xfId="36945"/>
    <cellStyle name="Note 4 2 3 3 4" xfId="36946"/>
    <cellStyle name="Note 4 2 3 4" xfId="36947"/>
    <cellStyle name="Note 4 2 3 4 2" xfId="36948"/>
    <cellStyle name="Note 4 2 3 4 3" xfId="36949"/>
    <cellStyle name="Note 4 2 3 4 4" xfId="36950"/>
    <cellStyle name="Note 4 2 3 5" xfId="36951"/>
    <cellStyle name="Note 4 2 3 6" xfId="36952"/>
    <cellStyle name="Note 4 2 3 7" xfId="36953"/>
    <cellStyle name="Note 4 2 3 8" xfId="36954"/>
    <cellStyle name="Note 4 2 4" xfId="36955"/>
    <cellStyle name="Note 4 2 4 2" xfId="36956"/>
    <cellStyle name="Note 4 2 4 2 2" xfId="36957"/>
    <cellStyle name="Note 4 2 4 2 3" xfId="36958"/>
    <cellStyle name="Note 4 2 4 2 4" xfId="36959"/>
    <cellStyle name="Note 4 2 4 3" xfId="36960"/>
    <cellStyle name="Note 4 2 4 3 2" xfId="36961"/>
    <cellStyle name="Note 4 2 4 3 3" xfId="36962"/>
    <cellStyle name="Note 4 2 4 3 4" xfId="36963"/>
    <cellStyle name="Note 4 2 4 4" xfId="36964"/>
    <cellStyle name="Note 4 2 4 4 2" xfId="36965"/>
    <cellStyle name="Note 4 2 4 4 3" xfId="36966"/>
    <cellStyle name="Note 4 2 4 4 4" xfId="36967"/>
    <cellStyle name="Note 4 2 4 5" xfId="36968"/>
    <cellStyle name="Note 4 2 4 6" xfId="36969"/>
    <cellStyle name="Note 4 2 4 7" xfId="36970"/>
    <cellStyle name="Note 4 2 4 8" xfId="36971"/>
    <cellStyle name="Note 4 2 5" xfId="36972"/>
    <cellStyle name="Note 4 2 5 2" xfId="36973"/>
    <cellStyle name="Note 4 2 5 2 2" xfId="36974"/>
    <cellStyle name="Note 4 2 5 2 3" xfId="36975"/>
    <cellStyle name="Note 4 2 5 2 4" xfId="36976"/>
    <cellStyle name="Note 4 2 5 3" xfId="36977"/>
    <cellStyle name="Note 4 2 5 3 2" xfId="36978"/>
    <cellStyle name="Note 4 2 5 3 3" xfId="36979"/>
    <cellStyle name="Note 4 2 5 3 4" xfId="36980"/>
    <cellStyle name="Note 4 2 5 4" xfId="36981"/>
    <cellStyle name="Note 4 2 5 4 2" xfId="36982"/>
    <cellStyle name="Note 4 2 5 4 3" xfId="36983"/>
    <cellStyle name="Note 4 2 5 4 4" xfId="36984"/>
    <cellStyle name="Note 4 2 5 5" xfId="36985"/>
    <cellStyle name="Note 4 2 5 6" xfId="36986"/>
    <cellStyle name="Note 4 2 5 7" xfId="36987"/>
    <cellStyle name="Note 4 2 5 8" xfId="36988"/>
    <cellStyle name="Note 4 2 6" xfId="36989"/>
    <cellStyle name="Note 4 2 6 2" xfId="36990"/>
    <cellStyle name="Note 4 2 6 3" xfId="36991"/>
    <cellStyle name="Note 4 2 6 4" xfId="36992"/>
    <cellStyle name="Note 4 2 7" xfId="36993"/>
    <cellStyle name="Note 4 2 7 2" xfId="36994"/>
    <cellStyle name="Note 4 2 7 3" xfId="36995"/>
    <cellStyle name="Note 4 2 7 4" xfId="36996"/>
    <cellStyle name="Note 4 2 8" xfId="36997"/>
    <cellStyle name="Note 4 2 9" xfId="36998"/>
    <cellStyle name="Note 4 3" xfId="36999"/>
    <cellStyle name="Note 4 3 2" xfId="37000"/>
    <cellStyle name="Note 4 3 2 2" xfId="37001"/>
    <cellStyle name="Note 4 3 2 3" xfId="37002"/>
    <cellStyle name="Note 4 3 2 4" xfId="37003"/>
    <cellStyle name="Note 4 3 3" xfId="37004"/>
    <cellStyle name="Note 4 3 3 2" xfId="37005"/>
    <cellStyle name="Note 4 3 3 3" xfId="37006"/>
    <cellStyle name="Note 4 3 3 4" xfId="37007"/>
    <cellStyle name="Note 4 3 4" xfId="37008"/>
    <cellStyle name="Note 4 3 4 2" xfId="37009"/>
    <cellStyle name="Note 4 3 4 3" xfId="37010"/>
    <cellStyle name="Note 4 3 4 4" xfId="37011"/>
    <cellStyle name="Note 4 3 5" xfId="37012"/>
    <cellStyle name="Note 4 3 6" xfId="37013"/>
    <cellStyle name="Note 4 3 7" xfId="37014"/>
    <cellStyle name="Note 4 3 8" xfId="37015"/>
    <cellStyle name="Note 4 4" xfId="37016"/>
    <cellStyle name="Note 4 4 2" xfId="37017"/>
    <cellStyle name="Note 4 4 2 2" xfId="37018"/>
    <cellStyle name="Note 4 4 2 3" xfId="37019"/>
    <cellStyle name="Note 4 4 2 4" xfId="37020"/>
    <cellStyle name="Note 4 4 3" xfId="37021"/>
    <cellStyle name="Note 4 4 3 2" xfId="37022"/>
    <cellStyle name="Note 4 4 3 3" xfId="37023"/>
    <cellStyle name="Note 4 4 3 4" xfId="37024"/>
    <cellStyle name="Note 4 4 4" xfId="37025"/>
    <cellStyle name="Note 4 4 4 2" xfId="37026"/>
    <cellStyle name="Note 4 4 4 3" xfId="37027"/>
    <cellStyle name="Note 4 4 4 4" xfId="37028"/>
    <cellStyle name="Note 4 4 5" xfId="37029"/>
    <cellStyle name="Note 4 4 6" xfId="37030"/>
    <cellStyle name="Note 4 4 7" xfId="37031"/>
    <cellStyle name="Note 4 4 8" xfId="37032"/>
    <cellStyle name="Note 4 5" xfId="37033"/>
    <cellStyle name="Note 4 5 2" xfId="37034"/>
    <cellStyle name="Note 4 5 2 2" xfId="37035"/>
    <cellStyle name="Note 4 5 2 3" xfId="37036"/>
    <cellStyle name="Note 4 5 2 4" xfId="37037"/>
    <cellStyle name="Note 4 5 3" xfId="37038"/>
    <cellStyle name="Note 4 5 3 2" xfId="37039"/>
    <cellStyle name="Note 4 5 3 3" xfId="37040"/>
    <cellStyle name="Note 4 5 3 4" xfId="37041"/>
    <cellStyle name="Note 4 5 4" xfId="37042"/>
    <cellStyle name="Note 4 5 4 2" xfId="37043"/>
    <cellStyle name="Note 4 5 4 3" xfId="37044"/>
    <cellStyle name="Note 4 5 4 4" xfId="37045"/>
    <cellStyle name="Note 4 5 5" xfId="37046"/>
    <cellStyle name="Note 4 5 6" xfId="37047"/>
    <cellStyle name="Note 4 5 7" xfId="37048"/>
    <cellStyle name="Note 4 5 8" xfId="37049"/>
    <cellStyle name="Note 4 6" xfId="37050"/>
    <cellStyle name="Note 4 6 2" xfId="37051"/>
    <cellStyle name="Note 4 6 2 2" xfId="37052"/>
    <cellStyle name="Note 4 6 2 3" xfId="37053"/>
    <cellStyle name="Note 4 6 2 4" xfId="37054"/>
    <cellStyle name="Note 4 6 3" xfId="37055"/>
    <cellStyle name="Note 4 6 3 2" xfId="37056"/>
    <cellStyle name="Note 4 6 3 3" xfId="37057"/>
    <cellStyle name="Note 4 6 3 4" xfId="37058"/>
    <cellStyle name="Note 4 6 4" xfId="37059"/>
    <cellStyle name="Note 4 6 4 2" xfId="37060"/>
    <cellStyle name="Note 4 6 4 3" xfId="37061"/>
    <cellStyle name="Note 4 6 4 4" xfId="37062"/>
    <cellStyle name="Note 4 6 5" xfId="37063"/>
    <cellStyle name="Note 4 6 6" xfId="37064"/>
    <cellStyle name="Note 4 6 7" xfId="37065"/>
    <cellStyle name="Note 4 6 8" xfId="37066"/>
    <cellStyle name="Note 4 7" xfId="37067"/>
    <cellStyle name="Note 4 7 2" xfId="37068"/>
    <cellStyle name="Note 4 7 2 2" xfId="37069"/>
    <cellStyle name="Note 4 7 2 3" xfId="37070"/>
    <cellStyle name="Note 4 7 2 4" xfId="37071"/>
    <cellStyle name="Note 4 7 3" xfId="37072"/>
    <cellStyle name="Note 4 7 3 2" xfId="37073"/>
    <cellStyle name="Note 4 7 3 3" xfId="37074"/>
    <cellStyle name="Note 4 7 3 4" xfId="37075"/>
    <cellStyle name="Note 4 7 4" xfId="37076"/>
    <cellStyle name="Note 4 7 4 2" xfId="37077"/>
    <cellStyle name="Note 4 7 4 3" xfId="37078"/>
    <cellStyle name="Note 4 7 4 4" xfId="37079"/>
    <cellStyle name="Note 4 7 5" xfId="37080"/>
    <cellStyle name="Note 4 7 6" xfId="37081"/>
    <cellStyle name="Note 4 7 7" xfId="37082"/>
    <cellStyle name="Note 4 7 8" xfId="37083"/>
    <cellStyle name="Note 4 8" xfId="37084"/>
    <cellStyle name="Note 4 8 2" xfId="37085"/>
    <cellStyle name="Note 4 8 3" xfId="37086"/>
    <cellStyle name="Note 4 8 4" xfId="37087"/>
    <cellStyle name="Note 4 9" xfId="37088"/>
    <cellStyle name="Note 4 9 2" xfId="37089"/>
    <cellStyle name="Note 4 9 3" xfId="37090"/>
    <cellStyle name="Note 4 9 4" xfId="37091"/>
    <cellStyle name="Note 5" xfId="37092"/>
    <cellStyle name="Note 5 10" xfId="37093"/>
    <cellStyle name="Note 5 11" xfId="37094"/>
    <cellStyle name="Note 5 2" xfId="37095"/>
    <cellStyle name="Note 5 2 2" xfId="37096"/>
    <cellStyle name="Note 5 2 2 2" xfId="37097"/>
    <cellStyle name="Note 5 2 2 2 2" xfId="37098"/>
    <cellStyle name="Note 5 2 2 2 3" xfId="37099"/>
    <cellStyle name="Note 5 2 2 2 4" xfId="37100"/>
    <cellStyle name="Note 5 2 2 3" xfId="37101"/>
    <cellStyle name="Note 5 2 2 3 2" xfId="37102"/>
    <cellStyle name="Note 5 2 2 3 3" xfId="37103"/>
    <cellStyle name="Note 5 2 2 3 4" xfId="37104"/>
    <cellStyle name="Note 5 2 2 4" xfId="37105"/>
    <cellStyle name="Note 5 2 2 4 2" xfId="37106"/>
    <cellStyle name="Note 5 2 2 4 3" xfId="37107"/>
    <cellStyle name="Note 5 2 2 4 4" xfId="37108"/>
    <cellStyle name="Note 5 2 2 5" xfId="37109"/>
    <cellStyle name="Note 5 2 2 6" xfId="37110"/>
    <cellStyle name="Note 5 2 2 7" xfId="37111"/>
    <cellStyle name="Note 5 2 2 8" xfId="37112"/>
    <cellStyle name="Note 5 2 3" xfId="37113"/>
    <cellStyle name="Note 5 2 3 2" xfId="37114"/>
    <cellStyle name="Note 5 2 3 2 2" xfId="37115"/>
    <cellStyle name="Note 5 2 3 2 3" xfId="37116"/>
    <cellStyle name="Note 5 2 3 2 4" xfId="37117"/>
    <cellStyle name="Note 5 2 3 3" xfId="37118"/>
    <cellStyle name="Note 5 2 3 3 2" xfId="37119"/>
    <cellStyle name="Note 5 2 3 3 3" xfId="37120"/>
    <cellStyle name="Note 5 2 3 3 4" xfId="37121"/>
    <cellStyle name="Note 5 2 3 4" xfId="37122"/>
    <cellStyle name="Note 5 2 3 4 2" xfId="37123"/>
    <cellStyle name="Note 5 2 3 4 3" xfId="37124"/>
    <cellStyle name="Note 5 2 3 4 4" xfId="37125"/>
    <cellStyle name="Note 5 2 3 5" xfId="37126"/>
    <cellStyle name="Note 5 2 3 6" xfId="37127"/>
    <cellStyle name="Note 5 2 3 7" xfId="37128"/>
    <cellStyle name="Note 5 2 3 8" xfId="37129"/>
    <cellStyle name="Note 5 2 4" xfId="37130"/>
    <cellStyle name="Note 5 2 4 2" xfId="37131"/>
    <cellStyle name="Note 5 2 4 2 2" xfId="37132"/>
    <cellStyle name="Note 5 2 4 2 3" xfId="37133"/>
    <cellStyle name="Note 5 2 4 2 4" xfId="37134"/>
    <cellStyle name="Note 5 2 4 3" xfId="37135"/>
    <cellStyle name="Note 5 2 4 3 2" xfId="37136"/>
    <cellStyle name="Note 5 2 4 3 3" xfId="37137"/>
    <cellStyle name="Note 5 2 4 3 4" xfId="37138"/>
    <cellStyle name="Note 5 2 4 4" xfId="37139"/>
    <cellStyle name="Note 5 2 4 4 2" xfId="37140"/>
    <cellStyle name="Note 5 2 4 4 3" xfId="37141"/>
    <cellStyle name="Note 5 2 4 4 4" xfId="37142"/>
    <cellStyle name="Note 5 2 4 5" xfId="37143"/>
    <cellStyle name="Note 5 2 4 6" xfId="37144"/>
    <cellStyle name="Note 5 2 4 7" xfId="37145"/>
    <cellStyle name="Note 5 2 4 8" xfId="37146"/>
    <cellStyle name="Note 5 2 5" xfId="37147"/>
    <cellStyle name="Note 5 2 5 2" xfId="37148"/>
    <cellStyle name="Note 5 2 5 2 2" xfId="37149"/>
    <cellStyle name="Note 5 2 5 2 3" xfId="37150"/>
    <cellStyle name="Note 5 2 5 2 4" xfId="37151"/>
    <cellStyle name="Note 5 2 5 3" xfId="37152"/>
    <cellStyle name="Note 5 2 5 3 2" xfId="37153"/>
    <cellStyle name="Note 5 2 5 3 3" xfId="37154"/>
    <cellStyle name="Note 5 2 5 3 4" xfId="37155"/>
    <cellStyle name="Note 5 2 5 4" xfId="37156"/>
    <cellStyle name="Note 5 2 5 4 2" xfId="37157"/>
    <cellStyle name="Note 5 2 5 4 3" xfId="37158"/>
    <cellStyle name="Note 5 2 5 4 4" xfId="37159"/>
    <cellStyle name="Note 5 2 5 5" xfId="37160"/>
    <cellStyle name="Note 5 2 5 6" xfId="37161"/>
    <cellStyle name="Note 5 2 5 7" xfId="37162"/>
    <cellStyle name="Note 5 2 5 8" xfId="37163"/>
    <cellStyle name="Note 5 2 6" xfId="37164"/>
    <cellStyle name="Note 5 2 6 2" xfId="37165"/>
    <cellStyle name="Note 5 2 6 3" xfId="37166"/>
    <cellStyle name="Note 5 2 6 4" xfId="37167"/>
    <cellStyle name="Note 5 2 7" xfId="37168"/>
    <cellStyle name="Note 5 2 7 2" xfId="37169"/>
    <cellStyle name="Note 5 2 7 3" xfId="37170"/>
    <cellStyle name="Note 5 2 7 4" xfId="37171"/>
    <cellStyle name="Note 5 2 8" xfId="37172"/>
    <cellStyle name="Note 5 2 9" xfId="37173"/>
    <cellStyle name="Note 5 3" xfId="37174"/>
    <cellStyle name="Note 5 3 2" xfId="37175"/>
    <cellStyle name="Note 5 3 2 2" xfId="37176"/>
    <cellStyle name="Note 5 3 2 3" xfId="37177"/>
    <cellStyle name="Note 5 3 2 4" xfId="37178"/>
    <cellStyle name="Note 5 3 3" xfId="37179"/>
    <cellStyle name="Note 5 3 3 2" xfId="37180"/>
    <cellStyle name="Note 5 3 3 3" xfId="37181"/>
    <cellStyle name="Note 5 3 3 4" xfId="37182"/>
    <cellStyle name="Note 5 3 4" xfId="37183"/>
    <cellStyle name="Note 5 3 4 2" xfId="37184"/>
    <cellStyle name="Note 5 3 4 3" xfId="37185"/>
    <cellStyle name="Note 5 3 4 4" xfId="37186"/>
    <cellStyle name="Note 5 3 5" xfId="37187"/>
    <cellStyle name="Note 5 3 6" xfId="37188"/>
    <cellStyle name="Note 5 3 7" xfId="37189"/>
    <cellStyle name="Note 5 3 8" xfId="37190"/>
    <cellStyle name="Note 5 4" xfId="37191"/>
    <cellStyle name="Note 5 4 2" xfId="37192"/>
    <cellStyle name="Note 5 4 2 2" xfId="37193"/>
    <cellStyle name="Note 5 4 2 3" xfId="37194"/>
    <cellStyle name="Note 5 4 2 4" xfId="37195"/>
    <cellStyle name="Note 5 4 3" xfId="37196"/>
    <cellStyle name="Note 5 4 3 2" xfId="37197"/>
    <cellStyle name="Note 5 4 3 3" xfId="37198"/>
    <cellStyle name="Note 5 4 3 4" xfId="37199"/>
    <cellStyle name="Note 5 4 4" xfId="37200"/>
    <cellStyle name="Note 5 4 4 2" xfId="37201"/>
    <cellStyle name="Note 5 4 4 3" xfId="37202"/>
    <cellStyle name="Note 5 4 4 4" xfId="37203"/>
    <cellStyle name="Note 5 4 5" xfId="37204"/>
    <cellStyle name="Note 5 4 6" xfId="37205"/>
    <cellStyle name="Note 5 4 7" xfId="37206"/>
    <cellStyle name="Note 5 4 8" xfId="37207"/>
    <cellStyle name="Note 5 5" xfId="37208"/>
    <cellStyle name="Note 5 5 2" xfId="37209"/>
    <cellStyle name="Note 5 5 2 2" xfId="37210"/>
    <cellStyle name="Note 5 5 2 3" xfId="37211"/>
    <cellStyle name="Note 5 5 2 4" xfId="37212"/>
    <cellStyle name="Note 5 5 3" xfId="37213"/>
    <cellStyle name="Note 5 5 3 2" xfId="37214"/>
    <cellStyle name="Note 5 5 3 3" xfId="37215"/>
    <cellStyle name="Note 5 5 3 4" xfId="37216"/>
    <cellStyle name="Note 5 5 4" xfId="37217"/>
    <cellStyle name="Note 5 5 4 2" xfId="37218"/>
    <cellStyle name="Note 5 5 4 3" xfId="37219"/>
    <cellStyle name="Note 5 5 4 4" xfId="37220"/>
    <cellStyle name="Note 5 5 5" xfId="37221"/>
    <cellStyle name="Note 5 5 6" xfId="37222"/>
    <cellStyle name="Note 5 5 7" xfId="37223"/>
    <cellStyle name="Note 5 5 8" xfId="37224"/>
    <cellStyle name="Note 5 6" xfId="37225"/>
    <cellStyle name="Note 5 6 2" xfId="37226"/>
    <cellStyle name="Note 5 6 2 2" xfId="37227"/>
    <cellStyle name="Note 5 6 2 3" xfId="37228"/>
    <cellStyle name="Note 5 6 2 4" xfId="37229"/>
    <cellStyle name="Note 5 6 3" xfId="37230"/>
    <cellStyle name="Note 5 6 3 2" xfId="37231"/>
    <cellStyle name="Note 5 6 3 3" xfId="37232"/>
    <cellStyle name="Note 5 6 3 4" xfId="37233"/>
    <cellStyle name="Note 5 6 4" xfId="37234"/>
    <cellStyle name="Note 5 6 4 2" xfId="37235"/>
    <cellStyle name="Note 5 6 4 3" xfId="37236"/>
    <cellStyle name="Note 5 6 4 4" xfId="37237"/>
    <cellStyle name="Note 5 6 5" xfId="37238"/>
    <cellStyle name="Note 5 6 6" xfId="37239"/>
    <cellStyle name="Note 5 6 7" xfId="37240"/>
    <cellStyle name="Note 5 6 8" xfId="37241"/>
    <cellStyle name="Note 5 7" xfId="37242"/>
    <cellStyle name="Note 5 7 2" xfId="37243"/>
    <cellStyle name="Note 5 7 2 2" xfId="37244"/>
    <cellStyle name="Note 5 7 2 3" xfId="37245"/>
    <cellStyle name="Note 5 7 2 4" xfId="37246"/>
    <cellStyle name="Note 5 7 3" xfId="37247"/>
    <cellStyle name="Note 5 7 3 2" xfId="37248"/>
    <cellStyle name="Note 5 7 3 3" xfId="37249"/>
    <cellStyle name="Note 5 7 3 4" xfId="37250"/>
    <cellStyle name="Note 5 7 4" xfId="37251"/>
    <cellStyle name="Note 5 7 4 2" xfId="37252"/>
    <cellStyle name="Note 5 7 4 3" xfId="37253"/>
    <cellStyle name="Note 5 7 4 4" xfId="37254"/>
    <cellStyle name="Note 5 7 5" xfId="37255"/>
    <cellStyle name="Note 5 7 6" xfId="37256"/>
    <cellStyle name="Note 5 7 7" xfId="37257"/>
    <cellStyle name="Note 5 7 8" xfId="37258"/>
    <cellStyle name="Note 5 8" xfId="37259"/>
    <cellStyle name="Note 5 8 2" xfId="37260"/>
    <cellStyle name="Note 5 8 3" xfId="37261"/>
    <cellStyle name="Note 5 8 4" xfId="37262"/>
    <cellStyle name="Note 5 9" xfId="37263"/>
    <cellStyle name="Note 5 9 2" xfId="37264"/>
    <cellStyle name="Note 5 9 3" xfId="37265"/>
    <cellStyle name="Note 5 9 4" xfId="37266"/>
    <cellStyle name="Note 6" xfId="37267"/>
    <cellStyle name="Note 6 2" xfId="37268"/>
    <cellStyle name="Note 6 2 2" xfId="37269"/>
    <cellStyle name="Note 6 2 2 2" xfId="37270"/>
    <cellStyle name="Note 6 2 2 3" xfId="37271"/>
    <cellStyle name="Note 6 2 2 4" xfId="37272"/>
    <cellStyle name="Note 6 2 3" xfId="37273"/>
    <cellStyle name="Note 6 2 3 2" xfId="37274"/>
    <cellStyle name="Note 6 2 3 3" xfId="37275"/>
    <cellStyle name="Note 6 2 3 4" xfId="37276"/>
    <cellStyle name="Note 6 2 4" xfId="37277"/>
    <cellStyle name="Note 6 2 4 2" xfId="37278"/>
    <cellStyle name="Note 6 2 4 3" xfId="37279"/>
    <cellStyle name="Note 6 2 4 4" xfId="37280"/>
    <cellStyle name="Note 6 2 5" xfId="37281"/>
    <cellStyle name="Note 6 2 6" xfId="37282"/>
    <cellStyle name="Note 6 2 7" xfId="37283"/>
    <cellStyle name="Note 6 2 8" xfId="37284"/>
    <cellStyle name="Note 6 3" xfId="37285"/>
    <cellStyle name="Note 6 3 2" xfId="37286"/>
    <cellStyle name="Note 6 3 2 2" xfId="37287"/>
    <cellStyle name="Note 6 3 2 3" xfId="37288"/>
    <cellStyle name="Note 6 3 2 4" xfId="37289"/>
    <cellStyle name="Note 6 3 3" xfId="37290"/>
    <cellStyle name="Note 6 3 3 2" xfId="37291"/>
    <cellStyle name="Note 6 3 3 3" xfId="37292"/>
    <cellStyle name="Note 6 3 3 4" xfId="37293"/>
    <cellStyle name="Note 6 3 4" xfId="37294"/>
    <cellStyle name="Note 6 3 4 2" xfId="37295"/>
    <cellStyle name="Note 6 3 4 3" xfId="37296"/>
    <cellStyle name="Note 6 3 4 4" xfId="37297"/>
    <cellStyle name="Note 6 3 5" xfId="37298"/>
    <cellStyle name="Note 6 3 6" xfId="37299"/>
    <cellStyle name="Note 6 3 7" xfId="37300"/>
    <cellStyle name="Note 6 3 8" xfId="37301"/>
    <cellStyle name="Note 6 4" xfId="37302"/>
    <cellStyle name="Note 6 4 2" xfId="37303"/>
    <cellStyle name="Note 6 4 2 2" xfId="37304"/>
    <cellStyle name="Note 6 4 2 3" xfId="37305"/>
    <cellStyle name="Note 6 4 2 4" xfId="37306"/>
    <cellStyle name="Note 6 4 3" xfId="37307"/>
    <cellStyle name="Note 6 4 3 2" xfId="37308"/>
    <cellStyle name="Note 6 4 3 3" xfId="37309"/>
    <cellStyle name="Note 6 4 3 4" xfId="37310"/>
    <cellStyle name="Note 6 4 4" xfId="37311"/>
    <cellStyle name="Note 6 4 4 2" xfId="37312"/>
    <cellStyle name="Note 6 4 4 3" xfId="37313"/>
    <cellStyle name="Note 6 4 4 4" xfId="37314"/>
    <cellStyle name="Note 6 4 5" xfId="37315"/>
    <cellStyle name="Note 6 4 6" xfId="37316"/>
    <cellStyle name="Note 6 4 7" xfId="37317"/>
    <cellStyle name="Note 6 4 8" xfId="37318"/>
    <cellStyle name="Note 6 5" xfId="37319"/>
    <cellStyle name="Note 6 5 2" xfId="37320"/>
    <cellStyle name="Note 6 5 2 2" xfId="37321"/>
    <cellStyle name="Note 6 5 2 3" xfId="37322"/>
    <cellStyle name="Note 6 5 2 4" xfId="37323"/>
    <cellStyle name="Note 6 5 3" xfId="37324"/>
    <cellStyle name="Note 6 5 3 2" xfId="37325"/>
    <cellStyle name="Note 6 5 3 3" xfId="37326"/>
    <cellStyle name="Note 6 5 3 4" xfId="37327"/>
    <cellStyle name="Note 6 5 4" xfId="37328"/>
    <cellStyle name="Note 6 5 4 2" xfId="37329"/>
    <cellStyle name="Note 6 5 4 3" xfId="37330"/>
    <cellStyle name="Note 6 5 4 4" xfId="37331"/>
    <cellStyle name="Note 6 5 5" xfId="37332"/>
    <cellStyle name="Note 6 5 6" xfId="37333"/>
    <cellStyle name="Note 6 5 7" xfId="37334"/>
    <cellStyle name="Note 6 5 8" xfId="37335"/>
    <cellStyle name="Note 6 6" xfId="37336"/>
    <cellStyle name="Note 6 6 2" xfId="37337"/>
    <cellStyle name="Note 6 6 3" xfId="37338"/>
    <cellStyle name="Note 6 6 4" xfId="37339"/>
    <cellStyle name="Note 6 7" xfId="37340"/>
    <cellStyle name="Note 6 7 2" xfId="37341"/>
    <cellStyle name="Note 6 7 3" xfId="37342"/>
    <cellStyle name="Note 6 7 4" xfId="37343"/>
    <cellStyle name="Note 6 8" xfId="37344"/>
    <cellStyle name="Note 6 9" xfId="37345"/>
    <cellStyle name="Note 7" xfId="37346"/>
    <cellStyle name="Note 7 2" xfId="37347"/>
    <cellStyle name="Note 7 2 2" xfId="37348"/>
    <cellStyle name="Note 7 2 3" xfId="37349"/>
    <cellStyle name="Note 7 2 4" xfId="37350"/>
    <cellStyle name="Note 7 3" xfId="37351"/>
    <cellStyle name="Note 7 3 2" xfId="37352"/>
    <cellStyle name="Note 7 3 3" xfId="37353"/>
    <cellStyle name="Note 7 3 4" xfId="37354"/>
    <cellStyle name="Note 7 4" xfId="37355"/>
    <cellStyle name="Note 7 4 2" xfId="37356"/>
    <cellStyle name="Note 7 4 3" xfId="37357"/>
    <cellStyle name="Note 7 4 4" xfId="37358"/>
    <cellStyle name="Note 7 5" xfId="37359"/>
    <cellStyle name="Note 7 6" xfId="37360"/>
    <cellStyle name="Note 7 7" xfId="37361"/>
    <cellStyle name="Note 7 8" xfId="37362"/>
    <cellStyle name="Note 8" xfId="37363"/>
    <cellStyle name="Note 8 2" xfId="37364"/>
    <cellStyle name="Note 8 2 2" xfId="37365"/>
    <cellStyle name="Note 8 2 3" xfId="37366"/>
    <cellStyle name="Note 8 2 4" xfId="37367"/>
    <cellStyle name="Note 8 3" xfId="37368"/>
    <cellStyle name="Note 8 3 2" xfId="37369"/>
    <cellStyle name="Note 8 3 3" xfId="37370"/>
    <cellStyle name="Note 8 3 4" xfId="37371"/>
    <cellStyle name="Note 8 4" xfId="37372"/>
    <cellStyle name="Note 8 4 2" xfId="37373"/>
    <cellStyle name="Note 8 4 3" xfId="37374"/>
    <cellStyle name="Note 8 4 4" xfId="37375"/>
    <cellStyle name="Note 8 5" xfId="37376"/>
    <cellStyle name="Note 8 6" xfId="37377"/>
    <cellStyle name="Note 8 7" xfId="37378"/>
    <cellStyle name="Note 8 8" xfId="37379"/>
    <cellStyle name="Note 9" xfId="37380"/>
    <cellStyle name="Note 9 2" xfId="37381"/>
    <cellStyle name="Note 9 2 2" xfId="37382"/>
    <cellStyle name="Note 9 2 3" xfId="37383"/>
    <cellStyle name="Note 9 2 4" xfId="37384"/>
    <cellStyle name="Note 9 3" xfId="37385"/>
    <cellStyle name="Note 9 3 2" xfId="37386"/>
    <cellStyle name="Note 9 3 3" xfId="37387"/>
    <cellStyle name="Note 9 3 4" xfId="37388"/>
    <cellStyle name="Note 9 4" xfId="37389"/>
    <cellStyle name="Note 9 4 2" xfId="37390"/>
    <cellStyle name="Note 9 4 3" xfId="37391"/>
    <cellStyle name="Note 9 4 4" xfId="37392"/>
    <cellStyle name="Note 9 5" xfId="37393"/>
    <cellStyle name="Note 9 6" xfId="37394"/>
    <cellStyle name="Note 9 7" xfId="37395"/>
    <cellStyle name="Note 9 8" xfId="37396"/>
    <cellStyle name="Note_Plan Navidad Gamma 2010- v.5" xfId="37397"/>
    <cellStyle name="Notiz" xfId="37398"/>
    <cellStyle name="Notiz 10" xfId="37399"/>
    <cellStyle name="Notiz 11" xfId="37400"/>
    <cellStyle name="Notiz 2" xfId="37401"/>
    <cellStyle name="Notiz 2 2" xfId="37402"/>
    <cellStyle name="Notiz 2 2 2" xfId="37403"/>
    <cellStyle name="Notiz 2 2 2 2" xfId="37404"/>
    <cellStyle name="Notiz 2 2 2 3" xfId="37405"/>
    <cellStyle name="Notiz 2 2 2 4" xfId="37406"/>
    <cellStyle name="Notiz 2 2 3" xfId="37407"/>
    <cellStyle name="Notiz 2 2 3 2" xfId="37408"/>
    <cellStyle name="Notiz 2 2 3 3" xfId="37409"/>
    <cellStyle name="Notiz 2 2 3 4" xfId="37410"/>
    <cellStyle name="Notiz 2 2 4" xfId="37411"/>
    <cellStyle name="Notiz 2 2 4 2" xfId="37412"/>
    <cellStyle name="Notiz 2 2 4 3" xfId="37413"/>
    <cellStyle name="Notiz 2 2 4 4" xfId="37414"/>
    <cellStyle name="Notiz 2 2 5" xfId="37415"/>
    <cellStyle name="Notiz 2 2 6" xfId="37416"/>
    <cellStyle name="Notiz 2 2 7" xfId="37417"/>
    <cellStyle name="Notiz 2 2 8" xfId="37418"/>
    <cellStyle name="Notiz 2 3" xfId="37419"/>
    <cellStyle name="Notiz 2 3 2" xfId="37420"/>
    <cellStyle name="Notiz 2 3 2 2" xfId="37421"/>
    <cellStyle name="Notiz 2 3 2 3" xfId="37422"/>
    <cellStyle name="Notiz 2 3 2 4" xfId="37423"/>
    <cellStyle name="Notiz 2 3 3" xfId="37424"/>
    <cellStyle name="Notiz 2 3 3 2" xfId="37425"/>
    <cellStyle name="Notiz 2 3 3 3" xfId="37426"/>
    <cellStyle name="Notiz 2 3 3 4" xfId="37427"/>
    <cellStyle name="Notiz 2 3 4" xfId="37428"/>
    <cellStyle name="Notiz 2 3 4 2" xfId="37429"/>
    <cellStyle name="Notiz 2 3 4 3" xfId="37430"/>
    <cellStyle name="Notiz 2 3 4 4" xfId="37431"/>
    <cellStyle name="Notiz 2 3 5" xfId="37432"/>
    <cellStyle name="Notiz 2 3 6" xfId="37433"/>
    <cellStyle name="Notiz 2 3 7" xfId="37434"/>
    <cellStyle name="Notiz 2 3 8" xfId="37435"/>
    <cellStyle name="Notiz 2 4" xfId="37436"/>
    <cellStyle name="Notiz 2 4 2" xfId="37437"/>
    <cellStyle name="Notiz 2 4 2 2" xfId="37438"/>
    <cellStyle name="Notiz 2 4 2 3" xfId="37439"/>
    <cellStyle name="Notiz 2 4 2 4" xfId="37440"/>
    <cellStyle name="Notiz 2 4 3" xfId="37441"/>
    <cellStyle name="Notiz 2 4 3 2" xfId="37442"/>
    <cellStyle name="Notiz 2 4 3 3" xfId="37443"/>
    <cellStyle name="Notiz 2 4 3 4" xfId="37444"/>
    <cellStyle name="Notiz 2 4 4" xfId="37445"/>
    <cellStyle name="Notiz 2 4 4 2" xfId="37446"/>
    <cellStyle name="Notiz 2 4 4 3" xfId="37447"/>
    <cellStyle name="Notiz 2 4 4 4" xfId="37448"/>
    <cellStyle name="Notiz 2 4 5" xfId="37449"/>
    <cellStyle name="Notiz 2 4 6" xfId="37450"/>
    <cellStyle name="Notiz 2 4 7" xfId="37451"/>
    <cellStyle name="Notiz 2 4 8" xfId="37452"/>
    <cellStyle name="Notiz 2 5" xfId="37453"/>
    <cellStyle name="Notiz 2 5 2" xfId="37454"/>
    <cellStyle name="Notiz 2 5 2 2" xfId="37455"/>
    <cellStyle name="Notiz 2 5 2 3" xfId="37456"/>
    <cellStyle name="Notiz 2 5 2 4" xfId="37457"/>
    <cellStyle name="Notiz 2 5 3" xfId="37458"/>
    <cellStyle name="Notiz 2 5 3 2" xfId="37459"/>
    <cellStyle name="Notiz 2 5 3 3" xfId="37460"/>
    <cellStyle name="Notiz 2 5 3 4" xfId="37461"/>
    <cellStyle name="Notiz 2 5 4" xfId="37462"/>
    <cellStyle name="Notiz 2 5 4 2" xfId="37463"/>
    <cellStyle name="Notiz 2 5 4 3" xfId="37464"/>
    <cellStyle name="Notiz 2 5 4 4" xfId="37465"/>
    <cellStyle name="Notiz 2 5 5" xfId="37466"/>
    <cellStyle name="Notiz 2 5 6" xfId="37467"/>
    <cellStyle name="Notiz 2 5 7" xfId="37468"/>
    <cellStyle name="Notiz 2 5 8" xfId="37469"/>
    <cellStyle name="Notiz 2 6" xfId="37470"/>
    <cellStyle name="Notiz 2 6 2" xfId="37471"/>
    <cellStyle name="Notiz 2 6 3" xfId="37472"/>
    <cellStyle name="Notiz 2 6 4" xfId="37473"/>
    <cellStyle name="Notiz 2 7" xfId="37474"/>
    <cellStyle name="Notiz 2 7 2" xfId="37475"/>
    <cellStyle name="Notiz 2 7 3" xfId="37476"/>
    <cellStyle name="Notiz 2 7 4" xfId="37477"/>
    <cellStyle name="Notiz 2 8" xfId="37478"/>
    <cellStyle name="Notiz 2 9" xfId="37479"/>
    <cellStyle name="Notiz 3" xfId="37480"/>
    <cellStyle name="Notiz 3 2" xfId="37481"/>
    <cellStyle name="Notiz 3 2 2" xfId="37482"/>
    <cellStyle name="Notiz 3 2 3" xfId="37483"/>
    <cellStyle name="Notiz 3 2 4" xfId="37484"/>
    <cellStyle name="Notiz 3 3" xfId="37485"/>
    <cellStyle name="Notiz 3 3 2" xfId="37486"/>
    <cellStyle name="Notiz 3 3 3" xfId="37487"/>
    <cellStyle name="Notiz 3 3 4" xfId="37488"/>
    <cellStyle name="Notiz 3 4" xfId="37489"/>
    <cellStyle name="Notiz 3 4 2" xfId="37490"/>
    <cellStyle name="Notiz 3 4 3" xfId="37491"/>
    <cellStyle name="Notiz 3 4 4" xfId="37492"/>
    <cellStyle name="Notiz 3 5" xfId="37493"/>
    <cellStyle name="Notiz 3 6" xfId="37494"/>
    <cellStyle name="Notiz 3 7" xfId="37495"/>
    <cellStyle name="Notiz 3 8" xfId="37496"/>
    <cellStyle name="Notiz 4" xfId="37497"/>
    <cellStyle name="Notiz 4 2" xfId="37498"/>
    <cellStyle name="Notiz 4 2 2" xfId="37499"/>
    <cellStyle name="Notiz 4 2 3" xfId="37500"/>
    <cellStyle name="Notiz 4 2 4" xfId="37501"/>
    <cellStyle name="Notiz 4 3" xfId="37502"/>
    <cellStyle name="Notiz 4 3 2" xfId="37503"/>
    <cellStyle name="Notiz 4 3 3" xfId="37504"/>
    <cellStyle name="Notiz 4 3 4" xfId="37505"/>
    <cellStyle name="Notiz 4 4" xfId="37506"/>
    <cellStyle name="Notiz 4 4 2" xfId="37507"/>
    <cellStyle name="Notiz 4 4 3" xfId="37508"/>
    <cellStyle name="Notiz 4 4 4" xfId="37509"/>
    <cellStyle name="Notiz 4 5" xfId="37510"/>
    <cellStyle name="Notiz 4 6" xfId="37511"/>
    <cellStyle name="Notiz 4 7" xfId="37512"/>
    <cellStyle name="Notiz 4 8" xfId="37513"/>
    <cellStyle name="Notiz 5" xfId="37514"/>
    <cellStyle name="Notiz 5 2" xfId="37515"/>
    <cellStyle name="Notiz 5 2 2" xfId="37516"/>
    <cellStyle name="Notiz 5 2 3" xfId="37517"/>
    <cellStyle name="Notiz 5 2 4" xfId="37518"/>
    <cellStyle name="Notiz 5 3" xfId="37519"/>
    <cellStyle name="Notiz 5 3 2" xfId="37520"/>
    <cellStyle name="Notiz 5 3 3" xfId="37521"/>
    <cellStyle name="Notiz 5 3 4" xfId="37522"/>
    <cellStyle name="Notiz 5 4" xfId="37523"/>
    <cellStyle name="Notiz 5 4 2" xfId="37524"/>
    <cellStyle name="Notiz 5 4 3" xfId="37525"/>
    <cellStyle name="Notiz 5 4 4" xfId="37526"/>
    <cellStyle name="Notiz 5 5" xfId="37527"/>
    <cellStyle name="Notiz 5 6" xfId="37528"/>
    <cellStyle name="Notiz 5 7" xfId="37529"/>
    <cellStyle name="Notiz 5 8" xfId="37530"/>
    <cellStyle name="Notiz 6" xfId="37531"/>
    <cellStyle name="Notiz 6 2" xfId="37532"/>
    <cellStyle name="Notiz 6 2 2" xfId="37533"/>
    <cellStyle name="Notiz 6 2 3" xfId="37534"/>
    <cellStyle name="Notiz 6 2 4" xfId="37535"/>
    <cellStyle name="Notiz 6 3" xfId="37536"/>
    <cellStyle name="Notiz 6 3 2" xfId="37537"/>
    <cellStyle name="Notiz 6 3 3" xfId="37538"/>
    <cellStyle name="Notiz 6 3 4" xfId="37539"/>
    <cellStyle name="Notiz 6 4" xfId="37540"/>
    <cellStyle name="Notiz 6 4 2" xfId="37541"/>
    <cellStyle name="Notiz 6 4 3" xfId="37542"/>
    <cellStyle name="Notiz 6 4 4" xfId="37543"/>
    <cellStyle name="Notiz 6 5" xfId="37544"/>
    <cellStyle name="Notiz 6 6" xfId="37545"/>
    <cellStyle name="Notiz 6 7" xfId="37546"/>
    <cellStyle name="Notiz 6 8" xfId="37547"/>
    <cellStyle name="Notiz 7" xfId="37548"/>
    <cellStyle name="Notiz 7 2" xfId="37549"/>
    <cellStyle name="Notiz 7 2 2" xfId="37550"/>
    <cellStyle name="Notiz 7 2 3" xfId="37551"/>
    <cellStyle name="Notiz 7 2 4" xfId="37552"/>
    <cellStyle name="Notiz 7 3" xfId="37553"/>
    <cellStyle name="Notiz 7 3 2" xfId="37554"/>
    <cellStyle name="Notiz 7 3 3" xfId="37555"/>
    <cellStyle name="Notiz 7 3 4" xfId="37556"/>
    <cellStyle name="Notiz 7 4" xfId="37557"/>
    <cellStyle name="Notiz 7 4 2" xfId="37558"/>
    <cellStyle name="Notiz 7 4 3" xfId="37559"/>
    <cellStyle name="Notiz 7 4 4" xfId="37560"/>
    <cellStyle name="Notiz 7 5" xfId="37561"/>
    <cellStyle name="Notiz 7 6" xfId="37562"/>
    <cellStyle name="Notiz 7 7" xfId="37563"/>
    <cellStyle name="Notiz 7 8" xfId="37564"/>
    <cellStyle name="Notiz 8" xfId="37565"/>
    <cellStyle name="Notiz 8 2" xfId="37566"/>
    <cellStyle name="Notiz 8 3" xfId="37567"/>
    <cellStyle name="Notiz 8 4" xfId="37568"/>
    <cellStyle name="Notiz 9" xfId="37569"/>
    <cellStyle name="Notiz 9 2" xfId="37570"/>
    <cellStyle name="Notiz 9 3" xfId="37571"/>
    <cellStyle name="Notiz 9 4" xfId="37572"/>
    <cellStyle name="Nummern" xfId="53523"/>
    <cellStyle name="Obliczenia" xfId="53524"/>
    <cellStyle name="Obliczenia 2" xfId="53525"/>
    <cellStyle name="Obliczenia 2 2" xfId="53526"/>
    <cellStyle name="Obliczenia 3" xfId="53527"/>
    <cellStyle name="Œ…‹æØ‚è [0.00]_laroux" xfId="37573"/>
    <cellStyle name="Œ…‹æØ‚è_laroux" xfId="37574"/>
    <cellStyle name="orh" xfId="37575"/>
    <cellStyle name="orh 10" xfId="37576"/>
    <cellStyle name="orh 10 2" xfId="37577"/>
    <cellStyle name="orh 10 2 2" xfId="37578"/>
    <cellStyle name="orh 10 2 3" xfId="37579"/>
    <cellStyle name="orh 10 2 4" xfId="37580"/>
    <cellStyle name="orh 10 3" xfId="37581"/>
    <cellStyle name="orh 10 3 2" xfId="37582"/>
    <cellStyle name="orh 10 3 3" xfId="37583"/>
    <cellStyle name="orh 10 3 4" xfId="37584"/>
    <cellStyle name="orh 10 4" xfId="37585"/>
    <cellStyle name="orh 10 4 2" xfId="37586"/>
    <cellStyle name="orh 10 4 3" xfId="37587"/>
    <cellStyle name="orh 10 4 4" xfId="37588"/>
    <cellStyle name="orh 10 5" xfId="37589"/>
    <cellStyle name="orh 10 6" xfId="37590"/>
    <cellStyle name="orh 10 7" xfId="37591"/>
    <cellStyle name="orh 10 8" xfId="37592"/>
    <cellStyle name="orh 11" xfId="37593"/>
    <cellStyle name="orh 11 2" xfId="37594"/>
    <cellStyle name="orh 11 3" xfId="37595"/>
    <cellStyle name="orh 11 4" xfId="37596"/>
    <cellStyle name="orh 12" xfId="37597"/>
    <cellStyle name="orh 12 2" xfId="37598"/>
    <cellStyle name="orh 12 3" xfId="37599"/>
    <cellStyle name="orh 12 4" xfId="37600"/>
    <cellStyle name="orh 13" xfId="37601"/>
    <cellStyle name="orh 14" xfId="37602"/>
    <cellStyle name="orh 2" xfId="37603"/>
    <cellStyle name="orh 2 10" xfId="37604"/>
    <cellStyle name="orh 2 10 2" xfId="37605"/>
    <cellStyle name="orh 2 10 3" xfId="37606"/>
    <cellStyle name="orh 2 10 4" xfId="37607"/>
    <cellStyle name="orh 2 11" xfId="37608"/>
    <cellStyle name="orh 2 12" xfId="37609"/>
    <cellStyle name="orh 2 2" xfId="37610"/>
    <cellStyle name="orh 2 2 10" xfId="37611"/>
    <cellStyle name="orh 2 2 11" xfId="37612"/>
    <cellStyle name="orh 2 2 2" xfId="37613"/>
    <cellStyle name="orh 2 2 2 2" xfId="37614"/>
    <cellStyle name="orh 2 2 2 2 2" xfId="37615"/>
    <cellStyle name="orh 2 2 2 2 2 2" xfId="37616"/>
    <cellStyle name="orh 2 2 2 2 2 3" xfId="37617"/>
    <cellStyle name="orh 2 2 2 2 2 4" xfId="37618"/>
    <cellStyle name="orh 2 2 2 2 3" xfId="37619"/>
    <cellStyle name="orh 2 2 2 2 3 2" xfId="37620"/>
    <cellStyle name="orh 2 2 2 2 3 3" xfId="37621"/>
    <cellStyle name="orh 2 2 2 2 3 4" xfId="37622"/>
    <cellStyle name="orh 2 2 2 2 4" xfId="37623"/>
    <cellStyle name="orh 2 2 2 2 4 2" xfId="37624"/>
    <cellStyle name="orh 2 2 2 2 4 3" xfId="37625"/>
    <cellStyle name="orh 2 2 2 2 4 4" xfId="37626"/>
    <cellStyle name="orh 2 2 2 2 5" xfId="37627"/>
    <cellStyle name="orh 2 2 2 2 6" xfId="37628"/>
    <cellStyle name="orh 2 2 2 2 7" xfId="37629"/>
    <cellStyle name="orh 2 2 2 2 8" xfId="37630"/>
    <cellStyle name="orh 2 2 2 3" xfId="37631"/>
    <cellStyle name="orh 2 2 2 3 2" xfId="37632"/>
    <cellStyle name="orh 2 2 2 3 2 2" xfId="37633"/>
    <cellStyle name="orh 2 2 2 3 2 3" xfId="37634"/>
    <cellStyle name="orh 2 2 2 3 2 4" xfId="37635"/>
    <cellStyle name="orh 2 2 2 3 3" xfId="37636"/>
    <cellStyle name="orh 2 2 2 3 3 2" xfId="37637"/>
    <cellStyle name="orh 2 2 2 3 3 3" xfId="37638"/>
    <cellStyle name="orh 2 2 2 3 3 4" xfId="37639"/>
    <cellStyle name="orh 2 2 2 3 4" xfId="37640"/>
    <cellStyle name="orh 2 2 2 3 4 2" xfId="37641"/>
    <cellStyle name="orh 2 2 2 3 4 3" xfId="37642"/>
    <cellStyle name="orh 2 2 2 3 4 4" xfId="37643"/>
    <cellStyle name="orh 2 2 2 3 5" xfId="37644"/>
    <cellStyle name="orh 2 2 2 3 6" xfId="37645"/>
    <cellStyle name="orh 2 2 2 3 7" xfId="37646"/>
    <cellStyle name="orh 2 2 2 3 8" xfId="37647"/>
    <cellStyle name="orh 2 2 2 4" xfId="37648"/>
    <cellStyle name="orh 2 2 2 4 2" xfId="37649"/>
    <cellStyle name="orh 2 2 2 4 2 2" xfId="37650"/>
    <cellStyle name="orh 2 2 2 4 2 3" xfId="37651"/>
    <cellStyle name="orh 2 2 2 4 2 4" xfId="37652"/>
    <cellStyle name="orh 2 2 2 4 3" xfId="37653"/>
    <cellStyle name="orh 2 2 2 4 3 2" xfId="37654"/>
    <cellStyle name="orh 2 2 2 4 3 3" xfId="37655"/>
    <cellStyle name="orh 2 2 2 4 3 4" xfId="37656"/>
    <cellStyle name="orh 2 2 2 4 4" xfId="37657"/>
    <cellStyle name="orh 2 2 2 4 4 2" xfId="37658"/>
    <cellStyle name="orh 2 2 2 4 4 3" xfId="37659"/>
    <cellStyle name="orh 2 2 2 4 4 4" xfId="37660"/>
    <cellStyle name="orh 2 2 2 4 5" xfId="37661"/>
    <cellStyle name="orh 2 2 2 4 6" xfId="37662"/>
    <cellStyle name="orh 2 2 2 4 7" xfId="37663"/>
    <cellStyle name="orh 2 2 2 4 8" xfId="37664"/>
    <cellStyle name="orh 2 2 2 5" xfId="37665"/>
    <cellStyle name="orh 2 2 2 5 2" xfId="37666"/>
    <cellStyle name="orh 2 2 2 5 2 2" xfId="37667"/>
    <cellStyle name="orh 2 2 2 5 2 3" xfId="37668"/>
    <cellStyle name="orh 2 2 2 5 2 4" xfId="37669"/>
    <cellStyle name="orh 2 2 2 5 3" xfId="37670"/>
    <cellStyle name="orh 2 2 2 5 3 2" xfId="37671"/>
    <cellStyle name="orh 2 2 2 5 3 3" xfId="37672"/>
    <cellStyle name="orh 2 2 2 5 3 4" xfId="37673"/>
    <cellStyle name="orh 2 2 2 5 4" xfId="37674"/>
    <cellStyle name="orh 2 2 2 5 4 2" xfId="37675"/>
    <cellStyle name="orh 2 2 2 5 4 3" xfId="37676"/>
    <cellStyle name="orh 2 2 2 5 4 4" xfId="37677"/>
    <cellStyle name="orh 2 2 2 5 5" xfId="37678"/>
    <cellStyle name="orh 2 2 2 5 6" xfId="37679"/>
    <cellStyle name="orh 2 2 2 5 7" xfId="37680"/>
    <cellStyle name="orh 2 2 2 5 8" xfId="37681"/>
    <cellStyle name="orh 2 2 2 6" xfId="37682"/>
    <cellStyle name="orh 2 2 2 6 2" xfId="37683"/>
    <cellStyle name="orh 2 2 2 6 3" xfId="37684"/>
    <cellStyle name="orh 2 2 2 6 4" xfId="37685"/>
    <cellStyle name="orh 2 2 2 7" xfId="37686"/>
    <cellStyle name="orh 2 2 2 7 2" xfId="37687"/>
    <cellStyle name="orh 2 2 2 7 3" xfId="37688"/>
    <cellStyle name="orh 2 2 2 7 4" xfId="37689"/>
    <cellStyle name="orh 2 2 2 8" xfId="37690"/>
    <cellStyle name="orh 2 2 2 9" xfId="37691"/>
    <cellStyle name="orh 2 2 3" xfId="37692"/>
    <cellStyle name="orh 2 2 3 2" xfId="37693"/>
    <cellStyle name="orh 2 2 3 2 2" xfId="37694"/>
    <cellStyle name="orh 2 2 3 2 3" xfId="37695"/>
    <cellStyle name="orh 2 2 3 2 4" xfId="37696"/>
    <cellStyle name="orh 2 2 3 3" xfId="37697"/>
    <cellStyle name="orh 2 2 3 3 2" xfId="37698"/>
    <cellStyle name="orh 2 2 3 3 3" xfId="37699"/>
    <cellStyle name="orh 2 2 3 3 4" xfId="37700"/>
    <cellStyle name="orh 2 2 3 4" xfId="37701"/>
    <cellStyle name="orh 2 2 3 4 2" xfId="37702"/>
    <cellStyle name="orh 2 2 3 4 3" xfId="37703"/>
    <cellStyle name="orh 2 2 3 4 4" xfId="37704"/>
    <cellStyle name="orh 2 2 3 5" xfId="37705"/>
    <cellStyle name="orh 2 2 3 6" xfId="37706"/>
    <cellStyle name="orh 2 2 3 7" xfId="37707"/>
    <cellStyle name="orh 2 2 3 8" xfId="37708"/>
    <cellStyle name="orh 2 2 4" xfId="37709"/>
    <cellStyle name="orh 2 2 4 2" xfId="37710"/>
    <cellStyle name="orh 2 2 4 2 2" xfId="37711"/>
    <cellStyle name="orh 2 2 4 2 3" xfId="37712"/>
    <cellStyle name="orh 2 2 4 2 4" xfId="37713"/>
    <cellStyle name="orh 2 2 4 3" xfId="37714"/>
    <cellStyle name="orh 2 2 4 3 2" xfId="37715"/>
    <cellStyle name="orh 2 2 4 3 3" xfId="37716"/>
    <cellStyle name="orh 2 2 4 3 4" xfId="37717"/>
    <cellStyle name="orh 2 2 4 4" xfId="37718"/>
    <cellStyle name="orh 2 2 4 4 2" xfId="37719"/>
    <cellStyle name="orh 2 2 4 4 3" xfId="37720"/>
    <cellStyle name="orh 2 2 4 4 4" xfId="37721"/>
    <cellStyle name="orh 2 2 4 5" xfId="37722"/>
    <cellStyle name="orh 2 2 4 6" xfId="37723"/>
    <cellStyle name="orh 2 2 4 7" xfId="37724"/>
    <cellStyle name="orh 2 2 4 8" xfId="37725"/>
    <cellStyle name="orh 2 2 5" xfId="37726"/>
    <cellStyle name="orh 2 2 5 2" xfId="37727"/>
    <cellStyle name="orh 2 2 5 2 2" xfId="37728"/>
    <cellStyle name="orh 2 2 5 2 3" xfId="37729"/>
    <cellStyle name="orh 2 2 5 2 4" xfId="37730"/>
    <cellStyle name="orh 2 2 5 3" xfId="37731"/>
    <cellStyle name="orh 2 2 5 3 2" xfId="37732"/>
    <cellStyle name="orh 2 2 5 3 3" xfId="37733"/>
    <cellStyle name="orh 2 2 5 3 4" xfId="37734"/>
    <cellStyle name="orh 2 2 5 4" xfId="37735"/>
    <cellStyle name="orh 2 2 5 4 2" xfId="37736"/>
    <cellStyle name="orh 2 2 5 4 3" xfId="37737"/>
    <cellStyle name="orh 2 2 5 4 4" xfId="37738"/>
    <cellStyle name="orh 2 2 5 5" xfId="37739"/>
    <cellStyle name="orh 2 2 5 6" xfId="37740"/>
    <cellStyle name="orh 2 2 5 7" xfId="37741"/>
    <cellStyle name="orh 2 2 5 8" xfId="37742"/>
    <cellStyle name="orh 2 2 6" xfId="37743"/>
    <cellStyle name="orh 2 2 6 2" xfId="37744"/>
    <cellStyle name="orh 2 2 6 2 2" xfId="37745"/>
    <cellStyle name="orh 2 2 6 2 3" xfId="37746"/>
    <cellStyle name="orh 2 2 6 2 4" xfId="37747"/>
    <cellStyle name="orh 2 2 6 3" xfId="37748"/>
    <cellStyle name="orh 2 2 6 3 2" xfId="37749"/>
    <cellStyle name="orh 2 2 6 3 3" xfId="37750"/>
    <cellStyle name="orh 2 2 6 3 4" xfId="37751"/>
    <cellStyle name="orh 2 2 6 4" xfId="37752"/>
    <cellStyle name="orh 2 2 6 4 2" xfId="37753"/>
    <cellStyle name="orh 2 2 6 4 3" xfId="37754"/>
    <cellStyle name="orh 2 2 6 4 4" xfId="37755"/>
    <cellStyle name="orh 2 2 6 5" xfId="37756"/>
    <cellStyle name="orh 2 2 6 6" xfId="37757"/>
    <cellStyle name="orh 2 2 6 7" xfId="37758"/>
    <cellStyle name="orh 2 2 6 8" xfId="37759"/>
    <cellStyle name="orh 2 2 7" xfId="37760"/>
    <cellStyle name="orh 2 2 7 2" xfId="37761"/>
    <cellStyle name="orh 2 2 7 2 2" xfId="37762"/>
    <cellStyle name="orh 2 2 7 2 3" xfId="37763"/>
    <cellStyle name="orh 2 2 7 2 4" xfId="37764"/>
    <cellStyle name="orh 2 2 7 3" xfId="37765"/>
    <cellStyle name="orh 2 2 7 3 2" xfId="37766"/>
    <cellStyle name="orh 2 2 7 3 3" xfId="37767"/>
    <cellStyle name="orh 2 2 7 3 4" xfId="37768"/>
    <cellStyle name="orh 2 2 7 4" xfId="37769"/>
    <cellStyle name="orh 2 2 7 4 2" xfId="37770"/>
    <cellStyle name="orh 2 2 7 4 3" xfId="37771"/>
    <cellStyle name="orh 2 2 7 4 4" xfId="37772"/>
    <cellStyle name="orh 2 2 7 5" xfId="37773"/>
    <cellStyle name="orh 2 2 7 6" xfId="37774"/>
    <cellStyle name="orh 2 2 7 7" xfId="37775"/>
    <cellStyle name="orh 2 2 7 8" xfId="37776"/>
    <cellStyle name="orh 2 2 8" xfId="37777"/>
    <cellStyle name="orh 2 2 8 2" xfId="37778"/>
    <cellStyle name="orh 2 2 8 3" xfId="37779"/>
    <cellStyle name="orh 2 2 8 4" xfId="37780"/>
    <cellStyle name="orh 2 2 9" xfId="37781"/>
    <cellStyle name="orh 2 2 9 2" xfId="37782"/>
    <cellStyle name="orh 2 2 9 3" xfId="37783"/>
    <cellStyle name="orh 2 2 9 4" xfId="37784"/>
    <cellStyle name="orh 2 3" xfId="37785"/>
    <cellStyle name="orh 2 3 2" xfId="37786"/>
    <cellStyle name="orh 2 3 2 2" xfId="37787"/>
    <cellStyle name="orh 2 3 2 2 2" xfId="37788"/>
    <cellStyle name="orh 2 3 2 2 3" xfId="37789"/>
    <cellStyle name="orh 2 3 2 2 4" xfId="37790"/>
    <cellStyle name="orh 2 3 2 3" xfId="37791"/>
    <cellStyle name="orh 2 3 2 3 2" xfId="37792"/>
    <cellStyle name="orh 2 3 2 3 3" xfId="37793"/>
    <cellStyle name="orh 2 3 2 3 4" xfId="37794"/>
    <cellStyle name="orh 2 3 2 4" xfId="37795"/>
    <cellStyle name="orh 2 3 2 4 2" xfId="37796"/>
    <cellStyle name="orh 2 3 2 4 3" xfId="37797"/>
    <cellStyle name="orh 2 3 2 4 4" xfId="37798"/>
    <cellStyle name="orh 2 3 2 5" xfId="37799"/>
    <cellStyle name="orh 2 3 2 6" xfId="37800"/>
    <cellStyle name="orh 2 3 2 7" xfId="37801"/>
    <cellStyle name="orh 2 3 2 8" xfId="37802"/>
    <cellStyle name="orh 2 3 3" xfId="37803"/>
    <cellStyle name="orh 2 3 3 2" xfId="37804"/>
    <cellStyle name="orh 2 3 3 2 2" xfId="37805"/>
    <cellStyle name="orh 2 3 3 2 3" xfId="37806"/>
    <cellStyle name="orh 2 3 3 2 4" xfId="37807"/>
    <cellStyle name="orh 2 3 3 3" xfId="37808"/>
    <cellStyle name="orh 2 3 3 3 2" xfId="37809"/>
    <cellStyle name="orh 2 3 3 3 3" xfId="37810"/>
    <cellStyle name="orh 2 3 3 3 4" xfId="37811"/>
    <cellStyle name="orh 2 3 3 4" xfId="37812"/>
    <cellStyle name="orh 2 3 3 4 2" xfId="37813"/>
    <cellStyle name="orh 2 3 3 4 3" xfId="37814"/>
    <cellStyle name="orh 2 3 3 4 4" xfId="37815"/>
    <cellStyle name="orh 2 3 3 5" xfId="37816"/>
    <cellStyle name="orh 2 3 3 6" xfId="37817"/>
    <cellStyle name="orh 2 3 3 7" xfId="37818"/>
    <cellStyle name="orh 2 3 3 8" xfId="37819"/>
    <cellStyle name="orh 2 3 4" xfId="37820"/>
    <cellStyle name="orh 2 3 4 2" xfId="37821"/>
    <cellStyle name="orh 2 3 4 2 2" xfId="37822"/>
    <cellStyle name="orh 2 3 4 2 3" xfId="37823"/>
    <cellStyle name="orh 2 3 4 2 4" xfId="37824"/>
    <cellStyle name="orh 2 3 4 3" xfId="37825"/>
    <cellStyle name="orh 2 3 4 3 2" xfId="37826"/>
    <cellStyle name="orh 2 3 4 3 3" xfId="37827"/>
    <cellStyle name="orh 2 3 4 3 4" xfId="37828"/>
    <cellStyle name="orh 2 3 4 4" xfId="37829"/>
    <cellStyle name="orh 2 3 4 4 2" xfId="37830"/>
    <cellStyle name="orh 2 3 4 4 3" xfId="37831"/>
    <cellStyle name="orh 2 3 4 4 4" xfId="37832"/>
    <cellStyle name="orh 2 3 4 5" xfId="37833"/>
    <cellStyle name="orh 2 3 4 6" xfId="37834"/>
    <cellStyle name="orh 2 3 4 7" xfId="37835"/>
    <cellStyle name="orh 2 3 4 8" xfId="37836"/>
    <cellStyle name="orh 2 3 5" xfId="37837"/>
    <cellStyle name="orh 2 3 5 2" xfId="37838"/>
    <cellStyle name="orh 2 3 5 2 2" xfId="37839"/>
    <cellStyle name="orh 2 3 5 2 3" xfId="37840"/>
    <cellStyle name="orh 2 3 5 2 4" xfId="37841"/>
    <cellStyle name="orh 2 3 5 3" xfId="37842"/>
    <cellStyle name="orh 2 3 5 3 2" xfId="37843"/>
    <cellStyle name="orh 2 3 5 3 3" xfId="37844"/>
    <cellStyle name="orh 2 3 5 3 4" xfId="37845"/>
    <cellStyle name="orh 2 3 5 4" xfId="37846"/>
    <cellStyle name="orh 2 3 5 4 2" xfId="37847"/>
    <cellStyle name="orh 2 3 5 4 3" xfId="37848"/>
    <cellStyle name="orh 2 3 5 4 4" xfId="37849"/>
    <cellStyle name="orh 2 3 5 5" xfId="37850"/>
    <cellStyle name="orh 2 3 5 6" xfId="37851"/>
    <cellStyle name="orh 2 3 5 7" xfId="37852"/>
    <cellStyle name="orh 2 3 5 8" xfId="37853"/>
    <cellStyle name="orh 2 3 6" xfId="37854"/>
    <cellStyle name="orh 2 3 6 2" xfId="37855"/>
    <cellStyle name="orh 2 3 6 3" xfId="37856"/>
    <cellStyle name="orh 2 3 6 4" xfId="37857"/>
    <cellStyle name="orh 2 3 7" xfId="37858"/>
    <cellStyle name="orh 2 3 7 2" xfId="37859"/>
    <cellStyle name="orh 2 3 7 3" xfId="37860"/>
    <cellStyle name="orh 2 3 7 4" xfId="37861"/>
    <cellStyle name="orh 2 3 8" xfId="37862"/>
    <cellStyle name="orh 2 3 9" xfId="37863"/>
    <cellStyle name="orh 2 4" xfId="37864"/>
    <cellStyle name="orh 2 4 2" xfId="37865"/>
    <cellStyle name="orh 2 4 2 2" xfId="37866"/>
    <cellStyle name="orh 2 4 2 3" xfId="37867"/>
    <cellStyle name="orh 2 4 2 4" xfId="37868"/>
    <cellStyle name="orh 2 4 3" xfId="37869"/>
    <cellStyle name="orh 2 4 3 2" xfId="37870"/>
    <cellStyle name="orh 2 4 3 3" xfId="37871"/>
    <cellStyle name="orh 2 4 3 4" xfId="37872"/>
    <cellStyle name="orh 2 4 4" xfId="37873"/>
    <cellStyle name="orh 2 4 4 2" xfId="37874"/>
    <cellStyle name="orh 2 4 4 3" xfId="37875"/>
    <cellStyle name="orh 2 4 4 4" xfId="37876"/>
    <cellStyle name="orh 2 4 5" xfId="37877"/>
    <cellStyle name="orh 2 4 6" xfId="37878"/>
    <cellStyle name="orh 2 4 7" xfId="37879"/>
    <cellStyle name="orh 2 4 8" xfId="37880"/>
    <cellStyle name="orh 2 5" xfId="37881"/>
    <cellStyle name="orh 2 5 2" xfId="37882"/>
    <cellStyle name="orh 2 5 2 2" xfId="37883"/>
    <cellStyle name="orh 2 5 2 3" xfId="37884"/>
    <cellStyle name="orh 2 5 2 4" xfId="37885"/>
    <cellStyle name="orh 2 5 3" xfId="37886"/>
    <cellStyle name="orh 2 5 3 2" xfId="37887"/>
    <cellStyle name="orh 2 5 3 3" xfId="37888"/>
    <cellStyle name="orh 2 5 3 4" xfId="37889"/>
    <cellStyle name="orh 2 5 4" xfId="37890"/>
    <cellStyle name="orh 2 5 4 2" xfId="37891"/>
    <cellStyle name="orh 2 5 4 3" xfId="37892"/>
    <cellStyle name="orh 2 5 4 4" xfId="37893"/>
    <cellStyle name="orh 2 5 5" xfId="37894"/>
    <cellStyle name="orh 2 5 6" xfId="37895"/>
    <cellStyle name="orh 2 5 7" xfId="37896"/>
    <cellStyle name="orh 2 5 8" xfId="37897"/>
    <cellStyle name="orh 2 6" xfId="37898"/>
    <cellStyle name="orh 2 6 2" xfId="37899"/>
    <cellStyle name="orh 2 6 2 2" xfId="37900"/>
    <cellStyle name="orh 2 6 2 3" xfId="37901"/>
    <cellStyle name="orh 2 6 2 4" xfId="37902"/>
    <cellStyle name="orh 2 6 3" xfId="37903"/>
    <cellStyle name="orh 2 6 3 2" xfId="37904"/>
    <cellStyle name="orh 2 6 3 3" xfId="37905"/>
    <cellStyle name="orh 2 6 3 4" xfId="37906"/>
    <cellStyle name="orh 2 6 4" xfId="37907"/>
    <cellStyle name="orh 2 6 4 2" xfId="37908"/>
    <cellStyle name="orh 2 6 4 3" xfId="37909"/>
    <cellStyle name="orh 2 6 4 4" xfId="37910"/>
    <cellStyle name="orh 2 6 5" xfId="37911"/>
    <cellStyle name="orh 2 6 6" xfId="37912"/>
    <cellStyle name="orh 2 6 7" xfId="37913"/>
    <cellStyle name="orh 2 6 8" xfId="37914"/>
    <cellStyle name="orh 2 7" xfId="37915"/>
    <cellStyle name="orh 2 7 2" xfId="37916"/>
    <cellStyle name="orh 2 7 2 2" xfId="37917"/>
    <cellStyle name="orh 2 7 2 3" xfId="37918"/>
    <cellStyle name="orh 2 7 2 4" xfId="37919"/>
    <cellStyle name="orh 2 7 3" xfId="37920"/>
    <cellStyle name="orh 2 7 3 2" xfId="37921"/>
    <cellStyle name="orh 2 7 3 3" xfId="37922"/>
    <cellStyle name="orh 2 7 3 4" xfId="37923"/>
    <cellStyle name="orh 2 7 4" xfId="37924"/>
    <cellStyle name="orh 2 7 4 2" xfId="37925"/>
    <cellStyle name="orh 2 7 4 3" xfId="37926"/>
    <cellStyle name="orh 2 7 4 4" xfId="37927"/>
    <cellStyle name="orh 2 7 5" xfId="37928"/>
    <cellStyle name="orh 2 7 6" xfId="37929"/>
    <cellStyle name="orh 2 7 7" xfId="37930"/>
    <cellStyle name="orh 2 7 8" xfId="37931"/>
    <cellStyle name="orh 2 8" xfId="37932"/>
    <cellStyle name="orh 2 8 2" xfId="37933"/>
    <cellStyle name="orh 2 8 2 2" xfId="37934"/>
    <cellStyle name="orh 2 8 2 3" xfId="37935"/>
    <cellStyle name="orh 2 8 2 4" xfId="37936"/>
    <cellStyle name="orh 2 8 3" xfId="37937"/>
    <cellStyle name="orh 2 8 3 2" xfId="37938"/>
    <cellStyle name="orh 2 8 3 3" xfId="37939"/>
    <cellStyle name="orh 2 8 3 4" xfId="37940"/>
    <cellStyle name="orh 2 8 4" xfId="37941"/>
    <cellStyle name="orh 2 8 4 2" xfId="37942"/>
    <cellStyle name="orh 2 8 4 3" xfId="37943"/>
    <cellStyle name="orh 2 8 4 4" xfId="37944"/>
    <cellStyle name="orh 2 8 5" xfId="37945"/>
    <cellStyle name="orh 2 8 6" xfId="37946"/>
    <cellStyle name="orh 2 8 7" xfId="37947"/>
    <cellStyle name="orh 2 8 8" xfId="37948"/>
    <cellStyle name="orh 2 9" xfId="37949"/>
    <cellStyle name="orh 2 9 2" xfId="37950"/>
    <cellStyle name="orh 2 9 3" xfId="37951"/>
    <cellStyle name="orh 2 9 4" xfId="37952"/>
    <cellStyle name="orh 3" xfId="37953"/>
    <cellStyle name="orh 3 10" xfId="37954"/>
    <cellStyle name="orh 3 11" xfId="37955"/>
    <cellStyle name="orh 3 2" xfId="37956"/>
    <cellStyle name="orh 3 2 2" xfId="37957"/>
    <cellStyle name="orh 3 2 2 2" xfId="37958"/>
    <cellStyle name="orh 3 2 2 2 2" xfId="37959"/>
    <cellStyle name="orh 3 2 2 2 3" xfId="37960"/>
    <cellStyle name="orh 3 2 2 2 4" xfId="37961"/>
    <cellStyle name="orh 3 2 2 3" xfId="37962"/>
    <cellStyle name="orh 3 2 2 3 2" xfId="37963"/>
    <cellStyle name="orh 3 2 2 3 3" xfId="37964"/>
    <cellStyle name="orh 3 2 2 3 4" xfId="37965"/>
    <cellStyle name="orh 3 2 2 4" xfId="37966"/>
    <cellStyle name="orh 3 2 2 4 2" xfId="37967"/>
    <cellStyle name="orh 3 2 2 4 3" xfId="37968"/>
    <cellStyle name="orh 3 2 2 4 4" xfId="37969"/>
    <cellStyle name="orh 3 2 2 5" xfId="37970"/>
    <cellStyle name="orh 3 2 2 6" xfId="37971"/>
    <cellStyle name="orh 3 2 2 7" xfId="37972"/>
    <cellStyle name="orh 3 2 2 8" xfId="37973"/>
    <cellStyle name="orh 3 2 3" xfId="37974"/>
    <cellStyle name="orh 3 2 3 2" xfId="37975"/>
    <cellStyle name="orh 3 2 3 2 2" xfId="37976"/>
    <cellStyle name="orh 3 2 3 2 3" xfId="37977"/>
    <cellStyle name="orh 3 2 3 2 4" xfId="37978"/>
    <cellStyle name="orh 3 2 3 3" xfId="37979"/>
    <cellStyle name="orh 3 2 3 3 2" xfId="37980"/>
    <cellStyle name="orh 3 2 3 3 3" xfId="37981"/>
    <cellStyle name="orh 3 2 3 3 4" xfId="37982"/>
    <cellStyle name="orh 3 2 3 4" xfId="37983"/>
    <cellStyle name="orh 3 2 3 4 2" xfId="37984"/>
    <cellStyle name="orh 3 2 3 4 3" xfId="37985"/>
    <cellStyle name="orh 3 2 3 4 4" xfId="37986"/>
    <cellStyle name="orh 3 2 3 5" xfId="37987"/>
    <cellStyle name="orh 3 2 3 6" xfId="37988"/>
    <cellStyle name="orh 3 2 3 7" xfId="37989"/>
    <cellStyle name="orh 3 2 3 8" xfId="37990"/>
    <cellStyle name="orh 3 2 4" xfId="37991"/>
    <cellStyle name="orh 3 2 4 2" xfId="37992"/>
    <cellStyle name="orh 3 2 4 2 2" xfId="37993"/>
    <cellStyle name="orh 3 2 4 2 3" xfId="37994"/>
    <cellStyle name="orh 3 2 4 2 4" xfId="37995"/>
    <cellStyle name="orh 3 2 4 3" xfId="37996"/>
    <cellStyle name="orh 3 2 4 3 2" xfId="37997"/>
    <cellStyle name="orh 3 2 4 3 3" xfId="37998"/>
    <cellStyle name="orh 3 2 4 3 4" xfId="37999"/>
    <cellStyle name="orh 3 2 4 4" xfId="38000"/>
    <cellStyle name="orh 3 2 4 4 2" xfId="38001"/>
    <cellStyle name="orh 3 2 4 4 3" xfId="38002"/>
    <cellStyle name="orh 3 2 4 4 4" xfId="38003"/>
    <cellStyle name="orh 3 2 4 5" xfId="38004"/>
    <cellStyle name="orh 3 2 4 6" xfId="38005"/>
    <cellStyle name="orh 3 2 4 7" xfId="38006"/>
    <cellStyle name="orh 3 2 4 8" xfId="38007"/>
    <cellStyle name="orh 3 2 5" xfId="38008"/>
    <cellStyle name="orh 3 2 5 2" xfId="38009"/>
    <cellStyle name="orh 3 2 5 2 2" xfId="38010"/>
    <cellStyle name="orh 3 2 5 2 3" xfId="38011"/>
    <cellStyle name="orh 3 2 5 2 4" xfId="38012"/>
    <cellStyle name="orh 3 2 5 3" xfId="38013"/>
    <cellStyle name="orh 3 2 5 3 2" xfId="38014"/>
    <cellStyle name="orh 3 2 5 3 3" xfId="38015"/>
    <cellStyle name="orh 3 2 5 3 4" xfId="38016"/>
    <cellStyle name="orh 3 2 5 4" xfId="38017"/>
    <cellStyle name="orh 3 2 5 4 2" xfId="38018"/>
    <cellStyle name="orh 3 2 5 4 3" xfId="38019"/>
    <cellStyle name="orh 3 2 5 4 4" xfId="38020"/>
    <cellStyle name="orh 3 2 5 5" xfId="38021"/>
    <cellStyle name="orh 3 2 5 6" xfId="38022"/>
    <cellStyle name="orh 3 2 5 7" xfId="38023"/>
    <cellStyle name="orh 3 2 5 8" xfId="38024"/>
    <cellStyle name="orh 3 2 6" xfId="38025"/>
    <cellStyle name="orh 3 2 6 2" xfId="38026"/>
    <cellStyle name="orh 3 2 6 3" xfId="38027"/>
    <cellStyle name="orh 3 2 6 4" xfId="38028"/>
    <cellStyle name="orh 3 2 7" xfId="38029"/>
    <cellStyle name="orh 3 2 7 2" xfId="38030"/>
    <cellStyle name="orh 3 2 7 3" xfId="38031"/>
    <cellStyle name="orh 3 2 7 4" xfId="38032"/>
    <cellStyle name="orh 3 2 8" xfId="38033"/>
    <cellStyle name="orh 3 2 9" xfId="38034"/>
    <cellStyle name="orh 3 3" xfId="38035"/>
    <cellStyle name="orh 3 3 2" xfId="38036"/>
    <cellStyle name="orh 3 3 2 2" xfId="38037"/>
    <cellStyle name="orh 3 3 2 3" xfId="38038"/>
    <cellStyle name="orh 3 3 2 4" xfId="38039"/>
    <cellStyle name="orh 3 3 3" xfId="38040"/>
    <cellStyle name="orh 3 3 3 2" xfId="38041"/>
    <cellStyle name="orh 3 3 3 3" xfId="38042"/>
    <cellStyle name="orh 3 3 3 4" xfId="38043"/>
    <cellStyle name="orh 3 3 4" xfId="38044"/>
    <cellStyle name="orh 3 3 4 2" xfId="38045"/>
    <cellStyle name="orh 3 3 4 3" xfId="38046"/>
    <cellStyle name="orh 3 3 4 4" xfId="38047"/>
    <cellStyle name="orh 3 3 5" xfId="38048"/>
    <cellStyle name="orh 3 3 6" xfId="38049"/>
    <cellStyle name="orh 3 3 7" xfId="38050"/>
    <cellStyle name="orh 3 3 8" xfId="38051"/>
    <cellStyle name="orh 3 4" xfId="38052"/>
    <cellStyle name="orh 3 4 2" xfId="38053"/>
    <cellStyle name="orh 3 4 2 2" xfId="38054"/>
    <cellStyle name="orh 3 4 2 3" xfId="38055"/>
    <cellStyle name="orh 3 4 2 4" xfId="38056"/>
    <cellStyle name="orh 3 4 3" xfId="38057"/>
    <cellStyle name="orh 3 4 3 2" xfId="38058"/>
    <cellStyle name="orh 3 4 3 3" xfId="38059"/>
    <cellStyle name="orh 3 4 3 4" xfId="38060"/>
    <cellStyle name="orh 3 4 4" xfId="38061"/>
    <cellStyle name="orh 3 4 4 2" xfId="38062"/>
    <cellStyle name="orh 3 4 4 3" xfId="38063"/>
    <cellStyle name="orh 3 4 4 4" xfId="38064"/>
    <cellStyle name="orh 3 4 5" xfId="38065"/>
    <cellStyle name="orh 3 4 6" xfId="38066"/>
    <cellStyle name="orh 3 4 7" xfId="38067"/>
    <cellStyle name="orh 3 4 8" xfId="38068"/>
    <cellStyle name="orh 3 5" xfId="38069"/>
    <cellStyle name="orh 3 5 2" xfId="38070"/>
    <cellStyle name="orh 3 5 2 2" xfId="38071"/>
    <cellStyle name="orh 3 5 2 3" xfId="38072"/>
    <cellStyle name="orh 3 5 2 4" xfId="38073"/>
    <cellStyle name="orh 3 5 3" xfId="38074"/>
    <cellStyle name="orh 3 5 3 2" xfId="38075"/>
    <cellStyle name="orh 3 5 3 3" xfId="38076"/>
    <cellStyle name="orh 3 5 3 4" xfId="38077"/>
    <cellStyle name="orh 3 5 4" xfId="38078"/>
    <cellStyle name="orh 3 5 4 2" xfId="38079"/>
    <cellStyle name="orh 3 5 4 3" xfId="38080"/>
    <cellStyle name="orh 3 5 4 4" xfId="38081"/>
    <cellStyle name="orh 3 5 5" xfId="38082"/>
    <cellStyle name="orh 3 5 6" xfId="38083"/>
    <cellStyle name="orh 3 5 7" xfId="38084"/>
    <cellStyle name="orh 3 5 8" xfId="38085"/>
    <cellStyle name="orh 3 6" xfId="38086"/>
    <cellStyle name="orh 3 6 2" xfId="38087"/>
    <cellStyle name="orh 3 6 2 2" xfId="38088"/>
    <cellStyle name="orh 3 6 2 3" xfId="38089"/>
    <cellStyle name="orh 3 6 2 4" xfId="38090"/>
    <cellStyle name="orh 3 6 3" xfId="38091"/>
    <cellStyle name="orh 3 6 3 2" xfId="38092"/>
    <cellStyle name="orh 3 6 3 3" xfId="38093"/>
    <cellStyle name="orh 3 6 3 4" xfId="38094"/>
    <cellStyle name="orh 3 6 4" xfId="38095"/>
    <cellStyle name="orh 3 6 4 2" xfId="38096"/>
    <cellStyle name="orh 3 6 4 3" xfId="38097"/>
    <cellStyle name="orh 3 6 4 4" xfId="38098"/>
    <cellStyle name="orh 3 6 5" xfId="38099"/>
    <cellStyle name="orh 3 6 6" xfId="38100"/>
    <cellStyle name="orh 3 6 7" xfId="38101"/>
    <cellStyle name="orh 3 6 8" xfId="38102"/>
    <cellStyle name="orh 3 7" xfId="38103"/>
    <cellStyle name="orh 3 7 2" xfId="38104"/>
    <cellStyle name="orh 3 7 2 2" xfId="38105"/>
    <cellStyle name="orh 3 7 2 3" xfId="38106"/>
    <cellStyle name="orh 3 7 2 4" xfId="38107"/>
    <cellStyle name="orh 3 7 3" xfId="38108"/>
    <cellStyle name="orh 3 7 3 2" xfId="38109"/>
    <cellStyle name="orh 3 7 3 3" xfId="38110"/>
    <cellStyle name="orh 3 7 3 4" xfId="38111"/>
    <cellStyle name="orh 3 7 4" xfId="38112"/>
    <cellStyle name="orh 3 7 4 2" xfId="38113"/>
    <cellStyle name="orh 3 7 4 3" xfId="38114"/>
    <cellStyle name="orh 3 7 4 4" xfId="38115"/>
    <cellStyle name="orh 3 7 5" xfId="38116"/>
    <cellStyle name="orh 3 7 6" xfId="38117"/>
    <cellStyle name="orh 3 7 7" xfId="38118"/>
    <cellStyle name="orh 3 7 8" xfId="38119"/>
    <cellStyle name="orh 3 8" xfId="38120"/>
    <cellStyle name="orh 3 8 2" xfId="38121"/>
    <cellStyle name="orh 3 8 3" xfId="38122"/>
    <cellStyle name="orh 3 8 4" xfId="38123"/>
    <cellStyle name="orh 3 9" xfId="38124"/>
    <cellStyle name="orh 3 9 2" xfId="38125"/>
    <cellStyle name="orh 3 9 3" xfId="38126"/>
    <cellStyle name="orh 3 9 4" xfId="38127"/>
    <cellStyle name="orh 4" xfId="38128"/>
    <cellStyle name="orh 5" xfId="38129"/>
    <cellStyle name="orh 5 2" xfId="38130"/>
    <cellStyle name="orh 5 2 2" xfId="38131"/>
    <cellStyle name="orh 5 2 2 2" xfId="38132"/>
    <cellStyle name="orh 5 2 2 3" xfId="38133"/>
    <cellStyle name="orh 5 2 2 4" xfId="38134"/>
    <cellStyle name="orh 5 2 3" xfId="38135"/>
    <cellStyle name="orh 5 2 3 2" xfId="38136"/>
    <cellStyle name="orh 5 2 3 3" xfId="38137"/>
    <cellStyle name="orh 5 2 3 4" xfId="38138"/>
    <cellStyle name="orh 5 2 4" xfId="38139"/>
    <cellStyle name="orh 5 2 4 2" xfId="38140"/>
    <cellStyle name="orh 5 2 4 3" xfId="38141"/>
    <cellStyle name="orh 5 2 4 4" xfId="38142"/>
    <cellStyle name="orh 5 2 5" xfId="38143"/>
    <cellStyle name="orh 5 2 6" xfId="38144"/>
    <cellStyle name="orh 5 2 7" xfId="38145"/>
    <cellStyle name="orh 5 2 8" xfId="38146"/>
    <cellStyle name="orh 5 3" xfId="38147"/>
    <cellStyle name="orh 5 3 2" xfId="38148"/>
    <cellStyle name="orh 5 3 2 2" xfId="38149"/>
    <cellStyle name="orh 5 3 2 3" xfId="38150"/>
    <cellStyle name="orh 5 3 2 4" xfId="38151"/>
    <cellStyle name="orh 5 3 3" xfId="38152"/>
    <cellStyle name="orh 5 3 3 2" xfId="38153"/>
    <cellStyle name="orh 5 3 3 3" xfId="38154"/>
    <cellStyle name="orh 5 3 3 4" xfId="38155"/>
    <cellStyle name="orh 5 3 4" xfId="38156"/>
    <cellStyle name="orh 5 3 4 2" xfId="38157"/>
    <cellStyle name="orh 5 3 4 3" xfId="38158"/>
    <cellStyle name="orh 5 3 4 4" xfId="38159"/>
    <cellStyle name="orh 5 3 5" xfId="38160"/>
    <cellStyle name="orh 5 3 6" xfId="38161"/>
    <cellStyle name="orh 5 3 7" xfId="38162"/>
    <cellStyle name="orh 5 3 8" xfId="38163"/>
    <cellStyle name="orh 5 4" xfId="38164"/>
    <cellStyle name="orh 5 4 2" xfId="38165"/>
    <cellStyle name="orh 5 4 2 2" xfId="38166"/>
    <cellStyle name="orh 5 4 2 3" xfId="38167"/>
    <cellStyle name="orh 5 4 2 4" xfId="38168"/>
    <cellStyle name="orh 5 4 3" xfId="38169"/>
    <cellStyle name="orh 5 4 3 2" xfId="38170"/>
    <cellStyle name="orh 5 4 3 3" xfId="38171"/>
    <cellStyle name="orh 5 4 3 4" xfId="38172"/>
    <cellStyle name="orh 5 4 4" xfId="38173"/>
    <cellStyle name="orh 5 4 4 2" xfId="38174"/>
    <cellStyle name="orh 5 4 4 3" xfId="38175"/>
    <cellStyle name="orh 5 4 4 4" xfId="38176"/>
    <cellStyle name="orh 5 4 5" xfId="38177"/>
    <cellStyle name="orh 5 4 6" xfId="38178"/>
    <cellStyle name="orh 5 4 7" xfId="38179"/>
    <cellStyle name="orh 5 4 8" xfId="38180"/>
    <cellStyle name="orh 5 5" xfId="38181"/>
    <cellStyle name="orh 5 5 2" xfId="38182"/>
    <cellStyle name="orh 5 5 2 2" xfId="38183"/>
    <cellStyle name="orh 5 5 2 3" xfId="38184"/>
    <cellStyle name="orh 5 5 2 4" xfId="38185"/>
    <cellStyle name="orh 5 5 3" xfId="38186"/>
    <cellStyle name="orh 5 5 3 2" xfId="38187"/>
    <cellStyle name="orh 5 5 3 3" xfId="38188"/>
    <cellStyle name="orh 5 5 3 4" xfId="38189"/>
    <cellStyle name="orh 5 5 4" xfId="38190"/>
    <cellStyle name="orh 5 5 4 2" xfId="38191"/>
    <cellStyle name="orh 5 5 4 3" xfId="38192"/>
    <cellStyle name="orh 5 5 4 4" xfId="38193"/>
    <cellStyle name="orh 5 5 5" xfId="38194"/>
    <cellStyle name="orh 5 5 6" xfId="38195"/>
    <cellStyle name="orh 5 5 7" xfId="38196"/>
    <cellStyle name="orh 5 5 8" xfId="38197"/>
    <cellStyle name="orh 5 6" xfId="38198"/>
    <cellStyle name="orh 5 6 2" xfId="38199"/>
    <cellStyle name="orh 5 6 3" xfId="38200"/>
    <cellStyle name="orh 5 6 4" xfId="38201"/>
    <cellStyle name="orh 5 7" xfId="38202"/>
    <cellStyle name="orh 5 7 2" xfId="38203"/>
    <cellStyle name="orh 5 7 3" xfId="38204"/>
    <cellStyle name="orh 5 7 4" xfId="38205"/>
    <cellStyle name="orh 5 8" xfId="38206"/>
    <cellStyle name="orh 5 9" xfId="38207"/>
    <cellStyle name="orh 6" xfId="38208"/>
    <cellStyle name="orh 6 2" xfId="38209"/>
    <cellStyle name="orh 6 2 2" xfId="38210"/>
    <cellStyle name="orh 6 2 3" xfId="38211"/>
    <cellStyle name="orh 6 2 4" xfId="38212"/>
    <cellStyle name="orh 6 3" xfId="38213"/>
    <cellStyle name="orh 6 3 2" xfId="38214"/>
    <cellStyle name="orh 6 3 3" xfId="38215"/>
    <cellStyle name="orh 6 3 4" xfId="38216"/>
    <cellStyle name="orh 6 4" xfId="38217"/>
    <cellStyle name="orh 6 4 2" xfId="38218"/>
    <cellStyle name="orh 6 4 3" xfId="38219"/>
    <cellStyle name="orh 6 4 4" xfId="38220"/>
    <cellStyle name="orh 6 5" xfId="38221"/>
    <cellStyle name="orh 6 6" xfId="38222"/>
    <cellStyle name="orh 6 7" xfId="38223"/>
    <cellStyle name="orh 6 8" xfId="38224"/>
    <cellStyle name="orh 7" xfId="38225"/>
    <cellStyle name="orh 7 2" xfId="38226"/>
    <cellStyle name="orh 7 2 2" xfId="38227"/>
    <cellStyle name="orh 7 2 3" xfId="38228"/>
    <cellStyle name="orh 7 2 4" xfId="38229"/>
    <cellStyle name="orh 7 3" xfId="38230"/>
    <cellStyle name="orh 7 3 2" xfId="38231"/>
    <cellStyle name="orh 7 3 3" xfId="38232"/>
    <cellStyle name="orh 7 3 4" xfId="38233"/>
    <cellStyle name="orh 7 4" xfId="38234"/>
    <cellStyle name="orh 7 4 2" xfId="38235"/>
    <cellStyle name="orh 7 4 3" xfId="38236"/>
    <cellStyle name="orh 7 4 4" xfId="38237"/>
    <cellStyle name="orh 7 5" xfId="38238"/>
    <cellStyle name="orh 7 6" xfId="38239"/>
    <cellStyle name="orh 7 7" xfId="38240"/>
    <cellStyle name="orh 7 8" xfId="38241"/>
    <cellStyle name="orh 8" xfId="38242"/>
    <cellStyle name="orh 8 2" xfId="38243"/>
    <cellStyle name="orh 8 2 2" xfId="38244"/>
    <cellStyle name="orh 8 2 3" xfId="38245"/>
    <cellStyle name="orh 8 2 4" xfId="38246"/>
    <cellStyle name="orh 8 3" xfId="38247"/>
    <cellStyle name="orh 8 3 2" xfId="38248"/>
    <cellStyle name="orh 8 3 3" xfId="38249"/>
    <cellStyle name="orh 8 3 4" xfId="38250"/>
    <cellStyle name="orh 8 4" xfId="38251"/>
    <cellStyle name="orh 8 4 2" xfId="38252"/>
    <cellStyle name="orh 8 4 3" xfId="38253"/>
    <cellStyle name="orh 8 4 4" xfId="38254"/>
    <cellStyle name="orh 8 5" xfId="38255"/>
    <cellStyle name="orh 8 6" xfId="38256"/>
    <cellStyle name="orh 8 7" xfId="38257"/>
    <cellStyle name="orh 8 8" xfId="38258"/>
    <cellStyle name="orh 9" xfId="38259"/>
    <cellStyle name="orh 9 2" xfId="38260"/>
    <cellStyle name="orh 9 2 2" xfId="38261"/>
    <cellStyle name="orh 9 2 3" xfId="38262"/>
    <cellStyle name="orh 9 2 4" xfId="38263"/>
    <cellStyle name="orh 9 3" xfId="38264"/>
    <cellStyle name="orh 9 3 2" xfId="38265"/>
    <cellStyle name="orh 9 3 3" xfId="38266"/>
    <cellStyle name="orh 9 3 4" xfId="38267"/>
    <cellStyle name="orh 9 4" xfId="38268"/>
    <cellStyle name="orh 9 4 2" xfId="38269"/>
    <cellStyle name="orh 9 4 3" xfId="38270"/>
    <cellStyle name="orh 9 4 4" xfId="38271"/>
    <cellStyle name="orh 9 5" xfId="38272"/>
    <cellStyle name="orh 9 6" xfId="38273"/>
    <cellStyle name="orh 9 7" xfId="38274"/>
    <cellStyle name="orh 9 8" xfId="38275"/>
    <cellStyle name="Output" xfId="38276"/>
    <cellStyle name="Output 10" xfId="38277"/>
    <cellStyle name="Output 10 2" xfId="38278"/>
    <cellStyle name="Output 10 3" xfId="38279"/>
    <cellStyle name="Output 10 4" xfId="38280"/>
    <cellStyle name="Output 11" xfId="38281"/>
    <cellStyle name="Output 11 2" xfId="38282"/>
    <cellStyle name="Output 11 3" xfId="38283"/>
    <cellStyle name="Output 11 4" xfId="38284"/>
    <cellStyle name="Output 12" xfId="38285"/>
    <cellStyle name="Output 13" xfId="38286"/>
    <cellStyle name="Output 2" xfId="38287"/>
    <cellStyle name="Output 2 10" xfId="38288"/>
    <cellStyle name="Output 2 11" xfId="38289"/>
    <cellStyle name="Output 2 2" xfId="38290"/>
    <cellStyle name="Output 2 2 2" xfId="38291"/>
    <cellStyle name="Output 2 2 2 2" xfId="38292"/>
    <cellStyle name="Output 2 2 2 2 2" xfId="38293"/>
    <cellStyle name="Output 2 2 2 2 3" xfId="38294"/>
    <cellStyle name="Output 2 2 2 2 4" xfId="38295"/>
    <cellStyle name="Output 2 2 2 3" xfId="38296"/>
    <cellStyle name="Output 2 2 2 3 2" xfId="38297"/>
    <cellStyle name="Output 2 2 2 3 3" xfId="38298"/>
    <cellStyle name="Output 2 2 2 3 4" xfId="38299"/>
    <cellStyle name="Output 2 2 2 4" xfId="38300"/>
    <cellStyle name="Output 2 2 2 4 2" xfId="38301"/>
    <cellStyle name="Output 2 2 2 4 3" xfId="38302"/>
    <cellStyle name="Output 2 2 2 4 4" xfId="38303"/>
    <cellStyle name="Output 2 2 2 5" xfId="38304"/>
    <cellStyle name="Output 2 2 2 6" xfId="38305"/>
    <cellStyle name="Output 2 2 2 7" xfId="38306"/>
    <cellStyle name="Output 2 2 2 8" xfId="38307"/>
    <cellStyle name="Output 2 2 3" xfId="38308"/>
    <cellStyle name="Output 2 2 3 2" xfId="38309"/>
    <cellStyle name="Output 2 2 3 2 2" xfId="38310"/>
    <cellStyle name="Output 2 2 3 2 3" xfId="38311"/>
    <cellStyle name="Output 2 2 3 2 4" xfId="38312"/>
    <cellStyle name="Output 2 2 3 3" xfId="38313"/>
    <cellStyle name="Output 2 2 3 3 2" xfId="38314"/>
    <cellStyle name="Output 2 2 3 3 3" xfId="38315"/>
    <cellStyle name="Output 2 2 3 3 4" xfId="38316"/>
    <cellStyle name="Output 2 2 3 4" xfId="38317"/>
    <cellStyle name="Output 2 2 3 4 2" xfId="38318"/>
    <cellStyle name="Output 2 2 3 4 3" xfId="38319"/>
    <cellStyle name="Output 2 2 3 4 4" xfId="38320"/>
    <cellStyle name="Output 2 2 3 5" xfId="38321"/>
    <cellStyle name="Output 2 2 3 6" xfId="38322"/>
    <cellStyle name="Output 2 2 3 7" xfId="38323"/>
    <cellStyle name="Output 2 2 3 8" xfId="38324"/>
    <cellStyle name="Output 2 2 4" xfId="38325"/>
    <cellStyle name="Output 2 2 4 2" xfId="38326"/>
    <cellStyle name="Output 2 2 4 2 2" xfId="38327"/>
    <cellStyle name="Output 2 2 4 2 3" xfId="38328"/>
    <cellStyle name="Output 2 2 4 2 4" xfId="38329"/>
    <cellStyle name="Output 2 2 4 3" xfId="38330"/>
    <cellStyle name="Output 2 2 4 3 2" xfId="38331"/>
    <cellStyle name="Output 2 2 4 3 3" xfId="38332"/>
    <cellStyle name="Output 2 2 4 3 4" xfId="38333"/>
    <cellStyle name="Output 2 2 4 4" xfId="38334"/>
    <cellStyle name="Output 2 2 4 4 2" xfId="38335"/>
    <cellStyle name="Output 2 2 4 4 3" xfId="38336"/>
    <cellStyle name="Output 2 2 4 4 4" xfId="38337"/>
    <cellStyle name="Output 2 2 4 5" xfId="38338"/>
    <cellStyle name="Output 2 2 4 6" xfId="38339"/>
    <cellStyle name="Output 2 2 4 7" xfId="38340"/>
    <cellStyle name="Output 2 2 4 8" xfId="38341"/>
    <cellStyle name="Output 2 2 5" xfId="38342"/>
    <cellStyle name="Output 2 2 5 2" xfId="38343"/>
    <cellStyle name="Output 2 2 5 2 2" xfId="38344"/>
    <cellStyle name="Output 2 2 5 2 3" xfId="38345"/>
    <cellStyle name="Output 2 2 5 2 4" xfId="38346"/>
    <cellStyle name="Output 2 2 5 3" xfId="38347"/>
    <cellStyle name="Output 2 2 5 3 2" xfId="38348"/>
    <cellStyle name="Output 2 2 5 3 3" xfId="38349"/>
    <cellStyle name="Output 2 2 5 3 4" xfId="38350"/>
    <cellStyle name="Output 2 2 5 4" xfId="38351"/>
    <cellStyle name="Output 2 2 5 4 2" xfId="38352"/>
    <cellStyle name="Output 2 2 5 4 3" xfId="38353"/>
    <cellStyle name="Output 2 2 5 4 4" xfId="38354"/>
    <cellStyle name="Output 2 2 5 5" xfId="38355"/>
    <cellStyle name="Output 2 2 5 6" xfId="38356"/>
    <cellStyle name="Output 2 2 5 7" xfId="38357"/>
    <cellStyle name="Output 2 2 5 8" xfId="38358"/>
    <cellStyle name="Output 2 2 6" xfId="38359"/>
    <cellStyle name="Output 2 2 6 2" xfId="38360"/>
    <cellStyle name="Output 2 2 6 3" xfId="38361"/>
    <cellStyle name="Output 2 2 6 4" xfId="38362"/>
    <cellStyle name="Output 2 2 7" xfId="38363"/>
    <cellStyle name="Output 2 2 7 2" xfId="38364"/>
    <cellStyle name="Output 2 2 7 3" xfId="38365"/>
    <cellStyle name="Output 2 2 7 4" xfId="38366"/>
    <cellStyle name="Output 2 2 8" xfId="38367"/>
    <cellStyle name="Output 2 2 9" xfId="38368"/>
    <cellStyle name="Output 2 3" xfId="38369"/>
    <cellStyle name="Output 2 3 2" xfId="38370"/>
    <cellStyle name="Output 2 3 2 2" xfId="38371"/>
    <cellStyle name="Output 2 3 2 3" xfId="38372"/>
    <cellStyle name="Output 2 3 2 4" xfId="38373"/>
    <cellStyle name="Output 2 3 3" xfId="38374"/>
    <cellStyle name="Output 2 3 3 2" xfId="38375"/>
    <cellStyle name="Output 2 3 3 3" xfId="38376"/>
    <cellStyle name="Output 2 3 3 4" xfId="38377"/>
    <cellStyle name="Output 2 3 4" xfId="38378"/>
    <cellStyle name="Output 2 3 5" xfId="38379"/>
    <cellStyle name="Output 2 3 6" xfId="38380"/>
    <cellStyle name="Output 2 3 7" xfId="38381"/>
    <cellStyle name="Output 2 4" xfId="38382"/>
    <cellStyle name="Output 2 4 2" xfId="38383"/>
    <cellStyle name="Output 2 4 2 2" xfId="38384"/>
    <cellStyle name="Output 2 4 2 3" xfId="38385"/>
    <cellStyle name="Output 2 4 2 4" xfId="38386"/>
    <cellStyle name="Output 2 4 3" xfId="38387"/>
    <cellStyle name="Output 2 4 3 2" xfId="38388"/>
    <cellStyle name="Output 2 4 3 3" xfId="38389"/>
    <cellStyle name="Output 2 4 3 4" xfId="38390"/>
    <cellStyle name="Output 2 4 4" xfId="38391"/>
    <cellStyle name="Output 2 4 4 2" xfId="38392"/>
    <cellStyle name="Output 2 4 4 3" xfId="38393"/>
    <cellStyle name="Output 2 4 4 4" xfId="38394"/>
    <cellStyle name="Output 2 4 5" xfId="38395"/>
    <cellStyle name="Output 2 4 6" xfId="38396"/>
    <cellStyle name="Output 2 4 7" xfId="38397"/>
    <cellStyle name="Output 2 4 8" xfId="38398"/>
    <cellStyle name="Output 2 5" xfId="38399"/>
    <cellStyle name="Output 2 5 2" xfId="38400"/>
    <cellStyle name="Output 2 5 2 2" xfId="38401"/>
    <cellStyle name="Output 2 5 2 3" xfId="38402"/>
    <cellStyle name="Output 2 5 2 4" xfId="38403"/>
    <cellStyle name="Output 2 5 3" xfId="38404"/>
    <cellStyle name="Output 2 5 3 2" xfId="38405"/>
    <cellStyle name="Output 2 5 3 3" xfId="38406"/>
    <cellStyle name="Output 2 5 3 4" xfId="38407"/>
    <cellStyle name="Output 2 5 4" xfId="38408"/>
    <cellStyle name="Output 2 5 4 2" xfId="38409"/>
    <cellStyle name="Output 2 5 4 3" xfId="38410"/>
    <cellStyle name="Output 2 5 4 4" xfId="38411"/>
    <cellStyle name="Output 2 5 5" xfId="38412"/>
    <cellStyle name="Output 2 5 6" xfId="38413"/>
    <cellStyle name="Output 2 5 7" xfId="38414"/>
    <cellStyle name="Output 2 5 8" xfId="38415"/>
    <cellStyle name="Output 2 6" xfId="38416"/>
    <cellStyle name="Output 2 6 2" xfId="38417"/>
    <cellStyle name="Output 2 6 2 2" xfId="38418"/>
    <cellStyle name="Output 2 6 2 3" xfId="38419"/>
    <cellStyle name="Output 2 6 2 4" xfId="38420"/>
    <cellStyle name="Output 2 6 3" xfId="38421"/>
    <cellStyle name="Output 2 6 3 2" xfId="38422"/>
    <cellStyle name="Output 2 6 3 3" xfId="38423"/>
    <cellStyle name="Output 2 6 3 4" xfId="38424"/>
    <cellStyle name="Output 2 6 4" xfId="38425"/>
    <cellStyle name="Output 2 6 4 2" xfId="38426"/>
    <cellStyle name="Output 2 6 4 3" xfId="38427"/>
    <cellStyle name="Output 2 6 4 4" xfId="38428"/>
    <cellStyle name="Output 2 6 5" xfId="38429"/>
    <cellStyle name="Output 2 6 6" xfId="38430"/>
    <cellStyle name="Output 2 6 7" xfId="38431"/>
    <cellStyle name="Output 2 6 8" xfId="38432"/>
    <cellStyle name="Output 2 7" xfId="38433"/>
    <cellStyle name="Output 2 7 2" xfId="38434"/>
    <cellStyle name="Output 2 7 2 2" xfId="38435"/>
    <cellStyle name="Output 2 7 2 3" xfId="38436"/>
    <cellStyle name="Output 2 7 2 4" xfId="38437"/>
    <cellStyle name="Output 2 7 3" xfId="38438"/>
    <cellStyle name="Output 2 7 3 2" xfId="38439"/>
    <cellStyle name="Output 2 7 3 3" xfId="38440"/>
    <cellStyle name="Output 2 7 3 4" xfId="38441"/>
    <cellStyle name="Output 2 7 4" xfId="38442"/>
    <cellStyle name="Output 2 7 4 2" xfId="38443"/>
    <cellStyle name="Output 2 7 4 3" xfId="38444"/>
    <cellStyle name="Output 2 7 4 4" xfId="38445"/>
    <cellStyle name="Output 2 7 5" xfId="38446"/>
    <cellStyle name="Output 2 7 6" xfId="38447"/>
    <cellStyle name="Output 2 7 7" xfId="38448"/>
    <cellStyle name="Output 2 7 8" xfId="38449"/>
    <cellStyle name="Output 2 8" xfId="38450"/>
    <cellStyle name="Output 2 8 2" xfId="38451"/>
    <cellStyle name="Output 2 8 3" xfId="38452"/>
    <cellStyle name="Output 2 8 4" xfId="38453"/>
    <cellStyle name="Output 2 9" xfId="38454"/>
    <cellStyle name="Output 2 9 2" xfId="38455"/>
    <cellStyle name="Output 2 9 3" xfId="38456"/>
    <cellStyle name="Output 2 9 4" xfId="38457"/>
    <cellStyle name="Output 3" xfId="38458"/>
    <cellStyle name="Output 3 10" xfId="38459"/>
    <cellStyle name="Output 3 11" xfId="38460"/>
    <cellStyle name="Output 3 2" xfId="38461"/>
    <cellStyle name="Output 3 2 2" xfId="38462"/>
    <cellStyle name="Output 3 2 2 2" xfId="38463"/>
    <cellStyle name="Output 3 2 2 2 2" xfId="38464"/>
    <cellStyle name="Output 3 2 2 2 3" xfId="38465"/>
    <cellStyle name="Output 3 2 2 2 4" xfId="38466"/>
    <cellStyle name="Output 3 2 2 3" xfId="38467"/>
    <cellStyle name="Output 3 2 2 3 2" xfId="38468"/>
    <cellStyle name="Output 3 2 2 3 3" xfId="38469"/>
    <cellStyle name="Output 3 2 2 3 4" xfId="38470"/>
    <cellStyle name="Output 3 2 2 4" xfId="38471"/>
    <cellStyle name="Output 3 2 2 4 2" xfId="38472"/>
    <cellStyle name="Output 3 2 2 4 3" xfId="38473"/>
    <cellStyle name="Output 3 2 2 4 4" xfId="38474"/>
    <cellStyle name="Output 3 2 2 5" xfId="38475"/>
    <cellStyle name="Output 3 2 2 6" xfId="38476"/>
    <cellStyle name="Output 3 2 2 7" xfId="38477"/>
    <cellStyle name="Output 3 2 2 8" xfId="38478"/>
    <cellStyle name="Output 3 2 3" xfId="38479"/>
    <cellStyle name="Output 3 2 3 2" xfId="38480"/>
    <cellStyle name="Output 3 2 3 2 2" xfId="38481"/>
    <cellStyle name="Output 3 2 3 2 3" xfId="38482"/>
    <cellStyle name="Output 3 2 3 2 4" xfId="38483"/>
    <cellStyle name="Output 3 2 3 3" xfId="38484"/>
    <cellStyle name="Output 3 2 3 3 2" xfId="38485"/>
    <cellStyle name="Output 3 2 3 3 3" xfId="38486"/>
    <cellStyle name="Output 3 2 3 3 4" xfId="38487"/>
    <cellStyle name="Output 3 2 3 4" xfId="38488"/>
    <cellStyle name="Output 3 2 3 4 2" xfId="38489"/>
    <cellStyle name="Output 3 2 3 4 3" xfId="38490"/>
    <cellStyle name="Output 3 2 3 4 4" xfId="38491"/>
    <cellStyle name="Output 3 2 3 5" xfId="38492"/>
    <cellStyle name="Output 3 2 3 6" xfId="38493"/>
    <cellStyle name="Output 3 2 3 7" xfId="38494"/>
    <cellStyle name="Output 3 2 3 8" xfId="38495"/>
    <cellStyle name="Output 3 2 4" xfId="38496"/>
    <cellStyle name="Output 3 2 4 2" xfId="38497"/>
    <cellStyle name="Output 3 2 4 2 2" xfId="38498"/>
    <cellStyle name="Output 3 2 4 2 3" xfId="38499"/>
    <cellStyle name="Output 3 2 4 2 4" xfId="38500"/>
    <cellStyle name="Output 3 2 4 3" xfId="38501"/>
    <cellStyle name="Output 3 2 4 3 2" xfId="38502"/>
    <cellStyle name="Output 3 2 4 3 3" xfId="38503"/>
    <cellStyle name="Output 3 2 4 3 4" xfId="38504"/>
    <cellStyle name="Output 3 2 4 4" xfId="38505"/>
    <cellStyle name="Output 3 2 4 4 2" xfId="38506"/>
    <cellStyle name="Output 3 2 4 4 3" xfId="38507"/>
    <cellStyle name="Output 3 2 4 4 4" xfId="38508"/>
    <cellStyle name="Output 3 2 4 5" xfId="38509"/>
    <cellStyle name="Output 3 2 4 6" xfId="38510"/>
    <cellStyle name="Output 3 2 4 7" xfId="38511"/>
    <cellStyle name="Output 3 2 4 8" xfId="38512"/>
    <cellStyle name="Output 3 2 5" xfId="38513"/>
    <cellStyle name="Output 3 2 5 2" xfId="38514"/>
    <cellStyle name="Output 3 2 5 2 2" xfId="38515"/>
    <cellStyle name="Output 3 2 5 2 3" xfId="38516"/>
    <cellStyle name="Output 3 2 5 2 4" xfId="38517"/>
    <cellStyle name="Output 3 2 5 3" xfId="38518"/>
    <cellStyle name="Output 3 2 5 3 2" xfId="38519"/>
    <cellStyle name="Output 3 2 5 3 3" xfId="38520"/>
    <cellStyle name="Output 3 2 5 3 4" xfId="38521"/>
    <cellStyle name="Output 3 2 5 4" xfId="38522"/>
    <cellStyle name="Output 3 2 5 4 2" xfId="38523"/>
    <cellStyle name="Output 3 2 5 4 3" xfId="38524"/>
    <cellStyle name="Output 3 2 5 4 4" xfId="38525"/>
    <cellStyle name="Output 3 2 5 5" xfId="38526"/>
    <cellStyle name="Output 3 2 5 6" xfId="38527"/>
    <cellStyle name="Output 3 2 5 7" xfId="38528"/>
    <cellStyle name="Output 3 2 5 8" xfId="38529"/>
    <cellStyle name="Output 3 2 6" xfId="38530"/>
    <cellStyle name="Output 3 2 6 2" xfId="38531"/>
    <cellStyle name="Output 3 2 6 3" xfId="38532"/>
    <cellStyle name="Output 3 2 6 4" xfId="38533"/>
    <cellStyle name="Output 3 2 7" xfId="38534"/>
    <cellStyle name="Output 3 2 7 2" xfId="38535"/>
    <cellStyle name="Output 3 2 7 3" xfId="38536"/>
    <cellStyle name="Output 3 2 7 4" xfId="38537"/>
    <cellStyle name="Output 3 2 8" xfId="38538"/>
    <cellStyle name="Output 3 2 9" xfId="38539"/>
    <cellStyle name="Output 3 3" xfId="38540"/>
    <cellStyle name="Output 3 3 2" xfId="38541"/>
    <cellStyle name="Output 3 3 2 2" xfId="38542"/>
    <cellStyle name="Output 3 3 2 3" xfId="38543"/>
    <cellStyle name="Output 3 3 2 4" xfId="38544"/>
    <cellStyle name="Output 3 3 3" xfId="38545"/>
    <cellStyle name="Output 3 3 3 2" xfId="38546"/>
    <cellStyle name="Output 3 3 3 3" xfId="38547"/>
    <cellStyle name="Output 3 3 3 4" xfId="38548"/>
    <cellStyle name="Output 3 3 4" xfId="38549"/>
    <cellStyle name="Output 3 3 5" xfId="38550"/>
    <cellStyle name="Output 3 3 6" xfId="38551"/>
    <cellStyle name="Output 3 3 7" xfId="38552"/>
    <cellStyle name="Output 3 4" xfId="38553"/>
    <cellStyle name="Output 3 4 2" xfId="38554"/>
    <cellStyle name="Output 3 4 2 2" xfId="38555"/>
    <cellStyle name="Output 3 4 2 3" xfId="38556"/>
    <cellStyle name="Output 3 4 2 4" xfId="38557"/>
    <cellStyle name="Output 3 4 3" xfId="38558"/>
    <cellStyle name="Output 3 4 3 2" xfId="38559"/>
    <cellStyle name="Output 3 4 3 3" xfId="38560"/>
    <cellStyle name="Output 3 4 3 4" xfId="38561"/>
    <cellStyle name="Output 3 4 4" xfId="38562"/>
    <cellStyle name="Output 3 4 4 2" xfId="38563"/>
    <cellStyle name="Output 3 4 4 3" xfId="38564"/>
    <cellStyle name="Output 3 4 4 4" xfId="38565"/>
    <cellStyle name="Output 3 4 5" xfId="38566"/>
    <cellStyle name="Output 3 4 6" xfId="38567"/>
    <cellStyle name="Output 3 4 7" xfId="38568"/>
    <cellStyle name="Output 3 4 8" xfId="38569"/>
    <cellStyle name="Output 3 5" xfId="38570"/>
    <cellStyle name="Output 3 5 2" xfId="38571"/>
    <cellStyle name="Output 3 5 2 2" xfId="38572"/>
    <cellStyle name="Output 3 5 2 3" xfId="38573"/>
    <cellStyle name="Output 3 5 2 4" xfId="38574"/>
    <cellStyle name="Output 3 5 3" xfId="38575"/>
    <cellStyle name="Output 3 5 3 2" xfId="38576"/>
    <cellStyle name="Output 3 5 3 3" xfId="38577"/>
    <cellStyle name="Output 3 5 3 4" xfId="38578"/>
    <cellStyle name="Output 3 5 4" xfId="38579"/>
    <cellStyle name="Output 3 5 4 2" xfId="38580"/>
    <cellStyle name="Output 3 5 4 3" xfId="38581"/>
    <cellStyle name="Output 3 5 4 4" xfId="38582"/>
    <cellStyle name="Output 3 5 5" xfId="38583"/>
    <cellStyle name="Output 3 5 6" xfId="38584"/>
    <cellStyle name="Output 3 5 7" xfId="38585"/>
    <cellStyle name="Output 3 5 8" xfId="38586"/>
    <cellStyle name="Output 3 6" xfId="38587"/>
    <cellStyle name="Output 3 6 2" xfId="38588"/>
    <cellStyle name="Output 3 6 2 2" xfId="38589"/>
    <cellStyle name="Output 3 6 2 3" xfId="38590"/>
    <cellStyle name="Output 3 6 2 4" xfId="38591"/>
    <cellStyle name="Output 3 6 3" xfId="38592"/>
    <cellStyle name="Output 3 6 3 2" xfId="38593"/>
    <cellStyle name="Output 3 6 3 3" xfId="38594"/>
    <cellStyle name="Output 3 6 3 4" xfId="38595"/>
    <cellStyle name="Output 3 6 4" xfId="38596"/>
    <cellStyle name="Output 3 6 4 2" xfId="38597"/>
    <cellStyle name="Output 3 6 4 3" xfId="38598"/>
    <cellStyle name="Output 3 6 4 4" xfId="38599"/>
    <cellStyle name="Output 3 6 5" xfId="38600"/>
    <cellStyle name="Output 3 6 6" xfId="38601"/>
    <cellStyle name="Output 3 6 7" xfId="38602"/>
    <cellStyle name="Output 3 6 8" xfId="38603"/>
    <cellStyle name="Output 3 7" xfId="38604"/>
    <cellStyle name="Output 3 7 2" xfId="38605"/>
    <cellStyle name="Output 3 7 2 2" xfId="38606"/>
    <cellStyle name="Output 3 7 2 3" xfId="38607"/>
    <cellStyle name="Output 3 7 2 4" xfId="38608"/>
    <cellStyle name="Output 3 7 3" xfId="38609"/>
    <cellStyle name="Output 3 7 3 2" xfId="38610"/>
    <cellStyle name="Output 3 7 3 3" xfId="38611"/>
    <cellStyle name="Output 3 7 3 4" xfId="38612"/>
    <cellStyle name="Output 3 7 4" xfId="38613"/>
    <cellStyle name="Output 3 7 4 2" xfId="38614"/>
    <cellStyle name="Output 3 7 4 3" xfId="38615"/>
    <cellStyle name="Output 3 7 4 4" xfId="38616"/>
    <cellStyle name="Output 3 7 5" xfId="38617"/>
    <cellStyle name="Output 3 7 6" xfId="38618"/>
    <cellStyle name="Output 3 7 7" xfId="38619"/>
    <cellStyle name="Output 3 7 8" xfId="38620"/>
    <cellStyle name="Output 3 8" xfId="38621"/>
    <cellStyle name="Output 3 8 2" xfId="38622"/>
    <cellStyle name="Output 3 8 3" xfId="38623"/>
    <cellStyle name="Output 3 8 4" xfId="38624"/>
    <cellStyle name="Output 3 9" xfId="38625"/>
    <cellStyle name="Output 3 9 2" xfId="38626"/>
    <cellStyle name="Output 3 9 3" xfId="38627"/>
    <cellStyle name="Output 3 9 4" xfId="38628"/>
    <cellStyle name="Output 4" xfId="38629"/>
    <cellStyle name="Output 4 2" xfId="38630"/>
    <cellStyle name="Output 4 2 2" xfId="38631"/>
    <cellStyle name="Output 4 2 2 2" xfId="38632"/>
    <cellStyle name="Output 4 2 2 3" xfId="38633"/>
    <cellStyle name="Output 4 2 2 4" xfId="38634"/>
    <cellStyle name="Output 4 2 3" xfId="38635"/>
    <cellStyle name="Output 4 2 3 2" xfId="38636"/>
    <cellStyle name="Output 4 2 3 3" xfId="38637"/>
    <cellStyle name="Output 4 2 3 4" xfId="38638"/>
    <cellStyle name="Output 4 2 4" xfId="38639"/>
    <cellStyle name="Output 4 2 4 2" xfId="38640"/>
    <cellStyle name="Output 4 2 4 3" xfId="38641"/>
    <cellStyle name="Output 4 2 4 4" xfId="38642"/>
    <cellStyle name="Output 4 2 5" xfId="38643"/>
    <cellStyle name="Output 4 2 6" xfId="38644"/>
    <cellStyle name="Output 4 2 7" xfId="38645"/>
    <cellStyle name="Output 4 2 8" xfId="38646"/>
    <cellStyle name="Output 4 3" xfId="38647"/>
    <cellStyle name="Output 4 3 2" xfId="38648"/>
    <cellStyle name="Output 4 3 2 2" xfId="38649"/>
    <cellStyle name="Output 4 3 2 3" xfId="38650"/>
    <cellStyle name="Output 4 3 2 4" xfId="38651"/>
    <cellStyle name="Output 4 3 3" xfId="38652"/>
    <cellStyle name="Output 4 3 3 2" xfId="38653"/>
    <cellStyle name="Output 4 3 3 3" xfId="38654"/>
    <cellStyle name="Output 4 3 3 4" xfId="38655"/>
    <cellStyle name="Output 4 3 4" xfId="38656"/>
    <cellStyle name="Output 4 3 4 2" xfId="38657"/>
    <cellStyle name="Output 4 3 4 3" xfId="38658"/>
    <cellStyle name="Output 4 3 4 4" xfId="38659"/>
    <cellStyle name="Output 4 3 5" xfId="38660"/>
    <cellStyle name="Output 4 3 6" xfId="38661"/>
    <cellStyle name="Output 4 3 7" xfId="38662"/>
    <cellStyle name="Output 4 3 8" xfId="38663"/>
    <cellStyle name="Output 4 4" xfId="38664"/>
    <cellStyle name="Output 4 4 2" xfId="38665"/>
    <cellStyle name="Output 4 4 2 2" xfId="38666"/>
    <cellStyle name="Output 4 4 2 3" xfId="38667"/>
    <cellStyle name="Output 4 4 2 4" xfId="38668"/>
    <cellStyle name="Output 4 4 3" xfId="38669"/>
    <cellStyle name="Output 4 4 3 2" xfId="38670"/>
    <cellStyle name="Output 4 4 3 3" xfId="38671"/>
    <cellStyle name="Output 4 4 3 4" xfId="38672"/>
    <cellStyle name="Output 4 4 4" xfId="38673"/>
    <cellStyle name="Output 4 4 4 2" xfId="38674"/>
    <cellStyle name="Output 4 4 4 3" xfId="38675"/>
    <cellStyle name="Output 4 4 4 4" xfId="38676"/>
    <cellStyle name="Output 4 4 5" xfId="38677"/>
    <cellStyle name="Output 4 4 6" xfId="38678"/>
    <cellStyle name="Output 4 4 7" xfId="38679"/>
    <cellStyle name="Output 4 4 8" xfId="38680"/>
    <cellStyle name="Output 4 5" xfId="38681"/>
    <cellStyle name="Output 4 5 2" xfId="38682"/>
    <cellStyle name="Output 4 5 2 2" xfId="38683"/>
    <cellStyle name="Output 4 5 2 3" xfId="38684"/>
    <cellStyle name="Output 4 5 2 4" xfId="38685"/>
    <cellStyle name="Output 4 5 3" xfId="38686"/>
    <cellStyle name="Output 4 5 3 2" xfId="38687"/>
    <cellStyle name="Output 4 5 3 3" xfId="38688"/>
    <cellStyle name="Output 4 5 3 4" xfId="38689"/>
    <cellStyle name="Output 4 5 4" xfId="38690"/>
    <cellStyle name="Output 4 5 4 2" xfId="38691"/>
    <cellStyle name="Output 4 5 4 3" xfId="38692"/>
    <cellStyle name="Output 4 5 4 4" xfId="38693"/>
    <cellStyle name="Output 4 5 5" xfId="38694"/>
    <cellStyle name="Output 4 5 6" xfId="38695"/>
    <cellStyle name="Output 4 5 7" xfId="38696"/>
    <cellStyle name="Output 4 5 8" xfId="38697"/>
    <cellStyle name="Output 4 6" xfId="38698"/>
    <cellStyle name="Output 4 6 2" xfId="38699"/>
    <cellStyle name="Output 4 6 3" xfId="38700"/>
    <cellStyle name="Output 4 6 4" xfId="38701"/>
    <cellStyle name="Output 4 7" xfId="38702"/>
    <cellStyle name="Output 4 7 2" xfId="38703"/>
    <cellStyle name="Output 4 7 3" xfId="38704"/>
    <cellStyle name="Output 4 7 4" xfId="38705"/>
    <cellStyle name="Output 4 8" xfId="38706"/>
    <cellStyle name="Output 4 9" xfId="38707"/>
    <cellStyle name="Output 5" xfId="38708"/>
    <cellStyle name="Output 5 2" xfId="38709"/>
    <cellStyle name="Output 5 2 2" xfId="38710"/>
    <cellStyle name="Output 5 2 3" xfId="38711"/>
    <cellStyle name="Output 5 2 4" xfId="38712"/>
    <cellStyle name="Output 5 3" xfId="38713"/>
    <cellStyle name="Output 5 3 2" xfId="38714"/>
    <cellStyle name="Output 5 3 3" xfId="38715"/>
    <cellStyle name="Output 5 3 4" xfId="38716"/>
    <cellStyle name="Output 5 4" xfId="38717"/>
    <cellStyle name="Output 5 5" xfId="38718"/>
    <cellStyle name="Output 5 6" xfId="38719"/>
    <cellStyle name="Output 5 7" xfId="38720"/>
    <cellStyle name="Output 6" xfId="38721"/>
    <cellStyle name="Output 6 2" xfId="38722"/>
    <cellStyle name="Output 6 2 2" xfId="38723"/>
    <cellStyle name="Output 6 2 3" xfId="38724"/>
    <cellStyle name="Output 6 2 4" xfId="38725"/>
    <cellStyle name="Output 6 3" xfId="38726"/>
    <cellStyle name="Output 6 3 2" xfId="38727"/>
    <cellStyle name="Output 6 3 3" xfId="38728"/>
    <cellStyle name="Output 6 3 4" xfId="38729"/>
    <cellStyle name="Output 6 4" xfId="38730"/>
    <cellStyle name="Output 6 4 2" xfId="38731"/>
    <cellStyle name="Output 6 4 3" xfId="38732"/>
    <cellStyle name="Output 6 4 4" xfId="38733"/>
    <cellStyle name="Output 6 5" xfId="38734"/>
    <cellStyle name="Output 6 6" xfId="38735"/>
    <cellStyle name="Output 6 7" xfId="38736"/>
    <cellStyle name="Output 6 8" xfId="38737"/>
    <cellStyle name="Output 7" xfId="38738"/>
    <cellStyle name="Output 7 2" xfId="38739"/>
    <cellStyle name="Output 7 2 2" xfId="38740"/>
    <cellStyle name="Output 7 2 3" xfId="38741"/>
    <cellStyle name="Output 7 2 4" xfId="38742"/>
    <cellStyle name="Output 7 3" xfId="38743"/>
    <cellStyle name="Output 7 3 2" xfId="38744"/>
    <cellStyle name="Output 7 3 3" xfId="38745"/>
    <cellStyle name="Output 7 3 4" xfId="38746"/>
    <cellStyle name="Output 7 4" xfId="38747"/>
    <cellStyle name="Output 7 4 2" xfId="38748"/>
    <cellStyle name="Output 7 4 3" xfId="38749"/>
    <cellStyle name="Output 7 4 4" xfId="38750"/>
    <cellStyle name="Output 7 5" xfId="38751"/>
    <cellStyle name="Output 7 6" xfId="38752"/>
    <cellStyle name="Output 7 7" xfId="38753"/>
    <cellStyle name="Output 7 8" xfId="38754"/>
    <cellStyle name="Output 8" xfId="38755"/>
    <cellStyle name="Output 8 2" xfId="38756"/>
    <cellStyle name="Output 8 2 2" xfId="38757"/>
    <cellStyle name="Output 8 2 3" xfId="38758"/>
    <cellStyle name="Output 8 2 4" xfId="38759"/>
    <cellStyle name="Output 8 3" xfId="38760"/>
    <cellStyle name="Output 8 3 2" xfId="38761"/>
    <cellStyle name="Output 8 3 3" xfId="38762"/>
    <cellStyle name="Output 8 3 4" xfId="38763"/>
    <cellStyle name="Output 8 4" xfId="38764"/>
    <cellStyle name="Output 8 4 2" xfId="38765"/>
    <cellStyle name="Output 8 4 3" xfId="38766"/>
    <cellStyle name="Output 8 4 4" xfId="38767"/>
    <cellStyle name="Output 8 5" xfId="38768"/>
    <cellStyle name="Output 8 6" xfId="38769"/>
    <cellStyle name="Output 8 7" xfId="38770"/>
    <cellStyle name="Output 8 8" xfId="38771"/>
    <cellStyle name="Output 9" xfId="38772"/>
    <cellStyle name="Output 9 2" xfId="38773"/>
    <cellStyle name="Output 9 2 2" xfId="38774"/>
    <cellStyle name="Output 9 2 3" xfId="38775"/>
    <cellStyle name="Output 9 2 4" xfId="38776"/>
    <cellStyle name="Output 9 3" xfId="38777"/>
    <cellStyle name="Output 9 3 2" xfId="38778"/>
    <cellStyle name="Output 9 3 3" xfId="38779"/>
    <cellStyle name="Output 9 3 4" xfId="38780"/>
    <cellStyle name="Output 9 4" xfId="38781"/>
    <cellStyle name="Output 9 4 2" xfId="38782"/>
    <cellStyle name="Output 9 4 3" xfId="38783"/>
    <cellStyle name="Output 9 4 4" xfId="38784"/>
    <cellStyle name="Output 9 5" xfId="38785"/>
    <cellStyle name="Output 9 6" xfId="38786"/>
    <cellStyle name="Output 9 7" xfId="38787"/>
    <cellStyle name="Output 9 8" xfId="38788"/>
    <cellStyle name="Output_Plan Campaña Día de la Madre 2010 - v2" xfId="38789"/>
    <cellStyle name="Overskrift 1" xfId="53528"/>
    <cellStyle name="Overskrift 2" xfId="53529"/>
    <cellStyle name="Overskrift 3" xfId="53530"/>
    <cellStyle name="Overskrift 3 2" xfId="53531"/>
    <cellStyle name="Overskrift 3 2 2" xfId="53532"/>
    <cellStyle name="Overskrift 3 2 2 2" xfId="53533"/>
    <cellStyle name="Overskrift 3 2 2 3" xfId="53534"/>
    <cellStyle name="Overskrift 3 2 2 4" xfId="53535"/>
    <cellStyle name="Overskrift 3 2 3" xfId="53536"/>
    <cellStyle name="Overskrift 3 2 4" xfId="53537"/>
    <cellStyle name="Overskrift 3 2 5" xfId="53538"/>
    <cellStyle name="Overskrift 3 2 6" xfId="53539"/>
    <cellStyle name="Overskrift 3 2 7" xfId="53540"/>
    <cellStyle name="Overskrift 3 3" xfId="53541"/>
    <cellStyle name="Overskrift 3 3 2" xfId="53542"/>
    <cellStyle name="Overskrift 3 3 2 2" xfId="53543"/>
    <cellStyle name="Overskrift 3 3 2 3" xfId="53544"/>
    <cellStyle name="Overskrift 3 3 2 4" xfId="53545"/>
    <cellStyle name="Overskrift 3 3 3" xfId="53546"/>
    <cellStyle name="Overskrift 3 3 4" xfId="53547"/>
    <cellStyle name="Overskrift 3 3 5" xfId="53548"/>
    <cellStyle name="Overskrift 3 3 6" xfId="53549"/>
    <cellStyle name="Overskrift 3 3 7" xfId="53550"/>
    <cellStyle name="Overskrift 3 4" xfId="53551"/>
    <cellStyle name="Overskrift 3 4 2" xfId="53552"/>
    <cellStyle name="Overskrift 3 4 3" xfId="53553"/>
    <cellStyle name="Overskrift 3 4 4" xfId="53554"/>
    <cellStyle name="Overskrift 3 4 5" xfId="53555"/>
    <cellStyle name="Overskrift 3 5" xfId="53556"/>
    <cellStyle name="Overskrift 3 5 2" xfId="53557"/>
    <cellStyle name="Overskrift 3 5 3" xfId="53558"/>
    <cellStyle name="Overskrift 3 5 4" xfId="53559"/>
    <cellStyle name="Overskrift 3 6" xfId="53560"/>
    <cellStyle name="Overskrift 3 6 2" xfId="53561"/>
    <cellStyle name="Overskrift 3 6 3" xfId="53562"/>
    <cellStyle name="Overskrift 3 6 4" xfId="53563"/>
    <cellStyle name="Overskrift 3 7" xfId="53564"/>
    <cellStyle name="Overskrift 3 7 2" xfId="53565"/>
    <cellStyle name="Overskrift 3 7 3" xfId="53566"/>
    <cellStyle name="Overskrift 3 7 4" xfId="53567"/>
    <cellStyle name="Overskrift 3 8" xfId="53568"/>
    <cellStyle name="Overskrift 3 9" xfId="53569"/>
    <cellStyle name="Overskrift 4" xfId="53570"/>
    <cellStyle name="per.style" xfId="38790"/>
    <cellStyle name="Percent" xfId="38" builtinId="5"/>
    <cellStyle name="Percent [0]" xfId="38791"/>
    <cellStyle name="Percent [0] 2" xfId="38792"/>
    <cellStyle name="Percent [0] 3" xfId="38793"/>
    <cellStyle name="Percent [00]" xfId="38794"/>
    <cellStyle name="Percent [00] 2" xfId="38795"/>
    <cellStyle name="Percent [00] 3" xfId="38796"/>
    <cellStyle name="Percent [2]" xfId="38797"/>
    <cellStyle name="Percent [2] 2" xfId="38798"/>
    <cellStyle name="Percent [2] 2 2" xfId="38799"/>
    <cellStyle name="Percent [2] 2 3" xfId="38800"/>
    <cellStyle name="Percent [2] 3" xfId="38801"/>
    <cellStyle name="Percent [2] 4" xfId="38802"/>
    <cellStyle name="Percent 2" xfId="38803"/>
    <cellStyle name="Percent 3" xfId="38804"/>
    <cellStyle name="Percent 4" xfId="38805"/>
    <cellStyle name="Percent 9" xfId="38806"/>
    <cellStyle name="Percent 9 2" xfId="38807"/>
    <cellStyle name="Percent 9 2 2" xfId="38808"/>
    <cellStyle name="Percent 9 2 3" xfId="38809"/>
    <cellStyle name="Percent 9 3" xfId="38810"/>
    <cellStyle name="Percent 9 4" xfId="38811"/>
    <cellStyle name="Porcentaje 2" xfId="61"/>
    <cellStyle name="Porcentaje 2 2" xfId="79"/>
    <cellStyle name="Porcentaje 2 3" xfId="108"/>
    <cellStyle name="Porcentaje 2 3 2" xfId="162"/>
    <cellStyle name="Porcentaje 2 4" xfId="127"/>
    <cellStyle name="Porcentaje 3" xfId="73"/>
    <cellStyle name="Porcentaje 3 2" xfId="111"/>
    <cellStyle name="Porcentaje 3 2 2" xfId="165"/>
    <cellStyle name="Porcentaje 3 3" xfId="130"/>
    <cellStyle name="Porcentaje 4" xfId="78"/>
    <cellStyle name="Porcentaje 4 2" xfId="133"/>
    <cellStyle name="Porcentaje 5" xfId="93"/>
    <cellStyle name="Porcentaje 5 2" xfId="147"/>
    <cellStyle name="PORCENTAJE 6" xfId="170"/>
    <cellStyle name="Porcentaje 7" xfId="52981"/>
    <cellStyle name="Porcentual 10" xfId="38812"/>
    <cellStyle name="Porcentual 10 2" xfId="38813"/>
    <cellStyle name="Porcentual 10 2 2" xfId="38814"/>
    <cellStyle name="Porcentual 10 2 3" xfId="38815"/>
    <cellStyle name="Porcentual 10 3" xfId="38816"/>
    <cellStyle name="Porcentual 10 4" xfId="38817"/>
    <cellStyle name="Porcentual 11" xfId="38818"/>
    <cellStyle name="Porcentual 11 2" xfId="38819"/>
    <cellStyle name="Porcentual 11 3" xfId="38820"/>
    <cellStyle name="Porcentual 12" xfId="38821"/>
    <cellStyle name="Porcentual 12 2" xfId="38822"/>
    <cellStyle name="Porcentual 13" xfId="38823"/>
    <cellStyle name="Porcentual 14" xfId="38824"/>
    <cellStyle name="Porcentual 15" xfId="38825"/>
    <cellStyle name="Porcentual 15 2" xfId="38826"/>
    <cellStyle name="Porcentual 16" xfId="38827"/>
    <cellStyle name="Porcentual 17" xfId="38828"/>
    <cellStyle name="Porcentual 18" xfId="38829"/>
    <cellStyle name="Porcentual 19" xfId="38830"/>
    <cellStyle name="Porcentual 2" xfId="39"/>
    <cellStyle name="Porcentual 2 10" xfId="38831"/>
    <cellStyle name="Porcentual 2 10 2" xfId="38832"/>
    <cellStyle name="Porcentual 2 11" xfId="38833"/>
    <cellStyle name="Porcentual 2 11 2" xfId="38834"/>
    <cellStyle name="Porcentual 2 12" xfId="38835"/>
    <cellStyle name="Porcentual 2 12 2" xfId="38836"/>
    <cellStyle name="Porcentual 2 13" xfId="38837"/>
    <cellStyle name="Porcentual 2 13 2" xfId="38838"/>
    <cellStyle name="Porcentual 2 14" xfId="38839"/>
    <cellStyle name="Porcentual 2 14 2" xfId="38840"/>
    <cellStyle name="Porcentual 2 15" xfId="38841"/>
    <cellStyle name="Porcentual 2 15 2" xfId="38842"/>
    <cellStyle name="Porcentual 2 16" xfId="38843"/>
    <cellStyle name="Porcentual 2 16 2" xfId="38844"/>
    <cellStyle name="Porcentual 2 17" xfId="38845"/>
    <cellStyle name="Porcentual 2 17 2" xfId="38846"/>
    <cellStyle name="Porcentual 2 18" xfId="38847"/>
    <cellStyle name="Porcentual 2 18 2" xfId="38848"/>
    <cellStyle name="Porcentual 2 2" xfId="51"/>
    <cellStyle name="Porcentual 2 2 2" xfId="38849"/>
    <cellStyle name="Porcentual 2 2 2 2" xfId="38850"/>
    <cellStyle name="Porcentual 2 2 2 3" xfId="38851"/>
    <cellStyle name="Porcentual 2 2 3" xfId="38852"/>
    <cellStyle name="Porcentual 2 2 4" xfId="38853"/>
    <cellStyle name="Porcentual 2 3" xfId="38854"/>
    <cellStyle name="Porcentual 2 3 2" xfId="38855"/>
    <cellStyle name="Porcentual 2 3 2 2" xfId="38856"/>
    <cellStyle name="Porcentual 2 3 3" xfId="38857"/>
    <cellStyle name="Porcentual 2 3 4" xfId="38858"/>
    <cellStyle name="Porcentual 2 3 4 2" xfId="38859"/>
    <cellStyle name="Porcentual 2 4" xfId="38860"/>
    <cellStyle name="Porcentual 2 4 2" xfId="38861"/>
    <cellStyle name="Porcentual 2 4 3" xfId="38862"/>
    <cellStyle name="Porcentual 2 5" xfId="38863"/>
    <cellStyle name="Porcentual 2 6" xfId="38864"/>
    <cellStyle name="Porcentual 2 6 2" xfId="38865"/>
    <cellStyle name="Porcentual 2 7" xfId="38866"/>
    <cellStyle name="Porcentual 2 7 2" xfId="38867"/>
    <cellStyle name="Porcentual 2 8" xfId="38868"/>
    <cellStyle name="Porcentual 2 8 2" xfId="38869"/>
    <cellStyle name="Porcentual 2 9" xfId="38870"/>
    <cellStyle name="Porcentual 2 9 2" xfId="38871"/>
    <cellStyle name="Porcentual 20" xfId="38872"/>
    <cellStyle name="Porcentual 21" xfId="38873"/>
    <cellStyle name="Porcentual 22" xfId="38874"/>
    <cellStyle name="Porcentual 23" xfId="38875"/>
    <cellStyle name="Porcentual 24" xfId="38876"/>
    <cellStyle name="Porcentual 25" xfId="38877"/>
    <cellStyle name="Porcentual 28" xfId="38878"/>
    <cellStyle name="Porcentual 3" xfId="40"/>
    <cellStyle name="Porcentual 3 10" xfId="38879"/>
    <cellStyle name="Porcentual 3 11" xfId="38880"/>
    <cellStyle name="Porcentual 3 12" xfId="38881"/>
    <cellStyle name="Porcentual 3 13" xfId="38882"/>
    <cellStyle name="Porcentual 3 14" xfId="38883"/>
    <cellStyle name="Porcentual 3 15" xfId="38884"/>
    <cellStyle name="Porcentual 3 16" xfId="38885"/>
    <cellStyle name="Porcentual 3 2" xfId="41"/>
    <cellStyle name="Porcentual 3 2 2" xfId="38886"/>
    <cellStyle name="Porcentual 3 2 3" xfId="38887"/>
    <cellStyle name="Porcentual 3 3" xfId="38888"/>
    <cellStyle name="Porcentual 3 4" xfId="38889"/>
    <cellStyle name="Porcentual 3 5" xfId="38890"/>
    <cellStyle name="Porcentual 3 6" xfId="38891"/>
    <cellStyle name="Porcentual 3 7" xfId="38892"/>
    <cellStyle name="Porcentual 3 8" xfId="38893"/>
    <cellStyle name="Porcentual 3 9" xfId="38894"/>
    <cellStyle name="Porcentual 32" xfId="38895"/>
    <cellStyle name="Porcentual 32 2" xfId="38896"/>
    <cellStyle name="Porcentual 32 3" xfId="38897"/>
    <cellStyle name="Porcentual 33" xfId="38898"/>
    <cellStyle name="Porcentual 33 2" xfId="38899"/>
    <cellStyle name="Porcentual 33 3" xfId="38900"/>
    <cellStyle name="Porcentual 34" xfId="38901"/>
    <cellStyle name="Porcentual 34 2" xfId="38902"/>
    <cellStyle name="Porcentual 4" xfId="38903"/>
    <cellStyle name="Porcentual 4 2" xfId="38904"/>
    <cellStyle name="Porcentual 4 2 2" xfId="38905"/>
    <cellStyle name="Porcentual 4 3" xfId="38906"/>
    <cellStyle name="Porcentual 5" xfId="38907"/>
    <cellStyle name="Porcentual 5 2" xfId="38908"/>
    <cellStyle name="Porcentual 5 2 2" xfId="38909"/>
    <cellStyle name="Porcentual 5 3" xfId="38910"/>
    <cellStyle name="Porcentual 5 3 2" xfId="38911"/>
    <cellStyle name="Porcentual 5 4" xfId="38912"/>
    <cellStyle name="Porcentual 5 5" xfId="38913"/>
    <cellStyle name="Porcentual 6" xfId="38914"/>
    <cellStyle name="Porcentual 6 2" xfId="38915"/>
    <cellStyle name="Porcentual 6 2 2" xfId="38916"/>
    <cellStyle name="Porcentual 6 2 3" xfId="38917"/>
    <cellStyle name="Porcentual 6 3" xfId="38918"/>
    <cellStyle name="Porcentual 6 4" xfId="38919"/>
    <cellStyle name="Porcentual 7" xfId="38920"/>
    <cellStyle name="Porcentual 7 2" xfId="38921"/>
    <cellStyle name="Porcentual 7 2 2" xfId="38922"/>
    <cellStyle name="Porcentual 7 3" xfId="38923"/>
    <cellStyle name="Porcentual 8" xfId="38924"/>
    <cellStyle name="Porcentual 8 2" xfId="38925"/>
    <cellStyle name="Porcentual 8 3" xfId="38926"/>
    <cellStyle name="Porcentual 9" xfId="38927"/>
    <cellStyle name="Porcentual 9 2" xfId="38928"/>
    <cellStyle name="Porcentual 9 2 2" xfId="38929"/>
    <cellStyle name="Porcentual 9 2 3" xfId="38930"/>
    <cellStyle name="Porcentual 9 3" xfId="38931"/>
    <cellStyle name="Porcentual 9 4" xfId="38932"/>
    <cellStyle name="Positiv" xfId="53571"/>
    <cellStyle name="Positiv 2" xfId="53572"/>
    <cellStyle name="Pourcent" xfId="53573"/>
    <cellStyle name="Pourcent 2" xfId="53574"/>
    <cellStyle name="Pourcentage 10" xfId="53575"/>
    <cellStyle name="Pourcentage 2" xfId="53576"/>
    <cellStyle name="Pourcentage 3" xfId="53577"/>
    <cellStyle name="Pourcentage 3 2" xfId="53578"/>
    <cellStyle name="Pourcentage 4" xfId="53579"/>
    <cellStyle name="Pourcentage 5" xfId="53580"/>
    <cellStyle name="Pourcentage 6" xfId="53581"/>
    <cellStyle name="PourcentBlanc" xfId="53582"/>
    <cellStyle name="PourcentBlanc 2" xfId="53583"/>
    <cellStyle name="PourcentBlancBordGris" xfId="53584"/>
    <cellStyle name="PourcentBlancBordGris 2" xfId="53585"/>
    <cellStyle name="PourcentBlancGras" xfId="53586"/>
    <cellStyle name="PourcentBlancGras 2" xfId="53587"/>
    <cellStyle name="PourcentBlancGras2" xfId="53588"/>
    <cellStyle name="PourcentBlancGras2 2" xfId="53589"/>
    <cellStyle name="PourcentBlancGrasSigne" xfId="53590"/>
    <cellStyle name="PourcentBlancGrasSigne 2" xfId="53591"/>
    <cellStyle name="PourcentBlancGrasTotal" xfId="53592"/>
    <cellStyle name="PourcentBlancGrasTotal 2" xfId="53593"/>
    <cellStyle name="PourcentBlancTotalBordGras" xfId="53594"/>
    <cellStyle name="PourcentBlancTotalBordGras 2" xfId="53595"/>
    <cellStyle name="PourcentBlancTousBordGris" xfId="53596"/>
    <cellStyle name="PourcentBlancTousBordGris 2" xfId="53597"/>
    <cellStyle name="PourcentBlancTousBordGris 2 2" xfId="53598"/>
    <cellStyle name="PourcentBordGris" xfId="53599"/>
    <cellStyle name="PourcentBordGris 2" xfId="53600"/>
    <cellStyle name="PourcentBordGris2" xfId="53601"/>
    <cellStyle name="PourcentBordGris2 2" xfId="53602"/>
    <cellStyle name="PourcentBordHaut" xfId="53603"/>
    <cellStyle name="PourcentBordHaut 2" xfId="53604"/>
    <cellStyle name="PourcentTotal" xfId="53605"/>
    <cellStyle name="PourcentTotal 2" xfId="53606"/>
    <cellStyle name="PourcentTousBordsGris" xfId="53607"/>
    <cellStyle name="PrePop Currency (0)" xfId="38933"/>
    <cellStyle name="PrePop Currency (0) 2" xfId="38934"/>
    <cellStyle name="PrePop Currency (0) 3" xfId="38935"/>
    <cellStyle name="PrePop Currency (2)" xfId="38936"/>
    <cellStyle name="PrePop Currency (2) 2" xfId="38937"/>
    <cellStyle name="PrePop Currency (2) 3" xfId="38938"/>
    <cellStyle name="PrePop Units (0)" xfId="38939"/>
    <cellStyle name="PrePop Units (0) 2" xfId="38940"/>
    <cellStyle name="PrePop Units (0) 3" xfId="38941"/>
    <cellStyle name="PrePop Units (1)" xfId="38942"/>
    <cellStyle name="PrePop Units (1) 2" xfId="38943"/>
    <cellStyle name="PrePop Units (1) 3" xfId="38944"/>
    <cellStyle name="PrePop Units (2)" xfId="38945"/>
    <cellStyle name="PrePop Units (2) 2" xfId="38946"/>
    <cellStyle name="PrePop Units (2) 3" xfId="38947"/>
    <cellStyle name="Pricelist" xfId="38948"/>
    <cellStyle name="pricing" xfId="38949"/>
    <cellStyle name="PRINT - Style1" xfId="53608"/>
    <cellStyle name="Procentowy 2" xfId="38950"/>
    <cellStyle name="Procentowy 3" xfId="38951"/>
    <cellStyle name="Prozent 2" xfId="53609"/>
    <cellStyle name="Prozent 2 2" xfId="53610"/>
    <cellStyle name="Prozent 3" xfId="53611"/>
    <cellStyle name="Prozent 4" xfId="53612"/>
    <cellStyle name="Prozent 4 2" xfId="53613"/>
    <cellStyle name="Prozent 5" xfId="53614"/>
    <cellStyle name="Prozent 5 2" xfId="53615"/>
    <cellStyle name="Prozent 5 3" xfId="53616"/>
    <cellStyle name="Prozent 5 4" xfId="53617"/>
    <cellStyle name="Prozent 5 5" xfId="53618"/>
    <cellStyle name="Prozent 6" xfId="53619"/>
    <cellStyle name="Prozent 6 2" xfId="53620"/>
    <cellStyle name="Prozent 7" xfId="53621"/>
    <cellStyle name="PSChar" xfId="38952"/>
    <cellStyle name="PSDate" xfId="38953"/>
    <cellStyle name="PSDec" xfId="38954"/>
    <cellStyle name="PSHeading" xfId="38955"/>
    <cellStyle name="PSHeading 2" xfId="38956"/>
    <cellStyle name="PSHeading 2 2" xfId="38957"/>
    <cellStyle name="PSHeading 2 2 2" xfId="38958"/>
    <cellStyle name="PSHeading 2 2 3" xfId="38959"/>
    <cellStyle name="PSHeading 2 2 4" xfId="38960"/>
    <cellStyle name="PSHeading 2 3" xfId="38961"/>
    <cellStyle name="PSHeading 2 3 2" xfId="38962"/>
    <cellStyle name="PSHeading 2 3 3" xfId="38963"/>
    <cellStyle name="PSHeading 2 3 4" xfId="38964"/>
    <cellStyle name="PSHeading 2 4" xfId="38965"/>
    <cellStyle name="PSHeading 2 5" xfId="38966"/>
    <cellStyle name="PSHeading 2 6" xfId="38967"/>
    <cellStyle name="PSHeading 2 7" xfId="38968"/>
    <cellStyle name="PSInt" xfId="38969"/>
    <cellStyle name="PSSpacer" xfId="38970"/>
    <cellStyle name="R 121" xfId="53622"/>
    <cellStyle name="RecapBandeau" xfId="53623"/>
    <cellStyle name="RecapBandeau 2" xfId="53624"/>
    <cellStyle name="RegionBandeau" xfId="53625"/>
    <cellStyle name="RegionBandeau 2" xfId="53626"/>
    <cellStyle name="Result" xfId="53627"/>
    <cellStyle name="Result2" xfId="53628"/>
    <cellStyle name="Resumen" xfId="38971"/>
    <cellStyle name="RevList" xfId="38972"/>
    <cellStyle name="rh" xfId="38973"/>
    <cellStyle name="rh 10" xfId="38974"/>
    <cellStyle name="rh 11" xfId="38975"/>
    <cellStyle name="rh 12" xfId="38976"/>
    <cellStyle name="rh 13" xfId="38977"/>
    <cellStyle name="rh 14" xfId="38978"/>
    <cellStyle name="rh 2" xfId="38979"/>
    <cellStyle name="rh 2 2" xfId="38980"/>
    <cellStyle name="rh 2 2 2" xfId="38981"/>
    <cellStyle name="rh 2 3" xfId="38982"/>
    <cellStyle name="rh 2 4" xfId="38983"/>
    <cellStyle name="rh 2 4 2" xfId="38984"/>
    <cellStyle name="rh 3" xfId="38985"/>
    <cellStyle name="rh 3 2" xfId="38986"/>
    <cellStyle name="rh 3 3" xfId="38987"/>
    <cellStyle name="rh 4" xfId="38988"/>
    <cellStyle name="rh 4 2" xfId="38989"/>
    <cellStyle name="rh 5" xfId="38990"/>
    <cellStyle name="rh 5 2" xfId="38991"/>
    <cellStyle name="rh 5 3" xfId="38992"/>
    <cellStyle name="rh 5 4" xfId="38993"/>
    <cellStyle name="rh 6" xfId="38994"/>
    <cellStyle name="rh 6 2" xfId="38995"/>
    <cellStyle name="rh 7" xfId="38996"/>
    <cellStyle name="rh 7 2" xfId="38997"/>
    <cellStyle name="rh 8" xfId="38998"/>
    <cellStyle name="rh 8 2" xfId="38999"/>
    <cellStyle name="rh 9" xfId="39000"/>
    <cellStyle name="rh 9 2" xfId="39001"/>
    <cellStyle name="rh_Análisis Comscore" xfId="39002"/>
    <cellStyle name="Saída" xfId="39003"/>
    <cellStyle name="Saída 10" xfId="39004"/>
    <cellStyle name="Saída 11" xfId="39005"/>
    <cellStyle name="Saída 2" xfId="39006"/>
    <cellStyle name="Saída 2 2" xfId="39007"/>
    <cellStyle name="Saída 2 2 2" xfId="39008"/>
    <cellStyle name="Saída 2 2 2 2" xfId="39009"/>
    <cellStyle name="Saída 2 2 2 3" xfId="39010"/>
    <cellStyle name="Saída 2 2 2 4" xfId="39011"/>
    <cellStyle name="Saída 2 2 3" xfId="39012"/>
    <cellStyle name="Saída 2 2 3 2" xfId="39013"/>
    <cellStyle name="Saída 2 2 3 3" xfId="39014"/>
    <cellStyle name="Saída 2 2 3 4" xfId="39015"/>
    <cellStyle name="Saída 2 2 4" xfId="39016"/>
    <cellStyle name="Saída 2 2 4 2" xfId="39017"/>
    <cellStyle name="Saída 2 2 4 3" xfId="39018"/>
    <cellStyle name="Saída 2 2 4 4" xfId="39019"/>
    <cellStyle name="Saída 2 2 5" xfId="39020"/>
    <cellStyle name="Saída 2 2 6" xfId="39021"/>
    <cellStyle name="Saída 2 2 7" xfId="39022"/>
    <cellStyle name="Saída 2 2 8" xfId="39023"/>
    <cellStyle name="Saída 2 3" xfId="39024"/>
    <cellStyle name="Saída 2 3 2" xfId="39025"/>
    <cellStyle name="Saída 2 3 2 2" xfId="39026"/>
    <cellStyle name="Saída 2 3 2 3" xfId="39027"/>
    <cellStyle name="Saída 2 3 2 4" xfId="39028"/>
    <cellStyle name="Saída 2 3 3" xfId="39029"/>
    <cellStyle name="Saída 2 3 3 2" xfId="39030"/>
    <cellStyle name="Saída 2 3 3 3" xfId="39031"/>
    <cellStyle name="Saída 2 3 3 4" xfId="39032"/>
    <cellStyle name="Saída 2 3 4" xfId="39033"/>
    <cellStyle name="Saída 2 3 4 2" xfId="39034"/>
    <cellStyle name="Saída 2 3 4 3" xfId="39035"/>
    <cellStyle name="Saída 2 3 4 4" xfId="39036"/>
    <cellStyle name="Saída 2 3 5" xfId="39037"/>
    <cellStyle name="Saída 2 3 6" xfId="39038"/>
    <cellStyle name="Saída 2 3 7" xfId="39039"/>
    <cellStyle name="Saída 2 3 8" xfId="39040"/>
    <cellStyle name="Saída 2 4" xfId="39041"/>
    <cellStyle name="Saída 2 4 2" xfId="39042"/>
    <cellStyle name="Saída 2 4 2 2" xfId="39043"/>
    <cellStyle name="Saída 2 4 2 3" xfId="39044"/>
    <cellStyle name="Saída 2 4 2 4" xfId="39045"/>
    <cellStyle name="Saída 2 4 3" xfId="39046"/>
    <cellStyle name="Saída 2 4 3 2" xfId="39047"/>
    <cellStyle name="Saída 2 4 3 3" xfId="39048"/>
    <cellStyle name="Saída 2 4 3 4" xfId="39049"/>
    <cellStyle name="Saída 2 4 4" xfId="39050"/>
    <cellStyle name="Saída 2 4 4 2" xfId="39051"/>
    <cellStyle name="Saída 2 4 4 3" xfId="39052"/>
    <cellStyle name="Saída 2 4 4 4" xfId="39053"/>
    <cellStyle name="Saída 2 4 5" xfId="39054"/>
    <cellStyle name="Saída 2 4 6" xfId="39055"/>
    <cellStyle name="Saída 2 4 7" xfId="39056"/>
    <cellStyle name="Saída 2 4 8" xfId="39057"/>
    <cellStyle name="Saída 2 5" xfId="39058"/>
    <cellStyle name="Saída 2 5 2" xfId="39059"/>
    <cellStyle name="Saída 2 5 2 2" xfId="39060"/>
    <cellStyle name="Saída 2 5 2 3" xfId="39061"/>
    <cellStyle name="Saída 2 5 2 4" xfId="39062"/>
    <cellStyle name="Saída 2 5 3" xfId="39063"/>
    <cellStyle name="Saída 2 5 3 2" xfId="39064"/>
    <cellStyle name="Saída 2 5 3 3" xfId="39065"/>
    <cellStyle name="Saída 2 5 3 4" xfId="39066"/>
    <cellStyle name="Saída 2 5 4" xfId="39067"/>
    <cellStyle name="Saída 2 5 4 2" xfId="39068"/>
    <cellStyle name="Saída 2 5 4 3" xfId="39069"/>
    <cellStyle name="Saída 2 5 4 4" xfId="39070"/>
    <cellStyle name="Saída 2 5 5" xfId="39071"/>
    <cellStyle name="Saída 2 5 6" xfId="39072"/>
    <cellStyle name="Saída 2 5 7" xfId="39073"/>
    <cellStyle name="Saída 2 5 8" xfId="39074"/>
    <cellStyle name="Saída 2 6" xfId="39075"/>
    <cellStyle name="Saída 2 6 2" xfId="39076"/>
    <cellStyle name="Saída 2 6 3" xfId="39077"/>
    <cellStyle name="Saída 2 6 4" xfId="39078"/>
    <cellStyle name="Saída 2 7" xfId="39079"/>
    <cellStyle name="Saída 2 7 2" xfId="39080"/>
    <cellStyle name="Saída 2 7 3" xfId="39081"/>
    <cellStyle name="Saída 2 7 4" xfId="39082"/>
    <cellStyle name="Saída 2 8" xfId="39083"/>
    <cellStyle name="Saída 2 9" xfId="39084"/>
    <cellStyle name="Saída 3" xfId="39085"/>
    <cellStyle name="Saída 3 2" xfId="39086"/>
    <cellStyle name="Saída 3 2 2" xfId="39087"/>
    <cellStyle name="Saída 3 2 3" xfId="39088"/>
    <cellStyle name="Saída 3 2 4" xfId="39089"/>
    <cellStyle name="Saída 3 3" xfId="39090"/>
    <cellStyle name="Saída 3 3 2" xfId="39091"/>
    <cellStyle name="Saída 3 3 3" xfId="39092"/>
    <cellStyle name="Saída 3 3 4" xfId="39093"/>
    <cellStyle name="Saída 3 4" xfId="39094"/>
    <cellStyle name="Saída 3 5" xfId="39095"/>
    <cellStyle name="Saída 3 6" xfId="39096"/>
    <cellStyle name="Saída 3 7" xfId="39097"/>
    <cellStyle name="Saída 4" xfId="39098"/>
    <cellStyle name="Saída 4 2" xfId="39099"/>
    <cellStyle name="Saída 4 2 2" xfId="39100"/>
    <cellStyle name="Saída 4 2 3" xfId="39101"/>
    <cellStyle name="Saída 4 2 4" xfId="39102"/>
    <cellStyle name="Saída 4 3" xfId="39103"/>
    <cellStyle name="Saída 4 3 2" xfId="39104"/>
    <cellStyle name="Saída 4 3 3" xfId="39105"/>
    <cellStyle name="Saída 4 3 4" xfId="39106"/>
    <cellStyle name="Saída 4 4" xfId="39107"/>
    <cellStyle name="Saída 4 4 2" xfId="39108"/>
    <cellStyle name="Saída 4 4 3" xfId="39109"/>
    <cellStyle name="Saída 4 4 4" xfId="39110"/>
    <cellStyle name="Saída 4 5" xfId="39111"/>
    <cellStyle name="Saída 4 6" xfId="39112"/>
    <cellStyle name="Saída 4 7" xfId="39113"/>
    <cellStyle name="Saída 4 8" xfId="39114"/>
    <cellStyle name="Saída 5" xfId="39115"/>
    <cellStyle name="Saída 5 2" xfId="39116"/>
    <cellStyle name="Saída 5 2 2" xfId="39117"/>
    <cellStyle name="Saída 5 2 3" xfId="39118"/>
    <cellStyle name="Saída 5 2 4" xfId="39119"/>
    <cellStyle name="Saída 5 3" xfId="39120"/>
    <cellStyle name="Saída 5 3 2" xfId="39121"/>
    <cellStyle name="Saída 5 3 3" xfId="39122"/>
    <cellStyle name="Saída 5 3 4" xfId="39123"/>
    <cellStyle name="Saída 5 4" xfId="39124"/>
    <cellStyle name="Saída 5 4 2" xfId="39125"/>
    <cellStyle name="Saída 5 4 3" xfId="39126"/>
    <cellStyle name="Saída 5 4 4" xfId="39127"/>
    <cellStyle name="Saída 5 5" xfId="39128"/>
    <cellStyle name="Saída 5 6" xfId="39129"/>
    <cellStyle name="Saída 5 7" xfId="39130"/>
    <cellStyle name="Saída 5 8" xfId="39131"/>
    <cellStyle name="Saída 6" xfId="39132"/>
    <cellStyle name="Saída 6 2" xfId="39133"/>
    <cellStyle name="Saída 6 2 2" xfId="39134"/>
    <cellStyle name="Saída 6 2 3" xfId="39135"/>
    <cellStyle name="Saída 6 2 4" xfId="39136"/>
    <cellStyle name="Saída 6 3" xfId="39137"/>
    <cellStyle name="Saída 6 3 2" xfId="39138"/>
    <cellStyle name="Saída 6 3 3" xfId="39139"/>
    <cellStyle name="Saída 6 3 4" xfId="39140"/>
    <cellStyle name="Saída 6 4" xfId="39141"/>
    <cellStyle name="Saída 6 4 2" xfId="39142"/>
    <cellStyle name="Saída 6 4 3" xfId="39143"/>
    <cellStyle name="Saída 6 4 4" xfId="39144"/>
    <cellStyle name="Saída 6 5" xfId="39145"/>
    <cellStyle name="Saída 6 6" xfId="39146"/>
    <cellStyle name="Saída 6 7" xfId="39147"/>
    <cellStyle name="Saída 6 8" xfId="39148"/>
    <cellStyle name="Saída 7" xfId="39149"/>
    <cellStyle name="Saída 7 2" xfId="39150"/>
    <cellStyle name="Saída 7 2 2" xfId="39151"/>
    <cellStyle name="Saída 7 2 3" xfId="39152"/>
    <cellStyle name="Saída 7 2 4" xfId="39153"/>
    <cellStyle name="Saída 7 3" xfId="39154"/>
    <cellStyle name="Saída 7 3 2" xfId="39155"/>
    <cellStyle name="Saída 7 3 3" xfId="39156"/>
    <cellStyle name="Saída 7 3 4" xfId="39157"/>
    <cellStyle name="Saída 7 4" xfId="39158"/>
    <cellStyle name="Saída 7 4 2" xfId="39159"/>
    <cellStyle name="Saída 7 4 3" xfId="39160"/>
    <cellStyle name="Saída 7 4 4" xfId="39161"/>
    <cellStyle name="Saída 7 5" xfId="39162"/>
    <cellStyle name="Saída 7 6" xfId="39163"/>
    <cellStyle name="Saída 7 7" xfId="39164"/>
    <cellStyle name="Saída 7 8" xfId="39165"/>
    <cellStyle name="Saída 8" xfId="39166"/>
    <cellStyle name="Saída 8 2" xfId="39167"/>
    <cellStyle name="Saída 8 3" xfId="39168"/>
    <cellStyle name="Saída 8 4" xfId="39169"/>
    <cellStyle name="Saída 9" xfId="39170"/>
    <cellStyle name="Saída 9 2" xfId="39171"/>
    <cellStyle name="Saída 9 3" xfId="39172"/>
    <cellStyle name="Saída 9 4" xfId="39173"/>
    <cellStyle name="Salida 2" xfId="39174"/>
    <cellStyle name="Salida 2 10" xfId="39175"/>
    <cellStyle name="Salida 2 11" xfId="39176"/>
    <cellStyle name="Salida 2 2" xfId="39177"/>
    <cellStyle name="Salida 2 2 2" xfId="39178"/>
    <cellStyle name="Salida 2 2 2 2" xfId="39179"/>
    <cellStyle name="Salida 2 2 2 2 2" xfId="39180"/>
    <cellStyle name="Salida 2 2 2 2 3" xfId="39181"/>
    <cellStyle name="Salida 2 2 2 2 4" xfId="39182"/>
    <cellStyle name="Salida 2 2 2 3" xfId="39183"/>
    <cellStyle name="Salida 2 2 2 3 2" xfId="39184"/>
    <cellStyle name="Salida 2 2 2 3 3" xfId="39185"/>
    <cellStyle name="Salida 2 2 2 3 4" xfId="39186"/>
    <cellStyle name="Salida 2 2 2 4" xfId="39187"/>
    <cellStyle name="Salida 2 2 2 4 2" xfId="39188"/>
    <cellStyle name="Salida 2 2 2 4 3" xfId="39189"/>
    <cellStyle name="Salida 2 2 2 4 4" xfId="39190"/>
    <cellStyle name="Salida 2 2 2 5" xfId="39191"/>
    <cellStyle name="Salida 2 2 2 6" xfId="39192"/>
    <cellStyle name="Salida 2 2 2 7" xfId="39193"/>
    <cellStyle name="Salida 2 2 2 8" xfId="39194"/>
    <cellStyle name="Salida 2 2 3" xfId="39195"/>
    <cellStyle name="Salida 2 2 3 2" xfId="39196"/>
    <cellStyle name="Salida 2 2 3 2 2" xfId="39197"/>
    <cellStyle name="Salida 2 2 3 2 3" xfId="39198"/>
    <cellStyle name="Salida 2 2 3 2 4" xfId="39199"/>
    <cellStyle name="Salida 2 2 3 3" xfId="39200"/>
    <cellStyle name="Salida 2 2 3 3 2" xfId="39201"/>
    <cellStyle name="Salida 2 2 3 3 3" xfId="39202"/>
    <cellStyle name="Salida 2 2 3 3 4" xfId="39203"/>
    <cellStyle name="Salida 2 2 3 4" xfId="39204"/>
    <cellStyle name="Salida 2 2 3 4 2" xfId="39205"/>
    <cellStyle name="Salida 2 2 3 4 3" xfId="39206"/>
    <cellStyle name="Salida 2 2 3 4 4" xfId="39207"/>
    <cellStyle name="Salida 2 2 3 5" xfId="39208"/>
    <cellStyle name="Salida 2 2 3 6" xfId="39209"/>
    <cellStyle name="Salida 2 2 3 7" xfId="39210"/>
    <cellStyle name="Salida 2 2 3 8" xfId="39211"/>
    <cellStyle name="Salida 2 2 4" xfId="39212"/>
    <cellStyle name="Salida 2 2 4 2" xfId="39213"/>
    <cellStyle name="Salida 2 2 4 2 2" xfId="39214"/>
    <cellStyle name="Salida 2 2 4 2 3" xfId="39215"/>
    <cellStyle name="Salida 2 2 4 2 4" xfId="39216"/>
    <cellStyle name="Salida 2 2 4 3" xfId="39217"/>
    <cellStyle name="Salida 2 2 4 3 2" xfId="39218"/>
    <cellStyle name="Salida 2 2 4 3 3" xfId="39219"/>
    <cellStyle name="Salida 2 2 4 3 4" xfId="39220"/>
    <cellStyle name="Salida 2 2 4 4" xfId="39221"/>
    <cellStyle name="Salida 2 2 4 4 2" xfId="39222"/>
    <cellStyle name="Salida 2 2 4 4 3" xfId="39223"/>
    <cellStyle name="Salida 2 2 4 4 4" xfId="39224"/>
    <cellStyle name="Salida 2 2 4 5" xfId="39225"/>
    <cellStyle name="Salida 2 2 4 6" xfId="39226"/>
    <cellStyle name="Salida 2 2 4 7" xfId="39227"/>
    <cellStyle name="Salida 2 2 4 8" xfId="39228"/>
    <cellStyle name="Salida 2 2 5" xfId="39229"/>
    <cellStyle name="Salida 2 2 5 2" xfId="39230"/>
    <cellStyle name="Salida 2 2 5 2 2" xfId="39231"/>
    <cellStyle name="Salida 2 2 5 2 3" xfId="39232"/>
    <cellStyle name="Salida 2 2 5 2 4" xfId="39233"/>
    <cellStyle name="Salida 2 2 5 3" xfId="39234"/>
    <cellStyle name="Salida 2 2 5 3 2" xfId="39235"/>
    <cellStyle name="Salida 2 2 5 3 3" xfId="39236"/>
    <cellStyle name="Salida 2 2 5 3 4" xfId="39237"/>
    <cellStyle name="Salida 2 2 5 4" xfId="39238"/>
    <cellStyle name="Salida 2 2 5 4 2" xfId="39239"/>
    <cellStyle name="Salida 2 2 5 4 3" xfId="39240"/>
    <cellStyle name="Salida 2 2 5 4 4" xfId="39241"/>
    <cellStyle name="Salida 2 2 5 5" xfId="39242"/>
    <cellStyle name="Salida 2 2 5 6" xfId="39243"/>
    <cellStyle name="Salida 2 2 5 7" xfId="39244"/>
    <cellStyle name="Salida 2 2 5 8" xfId="39245"/>
    <cellStyle name="Salida 2 2 6" xfId="39246"/>
    <cellStyle name="Salida 2 2 6 2" xfId="39247"/>
    <cellStyle name="Salida 2 2 6 3" xfId="39248"/>
    <cellStyle name="Salida 2 2 6 4" xfId="39249"/>
    <cellStyle name="Salida 2 2 7" xfId="39250"/>
    <cellStyle name="Salida 2 2 7 2" xfId="39251"/>
    <cellStyle name="Salida 2 2 7 3" xfId="39252"/>
    <cellStyle name="Salida 2 2 7 4" xfId="39253"/>
    <cellStyle name="Salida 2 2 8" xfId="39254"/>
    <cellStyle name="Salida 2 2 9" xfId="39255"/>
    <cellStyle name="Salida 2 3" xfId="39256"/>
    <cellStyle name="Salida 2 3 2" xfId="39257"/>
    <cellStyle name="Salida 2 3 2 2" xfId="39258"/>
    <cellStyle name="Salida 2 3 2 3" xfId="39259"/>
    <cellStyle name="Salida 2 3 2 4" xfId="39260"/>
    <cellStyle name="Salida 2 3 3" xfId="39261"/>
    <cellStyle name="Salida 2 3 3 2" xfId="39262"/>
    <cellStyle name="Salida 2 3 3 3" xfId="39263"/>
    <cellStyle name="Salida 2 3 3 4" xfId="39264"/>
    <cellStyle name="Salida 2 3 4" xfId="39265"/>
    <cellStyle name="Salida 2 3 5" xfId="39266"/>
    <cellStyle name="Salida 2 3 6" xfId="39267"/>
    <cellStyle name="Salida 2 3 7" xfId="39268"/>
    <cellStyle name="Salida 2 4" xfId="39269"/>
    <cellStyle name="Salida 2 4 2" xfId="39270"/>
    <cellStyle name="Salida 2 4 2 2" xfId="39271"/>
    <cellStyle name="Salida 2 4 2 3" xfId="39272"/>
    <cellStyle name="Salida 2 4 2 4" xfId="39273"/>
    <cellStyle name="Salida 2 4 3" xfId="39274"/>
    <cellStyle name="Salida 2 4 3 2" xfId="39275"/>
    <cellStyle name="Salida 2 4 3 3" xfId="39276"/>
    <cellStyle name="Salida 2 4 3 4" xfId="39277"/>
    <cellStyle name="Salida 2 4 4" xfId="39278"/>
    <cellStyle name="Salida 2 4 4 2" xfId="39279"/>
    <cellStyle name="Salida 2 4 4 3" xfId="39280"/>
    <cellStyle name="Salida 2 4 4 4" xfId="39281"/>
    <cellStyle name="Salida 2 4 5" xfId="39282"/>
    <cellStyle name="Salida 2 4 6" xfId="39283"/>
    <cellStyle name="Salida 2 4 7" xfId="39284"/>
    <cellStyle name="Salida 2 4 8" xfId="39285"/>
    <cellStyle name="Salida 2 5" xfId="39286"/>
    <cellStyle name="Salida 2 5 2" xfId="39287"/>
    <cellStyle name="Salida 2 5 2 2" xfId="39288"/>
    <cellStyle name="Salida 2 5 2 3" xfId="39289"/>
    <cellStyle name="Salida 2 5 2 4" xfId="39290"/>
    <cellStyle name="Salida 2 5 3" xfId="39291"/>
    <cellStyle name="Salida 2 5 3 2" xfId="39292"/>
    <cellStyle name="Salida 2 5 3 3" xfId="39293"/>
    <cellStyle name="Salida 2 5 3 4" xfId="39294"/>
    <cellStyle name="Salida 2 5 4" xfId="39295"/>
    <cellStyle name="Salida 2 5 4 2" xfId="39296"/>
    <cellStyle name="Salida 2 5 4 3" xfId="39297"/>
    <cellStyle name="Salida 2 5 4 4" xfId="39298"/>
    <cellStyle name="Salida 2 5 5" xfId="39299"/>
    <cellStyle name="Salida 2 5 6" xfId="39300"/>
    <cellStyle name="Salida 2 5 7" xfId="39301"/>
    <cellStyle name="Salida 2 5 8" xfId="39302"/>
    <cellStyle name="Salida 2 6" xfId="39303"/>
    <cellStyle name="Salida 2 6 2" xfId="39304"/>
    <cellStyle name="Salida 2 6 2 2" xfId="39305"/>
    <cellStyle name="Salida 2 6 2 3" xfId="39306"/>
    <cellStyle name="Salida 2 6 2 4" xfId="39307"/>
    <cellStyle name="Salida 2 6 3" xfId="39308"/>
    <cellStyle name="Salida 2 6 3 2" xfId="39309"/>
    <cellStyle name="Salida 2 6 3 3" xfId="39310"/>
    <cellStyle name="Salida 2 6 3 4" xfId="39311"/>
    <cellStyle name="Salida 2 6 4" xfId="39312"/>
    <cellStyle name="Salida 2 6 4 2" xfId="39313"/>
    <cellStyle name="Salida 2 6 4 3" xfId="39314"/>
    <cellStyle name="Salida 2 6 4 4" xfId="39315"/>
    <cellStyle name="Salida 2 6 5" xfId="39316"/>
    <cellStyle name="Salida 2 6 6" xfId="39317"/>
    <cellStyle name="Salida 2 6 7" xfId="39318"/>
    <cellStyle name="Salida 2 6 8" xfId="39319"/>
    <cellStyle name="Salida 2 7" xfId="39320"/>
    <cellStyle name="Salida 2 7 2" xfId="39321"/>
    <cellStyle name="Salida 2 7 2 2" xfId="39322"/>
    <cellStyle name="Salida 2 7 2 3" xfId="39323"/>
    <cellStyle name="Salida 2 7 2 4" xfId="39324"/>
    <cellStyle name="Salida 2 7 3" xfId="39325"/>
    <cellStyle name="Salida 2 7 3 2" xfId="39326"/>
    <cellStyle name="Salida 2 7 3 3" xfId="39327"/>
    <cellStyle name="Salida 2 7 3 4" xfId="39328"/>
    <cellStyle name="Salida 2 7 4" xfId="39329"/>
    <cellStyle name="Salida 2 7 4 2" xfId="39330"/>
    <cellStyle name="Salida 2 7 4 3" xfId="39331"/>
    <cellStyle name="Salida 2 7 4 4" xfId="39332"/>
    <cellStyle name="Salida 2 7 5" xfId="39333"/>
    <cellStyle name="Salida 2 7 6" xfId="39334"/>
    <cellStyle name="Salida 2 7 7" xfId="39335"/>
    <cellStyle name="Salida 2 7 8" xfId="39336"/>
    <cellStyle name="Salida 2 8" xfId="39337"/>
    <cellStyle name="Salida 2 8 2" xfId="39338"/>
    <cellStyle name="Salida 2 8 3" xfId="39339"/>
    <cellStyle name="Salida 2 8 4" xfId="39340"/>
    <cellStyle name="Salida 2 9" xfId="39341"/>
    <cellStyle name="Salida 2 9 2" xfId="39342"/>
    <cellStyle name="Salida 2 9 3" xfId="39343"/>
    <cellStyle name="Salida 2 9 4" xfId="39344"/>
    <cellStyle name="Salida 3" xfId="39345"/>
    <cellStyle name="Salida 3 10" xfId="39346"/>
    <cellStyle name="Salida 3 11" xfId="39347"/>
    <cellStyle name="Salida 3 2" xfId="39348"/>
    <cellStyle name="Salida 3 2 2" xfId="39349"/>
    <cellStyle name="Salida 3 2 2 2" xfId="39350"/>
    <cellStyle name="Salida 3 2 2 2 2" xfId="39351"/>
    <cellStyle name="Salida 3 2 2 2 3" xfId="39352"/>
    <cellStyle name="Salida 3 2 2 2 4" xfId="39353"/>
    <cellStyle name="Salida 3 2 2 3" xfId="39354"/>
    <cellStyle name="Salida 3 2 2 3 2" xfId="39355"/>
    <cellStyle name="Salida 3 2 2 3 3" xfId="39356"/>
    <cellStyle name="Salida 3 2 2 3 4" xfId="39357"/>
    <cellStyle name="Salida 3 2 2 4" xfId="39358"/>
    <cellStyle name="Salida 3 2 2 4 2" xfId="39359"/>
    <cellStyle name="Salida 3 2 2 4 3" xfId="39360"/>
    <cellStyle name="Salida 3 2 2 4 4" xfId="39361"/>
    <cellStyle name="Salida 3 2 2 5" xfId="39362"/>
    <cellStyle name="Salida 3 2 2 6" xfId="39363"/>
    <cellStyle name="Salida 3 2 2 7" xfId="39364"/>
    <cellStyle name="Salida 3 2 2 8" xfId="39365"/>
    <cellStyle name="Salida 3 2 3" xfId="39366"/>
    <cellStyle name="Salida 3 2 3 2" xfId="39367"/>
    <cellStyle name="Salida 3 2 3 2 2" xfId="39368"/>
    <cellStyle name="Salida 3 2 3 2 3" xfId="39369"/>
    <cellStyle name="Salida 3 2 3 2 4" xfId="39370"/>
    <cellStyle name="Salida 3 2 3 3" xfId="39371"/>
    <cellStyle name="Salida 3 2 3 3 2" xfId="39372"/>
    <cellStyle name="Salida 3 2 3 3 3" xfId="39373"/>
    <cellStyle name="Salida 3 2 3 3 4" xfId="39374"/>
    <cellStyle name="Salida 3 2 3 4" xfId="39375"/>
    <cellStyle name="Salida 3 2 3 4 2" xfId="39376"/>
    <cellStyle name="Salida 3 2 3 4 3" xfId="39377"/>
    <cellStyle name="Salida 3 2 3 4 4" xfId="39378"/>
    <cellStyle name="Salida 3 2 3 5" xfId="39379"/>
    <cellStyle name="Salida 3 2 3 6" xfId="39380"/>
    <cellStyle name="Salida 3 2 3 7" xfId="39381"/>
    <cellStyle name="Salida 3 2 3 8" xfId="39382"/>
    <cellStyle name="Salida 3 2 4" xfId="39383"/>
    <cellStyle name="Salida 3 2 4 2" xfId="39384"/>
    <cellStyle name="Salida 3 2 4 2 2" xfId="39385"/>
    <cellStyle name="Salida 3 2 4 2 3" xfId="39386"/>
    <cellStyle name="Salida 3 2 4 2 4" xfId="39387"/>
    <cellStyle name="Salida 3 2 4 3" xfId="39388"/>
    <cellStyle name="Salida 3 2 4 3 2" xfId="39389"/>
    <cellStyle name="Salida 3 2 4 3 3" xfId="39390"/>
    <cellStyle name="Salida 3 2 4 3 4" xfId="39391"/>
    <cellStyle name="Salida 3 2 4 4" xfId="39392"/>
    <cellStyle name="Salida 3 2 4 4 2" xfId="39393"/>
    <cellStyle name="Salida 3 2 4 4 3" xfId="39394"/>
    <cellStyle name="Salida 3 2 4 4 4" xfId="39395"/>
    <cellStyle name="Salida 3 2 4 5" xfId="39396"/>
    <cellStyle name="Salida 3 2 4 6" xfId="39397"/>
    <cellStyle name="Salida 3 2 4 7" xfId="39398"/>
    <cellStyle name="Salida 3 2 4 8" xfId="39399"/>
    <cellStyle name="Salida 3 2 5" xfId="39400"/>
    <cellStyle name="Salida 3 2 5 2" xfId="39401"/>
    <cellStyle name="Salida 3 2 5 2 2" xfId="39402"/>
    <cellStyle name="Salida 3 2 5 2 3" xfId="39403"/>
    <cellStyle name="Salida 3 2 5 2 4" xfId="39404"/>
    <cellStyle name="Salida 3 2 5 3" xfId="39405"/>
    <cellStyle name="Salida 3 2 5 3 2" xfId="39406"/>
    <cellStyle name="Salida 3 2 5 3 3" xfId="39407"/>
    <cellStyle name="Salida 3 2 5 3 4" xfId="39408"/>
    <cellStyle name="Salida 3 2 5 4" xfId="39409"/>
    <cellStyle name="Salida 3 2 5 4 2" xfId="39410"/>
    <cellStyle name="Salida 3 2 5 4 3" xfId="39411"/>
    <cellStyle name="Salida 3 2 5 4 4" xfId="39412"/>
    <cellStyle name="Salida 3 2 5 5" xfId="39413"/>
    <cellStyle name="Salida 3 2 5 6" xfId="39414"/>
    <cellStyle name="Salida 3 2 5 7" xfId="39415"/>
    <cellStyle name="Salida 3 2 5 8" xfId="39416"/>
    <cellStyle name="Salida 3 2 6" xfId="39417"/>
    <cellStyle name="Salida 3 2 6 2" xfId="39418"/>
    <cellStyle name="Salida 3 2 6 3" xfId="39419"/>
    <cellStyle name="Salida 3 2 6 4" xfId="39420"/>
    <cellStyle name="Salida 3 2 7" xfId="39421"/>
    <cellStyle name="Salida 3 2 7 2" xfId="39422"/>
    <cellStyle name="Salida 3 2 7 3" xfId="39423"/>
    <cellStyle name="Salida 3 2 7 4" xfId="39424"/>
    <cellStyle name="Salida 3 2 8" xfId="39425"/>
    <cellStyle name="Salida 3 2 9" xfId="39426"/>
    <cellStyle name="Salida 3 3" xfId="39427"/>
    <cellStyle name="Salida 3 3 2" xfId="39428"/>
    <cellStyle name="Salida 3 3 2 2" xfId="39429"/>
    <cellStyle name="Salida 3 3 2 3" xfId="39430"/>
    <cellStyle name="Salida 3 3 2 4" xfId="39431"/>
    <cellStyle name="Salida 3 3 3" xfId="39432"/>
    <cellStyle name="Salida 3 3 3 2" xfId="39433"/>
    <cellStyle name="Salida 3 3 3 3" xfId="39434"/>
    <cellStyle name="Salida 3 3 3 4" xfId="39435"/>
    <cellStyle name="Salida 3 3 4" xfId="39436"/>
    <cellStyle name="Salida 3 3 5" xfId="39437"/>
    <cellStyle name="Salida 3 3 6" xfId="39438"/>
    <cellStyle name="Salida 3 3 7" xfId="39439"/>
    <cellStyle name="Salida 3 4" xfId="39440"/>
    <cellStyle name="Salida 3 4 2" xfId="39441"/>
    <cellStyle name="Salida 3 4 2 2" xfId="39442"/>
    <cellStyle name="Salida 3 4 2 3" xfId="39443"/>
    <cellStyle name="Salida 3 4 2 4" xfId="39444"/>
    <cellStyle name="Salida 3 4 3" xfId="39445"/>
    <cellStyle name="Salida 3 4 3 2" xfId="39446"/>
    <cellStyle name="Salida 3 4 3 3" xfId="39447"/>
    <cellStyle name="Salida 3 4 3 4" xfId="39448"/>
    <cellStyle name="Salida 3 4 4" xfId="39449"/>
    <cellStyle name="Salida 3 4 4 2" xfId="39450"/>
    <cellStyle name="Salida 3 4 4 3" xfId="39451"/>
    <cellStyle name="Salida 3 4 4 4" xfId="39452"/>
    <cellStyle name="Salida 3 4 5" xfId="39453"/>
    <cellStyle name="Salida 3 4 6" xfId="39454"/>
    <cellStyle name="Salida 3 4 7" xfId="39455"/>
    <cellStyle name="Salida 3 4 8" xfId="39456"/>
    <cellStyle name="Salida 3 5" xfId="39457"/>
    <cellStyle name="Salida 3 5 2" xfId="39458"/>
    <cellStyle name="Salida 3 5 2 2" xfId="39459"/>
    <cellStyle name="Salida 3 5 2 3" xfId="39460"/>
    <cellStyle name="Salida 3 5 2 4" xfId="39461"/>
    <cellStyle name="Salida 3 5 3" xfId="39462"/>
    <cellStyle name="Salida 3 5 3 2" xfId="39463"/>
    <cellStyle name="Salida 3 5 3 3" xfId="39464"/>
    <cellStyle name="Salida 3 5 3 4" xfId="39465"/>
    <cellStyle name="Salida 3 5 4" xfId="39466"/>
    <cellStyle name="Salida 3 5 4 2" xfId="39467"/>
    <cellStyle name="Salida 3 5 4 3" xfId="39468"/>
    <cellStyle name="Salida 3 5 4 4" xfId="39469"/>
    <cellStyle name="Salida 3 5 5" xfId="39470"/>
    <cellStyle name="Salida 3 5 6" xfId="39471"/>
    <cellStyle name="Salida 3 5 7" xfId="39472"/>
    <cellStyle name="Salida 3 5 8" xfId="39473"/>
    <cellStyle name="Salida 3 6" xfId="39474"/>
    <cellStyle name="Salida 3 6 2" xfId="39475"/>
    <cellStyle name="Salida 3 6 2 2" xfId="39476"/>
    <cellStyle name="Salida 3 6 2 3" xfId="39477"/>
    <cellStyle name="Salida 3 6 2 4" xfId="39478"/>
    <cellStyle name="Salida 3 6 3" xfId="39479"/>
    <cellStyle name="Salida 3 6 3 2" xfId="39480"/>
    <cellStyle name="Salida 3 6 3 3" xfId="39481"/>
    <cellStyle name="Salida 3 6 3 4" xfId="39482"/>
    <cellStyle name="Salida 3 6 4" xfId="39483"/>
    <cellStyle name="Salida 3 6 4 2" xfId="39484"/>
    <cellStyle name="Salida 3 6 4 3" xfId="39485"/>
    <cellStyle name="Salida 3 6 4 4" xfId="39486"/>
    <cellStyle name="Salida 3 6 5" xfId="39487"/>
    <cellStyle name="Salida 3 6 6" xfId="39488"/>
    <cellStyle name="Salida 3 6 7" xfId="39489"/>
    <cellStyle name="Salida 3 6 8" xfId="39490"/>
    <cellStyle name="Salida 3 7" xfId="39491"/>
    <cellStyle name="Salida 3 7 2" xfId="39492"/>
    <cellStyle name="Salida 3 7 2 2" xfId="39493"/>
    <cellStyle name="Salida 3 7 2 3" xfId="39494"/>
    <cellStyle name="Salida 3 7 2 4" xfId="39495"/>
    <cellStyle name="Salida 3 7 3" xfId="39496"/>
    <cellStyle name="Salida 3 7 3 2" xfId="39497"/>
    <cellStyle name="Salida 3 7 3 3" xfId="39498"/>
    <cellStyle name="Salida 3 7 3 4" xfId="39499"/>
    <cellStyle name="Salida 3 7 4" xfId="39500"/>
    <cellStyle name="Salida 3 7 4 2" xfId="39501"/>
    <cellStyle name="Salida 3 7 4 3" xfId="39502"/>
    <cellStyle name="Salida 3 7 4 4" xfId="39503"/>
    <cellStyle name="Salida 3 7 5" xfId="39504"/>
    <cellStyle name="Salida 3 7 6" xfId="39505"/>
    <cellStyle name="Salida 3 7 7" xfId="39506"/>
    <cellStyle name="Salida 3 7 8" xfId="39507"/>
    <cellStyle name="Salida 3 8" xfId="39508"/>
    <cellStyle name="Salida 3 8 2" xfId="39509"/>
    <cellStyle name="Salida 3 8 3" xfId="39510"/>
    <cellStyle name="Salida 3 8 4" xfId="39511"/>
    <cellStyle name="Salida 3 9" xfId="39512"/>
    <cellStyle name="Salida 3 9 2" xfId="39513"/>
    <cellStyle name="Salida 3 9 3" xfId="39514"/>
    <cellStyle name="Salida 3 9 4" xfId="39515"/>
    <cellStyle name="Salida 4" xfId="39516"/>
    <cellStyle name="Salida 4 10" xfId="39517"/>
    <cellStyle name="Salida 4 11" xfId="39518"/>
    <cellStyle name="Salida 4 2" xfId="39519"/>
    <cellStyle name="Salida 4 2 2" xfId="39520"/>
    <cellStyle name="Salida 4 2 2 2" xfId="39521"/>
    <cellStyle name="Salida 4 2 2 2 2" xfId="39522"/>
    <cellStyle name="Salida 4 2 2 2 3" xfId="39523"/>
    <cellStyle name="Salida 4 2 2 2 4" xfId="39524"/>
    <cellStyle name="Salida 4 2 2 3" xfId="39525"/>
    <cellStyle name="Salida 4 2 2 3 2" xfId="39526"/>
    <cellStyle name="Salida 4 2 2 3 3" xfId="39527"/>
    <cellStyle name="Salida 4 2 2 3 4" xfId="39528"/>
    <cellStyle name="Salida 4 2 2 4" xfId="39529"/>
    <cellStyle name="Salida 4 2 2 4 2" xfId="39530"/>
    <cellStyle name="Salida 4 2 2 4 3" xfId="39531"/>
    <cellStyle name="Salida 4 2 2 4 4" xfId="39532"/>
    <cellStyle name="Salida 4 2 2 5" xfId="39533"/>
    <cellStyle name="Salida 4 2 2 6" xfId="39534"/>
    <cellStyle name="Salida 4 2 2 7" xfId="39535"/>
    <cellStyle name="Salida 4 2 2 8" xfId="39536"/>
    <cellStyle name="Salida 4 2 3" xfId="39537"/>
    <cellStyle name="Salida 4 2 3 2" xfId="39538"/>
    <cellStyle name="Salida 4 2 3 2 2" xfId="39539"/>
    <cellStyle name="Salida 4 2 3 2 3" xfId="39540"/>
    <cellStyle name="Salida 4 2 3 2 4" xfId="39541"/>
    <cellStyle name="Salida 4 2 3 3" xfId="39542"/>
    <cellStyle name="Salida 4 2 3 3 2" xfId="39543"/>
    <cellStyle name="Salida 4 2 3 3 3" xfId="39544"/>
    <cellStyle name="Salida 4 2 3 3 4" xfId="39545"/>
    <cellStyle name="Salida 4 2 3 4" xfId="39546"/>
    <cellStyle name="Salida 4 2 3 4 2" xfId="39547"/>
    <cellStyle name="Salida 4 2 3 4 3" xfId="39548"/>
    <cellStyle name="Salida 4 2 3 4 4" xfId="39549"/>
    <cellStyle name="Salida 4 2 3 5" xfId="39550"/>
    <cellStyle name="Salida 4 2 3 6" xfId="39551"/>
    <cellStyle name="Salida 4 2 3 7" xfId="39552"/>
    <cellStyle name="Salida 4 2 3 8" xfId="39553"/>
    <cellStyle name="Salida 4 2 4" xfId="39554"/>
    <cellStyle name="Salida 4 2 4 2" xfId="39555"/>
    <cellStyle name="Salida 4 2 4 2 2" xfId="39556"/>
    <cellStyle name="Salida 4 2 4 2 3" xfId="39557"/>
    <cellStyle name="Salida 4 2 4 2 4" xfId="39558"/>
    <cellStyle name="Salida 4 2 4 3" xfId="39559"/>
    <cellStyle name="Salida 4 2 4 3 2" xfId="39560"/>
    <cellStyle name="Salida 4 2 4 3 3" xfId="39561"/>
    <cellStyle name="Salida 4 2 4 3 4" xfId="39562"/>
    <cellStyle name="Salida 4 2 4 4" xfId="39563"/>
    <cellStyle name="Salida 4 2 4 4 2" xfId="39564"/>
    <cellStyle name="Salida 4 2 4 4 3" xfId="39565"/>
    <cellStyle name="Salida 4 2 4 4 4" xfId="39566"/>
    <cellStyle name="Salida 4 2 4 5" xfId="39567"/>
    <cellStyle name="Salida 4 2 4 6" xfId="39568"/>
    <cellStyle name="Salida 4 2 4 7" xfId="39569"/>
    <cellStyle name="Salida 4 2 4 8" xfId="39570"/>
    <cellStyle name="Salida 4 2 5" xfId="39571"/>
    <cellStyle name="Salida 4 2 5 2" xfId="39572"/>
    <cellStyle name="Salida 4 2 5 2 2" xfId="39573"/>
    <cellStyle name="Salida 4 2 5 2 3" xfId="39574"/>
    <cellStyle name="Salida 4 2 5 2 4" xfId="39575"/>
    <cellStyle name="Salida 4 2 5 3" xfId="39576"/>
    <cellStyle name="Salida 4 2 5 3 2" xfId="39577"/>
    <cellStyle name="Salida 4 2 5 3 3" xfId="39578"/>
    <cellStyle name="Salida 4 2 5 3 4" xfId="39579"/>
    <cellStyle name="Salida 4 2 5 4" xfId="39580"/>
    <cellStyle name="Salida 4 2 5 4 2" xfId="39581"/>
    <cellStyle name="Salida 4 2 5 4 3" xfId="39582"/>
    <cellStyle name="Salida 4 2 5 4 4" xfId="39583"/>
    <cellStyle name="Salida 4 2 5 5" xfId="39584"/>
    <cellStyle name="Salida 4 2 5 6" xfId="39585"/>
    <cellStyle name="Salida 4 2 5 7" xfId="39586"/>
    <cellStyle name="Salida 4 2 5 8" xfId="39587"/>
    <cellStyle name="Salida 4 2 6" xfId="39588"/>
    <cellStyle name="Salida 4 2 6 2" xfId="39589"/>
    <cellStyle name="Salida 4 2 6 3" xfId="39590"/>
    <cellStyle name="Salida 4 2 6 4" xfId="39591"/>
    <cellStyle name="Salida 4 2 7" xfId="39592"/>
    <cellStyle name="Salida 4 2 7 2" xfId="39593"/>
    <cellStyle name="Salida 4 2 7 3" xfId="39594"/>
    <cellStyle name="Salida 4 2 7 4" xfId="39595"/>
    <cellStyle name="Salida 4 2 8" xfId="39596"/>
    <cellStyle name="Salida 4 2 9" xfId="39597"/>
    <cellStyle name="Salida 4 3" xfId="39598"/>
    <cellStyle name="Salida 4 3 2" xfId="39599"/>
    <cellStyle name="Salida 4 3 2 2" xfId="39600"/>
    <cellStyle name="Salida 4 3 2 3" xfId="39601"/>
    <cellStyle name="Salida 4 3 2 4" xfId="39602"/>
    <cellStyle name="Salida 4 3 3" xfId="39603"/>
    <cellStyle name="Salida 4 3 3 2" xfId="39604"/>
    <cellStyle name="Salida 4 3 3 3" xfId="39605"/>
    <cellStyle name="Salida 4 3 3 4" xfId="39606"/>
    <cellStyle name="Salida 4 3 4" xfId="39607"/>
    <cellStyle name="Salida 4 3 5" xfId="39608"/>
    <cellStyle name="Salida 4 3 6" xfId="39609"/>
    <cellStyle name="Salida 4 3 7" xfId="39610"/>
    <cellStyle name="Salida 4 4" xfId="39611"/>
    <cellStyle name="Salida 4 4 2" xfId="39612"/>
    <cellStyle name="Salida 4 4 2 2" xfId="39613"/>
    <cellStyle name="Salida 4 4 2 3" xfId="39614"/>
    <cellStyle name="Salida 4 4 2 4" xfId="39615"/>
    <cellStyle name="Salida 4 4 3" xfId="39616"/>
    <cellStyle name="Salida 4 4 3 2" xfId="39617"/>
    <cellStyle name="Salida 4 4 3 3" xfId="39618"/>
    <cellStyle name="Salida 4 4 3 4" xfId="39619"/>
    <cellStyle name="Salida 4 4 4" xfId="39620"/>
    <cellStyle name="Salida 4 4 4 2" xfId="39621"/>
    <cellStyle name="Salida 4 4 4 3" xfId="39622"/>
    <cellStyle name="Salida 4 4 4 4" xfId="39623"/>
    <cellStyle name="Salida 4 4 5" xfId="39624"/>
    <cellStyle name="Salida 4 4 6" xfId="39625"/>
    <cellStyle name="Salida 4 4 7" xfId="39626"/>
    <cellStyle name="Salida 4 4 8" xfId="39627"/>
    <cellStyle name="Salida 4 5" xfId="39628"/>
    <cellStyle name="Salida 4 5 2" xfId="39629"/>
    <cellStyle name="Salida 4 5 2 2" xfId="39630"/>
    <cellStyle name="Salida 4 5 2 3" xfId="39631"/>
    <cellStyle name="Salida 4 5 2 4" xfId="39632"/>
    <cellStyle name="Salida 4 5 3" xfId="39633"/>
    <cellStyle name="Salida 4 5 3 2" xfId="39634"/>
    <cellStyle name="Salida 4 5 3 3" xfId="39635"/>
    <cellStyle name="Salida 4 5 3 4" xfId="39636"/>
    <cellStyle name="Salida 4 5 4" xfId="39637"/>
    <cellStyle name="Salida 4 5 4 2" xfId="39638"/>
    <cellStyle name="Salida 4 5 4 3" xfId="39639"/>
    <cellStyle name="Salida 4 5 4 4" xfId="39640"/>
    <cellStyle name="Salida 4 5 5" xfId="39641"/>
    <cellStyle name="Salida 4 5 6" xfId="39642"/>
    <cellStyle name="Salida 4 5 7" xfId="39643"/>
    <cellStyle name="Salida 4 5 8" xfId="39644"/>
    <cellStyle name="Salida 4 6" xfId="39645"/>
    <cellStyle name="Salida 4 6 2" xfId="39646"/>
    <cellStyle name="Salida 4 6 2 2" xfId="39647"/>
    <cellStyle name="Salida 4 6 2 3" xfId="39648"/>
    <cellStyle name="Salida 4 6 2 4" xfId="39649"/>
    <cellStyle name="Salida 4 6 3" xfId="39650"/>
    <cellStyle name="Salida 4 6 3 2" xfId="39651"/>
    <cellStyle name="Salida 4 6 3 3" xfId="39652"/>
    <cellStyle name="Salida 4 6 3 4" xfId="39653"/>
    <cellStyle name="Salida 4 6 4" xfId="39654"/>
    <cellStyle name="Salida 4 6 4 2" xfId="39655"/>
    <cellStyle name="Salida 4 6 4 3" xfId="39656"/>
    <cellStyle name="Salida 4 6 4 4" xfId="39657"/>
    <cellStyle name="Salida 4 6 5" xfId="39658"/>
    <cellStyle name="Salida 4 6 6" xfId="39659"/>
    <cellStyle name="Salida 4 6 7" xfId="39660"/>
    <cellStyle name="Salida 4 6 8" xfId="39661"/>
    <cellStyle name="Salida 4 7" xfId="39662"/>
    <cellStyle name="Salida 4 7 2" xfId="39663"/>
    <cellStyle name="Salida 4 7 2 2" xfId="39664"/>
    <cellStyle name="Salida 4 7 2 3" xfId="39665"/>
    <cellStyle name="Salida 4 7 2 4" xfId="39666"/>
    <cellStyle name="Salida 4 7 3" xfId="39667"/>
    <cellStyle name="Salida 4 7 3 2" xfId="39668"/>
    <cellStyle name="Salida 4 7 3 3" xfId="39669"/>
    <cellStyle name="Salida 4 7 3 4" xfId="39670"/>
    <cellStyle name="Salida 4 7 4" xfId="39671"/>
    <cellStyle name="Salida 4 7 4 2" xfId="39672"/>
    <cellStyle name="Salida 4 7 4 3" xfId="39673"/>
    <cellStyle name="Salida 4 7 4 4" xfId="39674"/>
    <cellStyle name="Salida 4 7 5" xfId="39675"/>
    <cellStyle name="Salida 4 7 6" xfId="39676"/>
    <cellStyle name="Salida 4 7 7" xfId="39677"/>
    <cellStyle name="Salida 4 7 8" xfId="39678"/>
    <cellStyle name="Salida 4 8" xfId="39679"/>
    <cellStyle name="Salida 4 8 2" xfId="39680"/>
    <cellStyle name="Salida 4 8 3" xfId="39681"/>
    <cellStyle name="Salida 4 8 4" xfId="39682"/>
    <cellStyle name="Salida 4 9" xfId="39683"/>
    <cellStyle name="Salida 4 9 2" xfId="39684"/>
    <cellStyle name="Salida 4 9 3" xfId="39685"/>
    <cellStyle name="Salida 4 9 4" xfId="39686"/>
    <cellStyle name="Sammenkædet celle" xfId="53629"/>
    <cellStyle name="SAPBEXaggData" xfId="39687"/>
    <cellStyle name="SAPBEXaggData 10" xfId="39688"/>
    <cellStyle name="SAPBEXaggData 11" xfId="39689"/>
    <cellStyle name="SAPBEXaggData 2" xfId="39690"/>
    <cellStyle name="SAPBEXaggData 2 2" xfId="39691"/>
    <cellStyle name="SAPBEXaggData 2 2 2" xfId="39692"/>
    <cellStyle name="SAPBEXaggData 2 2 2 2" xfId="39693"/>
    <cellStyle name="SAPBEXaggData 2 2 2 3" xfId="39694"/>
    <cellStyle name="SAPBEXaggData 2 2 2 4" xfId="39695"/>
    <cellStyle name="SAPBEXaggData 2 2 3" xfId="39696"/>
    <cellStyle name="SAPBEXaggData 2 2 3 2" xfId="39697"/>
    <cellStyle name="SAPBEXaggData 2 2 3 3" xfId="39698"/>
    <cellStyle name="SAPBEXaggData 2 2 3 4" xfId="39699"/>
    <cellStyle name="SAPBEXaggData 2 2 4" xfId="39700"/>
    <cellStyle name="SAPBEXaggData 2 2 4 2" xfId="39701"/>
    <cellStyle name="SAPBEXaggData 2 2 4 3" xfId="39702"/>
    <cellStyle name="SAPBEXaggData 2 2 4 4" xfId="39703"/>
    <cellStyle name="SAPBEXaggData 2 2 5" xfId="39704"/>
    <cellStyle name="SAPBEXaggData 2 2 6" xfId="39705"/>
    <cellStyle name="SAPBEXaggData 2 2 7" xfId="39706"/>
    <cellStyle name="SAPBEXaggData 2 2 8" xfId="39707"/>
    <cellStyle name="SAPBEXaggData 2 3" xfId="39708"/>
    <cellStyle name="SAPBEXaggData 2 3 2" xfId="39709"/>
    <cellStyle name="SAPBEXaggData 2 3 2 2" xfId="39710"/>
    <cellStyle name="SAPBEXaggData 2 3 2 3" xfId="39711"/>
    <cellStyle name="SAPBEXaggData 2 3 2 4" xfId="39712"/>
    <cellStyle name="SAPBEXaggData 2 3 3" xfId="39713"/>
    <cellStyle name="SAPBEXaggData 2 3 3 2" xfId="39714"/>
    <cellStyle name="SAPBEXaggData 2 3 3 3" xfId="39715"/>
    <cellStyle name="SAPBEXaggData 2 3 3 4" xfId="39716"/>
    <cellStyle name="SAPBEXaggData 2 3 4" xfId="39717"/>
    <cellStyle name="SAPBEXaggData 2 3 4 2" xfId="39718"/>
    <cellStyle name="SAPBEXaggData 2 3 4 3" xfId="39719"/>
    <cellStyle name="SAPBEXaggData 2 3 4 4" xfId="39720"/>
    <cellStyle name="SAPBEXaggData 2 3 5" xfId="39721"/>
    <cellStyle name="SAPBEXaggData 2 3 6" xfId="39722"/>
    <cellStyle name="SAPBEXaggData 2 3 7" xfId="39723"/>
    <cellStyle name="SAPBEXaggData 2 3 8" xfId="39724"/>
    <cellStyle name="SAPBEXaggData 2 4" xfId="39725"/>
    <cellStyle name="SAPBEXaggData 2 4 2" xfId="39726"/>
    <cellStyle name="SAPBEXaggData 2 4 2 2" xfId="39727"/>
    <cellStyle name="SAPBEXaggData 2 4 2 3" xfId="39728"/>
    <cellStyle name="SAPBEXaggData 2 4 2 4" xfId="39729"/>
    <cellStyle name="SAPBEXaggData 2 4 3" xfId="39730"/>
    <cellStyle name="SAPBEXaggData 2 4 3 2" xfId="39731"/>
    <cellStyle name="SAPBEXaggData 2 4 3 3" xfId="39732"/>
    <cellStyle name="SAPBEXaggData 2 4 3 4" xfId="39733"/>
    <cellStyle name="SAPBEXaggData 2 4 4" xfId="39734"/>
    <cellStyle name="SAPBEXaggData 2 4 4 2" xfId="39735"/>
    <cellStyle name="SAPBEXaggData 2 4 4 3" xfId="39736"/>
    <cellStyle name="SAPBEXaggData 2 4 4 4" xfId="39737"/>
    <cellStyle name="SAPBEXaggData 2 4 5" xfId="39738"/>
    <cellStyle name="SAPBEXaggData 2 4 6" xfId="39739"/>
    <cellStyle name="SAPBEXaggData 2 4 7" xfId="39740"/>
    <cellStyle name="SAPBEXaggData 2 4 8" xfId="39741"/>
    <cellStyle name="SAPBEXaggData 2 5" xfId="39742"/>
    <cellStyle name="SAPBEXaggData 2 5 2" xfId="39743"/>
    <cellStyle name="SAPBEXaggData 2 5 2 2" xfId="39744"/>
    <cellStyle name="SAPBEXaggData 2 5 2 3" xfId="39745"/>
    <cellStyle name="SAPBEXaggData 2 5 2 4" xfId="39746"/>
    <cellStyle name="SAPBEXaggData 2 5 3" xfId="39747"/>
    <cellStyle name="SAPBEXaggData 2 5 3 2" xfId="39748"/>
    <cellStyle name="SAPBEXaggData 2 5 3 3" xfId="39749"/>
    <cellStyle name="SAPBEXaggData 2 5 3 4" xfId="39750"/>
    <cellStyle name="SAPBEXaggData 2 5 4" xfId="39751"/>
    <cellStyle name="SAPBEXaggData 2 5 4 2" xfId="39752"/>
    <cellStyle name="SAPBEXaggData 2 5 4 3" xfId="39753"/>
    <cellStyle name="SAPBEXaggData 2 5 4 4" xfId="39754"/>
    <cellStyle name="SAPBEXaggData 2 5 5" xfId="39755"/>
    <cellStyle name="SAPBEXaggData 2 5 6" xfId="39756"/>
    <cellStyle name="SAPBEXaggData 2 5 7" xfId="39757"/>
    <cellStyle name="SAPBEXaggData 2 5 8" xfId="39758"/>
    <cellStyle name="SAPBEXaggData 2 6" xfId="39759"/>
    <cellStyle name="SAPBEXaggData 2 6 2" xfId="39760"/>
    <cellStyle name="SAPBEXaggData 2 6 3" xfId="39761"/>
    <cellStyle name="SAPBEXaggData 2 6 4" xfId="39762"/>
    <cellStyle name="SAPBEXaggData 2 7" xfId="39763"/>
    <cellStyle name="SAPBEXaggData 2 7 2" xfId="39764"/>
    <cellStyle name="SAPBEXaggData 2 7 3" xfId="39765"/>
    <cellStyle name="SAPBEXaggData 2 7 4" xfId="39766"/>
    <cellStyle name="SAPBEXaggData 2 8" xfId="39767"/>
    <cellStyle name="SAPBEXaggData 2 9" xfId="39768"/>
    <cellStyle name="SAPBEXaggData 3" xfId="39769"/>
    <cellStyle name="SAPBEXaggData 3 2" xfId="39770"/>
    <cellStyle name="SAPBEXaggData 3 2 2" xfId="39771"/>
    <cellStyle name="SAPBEXaggData 3 2 3" xfId="39772"/>
    <cellStyle name="SAPBEXaggData 3 2 4" xfId="39773"/>
    <cellStyle name="SAPBEXaggData 3 3" xfId="39774"/>
    <cellStyle name="SAPBEXaggData 3 3 2" xfId="39775"/>
    <cellStyle name="SAPBEXaggData 3 3 3" xfId="39776"/>
    <cellStyle name="SAPBEXaggData 3 3 4" xfId="39777"/>
    <cellStyle name="SAPBEXaggData 3 4" xfId="39778"/>
    <cellStyle name="SAPBEXaggData 3 4 2" xfId="39779"/>
    <cellStyle name="SAPBEXaggData 3 4 3" xfId="39780"/>
    <cellStyle name="SAPBEXaggData 3 4 4" xfId="39781"/>
    <cellStyle name="SAPBEXaggData 3 5" xfId="39782"/>
    <cellStyle name="SAPBEXaggData 3 6" xfId="39783"/>
    <cellStyle name="SAPBEXaggData 3 7" xfId="39784"/>
    <cellStyle name="SAPBEXaggData 3 8" xfId="39785"/>
    <cellStyle name="SAPBEXaggData 4" xfId="39786"/>
    <cellStyle name="SAPBEXaggData 4 2" xfId="39787"/>
    <cellStyle name="SAPBEXaggData 4 2 2" xfId="39788"/>
    <cellStyle name="SAPBEXaggData 4 2 3" xfId="39789"/>
    <cellStyle name="SAPBEXaggData 4 2 4" xfId="39790"/>
    <cellStyle name="SAPBEXaggData 4 3" xfId="39791"/>
    <cellStyle name="SAPBEXaggData 4 3 2" xfId="39792"/>
    <cellStyle name="SAPBEXaggData 4 3 3" xfId="39793"/>
    <cellStyle name="SAPBEXaggData 4 3 4" xfId="39794"/>
    <cellStyle name="SAPBEXaggData 4 4" xfId="39795"/>
    <cellStyle name="SAPBEXaggData 4 4 2" xfId="39796"/>
    <cellStyle name="SAPBEXaggData 4 4 3" xfId="39797"/>
    <cellStyle name="SAPBEXaggData 4 4 4" xfId="39798"/>
    <cellStyle name="SAPBEXaggData 4 5" xfId="39799"/>
    <cellStyle name="SAPBEXaggData 4 6" xfId="39800"/>
    <cellStyle name="SAPBEXaggData 4 7" xfId="39801"/>
    <cellStyle name="SAPBEXaggData 4 8" xfId="39802"/>
    <cellStyle name="SAPBEXaggData 5" xfId="39803"/>
    <cellStyle name="SAPBEXaggData 5 2" xfId="39804"/>
    <cellStyle name="SAPBEXaggData 5 2 2" xfId="39805"/>
    <cellStyle name="SAPBEXaggData 5 2 3" xfId="39806"/>
    <cellStyle name="SAPBEXaggData 5 2 4" xfId="39807"/>
    <cellStyle name="SAPBEXaggData 5 3" xfId="39808"/>
    <cellStyle name="SAPBEXaggData 5 3 2" xfId="39809"/>
    <cellStyle name="SAPBEXaggData 5 3 3" xfId="39810"/>
    <cellStyle name="SAPBEXaggData 5 3 4" xfId="39811"/>
    <cellStyle name="SAPBEXaggData 5 4" xfId="39812"/>
    <cellStyle name="SAPBEXaggData 5 4 2" xfId="39813"/>
    <cellStyle name="SAPBEXaggData 5 4 3" xfId="39814"/>
    <cellStyle name="SAPBEXaggData 5 4 4" xfId="39815"/>
    <cellStyle name="SAPBEXaggData 5 5" xfId="39816"/>
    <cellStyle name="SAPBEXaggData 5 6" xfId="39817"/>
    <cellStyle name="SAPBEXaggData 5 7" xfId="39818"/>
    <cellStyle name="SAPBEXaggData 5 8" xfId="39819"/>
    <cellStyle name="SAPBEXaggData 6" xfId="39820"/>
    <cellStyle name="SAPBEXaggData 6 2" xfId="39821"/>
    <cellStyle name="SAPBEXaggData 6 2 2" xfId="39822"/>
    <cellStyle name="SAPBEXaggData 6 2 3" xfId="39823"/>
    <cellStyle name="SAPBEXaggData 6 2 4" xfId="39824"/>
    <cellStyle name="SAPBEXaggData 6 3" xfId="39825"/>
    <cellStyle name="SAPBEXaggData 6 3 2" xfId="39826"/>
    <cellStyle name="SAPBEXaggData 6 3 3" xfId="39827"/>
    <cellStyle name="SAPBEXaggData 6 3 4" xfId="39828"/>
    <cellStyle name="SAPBEXaggData 6 4" xfId="39829"/>
    <cellStyle name="SAPBEXaggData 6 4 2" xfId="39830"/>
    <cellStyle name="SAPBEXaggData 6 4 3" xfId="39831"/>
    <cellStyle name="SAPBEXaggData 6 4 4" xfId="39832"/>
    <cellStyle name="SAPBEXaggData 6 5" xfId="39833"/>
    <cellStyle name="SAPBEXaggData 6 6" xfId="39834"/>
    <cellStyle name="SAPBEXaggData 6 7" xfId="39835"/>
    <cellStyle name="SAPBEXaggData 6 8" xfId="39836"/>
    <cellStyle name="SAPBEXaggData 7" xfId="39837"/>
    <cellStyle name="SAPBEXaggData 7 2" xfId="39838"/>
    <cellStyle name="SAPBEXaggData 7 2 2" xfId="39839"/>
    <cellStyle name="SAPBEXaggData 7 2 3" xfId="39840"/>
    <cellStyle name="SAPBEXaggData 7 2 4" xfId="39841"/>
    <cellStyle name="SAPBEXaggData 7 3" xfId="39842"/>
    <cellStyle name="SAPBEXaggData 7 3 2" xfId="39843"/>
    <cellStyle name="SAPBEXaggData 7 3 3" xfId="39844"/>
    <cellStyle name="SAPBEXaggData 7 3 4" xfId="39845"/>
    <cellStyle name="SAPBEXaggData 7 4" xfId="39846"/>
    <cellStyle name="SAPBEXaggData 7 4 2" xfId="39847"/>
    <cellStyle name="SAPBEXaggData 7 4 3" xfId="39848"/>
    <cellStyle name="SAPBEXaggData 7 4 4" xfId="39849"/>
    <cellStyle name="SAPBEXaggData 7 5" xfId="39850"/>
    <cellStyle name="SAPBEXaggData 7 6" xfId="39851"/>
    <cellStyle name="SAPBEXaggData 7 7" xfId="39852"/>
    <cellStyle name="SAPBEXaggData 7 8" xfId="39853"/>
    <cellStyle name="SAPBEXaggData 8" xfId="39854"/>
    <cellStyle name="SAPBEXaggData 8 2" xfId="39855"/>
    <cellStyle name="SAPBEXaggData 8 3" xfId="39856"/>
    <cellStyle name="SAPBEXaggData 8 4" xfId="39857"/>
    <cellStyle name="SAPBEXaggData 9" xfId="39858"/>
    <cellStyle name="SAPBEXaggData 9 2" xfId="39859"/>
    <cellStyle name="SAPBEXaggData 9 3" xfId="39860"/>
    <cellStyle name="SAPBEXaggData 9 4" xfId="39861"/>
    <cellStyle name="SAPBEXaggDataEmph" xfId="39862"/>
    <cellStyle name="SAPBEXaggDataEmph 10" xfId="39863"/>
    <cellStyle name="SAPBEXaggDataEmph 11" xfId="39864"/>
    <cellStyle name="SAPBEXaggDataEmph 2" xfId="39865"/>
    <cellStyle name="SAPBEXaggDataEmph 2 2" xfId="39866"/>
    <cellStyle name="SAPBEXaggDataEmph 2 2 2" xfId="39867"/>
    <cellStyle name="SAPBEXaggDataEmph 2 2 2 2" xfId="39868"/>
    <cellStyle name="SAPBEXaggDataEmph 2 2 2 3" xfId="39869"/>
    <cellStyle name="SAPBEXaggDataEmph 2 2 2 4" xfId="39870"/>
    <cellStyle name="SAPBEXaggDataEmph 2 2 3" xfId="39871"/>
    <cellStyle name="SAPBEXaggDataEmph 2 2 3 2" xfId="39872"/>
    <cellStyle name="SAPBEXaggDataEmph 2 2 3 3" xfId="39873"/>
    <cellStyle name="SAPBEXaggDataEmph 2 2 3 4" xfId="39874"/>
    <cellStyle name="SAPBEXaggDataEmph 2 2 4" xfId="39875"/>
    <cellStyle name="SAPBEXaggDataEmph 2 2 4 2" xfId="39876"/>
    <cellStyle name="SAPBEXaggDataEmph 2 2 4 3" xfId="39877"/>
    <cellStyle name="SAPBEXaggDataEmph 2 2 4 4" xfId="39878"/>
    <cellStyle name="SAPBEXaggDataEmph 2 2 5" xfId="39879"/>
    <cellStyle name="SAPBEXaggDataEmph 2 2 6" xfId="39880"/>
    <cellStyle name="SAPBEXaggDataEmph 2 2 7" xfId="39881"/>
    <cellStyle name="SAPBEXaggDataEmph 2 2 8" xfId="39882"/>
    <cellStyle name="SAPBEXaggDataEmph 2 3" xfId="39883"/>
    <cellStyle name="SAPBEXaggDataEmph 2 3 2" xfId="39884"/>
    <cellStyle name="SAPBEXaggDataEmph 2 3 2 2" xfId="39885"/>
    <cellStyle name="SAPBEXaggDataEmph 2 3 2 3" xfId="39886"/>
    <cellStyle name="SAPBEXaggDataEmph 2 3 2 4" xfId="39887"/>
    <cellStyle name="SAPBEXaggDataEmph 2 3 3" xfId="39888"/>
    <cellStyle name="SAPBEXaggDataEmph 2 3 3 2" xfId="39889"/>
    <cellStyle name="SAPBEXaggDataEmph 2 3 3 3" xfId="39890"/>
    <cellStyle name="SAPBEXaggDataEmph 2 3 3 4" xfId="39891"/>
    <cellStyle name="SAPBEXaggDataEmph 2 3 4" xfId="39892"/>
    <cellStyle name="SAPBEXaggDataEmph 2 3 4 2" xfId="39893"/>
    <cellStyle name="SAPBEXaggDataEmph 2 3 4 3" xfId="39894"/>
    <cellStyle name="SAPBEXaggDataEmph 2 3 4 4" xfId="39895"/>
    <cellStyle name="SAPBEXaggDataEmph 2 3 5" xfId="39896"/>
    <cellStyle name="SAPBEXaggDataEmph 2 3 6" xfId="39897"/>
    <cellStyle name="SAPBEXaggDataEmph 2 3 7" xfId="39898"/>
    <cellStyle name="SAPBEXaggDataEmph 2 3 8" xfId="39899"/>
    <cellStyle name="SAPBEXaggDataEmph 2 4" xfId="39900"/>
    <cellStyle name="SAPBEXaggDataEmph 2 4 2" xfId="39901"/>
    <cellStyle name="SAPBEXaggDataEmph 2 4 2 2" xfId="39902"/>
    <cellStyle name="SAPBEXaggDataEmph 2 4 2 3" xfId="39903"/>
    <cellStyle name="SAPBEXaggDataEmph 2 4 2 4" xfId="39904"/>
    <cellStyle name="SAPBEXaggDataEmph 2 4 3" xfId="39905"/>
    <cellStyle name="SAPBEXaggDataEmph 2 4 3 2" xfId="39906"/>
    <cellStyle name="SAPBEXaggDataEmph 2 4 3 3" xfId="39907"/>
    <cellStyle name="SAPBEXaggDataEmph 2 4 3 4" xfId="39908"/>
    <cellStyle name="SAPBEXaggDataEmph 2 4 4" xfId="39909"/>
    <cellStyle name="SAPBEXaggDataEmph 2 4 4 2" xfId="39910"/>
    <cellStyle name="SAPBEXaggDataEmph 2 4 4 3" xfId="39911"/>
    <cellStyle name="SAPBEXaggDataEmph 2 4 4 4" xfId="39912"/>
    <cellStyle name="SAPBEXaggDataEmph 2 4 5" xfId="39913"/>
    <cellStyle name="SAPBEXaggDataEmph 2 4 6" xfId="39914"/>
    <cellStyle name="SAPBEXaggDataEmph 2 4 7" xfId="39915"/>
    <cellStyle name="SAPBEXaggDataEmph 2 4 8" xfId="39916"/>
    <cellStyle name="SAPBEXaggDataEmph 2 5" xfId="39917"/>
    <cellStyle name="SAPBEXaggDataEmph 2 5 2" xfId="39918"/>
    <cellStyle name="SAPBEXaggDataEmph 2 5 2 2" xfId="39919"/>
    <cellStyle name="SAPBEXaggDataEmph 2 5 2 3" xfId="39920"/>
    <cellStyle name="SAPBEXaggDataEmph 2 5 2 4" xfId="39921"/>
    <cellStyle name="SAPBEXaggDataEmph 2 5 3" xfId="39922"/>
    <cellStyle name="SAPBEXaggDataEmph 2 5 3 2" xfId="39923"/>
    <cellStyle name="SAPBEXaggDataEmph 2 5 3 3" xfId="39924"/>
    <cellStyle name="SAPBEXaggDataEmph 2 5 3 4" xfId="39925"/>
    <cellStyle name="SAPBEXaggDataEmph 2 5 4" xfId="39926"/>
    <cellStyle name="SAPBEXaggDataEmph 2 5 4 2" xfId="39927"/>
    <cellStyle name="SAPBEXaggDataEmph 2 5 4 3" xfId="39928"/>
    <cellStyle name="SAPBEXaggDataEmph 2 5 4 4" xfId="39929"/>
    <cellStyle name="SAPBEXaggDataEmph 2 5 5" xfId="39930"/>
    <cellStyle name="SAPBEXaggDataEmph 2 5 6" xfId="39931"/>
    <cellStyle name="SAPBEXaggDataEmph 2 5 7" xfId="39932"/>
    <cellStyle name="SAPBEXaggDataEmph 2 5 8" xfId="39933"/>
    <cellStyle name="SAPBEXaggDataEmph 2 6" xfId="39934"/>
    <cellStyle name="SAPBEXaggDataEmph 2 6 2" xfId="39935"/>
    <cellStyle name="SAPBEXaggDataEmph 2 6 3" xfId="39936"/>
    <cellStyle name="SAPBEXaggDataEmph 2 6 4" xfId="39937"/>
    <cellStyle name="SAPBEXaggDataEmph 2 7" xfId="39938"/>
    <cellStyle name="SAPBEXaggDataEmph 2 7 2" xfId="39939"/>
    <cellStyle name="SAPBEXaggDataEmph 2 7 3" xfId="39940"/>
    <cellStyle name="SAPBEXaggDataEmph 2 7 4" xfId="39941"/>
    <cellStyle name="SAPBEXaggDataEmph 2 8" xfId="39942"/>
    <cellStyle name="SAPBEXaggDataEmph 2 9" xfId="39943"/>
    <cellStyle name="SAPBEXaggDataEmph 3" xfId="39944"/>
    <cellStyle name="SAPBEXaggDataEmph 3 2" xfId="39945"/>
    <cellStyle name="SAPBEXaggDataEmph 3 2 2" xfId="39946"/>
    <cellStyle name="SAPBEXaggDataEmph 3 2 3" xfId="39947"/>
    <cellStyle name="SAPBEXaggDataEmph 3 2 4" xfId="39948"/>
    <cellStyle name="SAPBEXaggDataEmph 3 3" xfId="39949"/>
    <cellStyle name="SAPBEXaggDataEmph 3 3 2" xfId="39950"/>
    <cellStyle name="SAPBEXaggDataEmph 3 3 3" xfId="39951"/>
    <cellStyle name="SAPBEXaggDataEmph 3 3 4" xfId="39952"/>
    <cellStyle name="SAPBEXaggDataEmph 3 4" xfId="39953"/>
    <cellStyle name="SAPBEXaggDataEmph 3 4 2" xfId="39954"/>
    <cellStyle name="SAPBEXaggDataEmph 3 4 3" xfId="39955"/>
    <cellStyle name="SAPBEXaggDataEmph 3 4 4" xfId="39956"/>
    <cellStyle name="SAPBEXaggDataEmph 3 5" xfId="39957"/>
    <cellStyle name="SAPBEXaggDataEmph 3 6" xfId="39958"/>
    <cellStyle name="SAPBEXaggDataEmph 3 7" xfId="39959"/>
    <cellStyle name="SAPBEXaggDataEmph 3 8" xfId="39960"/>
    <cellStyle name="SAPBEXaggDataEmph 4" xfId="39961"/>
    <cellStyle name="SAPBEXaggDataEmph 4 2" xfId="39962"/>
    <cellStyle name="SAPBEXaggDataEmph 4 2 2" xfId="39963"/>
    <cellStyle name="SAPBEXaggDataEmph 4 2 3" xfId="39964"/>
    <cellStyle name="SAPBEXaggDataEmph 4 2 4" xfId="39965"/>
    <cellStyle name="SAPBEXaggDataEmph 4 3" xfId="39966"/>
    <cellStyle name="SAPBEXaggDataEmph 4 3 2" xfId="39967"/>
    <cellStyle name="SAPBEXaggDataEmph 4 3 3" xfId="39968"/>
    <cellStyle name="SAPBEXaggDataEmph 4 3 4" xfId="39969"/>
    <cellStyle name="SAPBEXaggDataEmph 4 4" xfId="39970"/>
    <cellStyle name="SAPBEXaggDataEmph 4 4 2" xfId="39971"/>
    <cellStyle name="SAPBEXaggDataEmph 4 4 3" xfId="39972"/>
    <cellStyle name="SAPBEXaggDataEmph 4 4 4" xfId="39973"/>
    <cellStyle name="SAPBEXaggDataEmph 4 5" xfId="39974"/>
    <cellStyle name="SAPBEXaggDataEmph 4 6" xfId="39975"/>
    <cellStyle name="SAPBEXaggDataEmph 4 7" xfId="39976"/>
    <cellStyle name="SAPBEXaggDataEmph 4 8" xfId="39977"/>
    <cellStyle name="SAPBEXaggDataEmph 5" xfId="39978"/>
    <cellStyle name="SAPBEXaggDataEmph 5 2" xfId="39979"/>
    <cellStyle name="SAPBEXaggDataEmph 5 2 2" xfId="39980"/>
    <cellStyle name="SAPBEXaggDataEmph 5 2 3" xfId="39981"/>
    <cellStyle name="SAPBEXaggDataEmph 5 2 4" xfId="39982"/>
    <cellStyle name="SAPBEXaggDataEmph 5 3" xfId="39983"/>
    <cellStyle name="SAPBEXaggDataEmph 5 3 2" xfId="39984"/>
    <cellStyle name="SAPBEXaggDataEmph 5 3 3" xfId="39985"/>
    <cellStyle name="SAPBEXaggDataEmph 5 3 4" xfId="39986"/>
    <cellStyle name="SAPBEXaggDataEmph 5 4" xfId="39987"/>
    <cellStyle name="SAPBEXaggDataEmph 5 4 2" xfId="39988"/>
    <cellStyle name="SAPBEXaggDataEmph 5 4 3" xfId="39989"/>
    <cellStyle name="SAPBEXaggDataEmph 5 4 4" xfId="39990"/>
    <cellStyle name="SAPBEXaggDataEmph 5 5" xfId="39991"/>
    <cellStyle name="SAPBEXaggDataEmph 5 6" xfId="39992"/>
    <cellStyle name="SAPBEXaggDataEmph 5 7" xfId="39993"/>
    <cellStyle name="SAPBEXaggDataEmph 5 8" xfId="39994"/>
    <cellStyle name="SAPBEXaggDataEmph 6" xfId="39995"/>
    <cellStyle name="SAPBEXaggDataEmph 6 2" xfId="39996"/>
    <cellStyle name="SAPBEXaggDataEmph 6 2 2" xfId="39997"/>
    <cellStyle name="SAPBEXaggDataEmph 6 2 3" xfId="39998"/>
    <cellStyle name="SAPBEXaggDataEmph 6 2 4" xfId="39999"/>
    <cellStyle name="SAPBEXaggDataEmph 6 3" xfId="40000"/>
    <cellStyle name="SAPBEXaggDataEmph 6 3 2" xfId="40001"/>
    <cellStyle name="SAPBEXaggDataEmph 6 3 3" xfId="40002"/>
    <cellStyle name="SAPBEXaggDataEmph 6 3 4" xfId="40003"/>
    <cellStyle name="SAPBEXaggDataEmph 6 4" xfId="40004"/>
    <cellStyle name="SAPBEXaggDataEmph 6 4 2" xfId="40005"/>
    <cellStyle name="SAPBEXaggDataEmph 6 4 3" xfId="40006"/>
    <cellStyle name="SAPBEXaggDataEmph 6 4 4" xfId="40007"/>
    <cellStyle name="SAPBEXaggDataEmph 6 5" xfId="40008"/>
    <cellStyle name="SAPBEXaggDataEmph 6 6" xfId="40009"/>
    <cellStyle name="SAPBEXaggDataEmph 6 7" xfId="40010"/>
    <cellStyle name="SAPBEXaggDataEmph 6 8" xfId="40011"/>
    <cellStyle name="SAPBEXaggDataEmph 7" xfId="40012"/>
    <cellStyle name="SAPBEXaggDataEmph 7 2" xfId="40013"/>
    <cellStyle name="SAPBEXaggDataEmph 7 2 2" xfId="40014"/>
    <cellStyle name="SAPBEXaggDataEmph 7 2 3" xfId="40015"/>
    <cellStyle name="SAPBEXaggDataEmph 7 2 4" xfId="40016"/>
    <cellStyle name="SAPBEXaggDataEmph 7 3" xfId="40017"/>
    <cellStyle name="SAPBEXaggDataEmph 7 3 2" xfId="40018"/>
    <cellStyle name="SAPBEXaggDataEmph 7 3 3" xfId="40019"/>
    <cellStyle name="SAPBEXaggDataEmph 7 3 4" xfId="40020"/>
    <cellStyle name="SAPBEXaggDataEmph 7 4" xfId="40021"/>
    <cellStyle name="SAPBEXaggDataEmph 7 4 2" xfId="40022"/>
    <cellStyle name="SAPBEXaggDataEmph 7 4 3" xfId="40023"/>
    <cellStyle name="SAPBEXaggDataEmph 7 4 4" xfId="40024"/>
    <cellStyle name="SAPBEXaggDataEmph 7 5" xfId="40025"/>
    <cellStyle name="SAPBEXaggDataEmph 7 6" xfId="40026"/>
    <cellStyle name="SAPBEXaggDataEmph 7 7" xfId="40027"/>
    <cellStyle name="SAPBEXaggDataEmph 7 8" xfId="40028"/>
    <cellStyle name="SAPBEXaggDataEmph 8" xfId="40029"/>
    <cellStyle name="SAPBEXaggDataEmph 8 2" xfId="40030"/>
    <cellStyle name="SAPBEXaggDataEmph 8 3" xfId="40031"/>
    <cellStyle name="SAPBEXaggDataEmph 8 4" xfId="40032"/>
    <cellStyle name="SAPBEXaggDataEmph 9" xfId="40033"/>
    <cellStyle name="SAPBEXaggDataEmph 9 2" xfId="40034"/>
    <cellStyle name="SAPBEXaggDataEmph 9 3" xfId="40035"/>
    <cellStyle name="SAPBEXaggDataEmph 9 4" xfId="40036"/>
    <cellStyle name="SAPBEXaggItem" xfId="40037"/>
    <cellStyle name="SAPBEXaggItem 10" xfId="40038"/>
    <cellStyle name="SAPBEXaggItem 11" xfId="40039"/>
    <cellStyle name="SAPBEXaggItem 2" xfId="40040"/>
    <cellStyle name="SAPBEXaggItem 2 2" xfId="40041"/>
    <cellStyle name="SAPBEXaggItem 2 2 2" xfId="40042"/>
    <cellStyle name="SAPBEXaggItem 2 2 2 2" xfId="40043"/>
    <cellStyle name="SAPBEXaggItem 2 2 2 3" xfId="40044"/>
    <cellStyle name="SAPBEXaggItem 2 2 2 4" xfId="40045"/>
    <cellStyle name="SAPBEXaggItem 2 2 3" xfId="40046"/>
    <cellStyle name="SAPBEXaggItem 2 2 3 2" xfId="40047"/>
    <cellStyle name="SAPBEXaggItem 2 2 3 3" xfId="40048"/>
    <cellStyle name="SAPBEXaggItem 2 2 3 4" xfId="40049"/>
    <cellStyle name="SAPBEXaggItem 2 2 4" xfId="40050"/>
    <cellStyle name="SAPBEXaggItem 2 2 4 2" xfId="40051"/>
    <cellStyle name="SAPBEXaggItem 2 2 4 3" xfId="40052"/>
    <cellStyle name="SAPBEXaggItem 2 2 4 4" xfId="40053"/>
    <cellStyle name="SAPBEXaggItem 2 2 5" xfId="40054"/>
    <cellStyle name="SAPBEXaggItem 2 2 6" xfId="40055"/>
    <cellStyle name="SAPBEXaggItem 2 2 7" xfId="40056"/>
    <cellStyle name="SAPBEXaggItem 2 2 8" xfId="40057"/>
    <cellStyle name="SAPBEXaggItem 2 3" xfId="40058"/>
    <cellStyle name="SAPBEXaggItem 2 3 2" xfId="40059"/>
    <cellStyle name="SAPBEXaggItem 2 3 2 2" xfId="40060"/>
    <cellStyle name="SAPBEXaggItem 2 3 2 3" xfId="40061"/>
    <cellStyle name="SAPBEXaggItem 2 3 2 4" xfId="40062"/>
    <cellStyle name="SAPBEXaggItem 2 3 3" xfId="40063"/>
    <cellStyle name="SAPBEXaggItem 2 3 3 2" xfId="40064"/>
    <cellStyle name="SAPBEXaggItem 2 3 3 3" xfId="40065"/>
    <cellStyle name="SAPBEXaggItem 2 3 3 4" xfId="40066"/>
    <cellStyle name="SAPBEXaggItem 2 3 4" xfId="40067"/>
    <cellStyle name="SAPBEXaggItem 2 3 4 2" xfId="40068"/>
    <cellStyle name="SAPBEXaggItem 2 3 4 3" xfId="40069"/>
    <cellStyle name="SAPBEXaggItem 2 3 4 4" xfId="40070"/>
    <cellStyle name="SAPBEXaggItem 2 3 5" xfId="40071"/>
    <cellStyle name="SAPBEXaggItem 2 3 6" xfId="40072"/>
    <cellStyle name="SAPBEXaggItem 2 3 7" xfId="40073"/>
    <cellStyle name="SAPBEXaggItem 2 3 8" xfId="40074"/>
    <cellStyle name="SAPBEXaggItem 2 4" xfId="40075"/>
    <cellStyle name="SAPBEXaggItem 2 4 2" xfId="40076"/>
    <cellStyle name="SAPBEXaggItem 2 4 2 2" xfId="40077"/>
    <cellStyle name="SAPBEXaggItem 2 4 2 3" xfId="40078"/>
    <cellStyle name="SAPBEXaggItem 2 4 2 4" xfId="40079"/>
    <cellStyle name="SAPBEXaggItem 2 4 3" xfId="40080"/>
    <cellStyle name="SAPBEXaggItem 2 4 3 2" xfId="40081"/>
    <cellStyle name="SAPBEXaggItem 2 4 3 3" xfId="40082"/>
    <cellStyle name="SAPBEXaggItem 2 4 3 4" xfId="40083"/>
    <cellStyle name="SAPBEXaggItem 2 4 4" xfId="40084"/>
    <cellStyle name="SAPBEXaggItem 2 4 4 2" xfId="40085"/>
    <cellStyle name="SAPBEXaggItem 2 4 4 3" xfId="40086"/>
    <cellStyle name="SAPBEXaggItem 2 4 4 4" xfId="40087"/>
    <cellStyle name="SAPBEXaggItem 2 4 5" xfId="40088"/>
    <cellStyle name="SAPBEXaggItem 2 4 6" xfId="40089"/>
    <cellStyle name="SAPBEXaggItem 2 4 7" xfId="40090"/>
    <cellStyle name="SAPBEXaggItem 2 4 8" xfId="40091"/>
    <cellStyle name="SAPBEXaggItem 2 5" xfId="40092"/>
    <cellStyle name="SAPBEXaggItem 2 5 2" xfId="40093"/>
    <cellStyle name="SAPBEXaggItem 2 5 2 2" xfId="40094"/>
    <cellStyle name="SAPBEXaggItem 2 5 2 3" xfId="40095"/>
    <cellStyle name="SAPBEXaggItem 2 5 2 4" xfId="40096"/>
    <cellStyle name="SAPBEXaggItem 2 5 3" xfId="40097"/>
    <cellStyle name="SAPBEXaggItem 2 5 3 2" xfId="40098"/>
    <cellStyle name="SAPBEXaggItem 2 5 3 3" xfId="40099"/>
    <cellStyle name="SAPBEXaggItem 2 5 3 4" xfId="40100"/>
    <cellStyle name="SAPBEXaggItem 2 5 4" xfId="40101"/>
    <cellStyle name="SAPBEXaggItem 2 5 4 2" xfId="40102"/>
    <cellStyle name="SAPBEXaggItem 2 5 4 3" xfId="40103"/>
    <cellStyle name="SAPBEXaggItem 2 5 4 4" xfId="40104"/>
    <cellStyle name="SAPBEXaggItem 2 5 5" xfId="40105"/>
    <cellStyle name="SAPBEXaggItem 2 5 6" xfId="40106"/>
    <cellStyle name="SAPBEXaggItem 2 5 7" xfId="40107"/>
    <cellStyle name="SAPBEXaggItem 2 5 8" xfId="40108"/>
    <cellStyle name="SAPBEXaggItem 2 6" xfId="40109"/>
    <cellStyle name="SAPBEXaggItem 2 6 2" xfId="40110"/>
    <cellStyle name="SAPBEXaggItem 2 6 3" xfId="40111"/>
    <cellStyle name="SAPBEXaggItem 2 6 4" xfId="40112"/>
    <cellStyle name="SAPBEXaggItem 2 7" xfId="40113"/>
    <cellStyle name="SAPBEXaggItem 2 7 2" xfId="40114"/>
    <cellStyle name="SAPBEXaggItem 2 7 3" xfId="40115"/>
    <cellStyle name="SAPBEXaggItem 2 7 4" xfId="40116"/>
    <cellStyle name="SAPBEXaggItem 2 8" xfId="40117"/>
    <cellStyle name="SAPBEXaggItem 2 9" xfId="40118"/>
    <cellStyle name="SAPBEXaggItem 3" xfId="40119"/>
    <cellStyle name="SAPBEXaggItem 3 2" xfId="40120"/>
    <cellStyle name="SAPBEXaggItem 3 2 2" xfId="40121"/>
    <cellStyle name="SAPBEXaggItem 3 2 3" xfId="40122"/>
    <cellStyle name="SAPBEXaggItem 3 2 4" xfId="40123"/>
    <cellStyle name="SAPBEXaggItem 3 3" xfId="40124"/>
    <cellStyle name="SAPBEXaggItem 3 3 2" xfId="40125"/>
    <cellStyle name="SAPBEXaggItem 3 3 3" xfId="40126"/>
    <cellStyle name="SAPBEXaggItem 3 3 4" xfId="40127"/>
    <cellStyle name="SAPBEXaggItem 3 4" xfId="40128"/>
    <cellStyle name="SAPBEXaggItem 3 4 2" xfId="40129"/>
    <cellStyle name="SAPBEXaggItem 3 4 3" xfId="40130"/>
    <cellStyle name="SAPBEXaggItem 3 4 4" xfId="40131"/>
    <cellStyle name="SAPBEXaggItem 3 5" xfId="40132"/>
    <cellStyle name="SAPBEXaggItem 3 6" xfId="40133"/>
    <cellStyle name="SAPBEXaggItem 3 7" xfId="40134"/>
    <cellStyle name="SAPBEXaggItem 3 8" xfId="40135"/>
    <cellStyle name="SAPBEXaggItem 4" xfId="40136"/>
    <cellStyle name="SAPBEXaggItem 4 2" xfId="40137"/>
    <cellStyle name="SAPBEXaggItem 4 2 2" xfId="40138"/>
    <cellStyle name="SAPBEXaggItem 4 2 3" xfId="40139"/>
    <cellStyle name="SAPBEXaggItem 4 2 4" xfId="40140"/>
    <cellStyle name="SAPBEXaggItem 4 3" xfId="40141"/>
    <cellStyle name="SAPBEXaggItem 4 3 2" xfId="40142"/>
    <cellStyle name="SAPBEXaggItem 4 3 3" xfId="40143"/>
    <cellStyle name="SAPBEXaggItem 4 3 4" xfId="40144"/>
    <cellStyle name="SAPBEXaggItem 4 4" xfId="40145"/>
    <cellStyle name="SAPBEXaggItem 4 4 2" xfId="40146"/>
    <cellStyle name="SAPBEXaggItem 4 4 3" xfId="40147"/>
    <cellStyle name="SAPBEXaggItem 4 4 4" xfId="40148"/>
    <cellStyle name="SAPBEXaggItem 4 5" xfId="40149"/>
    <cellStyle name="SAPBEXaggItem 4 6" xfId="40150"/>
    <cellStyle name="SAPBEXaggItem 4 7" xfId="40151"/>
    <cellStyle name="SAPBEXaggItem 4 8" xfId="40152"/>
    <cellStyle name="SAPBEXaggItem 5" xfId="40153"/>
    <cellStyle name="SAPBEXaggItem 5 2" xfId="40154"/>
    <cellStyle name="SAPBEXaggItem 5 2 2" xfId="40155"/>
    <cellStyle name="SAPBEXaggItem 5 2 3" xfId="40156"/>
    <cellStyle name="SAPBEXaggItem 5 2 4" xfId="40157"/>
    <cellStyle name="SAPBEXaggItem 5 3" xfId="40158"/>
    <cellStyle name="SAPBEXaggItem 5 3 2" xfId="40159"/>
    <cellStyle name="SAPBEXaggItem 5 3 3" xfId="40160"/>
    <cellStyle name="SAPBEXaggItem 5 3 4" xfId="40161"/>
    <cellStyle name="SAPBEXaggItem 5 4" xfId="40162"/>
    <cellStyle name="SAPBEXaggItem 5 4 2" xfId="40163"/>
    <cellStyle name="SAPBEXaggItem 5 4 3" xfId="40164"/>
    <cellStyle name="SAPBEXaggItem 5 4 4" xfId="40165"/>
    <cellStyle name="SAPBEXaggItem 5 5" xfId="40166"/>
    <cellStyle name="SAPBEXaggItem 5 6" xfId="40167"/>
    <cellStyle name="SAPBEXaggItem 5 7" xfId="40168"/>
    <cellStyle name="SAPBEXaggItem 5 8" xfId="40169"/>
    <cellStyle name="SAPBEXaggItem 6" xfId="40170"/>
    <cellStyle name="SAPBEXaggItem 6 2" xfId="40171"/>
    <cellStyle name="SAPBEXaggItem 6 2 2" xfId="40172"/>
    <cellStyle name="SAPBEXaggItem 6 2 3" xfId="40173"/>
    <cellStyle name="SAPBEXaggItem 6 2 4" xfId="40174"/>
    <cellStyle name="SAPBEXaggItem 6 3" xfId="40175"/>
    <cellStyle name="SAPBEXaggItem 6 3 2" xfId="40176"/>
    <cellStyle name="SAPBEXaggItem 6 3 3" xfId="40177"/>
    <cellStyle name="SAPBEXaggItem 6 3 4" xfId="40178"/>
    <cellStyle name="SAPBEXaggItem 6 4" xfId="40179"/>
    <cellStyle name="SAPBEXaggItem 6 4 2" xfId="40180"/>
    <cellStyle name="SAPBEXaggItem 6 4 3" xfId="40181"/>
    <cellStyle name="SAPBEXaggItem 6 4 4" xfId="40182"/>
    <cellStyle name="SAPBEXaggItem 6 5" xfId="40183"/>
    <cellStyle name="SAPBEXaggItem 6 6" xfId="40184"/>
    <cellStyle name="SAPBEXaggItem 6 7" xfId="40185"/>
    <cellStyle name="SAPBEXaggItem 6 8" xfId="40186"/>
    <cellStyle name="SAPBEXaggItem 7" xfId="40187"/>
    <cellStyle name="SAPBEXaggItem 7 2" xfId="40188"/>
    <cellStyle name="SAPBEXaggItem 7 2 2" xfId="40189"/>
    <cellStyle name="SAPBEXaggItem 7 2 3" xfId="40190"/>
    <cellStyle name="SAPBEXaggItem 7 2 4" xfId="40191"/>
    <cellStyle name="SAPBEXaggItem 7 3" xfId="40192"/>
    <cellStyle name="SAPBEXaggItem 7 3 2" xfId="40193"/>
    <cellStyle name="SAPBEXaggItem 7 3 3" xfId="40194"/>
    <cellStyle name="SAPBEXaggItem 7 3 4" xfId="40195"/>
    <cellStyle name="SAPBEXaggItem 7 4" xfId="40196"/>
    <cellStyle name="SAPBEXaggItem 7 4 2" xfId="40197"/>
    <cellStyle name="SAPBEXaggItem 7 4 3" xfId="40198"/>
    <cellStyle name="SAPBEXaggItem 7 4 4" xfId="40199"/>
    <cellStyle name="SAPBEXaggItem 7 5" xfId="40200"/>
    <cellStyle name="SAPBEXaggItem 7 6" xfId="40201"/>
    <cellStyle name="SAPBEXaggItem 7 7" xfId="40202"/>
    <cellStyle name="SAPBEXaggItem 7 8" xfId="40203"/>
    <cellStyle name="SAPBEXaggItem 8" xfId="40204"/>
    <cellStyle name="SAPBEXaggItem 8 2" xfId="40205"/>
    <cellStyle name="SAPBEXaggItem 8 3" xfId="40206"/>
    <cellStyle name="SAPBEXaggItem 8 4" xfId="40207"/>
    <cellStyle name="SAPBEXaggItem 9" xfId="40208"/>
    <cellStyle name="SAPBEXaggItem 9 2" xfId="40209"/>
    <cellStyle name="SAPBEXaggItem 9 3" xfId="40210"/>
    <cellStyle name="SAPBEXaggItem 9 4" xfId="40211"/>
    <cellStyle name="SAPBEXaggItemX" xfId="40212"/>
    <cellStyle name="SAPBEXaggItemX 10" xfId="40213"/>
    <cellStyle name="SAPBEXaggItemX 11" xfId="40214"/>
    <cellStyle name="SAPBEXaggItemX 2" xfId="40215"/>
    <cellStyle name="SAPBEXaggItemX 2 2" xfId="40216"/>
    <cellStyle name="SAPBEXaggItemX 2 2 2" xfId="40217"/>
    <cellStyle name="SAPBEXaggItemX 2 2 2 2" xfId="40218"/>
    <cellStyle name="SAPBEXaggItemX 2 2 2 3" xfId="40219"/>
    <cellStyle name="SAPBEXaggItemX 2 2 2 4" xfId="40220"/>
    <cellStyle name="SAPBEXaggItemX 2 2 3" xfId="40221"/>
    <cellStyle name="SAPBEXaggItemX 2 2 3 2" xfId="40222"/>
    <cellStyle name="SAPBEXaggItemX 2 2 3 3" xfId="40223"/>
    <cellStyle name="SAPBEXaggItemX 2 2 3 4" xfId="40224"/>
    <cellStyle name="SAPBEXaggItemX 2 2 4" xfId="40225"/>
    <cellStyle name="SAPBEXaggItemX 2 2 4 2" xfId="40226"/>
    <cellStyle name="SAPBEXaggItemX 2 2 4 3" xfId="40227"/>
    <cellStyle name="SAPBEXaggItemX 2 2 4 4" xfId="40228"/>
    <cellStyle name="SAPBEXaggItemX 2 2 5" xfId="40229"/>
    <cellStyle name="SAPBEXaggItemX 2 2 6" xfId="40230"/>
    <cellStyle name="SAPBEXaggItemX 2 2 7" xfId="40231"/>
    <cellStyle name="SAPBEXaggItemX 2 2 8" xfId="40232"/>
    <cellStyle name="SAPBEXaggItemX 2 3" xfId="40233"/>
    <cellStyle name="SAPBEXaggItemX 2 3 2" xfId="40234"/>
    <cellStyle name="SAPBEXaggItemX 2 3 2 2" xfId="40235"/>
    <cellStyle name="SAPBEXaggItemX 2 3 2 3" xfId="40236"/>
    <cellStyle name="SAPBEXaggItemX 2 3 2 4" xfId="40237"/>
    <cellStyle name="SAPBEXaggItemX 2 3 3" xfId="40238"/>
    <cellStyle name="SAPBEXaggItemX 2 3 3 2" xfId="40239"/>
    <cellStyle name="SAPBEXaggItemX 2 3 3 3" xfId="40240"/>
    <cellStyle name="SAPBEXaggItemX 2 3 3 4" xfId="40241"/>
    <cellStyle name="SAPBEXaggItemX 2 3 4" xfId="40242"/>
    <cellStyle name="SAPBEXaggItemX 2 3 4 2" xfId="40243"/>
    <cellStyle name="SAPBEXaggItemX 2 3 4 3" xfId="40244"/>
    <cellStyle name="SAPBEXaggItemX 2 3 4 4" xfId="40245"/>
    <cellStyle name="SAPBEXaggItemX 2 3 5" xfId="40246"/>
    <cellStyle name="SAPBEXaggItemX 2 3 6" xfId="40247"/>
    <cellStyle name="SAPBEXaggItemX 2 3 7" xfId="40248"/>
    <cellStyle name="SAPBEXaggItemX 2 3 8" xfId="40249"/>
    <cellStyle name="SAPBEXaggItemX 2 4" xfId="40250"/>
    <cellStyle name="SAPBEXaggItemX 2 4 2" xfId="40251"/>
    <cellStyle name="SAPBEXaggItemX 2 4 2 2" xfId="40252"/>
    <cellStyle name="SAPBEXaggItemX 2 4 2 3" xfId="40253"/>
    <cellStyle name="SAPBEXaggItemX 2 4 2 4" xfId="40254"/>
    <cellStyle name="SAPBEXaggItemX 2 4 3" xfId="40255"/>
    <cellStyle name="SAPBEXaggItemX 2 4 3 2" xfId="40256"/>
    <cellStyle name="SAPBEXaggItemX 2 4 3 3" xfId="40257"/>
    <cellStyle name="SAPBEXaggItemX 2 4 3 4" xfId="40258"/>
    <cellStyle name="SAPBEXaggItemX 2 4 4" xfId="40259"/>
    <cellStyle name="SAPBEXaggItemX 2 4 4 2" xfId="40260"/>
    <cellStyle name="SAPBEXaggItemX 2 4 4 3" xfId="40261"/>
    <cellStyle name="SAPBEXaggItemX 2 4 4 4" xfId="40262"/>
    <cellStyle name="SAPBEXaggItemX 2 4 5" xfId="40263"/>
    <cellStyle name="SAPBEXaggItemX 2 4 6" xfId="40264"/>
    <cellStyle name="SAPBEXaggItemX 2 4 7" xfId="40265"/>
    <cellStyle name="SAPBEXaggItemX 2 4 8" xfId="40266"/>
    <cellStyle name="SAPBEXaggItemX 2 5" xfId="40267"/>
    <cellStyle name="SAPBEXaggItemX 2 5 2" xfId="40268"/>
    <cellStyle name="SAPBEXaggItemX 2 5 2 2" xfId="40269"/>
    <cellStyle name="SAPBEXaggItemX 2 5 2 3" xfId="40270"/>
    <cellStyle name="SAPBEXaggItemX 2 5 2 4" xfId="40271"/>
    <cellStyle name="SAPBEXaggItemX 2 5 3" xfId="40272"/>
    <cellStyle name="SAPBEXaggItemX 2 5 3 2" xfId="40273"/>
    <cellStyle name="SAPBEXaggItemX 2 5 3 3" xfId="40274"/>
    <cellStyle name="SAPBEXaggItemX 2 5 3 4" xfId="40275"/>
    <cellStyle name="SAPBEXaggItemX 2 5 4" xfId="40276"/>
    <cellStyle name="SAPBEXaggItemX 2 5 4 2" xfId="40277"/>
    <cellStyle name="SAPBEXaggItemX 2 5 4 3" xfId="40278"/>
    <cellStyle name="SAPBEXaggItemX 2 5 4 4" xfId="40279"/>
    <cellStyle name="SAPBEXaggItemX 2 5 5" xfId="40280"/>
    <cellStyle name="SAPBEXaggItemX 2 5 6" xfId="40281"/>
    <cellStyle name="SAPBEXaggItemX 2 5 7" xfId="40282"/>
    <cellStyle name="SAPBEXaggItemX 2 5 8" xfId="40283"/>
    <cellStyle name="SAPBEXaggItemX 2 6" xfId="40284"/>
    <cellStyle name="SAPBEXaggItemX 2 6 2" xfId="40285"/>
    <cellStyle name="SAPBEXaggItemX 2 6 3" xfId="40286"/>
    <cellStyle name="SAPBEXaggItemX 2 6 4" xfId="40287"/>
    <cellStyle name="SAPBEXaggItemX 2 7" xfId="40288"/>
    <cellStyle name="SAPBEXaggItemX 2 7 2" xfId="40289"/>
    <cellStyle name="SAPBEXaggItemX 2 7 3" xfId="40290"/>
    <cellStyle name="SAPBEXaggItemX 2 7 4" xfId="40291"/>
    <cellStyle name="SAPBEXaggItemX 2 8" xfId="40292"/>
    <cellStyle name="SAPBEXaggItemX 2 9" xfId="40293"/>
    <cellStyle name="SAPBEXaggItemX 3" xfId="40294"/>
    <cellStyle name="SAPBEXaggItemX 3 2" xfId="40295"/>
    <cellStyle name="SAPBEXaggItemX 3 2 2" xfId="40296"/>
    <cellStyle name="SAPBEXaggItemX 3 2 3" xfId="40297"/>
    <cellStyle name="SAPBEXaggItemX 3 2 4" xfId="40298"/>
    <cellStyle name="SAPBEXaggItemX 3 3" xfId="40299"/>
    <cellStyle name="SAPBEXaggItemX 3 3 2" xfId="40300"/>
    <cellStyle name="SAPBEXaggItemX 3 3 3" xfId="40301"/>
    <cellStyle name="SAPBEXaggItemX 3 3 4" xfId="40302"/>
    <cellStyle name="SAPBEXaggItemX 3 4" xfId="40303"/>
    <cellStyle name="SAPBEXaggItemX 3 4 2" xfId="40304"/>
    <cellStyle name="SAPBEXaggItemX 3 4 3" xfId="40305"/>
    <cellStyle name="SAPBEXaggItemX 3 4 4" xfId="40306"/>
    <cellStyle name="SAPBEXaggItemX 3 5" xfId="40307"/>
    <cellStyle name="SAPBEXaggItemX 3 6" xfId="40308"/>
    <cellStyle name="SAPBEXaggItemX 3 7" xfId="40309"/>
    <cellStyle name="SAPBEXaggItemX 3 8" xfId="40310"/>
    <cellStyle name="SAPBEXaggItemX 4" xfId="40311"/>
    <cellStyle name="SAPBEXaggItemX 4 2" xfId="40312"/>
    <cellStyle name="SAPBEXaggItemX 4 2 2" xfId="40313"/>
    <cellStyle name="SAPBEXaggItemX 4 2 3" xfId="40314"/>
    <cellStyle name="SAPBEXaggItemX 4 2 4" xfId="40315"/>
    <cellStyle name="SAPBEXaggItemX 4 3" xfId="40316"/>
    <cellStyle name="SAPBEXaggItemX 4 3 2" xfId="40317"/>
    <cellStyle name="SAPBEXaggItemX 4 3 3" xfId="40318"/>
    <cellStyle name="SAPBEXaggItemX 4 3 4" xfId="40319"/>
    <cellStyle name="SAPBEXaggItemX 4 4" xfId="40320"/>
    <cellStyle name="SAPBEXaggItemX 4 4 2" xfId="40321"/>
    <cellStyle name="SAPBEXaggItemX 4 4 3" xfId="40322"/>
    <cellStyle name="SAPBEXaggItemX 4 4 4" xfId="40323"/>
    <cellStyle name="SAPBEXaggItemX 4 5" xfId="40324"/>
    <cellStyle name="SAPBEXaggItemX 4 6" xfId="40325"/>
    <cellStyle name="SAPBEXaggItemX 4 7" xfId="40326"/>
    <cellStyle name="SAPBEXaggItemX 4 8" xfId="40327"/>
    <cellStyle name="SAPBEXaggItemX 5" xfId="40328"/>
    <cellStyle name="SAPBEXaggItemX 5 2" xfId="40329"/>
    <cellStyle name="SAPBEXaggItemX 5 2 2" xfId="40330"/>
    <cellStyle name="SAPBEXaggItemX 5 2 3" xfId="40331"/>
    <cellStyle name="SAPBEXaggItemX 5 2 4" xfId="40332"/>
    <cellStyle name="SAPBEXaggItemX 5 3" xfId="40333"/>
    <cellStyle name="SAPBEXaggItemX 5 3 2" xfId="40334"/>
    <cellStyle name="SAPBEXaggItemX 5 3 3" xfId="40335"/>
    <cellStyle name="SAPBEXaggItemX 5 3 4" xfId="40336"/>
    <cellStyle name="SAPBEXaggItemX 5 4" xfId="40337"/>
    <cellStyle name="SAPBEXaggItemX 5 4 2" xfId="40338"/>
    <cellStyle name="SAPBEXaggItemX 5 4 3" xfId="40339"/>
    <cellStyle name="SAPBEXaggItemX 5 4 4" xfId="40340"/>
    <cellStyle name="SAPBEXaggItemX 5 5" xfId="40341"/>
    <cellStyle name="SAPBEXaggItemX 5 6" xfId="40342"/>
    <cellStyle name="SAPBEXaggItemX 5 7" xfId="40343"/>
    <cellStyle name="SAPBEXaggItemX 5 8" xfId="40344"/>
    <cellStyle name="SAPBEXaggItemX 6" xfId="40345"/>
    <cellStyle name="SAPBEXaggItemX 6 2" xfId="40346"/>
    <cellStyle name="SAPBEXaggItemX 6 2 2" xfId="40347"/>
    <cellStyle name="SAPBEXaggItemX 6 2 3" xfId="40348"/>
    <cellStyle name="SAPBEXaggItemX 6 2 4" xfId="40349"/>
    <cellStyle name="SAPBEXaggItemX 6 3" xfId="40350"/>
    <cellStyle name="SAPBEXaggItemX 6 3 2" xfId="40351"/>
    <cellStyle name="SAPBEXaggItemX 6 3 3" xfId="40352"/>
    <cellStyle name="SAPBEXaggItemX 6 3 4" xfId="40353"/>
    <cellStyle name="SAPBEXaggItemX 6 4" xfId="40354"/>
    <cellStyle name="SAPBEXaggItemX 6 4 2" xfId="40355"/>
    <cellStyle name="SAPBEXaggItemX 6 4 3" xfId="40356"/>
    <cellStyle name="SAPBEXaggItemX 6 4 4" xfId="40357"/>
    <cellStyle name="SAPBEXaggItemX 6 5" xfId="40358"/>
    <cellStyle name="SAPBEXaggItemX 6 6" xfId="40359"/>
    <cellStyle name="SAPBEXaggItemX 6 7" xfId="40360"/>
    <cellStyle name="SAPBEXaggItemX 6 8" xfId="40361"/>
    <cellStyle name="SAPBEXaggItemX 7" xfId="40362"/>
    <cellStyle name="SAPBEXaggItemX 7 2" xfId="40363"/>
    <cellStyle name="SAPBEXaggItemX 7 2 2" xfId="40364"/>
    <cellStyle name="SAPBEXaggItemX 7 2 3" xfId="40365"/>
    <cellStyle name="SAPBEXaggItemX 7 2 4" xfId="40366"/>
    <cellStyle name="SAPBEXaggItemX 7 3" xfId="40367"/>
    <cellStyle name="SAPBEXaggItemX 7 3 2" xfId="40368"/>
    <cellStyle name="SAPBEXaggItemX 7 3 3" xfId="40369"/>
    <cellStyle name="SAPBEXaggItemX 7 3 4" xfId="40370"/>
    <cellStyle name="SAPBEXaggItemX 7 4" xfId="40371"/>
    <cellStyle name="SAPBEXaggItemX 7 4 2" xfId="40372"/>
    <cellStyle name="SAPBEXaggItemX 7 4 3" xfId="40373"/>
    <cellStyle name="SAPBEXaggItemX 7 4 4" xfId="40374"/>
    <cellStyle name="SAPBEXaggItemX 7 5" xfId="40375"/>
    <cellStyle name="SAPBEXaggItemX 7 6" xfId="40376"/>
    <cellStyle name="SAPBEXaggItemX 7 7" xfId="40377"/>
    <cellStyle name="SAPBEXaggItemX 7 8" xfId="40378"/>
    <cellStyle name="SAPBEXaggItemX 8" xfId="40379"/>
    <cellStyle name="SAPBEXaggItemX 8 2" xfId="40380"/>
    <cellStyle name="SAPBEXaggItemX 8 3" xfId="40381"/>
    <cellStyle name="SAPBEXaggItemX 8 4" xfId="40382"/>
    <cellStyle name="SAPBEXaggItemX 9" xfId="40383"/>
    <cellStyle name="SAPBEXaggItemX 9 2" xfId="40384"/>
    <cellStyle name="SAPBEXaggItemX 9 3" xfId="40385"/>
    <cellStyle name="SAPBEXaggItemX 9 4" xfId="40386"/>
    <cellStyle name="SAPBEXchaText" xfId="40387"/>
    <cellStyle name="SAPBEXexcBad7" xfId="40388"/>
    <cellStyle name="SAPBEXexcBad7 10" xfId="40389"/>
    <cellStyle name="SAPBEXexcBad7 11" xfId="40390"/>
    <cellStyle name="SAPBEXexcBad7 2" xfId="40391"/>
    <cellStyle name="SAPBEXexcBad7 2 2" xfId="40392"/>
    <cellStyle name="SAPBEXexcBad7 2 2 2" xfId="40393"/>
    <cellStyle name="SAPBEXexcBad7 2 2 2 2" xfId="40394"/>
    <cellStyle name="SAPBEXexcBad7 2 2 2 3" xfId="40395"/>
    <cellStyle name="SAPBEXexcBad7 2 2 2 4" xfId="40396"/>
    <cellStyle name="SAPBEXexcBad7 2 2 3" xfId="40397"/>
    <cellStyle name="SAPBEXexcBad7 2 2 3 2" xfId="40398"/>
    <cellStyle name="SAPBEXexcBad7 2 2 3 3" xfId="40399"/>
    <cellStyle name="SAPBEXexcBad7 2 2 3 4" xfId="40400"/>
    <cellStyle name="SAPBEXexcBad7 2 2 4" xfId="40401"/>
    <cellStyle name="SAPBEXexcBad7 2 2 4 2" xfId="40402"/>
    <cellStyle name="SAPBEXexcBad7 2 2 4 3" xfId="40403"/>
    <cellStyle name="SAPBEXexcBad7 2 2 4 4" xfId="40404"/>
    <cellStyle name="SAPBEXexcBad7 2 2 5" xfId="40405"/>
    <cellStyle name="SAPBEXexcBad7 2 2 6" xfId="40406"/>
    <cellStyle name="SAPBEXexcBad7 2 2 7" xfId="40407"/>
    <cellStyle name="SAPBEXexcBad7 2 2 8" xfId="40408"/>
    <cellStyle name="SAPBEXexcBad7 2 3" xfId="40409"/>
    <cellStyle name="SAPBEXexcBad7 2 3 2" xfId="40410"/>
    <cellStyle name="SAPBEXexcBad7 2 3 2 2" xfId="40411"/>
    <cellStyle name="SAPBEXexcBad7 2 3 2 3" xfId="40412"/>
    <cellStyle name="SAPBEXexcBad7 2 3 2 4" xfId="40413"/>
    <cellStyle name="SAPBEXexcBad7 2 3 3" xfId="40414"/>
    <cellStyle name="SAPBEXexcBad7 2 3 3 2" xfId="40415"/>
    <cellStyle name="SAPBEXexcBad7 2 3 3 3" xfId="40416"/>
    <cellStyle name="SAPBEXexcBad7 2 3 3 4" xfId="40417"/>
    <cellStyle name="SAPBEXexcBad7 2 3 4" xfId="40418"/>
    <cellStyle name="SAPBEXexcBad7 2 3 4 2" xfId="40419"/>
    <cellStyle name="SAPBEXexcBad7 2 3 4 3" xfId="40420"/>
    <cellStyle name="SAPBEXexcBad7 2 3 4 4" xfId="40421"/>
    <cellStyle name="SAPBEXexcBad7 2 3 5" xfId="40422"/>
    <cellStyle name="SAPBEXexcBad7 2 3 6" xfId="40423"/>
    <cellStyle name="SAPBEXexcBad7 2 3 7" xfId="40424"/>
    <cellStyle name="SAPBEXexcBad7 2 3 8" xfId="40425"/>
    <cellStyle name="SAPBEXexcBad7 2 4" xfId="40426"/>
    <cellStyle name="SAPBEXexcBad7 2 4 2" xfId="40427"/>
    <cellStyle name="SAPBEXexcBad7 2 4 2 2" xfId="40428"/>
    <cellStyle name="SAPBEXexcBad7 2 4 2 3" xfId="40429"/>
    <cellStyle name="SAPBEXexcBad7 2 4 2 4" xfId="40430"/>
    <cellStyle name="SAPBEXexcBad7 2 4 3" xfId="40431"/>
    <cellStyle name="SAPBEXexcBad7 2 4 3 2" xfId="40432"/>
    <cellStyle name="SAPBEXexcBad7 2 4 3 3" xfId="40433"/>
    <cellStyle name="SAPBEXexcBad7 2 4 3 4" xfId="40434"/>
    <cellStyle name="SAPBEXexcBad7 2 4 4" xfId="40435"/>
    <cellStyle name="SAPBEXexcBad7 2 4 4 2" xfId="40436"/>
    <cellStyle name="SAPBEXexcBad7 2 4 4 3" xfId="40437"/>
    <cellStyle name="SAPBEXexcBad7 2 4 4 4" xfId="40438"/>
    <cellStyle name="SAPBEXexcBad7 2 4 5" xfId="40439"/>
    <cellStyle name="SAPBEXexcBad7 2 4 6" xfId="40440"/>
    <cellStyle name="SAPBEXexcBad7 2 4 7" xfId="40441"/>
    <cellStyle name="SAPBEXexcBad7 2 4 8" xfId="40442"/>
    <cellStyle name="SAPBEXexcBad7 2 5" xfId="40443"/>
    <cellStyle name="SAPBEXexcBad7 2 5 2" xfId="40444"/>
    <cellStyle name="SAPBEXexcBad7 2 5 2 2" xfId="40445"/>
    <cellStyle name="SAPBEXexcBad7 2 5 2 3" xfId="40446"/>
    <cellStyle name="SAPBEXexcBad7 2 5 2 4" xfId="40447"/>
    <cellStyle name="SAPBEXexcBad7 2 5 3" xfId="40448"/>
    <cellStyle name="SAPBEXexcBad7 2 5 3 2" xfId="40449"/>
    <cellStyle name="SAPBEXexcBad7 2 5 3 3" xfId="40450"/>
    <cellStyle name="SAPBEXexcBad7 2 5 3 4" xfId="40451"/>
    <cellStyle name="SAPBEXexcBad7 2 5 4" xfId="40452"/>
    <cellStyle name="SAPBEXexcBad7 2 5 4 2" xfId="40453"/>
    <cellStyle name="SAPBEXexcBad7 2 5 4 3" xfId="40454"/>
    <cellStyle name="SAPBEXexcBad7 2 5 4 4" xfId="40455"/>
    <cellStyle name="SAPBEXexcBad7 2 5 5" xfId="40456"/>
    <cellStyle name="SAPBEXexcBad7 2 5 6" xfId="40457"/>
    <cellStyle name="SAPBEXexcBad7 2 5 7" xfId="40458"/>
    <cellStyle name="SAPBEXexcBad7 2 5 8" xfId="40459"/>
    <cellStyle name="SAPBEXexcBad7 2 6" xfId="40460"/>
    <cellStyle name="SAPBEXexcBad7 2 6 2" xfId="40461"/>
    <cellStyle name="SAPBEXexcBad7 2 6 3" xfId="40462"/>
    <cellStyle name="SAPBEXexcBad7 2 6 4" xfId="40463"/>
    <cellStyle name="SAPBEXexcBad7 2 7" xfId="40464"/>
    <cellStyle name="SAPBEXexcBad7 2 7 2" xfId="40465"/>
    <cellStyle name="SAPBEXexcBad7 2 7 3" xfId="40466"/>
    <cellStyle name="SAPBEXexcBad7 2 7 4" xfId="40467"/>
    <cellStyle name="SAPBEXexcBad7 2 8" xfId="40468"/>
    <cellStyle name="SAPBEXexcBad7 2 9" xfId="40469"/>
    <cellStyle name="SAPBEXexcBad7 3" xfId="40470"/>
    <cellStyle name="SAPBEXexcBad7 3 2" xfId="40471"/>
    <cellStyle name="SAPBEXexcBad7 3 2 2" xfId="40472"/>
    <cellStyle name="SAPBEXexcBad7 3 2 3" xfId="40473"/>
    <cellStyle name="SAPBEXexcBad7 3 2 4" xfId="40474"/>
    <cellStyle name="SAPBEXexcBad7 3 3" xfId="40475"/>
    <cellStyle name="SAPBEXexcBad7 3 3 2" xfId="40476"/>
    <cellStyle name="SAPBEXexcBad7 3 3 3" xfId="40477"/>
    <cellStyle name="SAPBEXexcBad7 3 3 4" xfId="40478"/>
    <cellStyle name="SAPBEXexcBad7 3 4" xfId="40479"/>
    <cellStyle name="SAPBEXexcBad7 3 4 2" xfId="40480"/>
    <cellStyle name="SAPBEXexcBad7 3 4 3" xfId="40481"/>
    <cellStyle name="SAPBEXexcBad7 3 4 4" xfId="40482"/>
    <cellStyle name="SAPBEXexcBad7 3 5" xfId="40483"/>
    <cellStyle name="SAPBEXexcBad7 3 6" xfId="40484"/>
    <cellStyle name="SAPBEXexcBad7 3 7" xfId="40485"/>
    <cellStyle name="SAPBEXexcBad7 3 8" xfId="40486"/>
    <cellStyle name="SAPBEXexcBad7 4" xfId="40487"/>
    <cellStyle name="SAPBEXexcBad7 4 2" xfId="40488"/>
    <cellStyle name="SAPBEXexcBad7 4 2 2" xfId="40489"/>
    <cellStyle name="SAPBEXexcBad7 4 2 3" xfId="40490"/>
    <cellStyle name="SAPBEXexcBad7 4 2 4" xfId="40491"/>
    <cellStyle name="SAPBEXexcBad7 4 3" xfId="40492"/>
    <cellStyle name="SAPBEXexcBad7 4 3 2" xfId="40493"/>
    <cellStyle name="SAPBEXexcBad7 4 3 3" xfId="40494"/>
    <cellStyle name="SAPBEXexcBad7 4 3 4" xfId="40495"/>
    <cellStyle name="SAPBEXexcBad7 4 4" xfId="40496"/>
    <cellStyle name="SAPBEXexcBad7 4 4 2" xfId="40497"/>
    <cellStyle name="SAPBEXexcBad7 4 4 3" xfId="40498"/>
    <cellStyle name="SAPBEXexcBad7 4 4 4" xfId="40499"/>
    <cellStyle name="SAPBEXexcBad7 4 5" xfId="40500"/>
    <cellStyle name="SAPBEXexcBad7 4 6" xfId="40501"/>
    <cellStyle name="SAPBEXexcBad7 4 7" xfId="40502"/>
    <cellStyle name="SAPBEXexcBad7 4 8" xfId="40503"/>
    <cellStyle name="SAPBEXexcBad7 5" xfId="40504"/>
    <cellStyle name="SAPBEXexcBad7 5 2" xfId="40505"/>
    <cellStyle name="SAPBEXexcBad7 5 2 2" xfId="40506"/>
    <cellStyle name="SAPBEXexcBad7 5 2 3" xfId="40507"/>
    <cellStyle name="SAPBEXexcBad7 5 2 4" xfId="40508"/>
    <cellStyle name="SAPBEXexcBad7 5 3" xfId="40509"/>
    <cellStyle name="SAPBEXexcBad7 5 3 2" xfId="40510"/>
    <cellStyle name="SAPBEXexcBad7 5 3 3" xfId="40511"/>
    <cellStyle name="SAPBEXexcBad7 5 3 4" xfId="40512"/>
    <cellStyle name="SAPBEXexcBad7 5 4" xfId="40513"/>
    <cellStyle name="SAPBEXexcBad7 5 4 2" xfId="40514"/>
    <cellStyle name="SAPBEXexcBad7 5 4 3" xfId="40515"/>
    <cellStyle name="SAPBEXexcBad7 5 4 4" xfId="40516"/>
    <cellStyle name="SAPBEXexcBad7 5 5" xfId="40517"/>
    <cellStyle name="SAPBEXexcBad7 5 6" xfId="40518"/>
    <cellStyle name="SAPBEXexcBad7 5 7" xfId="40519"/>
    <cellStyle name="SAPBEXexcBad7 5 8" xfId="40520"/>
    <cellStyle name="SAPBEXexcBad7 6" xfId="40521"/>
    <cellStyle name="SAPBEXexcBad7 6 2" xfId="40522"/>
    <cellStyle name="SAPBEXexcBad7 6 2 2" xfId="40523"/>
    <cellStyle name="SAPBEXexcBad7 6 2 3" xfId="40524"/>
    <cellStyle name="SAPBEXexcBad7 6 2 4" xfId="40525"/>
    <cellStyle name="SAPBEXexcBad7 6 3" xfId="40526"/>
    <cellStyle name="SAPBEXexcBad7 6 3 2" xfId="40527"/>
    <cellStyle name="SAPBEXexcBad7 6 3 3" xfId="40528"/>
    <cellStyle name="SAPBEXexcBad7 6 3 4" xfId="40529"/>
    <cellStyle name="SAPBEXexcBad7 6 4" xfId="40530"/>
    <cellStyle name="SAPBEXexcBad7 6 4 2" xfId="40531"/>
    <cellStyle name="SAPBEXexcBad7 6 4 3" xfId="40532"/>
    <cellStyle name="SAPBEXexcBad7 6 4 4" xfId="40533"/>
    <cellStyle name="SAPBEXexcBad7 6 5" xfId="40534"/>
    <cellStyle name="SAPBEXexcBad7 6 6" xfId="40535"/>
    <cellStyle name="SAPBEXexcBad7 6 7" xfId="40536"/>
    <cellStyle name="SAPBEXexcBad7 6 8" xfId="40537"/>
    <cellStyle name="SAPBEXexcBad7 7" xfId="40538"/>
    <cellStyle name="SAPBEXexcBad7 7 2" xfId="40539"/>
    <cellStyle name="SAPBEXexcBad7 7 2 2" xfId="40540"/>
    <cellStyle name="SAPBEXexcBad7 7 2 3" xfId="40541"/>
    <cellStyle name="SAPBEXexcBad7 7 2 4" xfId="40542"/>
    <cellStyle name="SAPBEXexcBad7 7 3" xfId="40543"/>
    <cellStyle name="SAPBEXexcBad7 7 3 2" xfId="40544"/>
    <cellStyle name="SAPBEXexcBad7 7 3 3" xfId="40545"/>
    <cellStyle name="SAPBEXexcBad7 7 3 4" xfId="40546"/>
    <cellStyle name="SAPBEXexcBad7 7 4" xfId="40547"/>
    <cellStyle name="SAPBEXexcBad7 7 4 2" xfId="40548"/>
    <cellStyle name="SAPBEXexcBad7 7 4 3" xfId="40549"/>
    <cellStyle name="SAPBEXexcBad7 7 4 4" xfId="40550"/>
    <cellStyle name="SAPBEXexcBad7 7 5" xfId="40551"/>
    <cellStyle name="SAPBEXexcBad7 7 6" xfId="40552"/>
    <cellStyle name="SAPBEXexcBad7 7 7" xfId="40553"/>
    <cellStyle name="SAPBEXexcBad7 7 8" xfId="40554"/>
    <cellStyle name="SAPBEXexcBad7 8" xfId="40555"/>
    <cellStyle name="SAPBEXexcBad7 8 2" xfId="40556"/>
    <cellStyle name="SAPBEXexcBad7 8 3" xfId="40557"/>
    <cellStyle name="SAPBEXexcBad7 8 4" xfId="40558"/>
    <cellStyle name="SAPBEXexcBad7 9" xfId="40559"/>
    <cellStyle name="SAPBEXexcBad7 9 2" xfId="40560"/>
    <cellStyle name="SAPBEXexcBad7 9 3" xfId="40561"/>
    <cellStyle name="SAPBEXexcBad7 9 4" xfId="40562"/>
    <cellStyle name="SAPBEXexcBad8" xfId="40563"/>
    <cellStyle name="SAPBEXexcBad8 10" xfId="40564"/>
    <cellStyle name="SAPBEXexcBad8 11" xfId="40565"/>
    <cellStyle name="SAPBEXexcBad8 2" xfId="40566"/>
    <cellStyle name="SAPBEXexcBad8 2 2" xfId="40567"/>
    <cellStyle name="SAPBEXexcBad8 2 2 2" xfId="40568"/>
    <cellStyle name="SAPBEXexcBad8 2 2 2 2" xfId="40569"/>
    <cellStyle name="SAPBEXexcBad8 2 2 2 3" xfId="40570"/>
    <cellStyle name="SAPBEXexcBad8 2 2 2 4" xfId="40571"/>
    <cellStyle name="SAPBEXexcBad8 2 2 3" xfId="40572"/>
    <cellStyle name="SAPBEXexcBad8 2 2 3 2" xfId="40573"/>
    <cellStyle name="SAPBEXexcBad8 2 2 3 3" xfId="40574"/>
    <cellStyle name="SAPBEXexcBad8 2 2 3 4" xfId="40575"/>
    <cellStyle name="SAPBEXexcBad8 2 2 4" xfId="40576"/>
    <cellStyle name="SAPBEXexcBad8 2 2 4 2" xfId="40577"/>
    <cellStyle name="SAPBEXexcBad8 2 2 4 3" xfId="40578"/>
    <cellStyle name="SAPBEXexcBad8 2 2 4 4" xfId="40579"/>
    <cellStyle name="SAPBEXexcBad8 2 2 5" xfId="40580"/>
    <cellStyle name="SAPBEXexcBad8 2 2 6" xfId="40581"/>
    <cellStyle name="SAPBEXexcBad8 2 2 7" xfId="40582"/>
    <cellStyle name="SAPBEXexcBad8 2 2 8" xfId="40583"/>
    <cellStyle name="SAPBEXexcBad8 2 3" xfId="40584"/>
    <cellStyle name="SAPBEXexcBad8 2 3 2" xfId="40585"/>
    <cellStyle name="SAPBEXexcBad8 2 3 2 2" xfId="40586"/>
    <cellStyle name="SAPBEXexcBad8 2 3 2 3" xfId="40587"/>
    <cellStyle name="SAPBEXexcBad8 2 3 2 4" xfId="40588"/>
    <cellStyle name="SAPBEXexcBad8 2 3 3" xfId="40589"/>
    <cellStyle name="SAPBEXexcBad8 2 3 3 2" xfId="40590"/>
    <cellStyle name="SAPBEXexcBad8 2 3 3 3" xfId="40591"/>
    <cellStyle name="SAPBEXexcBad8 2 3 3 4" xfId="40592"/>
    <cellStyle name="SAPBEXexcBad8 2 3 4" xfId="40593"/>
    <cellStyle name="SAPBEXexcBad8 2 3 4 2" xfId="40594"/>
    <cellStyle name="SAPBEXexcBad8 2 3 4 3" xfId="40595"/>
    <cellStyle name="SAPBEXexcBad8 2 3 4 4" xfId="40596"/>
    <cellStyle name="SAPBEXexcBad8 2 3 5" xfId="40597"/>
    <cellStyle name="SAPBEXexcBad8 2 3 6" xfId="40598"/>
    <cellStyle name="SAPBEXexcBad8 2 3 7" xfId="40599"/>
    <cellStyle name="SAPBEXexcBad8 2 3 8" xfId="40600"/>
    <cellStyle name="SAPBEXexcBad8 2 4" xfId="40601"/>
    <cellStyle name="SAPBEXexcBad8 2 4 2" xfId="40602"/>
    <cellStyle name="SAPBEXexcBad8 2 4 2 2" xfId="40603"/>
    <cellStyle name="SAPBEXexcBad8 2 4 2 3" xfId="40604"/>
    <cellStyle name="SAPBEXexcBad8 2 4 2 4" xfId="40605"/>
    <cellStyle name="SAPBEXexcBad8 2 4 3" xfId="40606"/>
    <cellStyle name="SAPBEXexcBad8 2 4 3 2" xfId="40607"/>
    <cellStyle name="SAPBEXexcBad8 2 4 3 3" xfId="40608"/>
    <cellStyle name="SAPBEXexcBad8 2 4 3 4" xfId="40609"/>
    <cellStyle name="SAPBEXexcBad8 2 4 4" xfId="40610"/>
    <cellStyle name="SAPBEXexcBad8 2 4 4 2" xfId="40611"/>
    <cellStyle name="SAPBEXexcBad8 2 4 4 3" xfId="40612"/>
    <cellStyle name="SAPBEXexcBad8 2 4 4 4" xfId="40613"/>
    <cellStyle name="SAPBEXexcBad8 2 4 5" xfId="40614"/>
    <cellStyle name="SAPBEXexcBad8 2 4 6" xfId="40615"/>
    <cellStyle name="SAPBEXexcBad8 2 4 7" xfId="40616"/>
    <cellStyle name="SAPBEXexcBad8 2 4 8" xfId="40617"/>
    <cellStyle name="SAPBEXexcBad8 2 5" xfId="40618"/>
    <cellStyle name="SAPBEXexcBad8 2 5 2" xfId="40619"/>
    <cellStyle name="SAPBEXexcBad8 2 5 2 2" xfId="40620"/>
    <cellStyle name="SAPBEXexcBad8 2 5 2 3" xfId="40621"/>
    <cellStyle name="SAPBEXexcBad8 2 5 2 4" xfId="40622"/>
    <cellStyle name="SAPBEXexcBad8 2 5 3" xfId="40623"/>
    <cellStyle name="SAPBEXexcBad8 2 5 3 2" xfId="40624"/>
    <cellStyle name="SAPBEXexcBad8 2 5 3 3" xfId="40625"/>
    <cellStyle name="SAPBEXexcBad8 2 5 3 4" xfId="40626"/>
    <cellStyle name="SAPBEXexcBad8 2 5 4" xfId="40627"/>
    <cellStyle name="SAPBEXexcBad8 2 5 4 2" xfId="40628"/>
    <cellStyle name="SAPBEXexcBad8 2 5 4 3" xfId="40629"/>
    <cellStyle name="SAPBEXexcBad8 2 5 4 4" xfId="40630"/>
    <cellStyle name="SAPBEXexcBad8 2 5 5" xfId="40631"/>
    <cellStyle name="SAPBEXexcBad8 2 5 6" xfId="40632"/>
    <cellStyle name="SAPBEXexcBad8 2 5 7" xfId="40633"/>
    <cellStyle name="SAPBEXexcBad8 2 5 8" xfId="40634"/>
    <cellStyle name="SAPBEXexcBad8 2 6" xfId="40635"/>
    <cellStyle name="SAPBEXexcBad8 2 6 2" xfId="40636"/>
    <cellStyle name="SAPBEXexcBad8 2 6 3" xfId="40637"/>
    <cellStyle name="SAPBEXexcBad8 2 6 4" xfId="40638"/>
    <cellStyle name="SAPBEXexcBad8 2 7" xfId="40639"/>
    <cellStyle name="SAPBEXexcBad8 2 7 2" xfId="40640"/>
    <cellStyle name="SAPBEXexcBad8 2 7 3" xfId="40641"/>
    <cellStyle name="SAPBEXexcBad8 2 7 4" xfId="40642"/>
    <cellStyle name="SAPBEXexcBad8 2 8" xfId="40643"/>
    <cellStyle name="SAPBEXexcBad8 2 9" xfId="40644"/>
    <cellStyle name="SAPBEXexcBad8 3" xfId="40645"/>
    <cellStyle name="SAPBEXexcBad8 3 2" xfId="40646"/>
    <cellStyle name="SAPBEXexcBad8 3 2 2" xfId="40647"/>
    <cellStyle name="SAPBEXexcBad8 3 2 3" xfId="40648"/>
    <cellStyle name="SAPBEXexcBad8 3 2 4" xfId="40649"/>
    <cellStyle name="SAPBEXexcBad8 3 3" xfId="40650"/>
    <cellStyle name="SAPBEXexcBad8 3 3 2" xfId="40651"/>
    <cellStyle name="SAPBEXexcBad8 3 3 3" xfId="40652"/>
    <cellStyle name="SAPBEXexcBad8 3 3 4" xfId="40653"/>
    <cellStyle name="SAPBEXexcBad8 3 4" xfId="40654"/>
    <cellStyle name="SAPBEXexcBad8 3 4 2" xfId="40655"/>
    <cellStyle name="SAPBEXexcBad8 3 4 3" xfId="40656"/>
    <cellStyle name="SAPBEXexcBad8 3 4 4" xfId="40657"/>
    <cellStyle name="SAPBEXexcBad8 3 5" xfId="40658"/>
    <cellStyle name="SAPBEXexcBad8 3 6" xfId="40659"/>
    <cellStyle name="SAPBEXexcBad8 3 7" xfId="40660"/>
    <cellStyle name="SAPBEXexcBad8 3 8" xfId="40661"/>
    <cellStyle name="SAPBEXexcBad8 4" xfId="40662"/>
    <cellStyle name="SAPBEXexcBad8 4 2" xfId="40663"/>
    <cellStyle name="SAPBEXexcBad8 4 2 2" xfId="40664"/>
    <cellStyle name="SAPBEXexcBad8 4 2 3" xfId="40665"/>
    <cellStyle name="SAPBEXexcBad8 4 2 4" xfId="40666"/>
    <cellStyle name="SAPBEXexcBad8 4 3" xfId="40667"/>
    <cellStyle name="SAPBEXexcBad8 4 3 2" xfId="40668"/>
    <cellStyle name="SAPBEXexcBad8 4 3 3" xfId="40669"/>
    <cellStyle name="SAPBEXexcBad8 4 3 4" xfId="40670"/>
    <cellStyle name="SAPBEXexcBad8 4 4" xfId="40671"/>
    <cellStyle name="SAPBEXexcBad8 4 4 2" xfId="40672"/>
    <cellStyle name="SAPBEXexcBad8 4 4 3" xfId="40673"/>
    <cellStyle name="SAPBEXexcBad8 4 4 4" xfId="40674"/>
    <cellStyle name="SAPBEXexcBad8 4 5" xfId="40675"/>
    <cellStyle name="SAPBEXexcBad8 4 6" xfId="40676"/>
    <cellStyle name="SAPBEXexcBad8 4 7" xfId="40677"/>
    <cellStyle name="SAPBEXexcBad8 4 8" xfId="40678"/>
    <cellStyle name="SAPBEXexcBad8 5" xfId="40679"/>
    <cellStyle name="SAPBEXexcBad8 5 2" xfId="40680"/>
    <cellStyle name="SAPBEXexcBad8 5 2 2" xfId="40681"/>
    <cellStyle name="SAPBEXexcBad8 5 2 3" xfId="40682"/>
    <cellStyle name="SAPBEXexcBad8 5 2 4" xfId="40683"/>
    <cellStyle name="SAPBEXexcBad8 5 3" xfId="40684"/>
    <cellStyle name="SAPBEXexcBad8 5 3 2" xfId="40685"/>
    <cellStyle name="SAPBEXexcBad8 5 3 3" xfId="40686"/>
    <cellStyle name="SAPBEXexcBad8 5 3 4" xfId="40687"/>
    <cellStyle name="SAPBEXexcBad8 5 4" xfId="40688"/>
    <cellStyle name="SAPBEXexcBad8 5 4 2" xfId="40689"/>
    <cellStyle name="SAPBEXexcBad8 5 4 3" xfId="40690"/>
    <cellStyle name="SAPBEXexcBad8 5 4 4" xfId="40691"/>
    <cellStyle name="SAPBEXexcBad8 5 5" xfId="40692"/>
    <cellStyle name="SAPBEXexcBad8 5 6" xfId="40693"/>
    <cellStyle name="SAPBEXexcBad8 5 7" xfId="40694"/>
    <cellStyle name="SAPBEXexcBad8 5 8" xfId="40695"/>
    <cellStyle name="SAPBEXexcBad8 6" xfId="40696"/>
    <cellStyle name="SAPBEXexcBad8 6 2" xfId="40697"/>
    <cellStyle name="SAPBEXexcBad8 6 2 2" xfId="40698"/>
    <cellStyle name="SAPBEXexcBad8 6 2 3" xfId="40699"/>
    <cellStyle name="SAPBEXexcBad8 6 2 4" xfId="40700"/>
    <cellStyle name="SAPBEXexcBad8 6 3" xfId="40701"/>
    <cellStyle name="SAPBEXexcBad8 6 3 2" xfId="40702"/>
    <cellStyle name="SAPBEXexcBad8 6 3 3" xfId="40703"/>
    <cellStyle name="SAPBEXexcBad8 6 3 4" xfId="40704"/>
    <cellStyle name="SAPBEXexcBad8 6 4" xfId="40705"/>
    <cellStyle name="SAPBEXexcBad8 6 4 2" xfId="40706"/>
    <cellStyle name="SAPBEXexcBad8 6 4 3" xfId="40707"/>
    <cellStyle name="SAPBEXexcBad8 6 4 4" xfId="40708"/>
    <cellStyle name="SAPBEXexcBad8 6 5" xfId="40709"/>
    <cellStyle name="SAPBEXexcBad8 6 6" xfId="40710"/>
    <cellStyle name="SAPBEXexcBad8 6 7" xfId="40711"/>
    <cellStyle name="SAPBEXexcBad8 6 8" xfId="40712"/>
    <cellStyle name="SAPBEXexcBad8 7" xfId="40713"/>
    <cellStyle name="SAPBEXexcBad8 7 2" xfId="40714"/>
    <cellStyle name="SAPBEXexcBad8 7 2 2" xfId="40715"/>
    <cellStyle name="SAPBEXexcBad8 7 2 3" xfId="40716"/>
    <cellStyle name="SAPBEXexcBad8 7 2 4" xfId="40717"/>
    <cellStyle name="SAPBEXexcBad8 7 3" xfId="40718"/>
    <cellStyle name="SAPBEXexcBad8 7 3 2" xfId="40719"/>
    <cellStyle name="SAPBEXexcBad8 7 3 3" xfId="40720"/>
    <cellStyle name="SAPBEXexcBad8 7 3 4" xfId="40721"/>
    <cellStyle name="SAPBEXexcBad8 7 4" xfId="40722"/>
    <cellStyle name="SAPBEXexcBad8 7 4 2" xfId="40723"/>
    <cellStyle name="SAPBEXexcBad8 7 4 3" xfId="40724"/>
    <cellStyle name="SAPBEXexcBad8 7 4 4" xfId="40725"/>
    <cellStyle name="SAPBEXexcBad8 7 5" xfId="40726"/>
    <cellStyle name="SAPBEXexcBad8 7 6" xfId="40727"/>
    <cellStyle name="SAPBEXexcBad8 7 7" xfId="40728"/>
    <cellStyle name="SAPBEXexcBad8 7 8" xfId="40729"/>
    <cellStyle name="SAPBEXexcBad8 8" xfId="40730"/>
    <cellStyle name="SAPBEXexcBad8 8 2" xfId="40731"/>
    <cellStyle name="SAPBEXexcBad8 8 3" xfId="40732"/>
    <cellStyle name="SAPBEXexcBad8 8 4" xfId="40733"/>
    <cellStyle name="SAPBEXexcBad8 9" xfId="40734"/>
    <cellStyle name="SAPBEXexcBad8 9 2" xfId="40735"/>
    <cellStyle name="SAPBEXexcBad8 9 3" xfId="40736"/>
    <cellStyle name="SAPBEXexcBad8 9 4" xfId="40737"/>
    <cellStyle name="SAPBEXexcBad9" xfId="40738"/>
    <cellStyle name="SAPBEXexcBad9 10" xfId="40739"/>
    <cellStyle name="SAPBEXexcBad9 11" xfId="40740"/>
    <cellStyle name="SAPBEXexcBad9 2" xfId="40741"/>
    <cellStyle name="SAPBEXexcBad9 2 2" xfId="40742"/>
    <cellStyle name="SAPBEXexcBad9 2 2 2" xfId="40743"/>
    <cellStyle name="SAPBEXexcBad9 2 2 2 2" xfId="40744"/>
    <cellStyle name="SAPBEXexcBad9 2 2 2 3" xfId="40745"/>
    <cellStyle name="SAPBEXexcBad9 2 2 2 4" xfId="40746"/>
    <cellStyle name="SAPBEXexcBad9 2 2 3" xfId="40747"/>
    <cellStyle name="SAPBEXexcBad9 2 2 3 2" xfId="40748"/>
    <cellStyle name="SAPBEXexcBad9 2 2 3 3" xfId="40749"/>
    <cellStyle name="SAPBEXexcBad9 2 2 3 4" xfId="40750"/>
    <cellStyle name="SAPBEXexcBad9 2 2 4" xfId="40751"/>
    <cellStyle name="SAPBEXexcBad9 2 2 4 2" xfId="40752"/>
    <cellStyle name="SAPBEXexcBad9 2 2 4 3" xfId="40753"/>
    <cellStyle name="SAPBEXexcBad9 2 2 4 4" xfId="40754"/>
    <cellStyle name="SAPBEXexcBad9 2 2 5" xfId="40755"/>
    <cellStyle name="SAPBEXexcBad9 2 2 6" xfId="40756"/>
    <cellStyle name="SAPBEXexcBad9 2 2 7" xfId="40757"/>
    <cellStyle name="SAPBEXexcBad9 2 2 8" xfId="40758"/>
    <cellStyle name="SAPBEXexcBad9 2 3" xfId="40759"/>
    <cellStyle name="SAPBEXexcBad9 2 3 2" xfId="40760"/>
    <cellStyle name="SAPBEXexcBad9 2 3 2 2" xfId="40761"/>
    <cellStyle name="SAPBEXexcBad9 2 3 2 3" xfId="40762"/>
    <cellStyle name="SAPBEXexcBad9 2 3 2 4" xfId="40763"/>
    <cellStyle name="SAPBEXexcBad9 2 3 3" xfId="40764"/>
    <cellStyle name="SAPBEXexcBad9 2 3 3 2" xfId="40765"/>
    <cellStyle name="SAPBEXexcBad9 2 3 3 3" xfId="40766"/>
    <cellStyle name="SAPBEXexcBad9 2 3 3 4" xfId="40767"/>
    <cellStyle name="SAPBEXexcBad9 2 3 4" xfId="40768"/>
    <cellStyle name="SAPBEXexcBad9 2 3 4 2" xfId="40769"/>
    <cellStyle name="SAPBEXexcBad9 2 3 4 3" xfId="40770"/>
    <cellStyle name="SAPBEXexcBad9 2 3 4 4" xfId="40771"/>
    <cellStyle name="SAPBEXexcBad9 2 3 5" xfId="40772"/>
    <cellStyle name="SAPBEXexcBad9 2 3 6" xfId="40773"/>
    <cellStyle name="SAPBEXexcBad9 2 3 7" xfId="40774"/>
    <cellStyle name="SAPBEXexcBad9 2 3 8" xfId="40775"/>
    <cellStyle name="SAPBEXexcBad9 2 4" xfId="40776"/>
    <cellStyle name="SAPBEXexcBad9 2 4 2" xfId="40777"/>
    <cellStyle name="SAPBEXexcBad9 2 4 2 2" xfId="40778"/>
    <cellStyle name="SAPBEXexcBad9 2 4 2 3" xfId="40779"/>
    <cellStyle name="SAPBEXexcBad9 2 4 2 4" xfId="40780"/>
    <cellStyle name="SAPBEXexcBad9 2 4 3" xfId="40781"/>
    <cellStyle name="SAPBEXexcBad9 2 4 3 2" xfId="40782"/>
    <cellStyle name="SAPBEXexcBad9 2 4 3 3" xfId="40783"/>
    <cellStyle name="SAPBEXexcBad9 2 4 3 4" xfId="40784"/>
    <cellStyle name="SAPBEXexcBad9 2 4 4" xfId="40785"/>
    <cellStyle name="SAPBEXexcBad9 2 4 4 2" xfId="40786"/>
    <cellStyle name="SAPBEXexcBad9 2 4 4 3" xfId="40787"/>
    <cellStyle name="SAPBEXexcBad9 2 4 4 4" xfId="40788"/>
    <cellStyle name="SAPBEXexcBad9 2 4 5" xfId="40789"/>
    <cellStyle name="SAPBEXexcBad9 2 4 6" xfId="40790"/>
    <cellStyle name="SAPBEXexcBad9 2 4 7" xfId="40791"/>
    <cellStyle name="SAPBEXexcBad9 2 4 8" xfId="40792"/>
    <cellStyle name="SAPBEXexcBad9 2 5" xfId="40793"/>
    <cellStyle name="SAPBEXexcBad9 2 5 2" xfId="40794"/>
    <cellStyle name="SAPBEXexcBad9 2 5 2 2" xfId="40795"/>
    <cellStyle name="SAPBEXexcBad9 2 5 2 3" xfId="40796"/>
    <cellStyle name="SAPBEXexcBad9 2 5 2 4" xfId="40797"/>
    <cellStyle name="SAPBEXexcBad9 2 5 3" xfId="40798"/>
    <cellStyle name="SAPBEXexcBad9 2 5 3 2" xfId="40799"/>
    <cellStyle name="SAPBEXexcBad9 2 5 3 3" xfId="40800"/>
    <cellStyle name="SAPBEXexcBad9 2 5 3 4" xfId="40801"/>
    <cellStyle name="SAPBEXexcBad9 2 5 4" xfId="40802"/>
    <cellStyle name="SAPBEXexcBad9 2 5 4 2" xfId="40803"/>
    <cellStyle name="SAPBEXexcBad9 2 5 4 3" xfId="40804"/>
    <cellStyle name="SAPBEXexcBad9 2 5 4 4" xfId="40805"/>
    <cellStyle name="SAPBEXexcBad9 2 5 5" xfId="40806"/>
    <cellStyle name="SAPBEXexcBad9 2 5 6" xfId="40807"/>
    <cellStyle name="SAPBEXexcBad9 2 5 7" xfId="40808"/>
    <cellStyle name="SAPBEXexcBad9 2 5 8" xfId="40809"/>
    <cellStyle name="SAPBEXexcBad9 2 6" xfId="40810"/>
    <cellStyle name="SAPBEXexcBad9 2 6 2" xfId="40811"/>
    <cellStyle name="SAPBEXexcBad9 2 6 3" xfId="40812"/>
    <cellStyle name="SAPBEXexcBad9 2 6 4" xfId="40813"/>
    <cellStyle name="SAPBEXexcBad9 2 7" xfId="40814"/>
    <cellStyle name="SAPBEXexcBad9 2 7 2" xfId="40815"/>
    <cellStyle name="SAPBEXexcBad9 2 7 3" xfId="40816"/>
    <cellStyle name="SAPBEXexcBad9 2 7 4" xfId="40817"/>
    <cellStyle name="SAPBEXexcBad9 2 8" xfId="40818"/>
    <cellStyle name="SAPBEXexcBad9 2 9" xfId="40819"/>
    <cellStyle name="SAPBEXexcBad9 3" xfId="40820"/>
    <cellStyle name="SAPBEXexcBad9 3 2" xfId="40821"/>
    <cellStyle name="SAPBEXexcBad9 3 2 2" xfId="40822"/>
    <cellStyle name="SAPBEXexcBad9 3 2 3" xfId="40823"/>
    <cellStyle name="SAPBEXexcBad9 3 2 4" xfId="40824"/>
    <cellStyle name="SAPBEXexcBad9 3 3" xfId="40825"/>
    <cellStyle name="SAPBEXexcBad9 3 3 2" xfId="40826"/>
    <cellStyle name="SAPBEXexcBad9 3 3 3" xfId="40827"/>
    <cellStyle name="SAPBEXexcBad9 3 3 4" xfId="40828"/>
    <cellStyle name="SAPBEXexcBad9 3 4" xfId="40829"/>
    <cellStyle name="SAPBEXexcBad9 3 4 2" xfId="40830"/>
    <cellStyle name="SAPBEXexcBad9 3 4 3" xfId="40831"/>
    <cellStyle name="SAPBEXexcBad9 3 4 4" xfId="40832"/>
    <cellStyle name="SAPBEXexcBad9 3 5" xfId="40833"/>
    <cellStyle name="SAPBEXexcBad9 3 6" xfId="40834"/>
    <cellStyle name="SAPBEXexcBad9 3 7" xfId="40835"/>
    <cellStyle name="SAPBEXexcBad9 3 8" xfId="40836"/>
    <cellStyle name="SAPBEXexcBad9 4" xfId="40837"/>
    <cellStyle name="SAPBEXexcBad9 4 2" xfId="40838"/>
    <cellStyle name="SAPBEXexcBad9 4 2 2" xfId="40839"/>
    <cellStyle name="SAPBEXexcBad9 4 2 3" xfId="40840"/>
    <cellStyle name="SAPBEXexcBad9 4 2 4" xfId="40841"/>
    <cellStyle name="SAPBEXexcBad9 4 3" xfId="40842"/>
    <cellStyle name="SAPBEXexcBad9 4 3 2" xfId="40843"/>
    <cellStyle name="SAPBEXexcBad9 4 3 3" xfId="40844"/>
    <cellStyle name="SAPBEXexcBad9 4 3 4" xfId="40845"/>
    <cellStyle name="SAPBEXexcBad9 4 4" xfId="40846"/>
    <cellStyle name="SAPBEXexcBad9 4 4 2" xfId="40847"/>
    <cellStyle name="SAPBEXexcBad9 4 4 3" xfId="40848"/>
    <cellStyle name="SAPBEXexcBad9 4 4 4" xfId="40849"/>
    <cellStyle name="SAPBEXexcBad9 4 5" xfId="40850"/>
    <cellStyle name="SAPBEXexcBad9 4 6" xfId="40851"/>
    <cellStyle name="SAPBEXexcBad9 4 7" xfId="40852"/>
    <cellStyle name="SAPBEXexcBad9 4 8" xfId="40853"/>
    <cellStyle name="SAPBEXexcBad9 5" xfId="40854"/>
    <cellStyle name="SAPBEXexcBad9 5 2" xfId="40855"/>
    <cellStyle name="SAPBEXexcBad9 5 2 2" xfId="40856"/>
    <cellStyle name="SAPBEXexcBad9 5 2 3" xfId="40857"/>
    <cellStyle name="SAPBEXexcBad9 5 2 4" xfId="40858"/>
    <cellStyle name="SAPBEXexcBad9 5 3" xfId="40859"/>
    <cellStyle name="SAPBEXexcBad9 5 3 2" xfId="40860"/>
    <cellStyle name="SAPBEXexcBad9 5 3 3" xfId="40861"/>
    <cellStyle name="SAPBEXexcBad9 5 3 4" xfId="40862"/>
    <cellStyle name="SAPBEXexcBad9 5 4" xfId="40863"/>
    <cellStyle name="SAPBEXexcBad9 5 4 2" xfId="40864"/>
    <cellStyle name="SAPBEXexcBad9 5 4 3" xfId="40865"/>
    <cellStyle name="SAPBEXexcBad9 5 4 4" xfId="40866"/>
    <cellStyle name="SAPBEXexcBad9 5 5" xfId="40867"/>
    <cellStyle name="SAPBEXexcBad9 5 6" xfId="40868"/>
    <cellStyle name="SAPBEXexcBad9 5 7" xfId="40869"/>
    <cellStyle name="SAPBEXexcBad9 5 8" xfId="40870"/>
    <cellStyle name="SAPBEXexcBad9 6" xfId="40871"/>
    <cellStyle name="SAPBEXexcBad9 6 2" xfId="40872"/>
    <cellStyle name="SAPBEXexcBad9 6 2 2" xfId="40873"/>
    <cellStyle name="SAPBEXexcBad9 6 2 3" xfId="40874"/>
    <cellStyle name="SAPBEXexcBad9 6 2 4" xfId="40875"/>
    <cellStyle name="SAPBEXexcBad9 6 3" xfId="40876"/>
    <cellStyle name="SAPBEXexcBad9 6 3 2" xfId="40877"/>
    <cellStyle name="SAPBEXexcBad9 6 3 3" xfId="40878"/>
    <cellStyle name="SAPBEXexcBad9 6 3 4" xfId="40879"/>
    <cellStyle name="SAPBEXexcBad9 6 4" xfId="40880"/>
    <cellStyle name="SAPBEXexcBad9 6 4 2" xfId="40881"/>
    <cellStyle name="SAPBEXexcBad9 6 4 3" xfId="40882"/>
    <cellStyle name="SAPBEXexcBad9 6 4 4" xfId="40883"/>
    <cellStyle name="SAPBEXexcBad9 6 5" xfId="40884"/>
    <cellStyle name="SAPBEXexcBad9 6 6" xfId="40885"/>
    <cellStyle name="SAPBEXexcBad9 6 7" xfId="40886"/>
    <cellStyle name="SAPBEXexcBad9 6 8" xfId="40887"/>
    <cellStyle name="SAPBEXexcBad9 7" xfId="40888"/>
    <cellStyle name="SAPBEXexcBad9 7 2" xfId="40889"/>
    <cellStyle name="SAPBEXexcBad9 7 2 2" xfId="40890"/>
    <cellStyle name="SAPBEXexcBad9 7 2 3" xfId="40891"/>
    <cellStyle name="SAPBEXexcBad9 7 2 4" xfId="40892"/>
    <cellStyle name="SAPBEXexcBad9 7 3" xfId="40893"/>
    <cellStyle name="SAPBEXexcBad9 7 3 2" xfId="40894"/>
    <cellStyle name="SAPBEXexcBad9 7 3 3" xfId="40895"/>
    <cellStyle name="SAPBEXexcBad9 7 3 4" xfId="40896"/>
    <cellStyle name="SAPBEXexcBad9 7 4" xfId="40897"/>
    <cellStyle name="SAPBEXexcBad9 7 4 2" xfId="40898"/>
    <cellStyle name="SAPBEXexcBad9 7 4 3" xfId="40899"/>
    <cellStyle name="SAPBEXexcBad9 7 4 4" xfId="40900"/>
    <cellStyle name="SAPBEXexcBad9 7 5" xfId="40901"/>
    <cellStyle name="SAPBEXexcBad9 7 6" xfId="40902"/>
    <cellStyle name="SAPBEXexcBad9 7 7" xfId="40903"/>
    <cellStyle name="SAPBEXexcBad9 7 8" xfId="40904"/>
    <cellStyle name="SAPBEXexcBad9 8" xfId="40905"/>
    <cellStyle name="SAPBEXexcBad9 8 2" xfId="40906"/>
    <cellStyle name="SAPBEXexcBad9 8 3" xfId="40907"/>
    <cellStyle name="SAPBEXexcBad9 8 4" xfId="40908"/>
    <cellStyle name="SAPBEXexcBad9 9" xfId="40909"/>
    <cellStyle name="SAPBEXexcBad9 9 2" xfId="40910"/>
    <cellStyle name="SAPBEXexcBad9 9 3" xfId="40911"/>
    <cellStyle name="SAPBEXexcBad9 9 4" xfId="40912"/>
    <cellStyle name="SAPBEXexcCritical4" xfId="40913"/>
    <cellStyle name="SAPBEXexcCritical4 10" xfId="40914"/>
    <cellStyle name="SAPBEXexcCritical4 11" xfId="40915"/>
    <cellStyle name="SAPBEXexcCritical4 2" xfId="40916"/>
    <cellStyle name="SAPBEXexcCritical4 2 2" xfId="40917"/>
    <cellStyle name="SAPBEXexcCritical4 2 2 2" xfId="40918"/>
    <cellStyle name="SAPBEXexcCritical4 2 2 2 2" xfId="40919"/>
    <cellStyle name="SAPBEXexcCritical4 2 2 2 3" xfId="40920"/>
    <cellStyle name="SAPBEXexcCritical4 2 2 2 4" xfId="40921"/>
    <cellStyle name="SAPBEXexcCritical4 2 2 3" xfId="40922"/>
    <cellStyle name="SAPBEXexcCritical4 2 2 3 2" xfId="40923"/>
    <cellStyle name="SAPBEXexcCritical4 2 2 3 3" xfId="40924"/>
    <cellStyle name="SAPBEXexcCritical4 2 2 3 4" xfId="40925"/>
    <cellStyle name="SAPBEXexcCritical4 2 2 4" xfId="40926"/>
    <cellStyle name="SAPBEXexcCritical4 2 2 4 2" xfId="40927"/>
    <cellStyle name="SAPBEXexcCritical4 2 2 4 3" xfId="40928"/>
    <cellStyle name="SAPBEXexcCritical4 2 2 4 4" xfId="40929"/>
    <cellStyle name="SAPBEXexcCritical4 2 2 5" xfId="40930"/>
    <cellStyle name="SAPBEXexcCritical4 2 2 6" xfId="40931"/>
    <cellStyle name="SAPBEXexcCritical4 2 2 7" xfId="40932"/>
    <cellStyle name="SAPBEXexcCritical4 2 2 8" xfId="40933"/>
    <cellStyle name="SAPBEXexcCritical4 2 3" xfId="40934"/>
    <cellStyle name="SAPBEXexcCritical4 2 3 2" xfId="40935"/>
    <cellStyle name="SAPBEXexcCritical4 2 3 2 2" xfId="40936"/>
    <cellStyle name="SAPBEXexcCritical4 2 3 2 3" xfId="40937"/>
    <cellStyle name="SAPBEXexcCritical4 2 3 2 4" xfId="40938"/>
    <cellStyle name="SAPBEXexcCritical4 2 3 3" xfId="40939"/>
    <cellStyle name="SAPBEXexcCritical4 2 3 3 2" xfId="40940"/>
    <cellStyle name="SAPBEXexcCritical4 2 3 3 3" xfId="40941"/>
    <cellStyle name="SAPBEXexcCritical4 2 3 3 4" xfId="40942"/>
    <cellStyle name="SAPBEXexcCritical4 2 3 4" xfId="40943"/>
    <cellStyle name="SAPBEXexcCritical4 2 3 4 2" xfId="40944"/>
    <cellStyle name="SAPBEXexcCritical4 2 3 4 3" xfId="40945"/>
    <cellStyle name="SAPBEXexcCritical4 2 3 4 4" xfId="40946"/>
    <cellStyle name="SAPBEXexcCritical4 2 3 5" xfId="40947"/>
    <cellStyle name="SAPBEXexcCritical4 2 3 6" xfId="40948"/>
    <cellStyle name="SAPBEXexcCritical4 2 3 7" xfId="40949"/>
    <cellStyle name="SAPBEXexcCritical4 2 3 8" xfId="40950"/>
    <cellStyle name="SAPBEXexcCritical4 2 4" xfId="40951"/>
    <cellStyle name="SAPBEXexcCritical4 2 4 2" xfId="40952"/>
    <cellStyle name="SAPBEXexcCritical4 2 4 2 2" xfId="40953"/>
    <cellStyle name="SAPBEXexcCritical4 2 4 2 3" xfId="40954"/>
    <cellStyle name="SAPBEXexcCritical4 2 4 2 4" xfId="40955"/>
    <cellStyle name="SAPBEXexcCritical4 2 4 3" xfId="40956"/>
    <cellStyle name="SAPBEXexcCritical4 2 4 3 2" xfId="40957"/>
    <cellStyle name="SAPBEXexcCritical4 2 4 3 3" xfId="40958"/>
    <cellStyle name="SAPBEXexcCritical4 2 4 3 4" xfId="40959"/>
    <cellStyle name="SAPBEXexcCritical4 2 4 4" xfId="40960"/>
    <cellStyle name="SAPBEXexcCritical4 2 4 4 2" xfId="40961"/>
    <cellStyle name="SAPBEXexcCritical4 2 4 4 3" xfId="40962"/>
    <cellStyle name="SAPBEXexcCritical4 2 4 4 4" xfId="40963"/>
    <cellStyle name="SAPBEXexcCritical4 2 4 5" xfId="40964"/>
    <cellStyle name="SAPBEXexcCritical4 2 4 6" xfId="40965"/>
    <cellStyle name="SAPBEXexcCritical4 2 4 7" xfId="40966"/>
    <cellStyle name="SAPBEXexcCritical4 2 4 8" xfId="40967"/>
    <cellStyle name="SAPBEXexcCritical4 2 5" xfId="40968"/>
    <cellStyle name="SAPBEXexcCritical4 2 5 2" xfId="40969"/>
    <cellStyle name="SAPBEXexcCritical4 2 5 2 2" xfId="40970"/>
    <cellStyle name="SAPBEXexcCritical4 2 5 2 3" xfId="40971"/>
    <cellStyle name="SAPBEXexcCritical4 2 5 2 4" xfId="40972"/>
    <cellStyle name="SAPBEXexcCritical4 2 5 3" xfId="40973"/>
    <cellStyle name="SAPBEXexcCritical4 2 5 3 2" xfId="40974"/>
    <cellStyle name="SAPBEXexcCritical4 2 5 3 3" xfId="40975"/>
    <cellStyle name="SAPBEXexcCritical4 2 5 3 4" xfId="40976"/>
    <cellStyle name="SAPBEXexcCritical4 2 5 4" xfId="40977"/>
    <cellStyle name="SAPBEXexcCritical4 2 5 4 2" xfId="40978"/>
    <cellStyle name="SAPBEXexcCritical4 2 5 4 3" xfId="40979"/>
    <cellStyle name="SAPBEXexcCritical4 2 5 4 4" xfId="40980"/>
    <cellStyle name="SAPBEXexcCritical4 2 5 5" xfId="40981"/>
    <cellStyle name="SAPBEXexcCritical4 2 5 6" xfId="40982"/>
    <cellStyle name="SAPBEXexcCritical4 2 5 7" xfId="40983"/>
    <cellStyle name="SAPBEXexcCritical4 2 5 8" xfId="40984"/>
    <cellStyle name="SAPBEXexcCritical4 2 6" xfId="40985"/>
    <cellStyle name="SAPBEXexcCritical4 2 6 2" xfId="40986"/>
    <cellStyle name="SAPBEXexcCritical4 2 6 3" xfId="40987"/>
    <cellStyle name="SAPBEXexcCritical4 2 6 4" xfId="40988"/>
    <cellStyle name="SAPBEXexcCritical4 2 7" xfId="40989"/>
    <cellStyle name="SAPBEXexcCritical4 2 7 2" xfId="40990"/>
    <cellStyle name="SAPBEXexcCritical4 2 7 3" xfId="40991"/>
    <cellStyle name="SAPBEXexcCritical4 2 7 4" xfId="40992"/>
    <cellStyle name="SAPBEXexcCritical4 2 8" xfId="40993"/>
    <cellStyle name="SAPBEXexcCritical4 2 9" xfId="40994"/>
    <cellStyle name="SAPBEXexcCritical4 3" xfId="40995"/>
    <cellStyle name="SAPBEXexcCritical4 3 2" xfId="40996"/>
    <cellStyle name="SAPBEXexcCritical4 3 2 2" xfId="40997"/>
    <cellStyle name="SAPBEXexcCritical4 3 2 3" xfId="40998"/>
    <cellStyle name="SAPBEXexcCritical4 3 2 4" xfId="40999"/>
    <cellStyle name="SAPBEXexcCritical4 3 3" xfId="41000"/>
    <cellStyle name="SAPBEXexcCritical4 3 3 2" xfId="41001"/>
    <cellStyle name="SAPBEXexcCritical4 3 3 3" xfId="41002"/>
    <cellStyle name="SAPBEXexcCritical4 3 3 4" xfId="41003"/>
    <cellStyle name="SAPBEXexcCritical4 3 4" xfId="41004"/>
    <cellStyle name="SAPBEXexcCritical4 3 4 2" xfId="41005"/>
    <cellStyle name="SAPBEXexcCritical4 3 4 3" xfId="41006"/>
    <cellStyle name="SAPBEXexcCritical4 3 4 4" xfId="41007"/>
    <cellStyle name="SAPBEXexcCritical4 3 5" xfId="41008"/>
    <cellStyle name="SAPBEXexcCritical4 3 6" xfId="41009"/>
    <cellStyle name="SAPBEXexcCritical4 3 7" xfId="41010"/>
    <cellStyle name="SAPBEXexcCritical4 3 8" xfId="41011"/>
    <cellStyle name="SAPBEXexcCritical4 4" xfId="41012"/>
    <cellStyle name="SAPBEXexcCritical4 4 2" xfId="41013"/>
    <cellStyle name="SAPBEXexcCritical4 4 2 2" xfId="41014"/>
    <cellStyle name="SAPBEXexcCritical4 4 2 3" xfId="41015"/>
    <cellStyle name="SAPBEXexcCritical4 4 2 4" xfId="41016"/>
    <cellStyle name="SAPBEXexcCritical4 4 3" xfId="41017"/>
    <cellStyle name="SAPBEXexcCritical4 4 3 2" xfId="41018"/>
    <cellStyle name="SAPBEXexcCritical4 4 3 3" xfId="41019"/>
    <cellStyle name="SAPBEXexcCritical4 4 3 4" xfId="41020"/>
    <cellStyle name="SAPBEXexcCritical4 4 4" xfId="41021"/>
    <cellStyle name="SAPBEXexcCritical4 4 4 2" xfId="41022"/>
    <cellStyle name="SAPBEXexcCritical4 4 4 3" xfId="41023"/>
    <cellStyle name="SAPBEXexcCritical4 4 4 4" xfId="41024"/>
    <cellStyle name="SAPBEXexcCritical4 4 5" xfId="41025"/>
    <cellStyle name="SAPBEXexcCritical4 4 6" xfId="41026"/>
    <cellStyle name="SAPBEXexcCritical4 4 7" xfId="41027"/>
    <cellStyle name="SAPBEXexcCritical4 4 8" xfId="41028"/>
    <cellStyle name="SAPBEXexcCritical4 5" xfId="41029"/>
    <cellStyle name="SAPBEXexcCritical4 5 2" xfId="41030"/>
    <cellStyle name="SAPBEXexcCritical4 5 2 2" xfId="41031"/>
    <cellStyle name="SAPBEXexcCritical4 5 2 3" xfId="41032"/>
    <cellStyle name="SAPBEXexcCritical4 5 2 4" xfId="41033"/>
    <cellStyle name="SAPBEXexcCritical4 5 3" xfId="41034"/>
    <cellStyle name="SAPBEXexcCritical4 5 3 2" xfId="41035"/>
    <cellStyle name="SAPBEXexcCritical4 5 3 3" xfId="41036"/>
    <cellStyle name="SAPBEXexcCritical4 5 3 4" xfId="41037"/>
    <cellStyle name="SAPBEXexcCritical4 5 4" xfId="41038"/>
    <cellStyle name="SAPBEXexcCritical4 5 4 2" xfId="41039"/>
    <cellStyle name="SAPBEXexcCritical4 5 4 3" xfId="41040"/>
    <cellStyle name="SAPBEXexcCritical4 5 4 4" xfId="41041"/>
    <cellStyle name="SAPBEXexcCritical4 5 5" xfId="41042"/>
    <cellStyle name="SAPBEXexcCritical4 5 6" xfId="41043"/>
    <cellStyle name="SAPBEXexcCritical4 5 7" xfId="41044"/>
    <cellStyle name="SAPBEXexcCritical4 5 8" xfId="41045"/>
    <cellStyle name="SAPBEXexcCritical4 6" xfId="41046"/>
    <cellStyle name="SAPBEXexcCritical4 6 2" xfId="41047"/>
    <cellStyle name="SAPBEXexcCritical4 6 2 2" xfId="41048"/>
    <cellStyle name="SAPBEXexcCritical4 6 2 3" xfId="41049"/>
    <cellStyle name="SAPBEXexcCritical4 6 2 4" xfId="41050"/>
    <cellStyle name="SAPBEXexcCritical4 6 3" xfId="41051"/>
    <cellStyle name="SAPBEXexcCritical4 6 3 2" xfId="41052"/>
    <cellStyle name="SAPBEXexcCritical4 6 3 3" xfId="41053"/>
    <cellStyle name="SAPBEXexcCritical4 6 3 4" xfId="41054"/>
    <cellStyle name="SAPBEXexcCritical4 6 4" xfId="41055"/>
    <cellStyle name="SAPBEXexcCritical4 6 4 2" xfId="41056"/>
    <cellStyle name="SAPBEXexcCritical4 6 4 3" xfId="41057"/>
    <cellStyle name="SAPBEXexcCritical4 6 4 4" xfId="41058"/>
    <cellStyle name="SAPBEXexcCritical4 6 5" xfId="41059"/>
    <cellStyle name="SAPBEXexcCritical4 6 6" xfId="41060"/>
    <cellStyle name="SAPBEXexcCritical4 6 7" xfId="41061"/>
    <cellStyle name="SAPBEXexcCritical4 6 8" xfId="41062"/>
    <cellStyle name="SAPBEXexcCritical4 7" xfId="41063"/>
    <cellStyle name="SAPBEXexcCritical4 7 2" xfId="41064"/>
    <cellStyle name="SAPBEXexcCritical4 7 2 2" xfId="41065"/>
    <cellStyle name="SAPBEXexcCritical4 7 2 3" xfId="41066"/>
    <cellStyle name="SAPBEXexcCritical4 7 2 4" xfId="41067"/>
    <cellStyle name="SAPBEXexcCritical4 7 3" xfId="41068"/>
    <cellStyle name="SAPBEXexcCritical4 7 3 2" xfId="41069"/>
    <cellStyle name="SAPBEXexcCritical4 7 3 3" xfId="41070"/>
    <cellStyle name="SAPBEXexcCritical4 7 3 4" xfId="41071"/>
    <cellStyle name="SAPBEXexcCritical4 7 4" xfId="41072"/>
    <cellStyle name="SAPBEXexcCritical4 7 4 2" xfId="41073"/>
    <cellStyle name="SAPBEXexcCritical4 7 4 3" xfId="41074"/>
    <cellStyle name="SAPBEXexcCritical4 7 4 4" xfId="41075"/>
    <cellStyle name="SAPBEXexcCritical4 7 5" xfId="41076"/>
    <cellStyle name="SAPBEXexcCritical4 7 6" xfId="41077"/>
    <cellStyle name="SAPBEXexcCritical4 7 7" xfId="41078"/>
    <cellStyle name="SAPBEXexcCritical4 7 8" xfId="41079"/>
    <cellStyle name="SAPBEXexcCritical4 8" xfId="41080"/>
    <cellStyle name="SAPBEXexcCritical4 8 2" xfId="41081"/>
    <cellStyle name="SAPBEXexcCritical4 8 3" xfId="41082"/>
    <cellStyle name="SAPBEXexcCritical4 8 4" xfId="41083"/>
    <cellStyle name="SAPBEXexcCritical4 9" xfId="41084"/>
    <cellStyle name="SAPBEXexcCritical4 9 2" xfId="41085"/>
    <cellStyle name="SAPBEXexcCritical4 9 3" xfId="41086"/>
    <cellStyle name="SAPBEXexcCritical4 9 4" xfId="41087"/>
    <cellStyle name="SAPBEXexcCritical5" xfId="41088"/>
    <cellStyle name="SAPBEXexcCritical5 10" xfId="41089"/>
    <cellStyle name="SAPBEXexcCritical5 11" xfId="41090"/>
    <cellStyle name="SAPBEXexcCritical5 2" xfId="41091"/>
    <cellStyle name="SAPBEXexcCritical5 2 2" xfId="41092"/>
    <cellStyle name="SAPBEXexcCritical5 2 2 2" xfId="41093"/>
    <cellStyle name="SAPBEXexcCritical5 2 2 2 2" xfId="41094"/>
    <cellStyle name="SAPBEXexcCritical5 2 2 2 3" xfId="41095"/>
    <cellStyle name="SAPBEXexcCritical5 2 2 2 4" xfId="41096"/>
    <cellStyle name="SAPBEXexcCritical5 2 2 3" xfId="41097"/>
    <cellStyle name="SAPBEXexcCritical5 2 2 3 2" xfId="41098"/>
    <cellStyle name="SAPBEXexcCritical5 2 2 3 3" xfId="41099"/>
    <cellStyle name="SAPBEXexcCritical5 2 2 3 4" xfId="41100"/>
    <cellStyle name="SAPBEXexcCritical5 2 2 4" xfId="41101"/>
    <cellStyle name="SAPBEXexcCritical5 2 2 4 2" xfId="41102"/>
    <cellStyle name="SAPBEXexcCritical5 2 2 4 3" xfId="41103"/>
    <cellStyle name="SAPBEXexcCritical5 2 2 4 4" xfId="41104"/>
    <cellStyle name="SAPBEXexcCritical5 2 2 5" xfId="41105"/>
    <cellStyle name="SAPBEXexcCritical5 2 2 6" xfId="41106"/>
    <cellStyle name="SAPBEXexcCritical5 2 2 7" xfId="41107"/>
    <cellStyle name="SAPBEXexcCritical5 2 2 8" xfId="41108"/>
    <cellStyle name="SAPBEXexcCritical5 2 3" xfId="41109"/>
    <cellStyle name="SAPBEXexcCritical5 2 3 2" xfId="41110"/>
    <cellStyle name="SAPBEXexcCritical5 2 3 2 2" xfId="41111"/>
    <cellStyle name="SAPBEXexcCritical5 2 3 2 3" xfId="41112"/>
    <cellStyle name="SAPBEXexcCritical5 2 3 2 4" xfId="41113"/>
    <cellStyle name="SAPBEXexcCritical5 2 3 3" xfId="41114"/>
    <cellStyle name="SAPBEXexcCritical5 2 3 3 2" xfId="41115"/>
    <cellStyle name="SAPBEXexcCritical5 2 3 3 3" xfId="41116"/>
    <cellStyle name="SAPBEXexcCritical5 2 3 3 4" xfId="41117"/>
    <cellStyle name="SAPBEXexcCritical5 2 3 4" xfId="41118"/>
    <cellStyle name="SAPBEXexcCritical5 2 3 4 2" xfId="41119"/>
    <cellStyle name="SAPBEXexcCritical5 2 3 4 3" xfId="41120"/>
    <cellStyle name="SAPBEXexcCritical5 2 3 4 4" xfId="41121"/>
    <cellStyle name="SAPBEXexcCritical5 2 3 5" xfId="41122"/>
    <cellStyle name="SAPBEXexcCritical5 2 3 6" xfId="41123"/>
    <cellStyle name="SAPBEXexcCritical5 2 3 7" xfId="41124"/>
    <cellStyle name="SAPBEXexcCritical5 2 3 8" xfId="41125"/>
    <cellStyle name="SAPBEXexcCritical5 2 4" xfId="41126"/>
    <cellStyle name="SAPBEXexcCritical5 2 4 2" xfId="41127"/>
    <cellStyle name="SAPBEXexcCritical5 2 4 2 2" xfId="41128"/>
    <cellStyle name="SAPBEXexcCritical5 2 4 2 3" xfId="41129"/>
    <cellStyle name="SAPBEXexcCritical5 2 4 2 4" xfId="41130"/>
    <cellStyle name="SAPBEXexcCritical5 2 4 3" xfId="41131"/>
    <cellStyle name="SAPBEXexcCritical5 2 4 3 2" xfId="41132"/>
    <cellStyle name="SAPBEXexcCritical5 2 4 3 3" xfId="41133"/>
    <cellStyle name="SAPBEXexcCritical5 2 4 3 4" xfId="41134"/>
    <cellStyle name="SAPBEXexcCritical5 2 4 4" xfId="41135"/>
    <cellStyle name="SAPBEXexcCritical5 2 4 4 2" xfId="41136"/>
    <cellStyle name="SAPBEXexcCritical5 2 4 4 3" xfId="41137"/>
    <cellStyle name="SAPBEXexcCritical5 2 4 4 4" xfId="41138"/>
    <cellStyle name="SAPBEXexcCritical5 2 4 5" xfId="41139"/>
    <cellStyle name="SAPBEXexcCritical5 2 4 6" xfId="41140"/>
    <cellStyle name="SAPBEXexcCritical5 2 4 7" xfId="41141"/>
    <cellStyle name="SAPBEXexcCritical5 2 4 8" xfId="41142"/>
    <cellStyle name="SAPBEXexcCritical5 2 5" xfId="41143"/>
    <cellStyle name="SAPBEXexcCritical5 2 5 2" xfId="41144"/>
    <cellStyle name="SAPBEXexcCritical5 2 5 2 2" xfId="41145"/>
    <cellStyle name="SAPBEXexcCritical5 2 5 2 3" xfId="41146"/>
    <cellStyle name="SAPBEXexcCritical5 2 5 2 4" xfId="41147"/>
    <cellStyle name="SAPBEXexcCritical5 2 5 3" xfId="41148"/>
    <cellStyle name="SAPBEXexcCritical5 2 5 3 2" xfId="41149"/>
    <cellStyle name="SAPBEXexcCritical5 2 5 3 3" xfId="41150"/>
    <cellStyle name="SAPBEXexcCritical5 2 5 3 4" xfId="41151"/>
    <cellStyle name="SAPBEXexcCritical5 2 5 4" xfId="41152"/>
    <cellStyle name="SAPBEXexcCritical5 2 5 4 2" xfId="41153"/>
    <cellStyle name="SAPBEXexcCritical5 2 5 4 3" xfId="41154"/>
    <cellStyle name="SAPBEXexcCritical5 2 5 4 4" xfId="41155"/>
    <cellStyle name="SAPBEXexcCritical5 2 5 5" xfId="41156"/>
    <cellStyle name="SAPBEXexcCritical5 2 5 6" xfId="41157"/>
    <cellStyle name="SAPBEXexcCritical5 2 5 7" xfId="41158"/>
    <cellStyle name="SAPBEXexcCritical5 2 5 8" xfId="41159"/>
    <cellStyle name="SAPBEXexcCritical5 2 6" xfId="41160"/>
    <cellStyle name="SAPBEXexcCritical5 2 6 2" xfId="41161"/>
    <cellStyle name="SAPBEXexcCritical5 2 6 3" xfId="41162"/>
    <cellStyle name="SAPBEXexcCritical5 2 6 4" xfId="41163"/>
    <cellStyle name="SAPBEXexcCritical5 2 7" xfId="41164"/>
    <cellStyle name="SAPBEXexcCritical5 2 7 2" xfId="41165"/>
    <cellStyle name="SAPBEXexcCritical5 2 7 3" xfId="41166"/>
    <cellStyle name="SAPBEXexcCritical5 2 7 4" xfId="41167"/>
    <cellStyle name="SAPBEXexcCritical5 2 8" xfId="41168"/>
    <cellStyle name="SAPBEXexcCritical5 2 9" xfId="41169"/>
    <cellStyle name="SAPBEXexcCritical5 3" xfId="41170"/>
    <cellStyle name="SAPBEXexcCritical5 3 2" xfId="41171"/>
    <cellStyle name="SAPBEXexcCritical5 3 2 2" xfId="41172"/>
    <cellStyle name="SAPBEXexcCritical5 3 2 3" xfId="41173"/>
    <cellStyle name="SAPBEXexcCritical5 3 2 4" xfId="41174"/>
    <cellStyle name="SAPBEXexcCritical5 3 3" xfId="41175"/>
    <cellStyle name="SAPBEXexcCritical5 3 3 2" xfId="41176"/>
    <cellStyle name="SAPBEXexcCritical5 3 3 3" xfId="41177"/>
    <cellStyle name="SAPBEXexcCritical5 3 3 4" xfId="41178"/>
    <cellStyle name="SAPBEXexcCritical5 3 4" xfId="41179"/>
    <cellStyle name="SAPBEXexcCritical5 3 4 2" xfId="41180"/>
    <cellStyle name="SAPBEXexcCritical5 3 4 3" xfId="41181"/>
    <cellStyle name="SAPBEXexcCritical5 3 4 4" xfId="41182"/>
    <cellStyle name="SAPBEXexcCritical5 3 5" xfId="41183"/>
    <cellStyle name="SAPBEXexcCritical5 3 6" xfId="41184"/>
    <cellStyle name="SAPBEXexcCritical5 3 7" xfId="41185"/>
    <cellStyle name="SAPBEXexcCritical5 3 8" xfId="41186"/>
    <cellStyle name="SAPBEXexcCritical5 4" xfId="41187"/>
    <cellStyle name="SAPBEXexcCritical5 4 2" xfId="41188"/>
    <cellStyle name="SAPBEXexcCritical5 4 2 2" xfId="41189"/>
    <cellStyle name="SAPBEXexcCritical5 4 2 3" xfId="41190"/>
    <cellStyle name="SAPBEXexcCritical5 4 2 4" xfId="41191"/>
    <cellStyle name="SAPBEXexcCritical5 4 3" xfId="41192"/>
    <cellStyle name="SAPBEXexcCritical5 4 3 2" xfId="41193"/>
    <cellStyle name="SAPBEXexcCritical5 4 3 3" xfId="41194"/>
    <cellStyle name="SAPBEXexcCritical5 4 3 4" xfId="41195"/>
    <cellStyle name="SAPBEXexcCritical5 4 4" xfId="41196"/>
    <cellStyle name="SAPBEXexcCritical5 4 4 2" xfId="41197"/>
    <cellStyle name="SAPBEXexcCritical5 4 4 3" xfId="41198"/>
    <cellStyle name="SAPBEXexcCritical5 4 4 4" xfId="41199"/>
    <cellStyle name="SAPBEXexcCritical5 4 5" xfId="41200"/>
    <cellStyle name="SAPBEXexcCritical5 4 6" xfId="41201"/>
    <cellStyle name="SAPBEXexcCritical5 4 7" xfId="41202"/>
    <cellStyle name="SAPBEXexcCritical5 4 8" xfId="41203"/>
    <cellStyle name="SAPBEXexcCritical5 5" xfId="41204"/>
    <cellStyle name="SAPBEXexcCritical5 5 2" xfId="41205"/>
    <cellStyle name="SAPBEXexcCritical5 5 2 2" xfId="41206"/>
    <cellStyle name="SAPBEXexcCritical5 5 2 3" xfId="41207"/>
    <cellStyle name="SAPBEXexcCritical5 5 2 4" xfId="41208"/>
    <cellStyle name="SAPBEXexcCritical5 5 3" xfId="41209"/>
    <cellStyle name="SAPBEXexcCritical5 5 3 2" xfId="41210"/>
    <cellStyle name="SAPBEXexcCritical5 5 3 3" xfId="41211"/>
    <cellStyle name="SAPBEXexcCritical5 5 3 4" xfId="41212"/>
    <cellStyle name="SAPBEXexcCritical5 5 4" xfId="41213"/>
    <cellStyle name="SAPBEXexcCritical5 5 4 2" xfId="41214"/>
    <cellStyle name="SAPBEXexcCritical5 5 4 3" xfId="41215"/>
    <cellStyle name="SAPBEXexcCritical5 5 4 4" xfId="41216"/>
    <cellStyle name="SAPBEXexcCritical5 5 5" xfId="41217"/>
    <cellStyle name="SAPBEXexcCritical5 5 6" xfId="41218"/>
    <cellStyle name="SAPBEXexcCritical5 5 7" xfId="41219"/>
    <cellStyle name="SAPBEXexcCritical5 5 8" xfId="41220"/>
    <cellStyle name="SAPBEXexcCritical5 6" xfId="41221"/>
    <cellStyle name="SAPBEXexcCritical5 6 2" xfId="41222"/>
    <cellStyle name="SAPBEXexcCritical5 6 2 2" xfId="41223"/>
    <cellStyle name="SAPBEXexcCritical5 6 2 3" xfId="41224"/>
    <cellStyle name="SAPBEXexcCritical5 6 2 4" xfId="41225"/>
    <cellStyle name="SAPBEXexcCritical5 6 3" xfId="41226"/>
    <cellStyle name="SAPBEXexcCritical5 6 3 2" xfId="41227"/>
    <cellStyle name="SAPBEXexcCritical5 6 3 3" xfId="41228"/>
    <cellStyle name="SAPBEXexcCritical5 6 3 4" xfId="41229"/>
    <cellStyle name="SAPBEXexcCritical5 6 4" xfId="41230"/>
    <cellStyle name="SAPBEXexcCritical5 6 4 2" xfId="41231"/>
    <cellStyle name="SAPBEXexcCritical5 6 4 3" xfId="41232"/>
    <cellStyle name="SAPBEXexcCritical5 6 4 4" xfId="41233"/>
    <cellStyle name="SAPBEXexcCritical5 6 5" xfId="41234"/>
    <cellStyle name="SAPBEXexcCritical5 6 6" xfId="41235"/>
    <cellStyle name="SAPBEXexcCritical5 6 7" xfId="41236"/>
    <cellStyle name="SAPBEXexcCritical5 6 8" xfId="41237"/>
    <cellStyle name="SAPBEXexcCritical5 7" xfId="41238"/>
    <cellStyle name="SAPBEXexcCritical5 7 2" xfId="41239"/>
    <cellStyle name="SAPBEXexcCritical5 7 2 2" xfId="41240"/>
    <cellStyle name="SAPBEXexcCritical5 7 2 3" xfId="41241"/>
    <cellStyle name="SAPBEXexcCritical5 7 2 4" xfId="41242"/>
    <cellStyle name="SAPBEXexcCritical5 7 3" xfId="41243"/>
    <cellStyle name="SAPBEXexcCritical5 7 3 2" xfId="41244"/>
    <cellStyle name="SAPBEXexcCritical5 7 3 3" xfId="41245"/>
    <cellStyle name="SAPBEXexcCritical5 7 3 4" xfId="41246"/>
    <cellStyle name="SAPBEXexcCritical5 7 4" xfId="41247"/>
    <cellStyle name="SAPBEXexcCritical5 7 4 2" xfId="41248"/>
    <cellStyle name="SAPBEXexcCritical5 7 4 3" xfId="41249"/>
    <cellStyle name="SAPBEXexcCritical5 7 4 4" xfId="41250"/>
    <cellStyle name="SAPBEXexcCritical5 7 5" xfId="41251"/>
    <cellStyle name="SAPBEXexcCritical5 7 6" xfId="41252"/>
    <cellStyle name="SAPBEXexcCritical5 7 7" xfId="41253"/>
    <cellStyle name="SAPBEXexcCritical5 7 8" xfId="41254"/>
    <cellStyle name="SAPBEXexcCritical5 8" xfId="41255"/>
    <cellStyle name="SAPBEXexcCritical5 8 2" xfId="41256"/>
    <cellStyle name="SAPBEXexcCritical5 8 3" xfId="41257"/>
    <cellStyle name="SAPBEXexcCritical5 8 4" xfId="41258"/>
    <cellStyle name="SAPBEXexcCritical5 9" xfId="41259"/>
    <cellStyle name="SAPBEXexcCritical5 9 2" xfId="41260"/>
    <cellStyle name="SAPBEXexcCritical5 9 3" xfId="41261"/>
    <cellStyle name="SAPBEXexcCritical5 9 4" xfId="41262"/>
    <cellStyle name="SAPBEXexcCritical6" xfId="41263"/>
    <cellStyle name="SAPBEXexcCritical6 10" xfId="41264"/>
    <cellStyle name="SAPBEXexcCritical6 11" xfId="41265"/>
    <cellStyle name="SAPBEXexcCritical6 2" xfId="41266"/>
    <cellStyle name="SAPBEXexcCritical6 2 2" xfId="41267"/>
    <cellStyle name="SAPBEXexcCritical6 2 2 2" xfId="41268"/>
    <cellStyle name="SAPBEXexcCritical6 2 2 2 2" xfId="41269"/>
    <cellStyle name="SAPBEXexcCritical6 2 2 2 3" xfId="41270"/>
    <cellStyle name="SAPBEXexcCritical6 2 2 2 4" xfId="41271"/>
    <cellStyle name="SAPBEXexcCritical6 2 2 3" xfId="41272"/>
    <cellStyle name="SAPBEXexcCritical6 2 2 3 2" xfId="41273"/>
    <cellStyle name="SAPBEXexcCritical6 2 2 3 3" xfId="41274"/>
    <cellStyle name="SAPBEXexcCritical6 2 2 3 4" xfId="41275"/>
    <cellStyle name="SAPBEXexcCritical6 2 2 4" xfId="41276"/>
    <cellStyle name="SAPBEXexcCritical6 2 2 4 2" xfId="41277"/>
    <cellStyle name="SAPBEXexcCritical6 2 2 4 3" xfId="41278"/>
    <cellStyle name="SAPBEXexcCritical6 2 2 4 4" xfId="41279"/>
    <cellStyle name="SAPBEXexcCritical6 2 2 5" xfId="41280"/>
    <cellStyle name="SAPBEXexcCritical6 2 2 6" xfId="41281"/>
    <cellStyle name="SAPBEXexcCritical6 2 2 7" xfId="41282"/>
    <cellStyle name="SAPBEXexcCritical6 2 2 8" xfId="41283"/>
    <cellStyle name="SAPBEXexcCritical6 2 3" xfId="41284"/>
    <cellStyle name="SAPBEXexcCritical6 2 3 2" xfId="41285"/>
    <cellStyle name="SAPBEXexcCritical6 2 3 2 2" xfId="41286"/>
    <cellStyle name="SAPBEXexcCritical6 2 3 2 3" xfId="41287"/>
    <cellStyle name="SAPBEXexcCritical6 2 3 2 4" xfId="41288"/>
    <cellStyle name="SAPBEXexcCritical6 2 3 3" xfId="41289"/>
    <cellStyle name="SAPBEXexcCritical6 2 3 3 2" xfId="41290"/>
    <cellStyle name="SAPBEXexcCritical6 2 3 3 3" xfId="41291"/>
    <cellStyle name="SAPBEXexcCritical6 2 3 3 4" xfId="41292"/>
    <cellStyle name="SAPBEXexcCritical6 2 3 4" xfId="41293"/>
    <cellStyle name="SAPBEXexcCritical6 2 3 4 2" xfId="41294"/>
    <cellStyle name="SAPBEXexcCritical6 2 3 4 3" xfId="41295"/>
    <cellStyle name="SAPBEXexcCritical6 2 3 4 4" xfId="41296"/>
    <cellStyle name="SAPBEXexcCritical6 2 3 5" xfId="41297"/>
    <cellStyle name="SAPBEXexcCritical6 2 3 6" xfId="41298"/>
    <cellStyle name="SAPBEXexcCritical6 2 3 7" xfId="41299"/>
    <cellStyle name="SAPBEXexcCritical6 2 3 8" xfId="41300"/>
    <cellStyle name="SAPBEXexcCritical6 2 4" xfId="41301"/>
    <cellStyle name="SAPBEXexcCritical6 2 4 2" xfId="41302"/>
    <cellStyle name="SAPBEXexcCritical6 2 4 2 2" xfId="41303"/>
    <cellStyle name="SAPBEXexcCritical6 2 4 2 3" xfId="41304"/>
    <cellStyle name="SAPBEXexcCritical6 2 4 2 4" xfId="41305"/>
    <cellStyle name="SAPBEXexcCritical6 2 4 3" xfId="41306"/>
    <cellStyle name="SAPBEXexcCritical6 2 4 3 2" xfId="41307"/>
    <cellStyle name="SAPBEXexcCritical6 2 4 3 3" xfId="41308"/>
    <cellStyle name="SAPBEXexcCritical6 2 4 3 4" xfId="41309"/>
    <cellStyle name="SAPBEXexcCritical6 2 4 4" xfId="41310"/>
    <cellStyle name="SAPBEXexcCritical6 2 4 4 2" xfId="41311"/>
    <cellStyle name="SAPBEXexcCritical6 2 4 4 3" xfId="41312"/>
    <cellStyle name="SAPBEXexcCritical6 2 4 4 4" xfId="41313"/>
    <cellStyle name="SAPBEXexcCritical6 2 4 5" xfId="41314"/>
    <cellStyle name="SAPBEXexcCritical6 2 4 6" xfId="41315"/>
    <cellStyle name="SAPBEXexcCritical6 2 4 7" xfId="41316"/>
    <cellStyle name="SAPBEXexcCritical6 2 4 8" xfId="41317"/>
    <cellStyle name="SAPBEXexcCritical6 2 5" xfId="41318"/>
    <cellStyle name="SAPBEXexcCritical6 2 5 2" xfId="41319"/>
    <cellStyle name="SAPBEXexcCritical6 2 5 2 2" xfId="41320"/>
    <cellStyle name="SAPBEXexcCritical6 2 5 2 3" xfId="41321"/>
    <cellStyle name="SAPBEXexcCritical6 2 5 2 4" xfId="41322"/>
    <cellStyle name="SAPBEXexcCritical6 2 5 3" xfId="41323"/>
    <cellStyle name="SAPBEXexcCritical6 2 5 3 2" xfId="41324"/>
    <cellStyle name="SAPBEXexcCritical6 2 5 3 3" xfId="41325"/>
    <cellStyle name="SAPBEXexcCritical6 2 5 3 4" xfId="41326"/>
    <cellStyle name="SAPBEXexcCritical6 2 5 4" xfId="41327"/>
    <cellStyle name="SAPBEXexcCritical6 2 5 4 2" xfId="41328"/>
    <cellStyle name="SAPBEXexcCritical6 2 5 4 3" xfId="41329"/>
    <cellStyle name="SAPBEXexcCritical6 2 5 4 4" xfId="41330"/>
    <cellStyle name="SAPBEXexcCritical6 2 5 5" xfId="41331"/>
    <cellStyle name="SAPBEXexcCritical6 2 5 6" xfId="41332"/>
    <cellStyle name="SAPBEXexcCritical6 2 5 7" xfId="41333"/>
    <cellStyle name="SAPBEXexcCritical6 2 5 8" xfId="41334"/>
    <cellStyle name="SAPBEXexcCritical6 2 6" xfId="41335"/>
    <cellStyle name="SAPBEXexcCritical6 2 6 2" xfId="41336"/>
    <cellStyle name="SAPBEXexcCritical6 2 6 3" xfId="41337"/>
    <cellStyle name="SAPBEXexcCritical6 2 6 4" xfId="41338"/>
    <cellStyle name="SAPBEXexcCritical6 2 7" xfId="41339"/>
    <cellStyle name="SAPBEXexcCritical6 2 7 2" xfId="41340"/>
    <cellStyle name="SAPBEXexcCritical6 2 7 3" xfId="41341"/>
    <cellStyle name="SAPBEXexcCritical6 2 7 4" xfId="41342"/>
    <cellStyle name="SAPBEXexcCritical6 2 8" xfId="41343"/>
    <cellStyle name="SAPBEXexcCritical6 2 9" xfId="41344"/>
    <cellStyle name="SAPBEXexcCritical6 3" xfId="41345"/>
    <cellStyle name="SAPBEXexcCritical6 3 2" xfId="41346"/>
    <cellStyle name="SAPBEXexcCritical6 3 2 2" xfId="41347"/>
    <cellStyle name="SAPBEXexcCritical6 3 2 3" xfId="41348"/>
    <cellStyle name="SAPBEXexcCritical6 3 2 4" xfId="41349"/>
    <cellStyle name="SAPBEXexcCritical6 3 3" xfId="41350"/>
    <cellStyle name="SAPBEXexcCritical6 3 3 2" xfId="41351"/>
    <cellStyle name="SAPBEXexcCritical6 3 3 3" xfId="41352"/>
    <cellStyle name="SAPBEXexcCritical6 3 3 4" xfId="41353"/>
    <cellStyle name="SAPBEXexcCritical6 3 4" xfId="41354"/>
    <cellStyle name="SAPBEXexcCritical6 3 4 2" xfId="41355"/>
    <cellStyle name="SAPBEXexcCritical6 3 4 3" xfId="41356"/>
    <cellStyle name="SAPBEXexcCritical6 3 4 4" xfId="41357"/>
    <cellStyle name="SAPBEXexcCritical6 3 5" xfId="41358"/>
    <cellStyle name="SAPBEXexcCritical6 3 6" xfId="41359"/>
    <cellStyle name="SAPBEXexcCritical6 3 7" xfId="41360"/>
    <cellStyle name="SAPBEXexcCritical6 3 8" xfId="41361"/>
    <cellStyle name="SAPBEXexcCritical6 4" xfId="41362"/>
    <cellStyle name="SAPBEXexcCritical6 4 2" xfId="41363"/>
    <cellStyle name="SAPBEXexcCritical6 4 2 2" xfId="41364"/>
    <cellStyle name="SAPBEXexcCritical6 4 2 3" xfId="41365"/>
    <cellStyle name="SAPBEXexcCritical6 4 2 4" xfId="41366"/>
    <cellStyle name="SAPBEXexcCritical6 4 3" xfId="41367"/>
    <cellStyle name="SAPBEXexcCritical6 4 3 2" xfId="41368"/>
    <cellStyle name="SAPBEXexcCritical6 4 3 3" xfId="41369"/>
    <cellStyle name="SAPBEXexcCritical6 4 3 4" xfId="41370"/>
    <cellStyle name="SAPBEXexcCritical6 4 4" xfId="41371"/>
    <cellStyle name="SAPBEXexcCritical6 4 4 2" xfId="41372"/>
    <cellStyle name="SAPBEXexcCritical6 4 4 3" xfId="41373"/>
    <cellStyle name="SAPBEXexcCritical6 4 4 4" xfId="41374"/>
    <cellStyle name="SAPBEXexcCritical6 4 5" xfId="41375"/>
    <cellStyle name="SAPBEXexcCritical6 4 6" xfId="41376"/>
    <cellStyle name="SAPBEXexcCritical6 4 7" xfId="41377"/>
    <cellStyle name="SAPBEXexcCritical6 4 8" xfId="41378"/>
    <cellStyle name="SAPBEXexcCritical6 5" xfId="41379"/>
    <cellStyle name="SAPBEXexcCritical6 5 2" xfId="41380"/>
    <cellStyle name="SAPBEXexcCritical6 5 2 2" xfId="41381"/>
    <cellStyle name="SAPBEXexcCritical6 5 2 3" xfId="41382"/>
    <cellStyle name="SAPBEXexcCritical6 5 2 4" xfId="41383"/>
    <cellStyle name="SAPBEXexcCritical6 5 3" xfId="41384"/>
    <cellStyle name="SAPBEXexcCritical6 5 3 2" xfId="41385"/>
    <cellStyle name="SAPBEXexcCritical6 5 3 3" xfId="41386"/>
    <cellStyle name="SAPBEXexcCritical6 5 3 4" xfId="41387"/>
    <cellStyle name="SAPBEXexcCritical6 5 4" xfId="41388"/>
    <cellStyle name="SAPBEXexcCritical6 5 4 2" xfId="41389"/>
    <cellStyle name="SAPBEXexcCritical6 5 4 3" xfId="41390"/>
    <cellStyle name="SAPBEXexcCritical6 5 4 4" xfId="41391"/>
    <cellStyle name="SAPBEXexcCritical6 5 5" xfId="41392"/>
    <cellStyle name="SAPBEXexcCritical6 5 6" xfId="41393"/>
    <cellStyle name="SAPBEXexcCritical6 5 7" xfId="41394"/>
    <cellStyle name="SAPBEXexcCritical6 5 8" xfId="41395"/>
    <cellStyle name="SAPBEXexcCritical6 6" xfId="41396"/>
    <cellStyle name="SAPBEXexcCritical6 6 2" xfId="41397"/>
    <cellStyle name="SAPBEXexcCritical6 6 2 2" xfId="41398"/>
    <cellStyle name="SAPBEXexcCritical6 6 2 3" xfId="41399"/>
    <cellStyle name="SAPBEXexcCritical6 6 2 4" xfId="41400"/>
    <cellStyle name="SAPBEXexcCritical6 6 3" xfId="41401"/>
    <cellStyle name="SAPBEXexcCritical6 6 3 2" xfId="41402"/>
    <cellStyle name="SAPBEXexcCritical6 6 3 3" xfId="41403"/>
    <cellStyle name="SAPBEXexcCritical6 6 3 4" xfId="41404"/>
    <cellStyle name="SAPBEXexcCritical6 6 4" xfId="41405"/>
    <cellStyle name="SAPBEXexcCritical6 6 4 2" xfId="41406"/>
    <cellStyle name="SAPBEXexcCritical6 6 4 3" xfId="41407"/>
    <cellStyle name="SAPBEXexcCritical6 6 4 4" xfId="41408"/>
    <cellStyle name="SAPBEXexcCritical6 6 5" xfId="41409"/>
    <cellStyle name="SAPBEXexcCritical6 6 6" xfId="41410"/>
    <cellStyle name="SAPBEXexcCritical6 6 7" xfId="41411"/>
    <cellStyle name="SAPBEXexcCritical6 6 8" xfId="41412"/>
    <cellStyle name="SAPBEXexcCritical6 7" xfId="41413"/>
    <cellStyle name="SAPBEXexcCritical6 7 2" xfId="41414"/>
    <cellStyle name="SAPBEXexcCritical6 7 2 2" xfId="41415"/>
    <cellStyle name="SAPBEXexcCritical6 7 2 3" xfId="41416"/>
    <cellStyle name="SAPBEXexcCritical6 7 2 4" xfId="41417"/>
    <cellStyle name="SAPBEXexcCritical6 7 3" xfId="41418"/>
    <cellStyle name="SAPBEXexcCritical6 7 3 2" xfId="41419"/>
    <cellStyle name="SAPBEXexcCritical6 7 3 3" xfId="41420"/>
    <cellStyle name="SAPBEXexcCritical6 7 3 4" xfId="41421"/>
    <cellStyle name="SAPBEXexcCritical6 7 4" xfId="41422"/>
    <cellStyle name="SAPBEXexcCritical6 7 4 2" xfId="41423"/>
    <cellStyle name="SAPBEXexcCritical6 7 4 3" xfId="41424"/>
    <cellStyle name="SAPBEXexcCritical6 7 4 4" xfId="41425"/>
    <cellStyle name="SAPBEXexcCritical6 7 5" xfId="41426"/>
    <cellStyle name="SAPBEXexcCritical6 7 6" xfId="41427"/>
    <cellStyle name="SAPBEXexcCritical6 7 7" xfId="41428"/>
    <cellStyle name="SAPBEXexcCritical6 7 8" xfId="41429"/>
    <cellStyle name="SAPBEXexcCritical6 8" xfId="41430"/>
    <cellStyle name="SAPBEXexcCritical6 8 2" xfId="41431"/>
    <cellStyle name="SAPBEXexcCritical6 8 3" xfId="41432"/>
    <cellStyle name="SAPBEXexcCritical6 8 4" xfId="41433"/>
    <cellStyle name="SAPBEXexcCritical6 9" xfId="41434"/>
    <cellStyle name="SAPBEXexcCritical6 9 2" xfId="41435"/>
    <cellStyle name="SAPBEXexcCritical6 9 3" xfId="41436"/>
    <cellStyle name="SAPBEXexcCritical6 9 4" xfId="41437"/>
    <cellStyle name="SAPBEXexcGood1" xfId="41438"/>
    <cellStyle name="SAPBEXexcGood1 10" xfId="41439"/>
    <cellStyle name="SAPBEXexcGood1 11" xfId="41440"/>
    <cellStyle name="SAPBEXexcGood1 2" xfId="41441"/>
    <cellStyle name="SAPBEXexcGood1 2 2" xfId="41442"/>
    <cellStyle name="SAPBEXexcGood1 2 2 2" xfId="41443"/>
    <cellStyle name="SAPBEXexcGood1 2 2 2 2" xfId="41444"/>
    <cellStyle name="SAPBEXexcGood1 2 2 2 3" xfId="41445"/>
    <cellStyle name="SAPBEXexcGood1 2 2 2 4" xfId="41446"/>
    <cellStyle name="SAPBEXexcGood1 2 2 3" xfId="41447"/>
    <cellStyle name="SAPBEXexcGood1 2 2 3 2" xfId="41448"/>
    <cellStyle name="SAPBEXexcGood1 2 2 3 3" xfId="41449"/>
    <cellStyle name="SAPBEXexcGood1 2 2 3 4" xfId="41450"/>
    <cellStyle name="SAPBEXexcGood1 2 2 4" xfId="41451"/>
    <cellStyle name="SAPBEXexcGood1 2 2 4 2" xfId="41452"/>
    <cellStyle name="SAPBEXexcGood1 2 2 4 3" xfId="41453"/>
    <cellStyle name="SAPBEXexcGood1 2 2 4 4" xfId="41454"/>
    <cellStyle name="SAPBEXexcGood1 2 2 5" xfId="41455"/>
    <cellStyle name="SAPBEXexcGood1 2 2 6" xfId="41456"/>
    <cellStyle name="SAPBEXexcGood1 2 2 7" xfId="41457"/>
    <cellStyle name="SAPBEXexcGood1 2 2 8" xfId="41458"/>
    <cellStyle name="SAPBEXexcGood1 2 3" xfId="41459"/>
    <cellStyle name="SAPBEXexcGood1 2 3 2" xfId="41460"/>
    <cellStyle name="SAPBEXexcGood1 2 3 2 2" xfId="41461"/>
    <cellStyle name="SAPBEXexcGood1 2 3 2 3" xfId="41462"/>
    <cellStyle name="SAPBEXexcGood1 2 3 2 4" xfId="41463"/>
    <cellStyle name="SAPBEXexcGood1 2 3 3" xfId="41464"/>
    <cellStyle name="SAPBEXexcGood1 2 3 3 2" xfId="41465"/>
    <cellStyle name="SAPBEXexcGood1 2 3 3 3" xfId="41466"/>
    <cellStyle name="SAPBEXexcGood1 2 3 3 4" xfId="41467"/>
    <cellStyle name="SAPBEXexcGood1 2 3 4" xfId="41468"/>
    <cellStyle name="SAPBEXexcGood1 2 3 4 2" xfId="41469"/>
    <cellStyle name="SAPBEXexcGood1 2 3 4 3" xfId="41470"/>
    <cellStyle name="SAPBEXexcGood1 2 3 4 4" xfId="41471"/>
    <cellStyle name="SAPBEXexcGood1 2 3 5" xfId="41472"/>
    <cellStyle name="SAPBEXexcGood1 2 3 6" xfId="41473"/>
    <cellStyle name="SAPBEXexcGood1 2 3 7" xfId="41474"/>
    <cellStyle name="SAPBEXexcGood1 2 3 8" xfId="41475"/>
    <cellStyle name="SAPBEXexcGood1 2 4" xfId="41476"/>
    <cellStyle name="SAPBEXexcGood1 2 4 2" xfId="41477"/>
    <cellStyle name="SAPBEXexcGood1 2 4 2 2" xfId="41478"/>
    <cellStyle name="SAPBEXexcGood1 2 4 2 3" xfId="41479"/>
    <cellStyle name="SAPBEXexcGood1 2 4 2 4" xfId="41480"/>
    <cellStyle name="SAPBEXexcGood1 2 4 3" xfId="41481"/>
    <cellStyle name="SAPBEXexcGood1 2 4 3 2" xfId="41482"/>
    <cellStyle name="SAPBEXexcGood1 2 4 3 3" xfId="41483"/>
    <cellStyle name="SAPBEXexcGood1 2 4 3 4" xfId="41484"/>
    <cellStyle name="SAPBEXexcGood1 2 4 4" xfId="41485"/>
    <cellStyle name="SAPBEXexcGood1 2 4 4 2" xfId="41486"/>
    <cellStyle name="SAPBEXexcGood1 2 4 4 3" xfId="41487"/>
    <cellStyle name="SAPBEXexcGood1 2 4 4 4" xfId="41488"/>
    <cellStyle name="SAPBEXexcGood1 2 4 5" xfId="41489"/>
    <cellStyle name="SAPBEXexcGood1 2 4 6" xfId="41490"/>
    <cellStyle name="SAPBEXexcGood1 2 4 7" xfId="41491"/>
    <cellStyle name="SAPBEXexcGood1 2 4 8" xfId="41492"/>
    <cellStyle name="SAPBEXexcGood1 2 5" xfId="41493"/>
    <cellStyle name="SAPBEXexcGood1 2 5 2" xfId="41494"/>
    <cellStyle name="SAPBEXexcGood1 2 5 2 2" xfId="41495"/>
    <cellStyle name="SAPBEXexcGood1 2 5 2 3" xfId="41496"/>
    <cellStyle name="SAPBEXexcGood1 2 5 2 4" xfId="41497"/>
    <cellStyle name="SAPBEXexcGood1 2 5 3" xfId="41498"/>
    <cellStyle name="SAPBEXexcGood1 2 5 3 2" xfId="41499"/>
    <cellStyle name="SAPBEXexcGood1 2 5 3 3" xfId="41500"/>
    <cellStyle name="SAPBEXexcGood1 2 5 3 4" xfId="41501"/>
    <cellStyle name="SAPBEXexcGood1 2 5 4" xfId="41502"/>
    <cellStyle name="SAPBEXexcGood1 2 5 4 2" xfId="41503"/>
    <cellStyle name="SAPBEXexcGood1 2 5 4 3" xfId="41504"/>
    <cellStyle name="SAPBEXexcGood1 2 5 4 4" xfId="41505"/>
    <cellStyle name="SAPBEXexcGood1 2 5 5" xfId="41506"/>
    <cellStyle name="SAPBEXexcGood1 2 5 6" xfId="41507"/>
    <cellStyle name="SAPBEXexcGood1 2 5 7" xfId="41508"/>
    <cellStyle name="SAPBEXexcGood1 2 5 8" xfId="41509"/>
    <cellStyle name="SAPBEXexcGood1 2 6" xfId="41510"/>
    <cellStyle name="SAPBEXexcGood1 2 6 2" xfId="41511"/>
    <cellStyle name="SAPBEXexcGood1 2 6 3" xfId="41512"/>
    <cellStyle name="SAPBEXexcGood1 2 6 4" xfId="41513"/>
    <cellStyle name="SAPBEXexcGood1 2 7" xfId="41514"/>
    <cellStyle name="SAPBEXexcGood1 2 7 2" xfId="41515"/>
    <cellStyle name="SAPBEXexcGood1 2 7 3" xfId="41516"/>
    <cellStyle name="SAPBEXexcGood1 2 7 4" xfId="41517"/>
    <cellStyle name="SAPBEXexcGood1 2 8" xfId="41518"/>
    <cellStyle name="SAPBEXexcGood1 2 9" xfId="41519"/>
    <cellStyle name="SAPBEXexcGood1 3" xfId="41520"/>
    <cellStyle name="SAPBEXexcGood1 3 2" xfId="41521"/>
    <cellStyle name="SAPBEXexcGood1 3 2 2" xfId="41522"/>
    <cellStyle name="SAPBEXexcGood1 3 2 3" xfId="41523"/>
    <cellStyle name="SAPBEXexcGood1 3 2 4" xfId="41524"/>
    <cellStyle name="SAPBEXexcGood1 3 3" xfId="41525"/>
    <cellStyle name="SAPBEXexcGood1 3 3 2" xfId="41526"/>
    <cellStyle name="SAPBEXexcGood1 3 3 3" xfId="41527"/>
    <cellStyle name="SAPBEXexcGood1 3 3 4" xfId="41528"/>
    <cellStyle name="SAPBEXexcGood1 3 4" xfId="41529"/>
    <cellStyle name="SAPBEXexcGood1 3 4 2" xfId="41530"/>
    <cellStyle name="SAPBEXexcGood1 3 4 3" xfId="41531"/>
    <cellStyle name="SAPBEXexcGood1 3 4 4" xfId="41532"/>
    <cellStyle name="SAPBEXexcGood1 3 5" xfId="41533"/>
    <cellStyle name="SAPBEXexcGood1 3 6" xfId="41534"/>
    <cellStyle name="SAPBEXexcGood1 3 7" xfId="41535"/>
    <cellStyle name="SAPBEXexcGood1 3 8" xfId="41536"/>
    <cellStyle name="SAPBEXexcGood1 4" xfId="41537"/>
    <cellStyle name="SAPBEXexcGood1 4 2" xfId="41538"/>
    <cellStyle name="SAPBEXexcGood1 4 2 2" xfId="41539"/>
    <cellStyle name="SAPBEXexcGood1 4 2 3" xfId="41540"/>
    <cellStyle name="SAPBEXexcGood1 4 2 4" xfId="41541"/>
    <cellStyle name="SAPBEXexcGood1 4 3" xfId="41542"/>
    <cellStyle name="SAPBEXexcGood1 4 3 2" xfId="41543"/>
    <cellStyle name="SAPBEXexcGood1 4 3 3" xfId="41544"/>
    <cellStyle name="SAPBEXexcGood1 4 3 4" xfId="41545"/>
    <cellStyle name="SAPBEXexcGood1 4 4" xfId="41546"/>
    <cellStyle name="SAPBEXexcGood1 4 4 2" xfId="41547"/>
    <cellStyle name="SAPBEXexcGood1 4 4 3" xfId="41548"/>
    <cellStyle name="SAPBEXexcGood1 4 4 4" xfId="41549"/>
    <cellStyle name="SAPBEXexcGood1 4 5" xfId="41550"/>
    <cellStyle name="SAPBEXexcGood1 4 6" xfId="41551"/>
    <cellStyle name="SAPBEXexcGood1 4 7" xfId="41552"/>
    <cellStyle name="SAPBEXexcGood1 4 8" xfId="41553"/>
    <cellStyle name="SAPBEXexcGood1 5" xfId="41554"/>
    <cellStyle name="SAPBEXexcGood1 5 2" xfId="41555"/>
    <cellStyle name="SAPBEXexcGood1 5 2 2" xfId="41556"/>
    <cellStyle name="SAPBEXexcGood1 5 2 3" xfId="41557"/>
    <cellStyle name="SAPBEXexcGood1 5 2 4" xfId="41558"/>
    <cellStyle name="SAPBEXexcGood1 5 3" xfId="41559"/>
    <cellStyle name="SAPBEXexcGood1 5 3 2" xfId="41560"/>
    <cellStyle name="SAPBEXexcGood1 5 3 3" xfId="41561"/>
    <cellStyle name="SAPBEXexcGood1 5 3 4" xfId="41562"/>
    <cellStyle name="SAPBEXexcGood1 5 4" xfId="41563"/>
    <cellStyle name="SAPBEXexcGood1 5 4 2" xfId="41564"/>
    <cellStyle name="SAPBEXexcGood1 5 4 3" xfId="41565"/>
    <cellStyle name="SAPBEXexcGood1 5 4 4" xfId="41566"/>
    <cellStyle name="SAPBEXexcGood1 5 5" xfId="41567"/>
    <cellStyle name="SAPBEXexcGood1 5 6" xfId="41568"/>
    <cellStyle name="SAPBEXexcGood1 5 7" xfId="41569"/>
    <cellStyle name="SAPBEXexcGood1 5 8" xfId="41570"/>
    <cellStyle name="SAPBEXexcGood1 6" xfId="41571"/>
    <cellStyle name="SAPBEXexcGood1 6 2" xfId="41572"/>
    <cellStyle name="SAPBEXexcGood1 6 2 2" xfId="41573"/>
    <cellStyle name="SAPBEXexcGood1 6 2 3" xfId="41574"/>
    <cellStyle name="SAPBEXexcGood1 6 2 4" xfId="41575"/>
    <cellStyle name="SAPBEXexcGood1 6 3" xfId="41576"/>
    <cellStyle name="SAPBEXexcGood1 6 3 2" xfId="41577"/>
    <cellStyle name="SAPBEXexcGood1 6 3 3" xfId="41578"/>
    <cellStyle name="SAPBEXexcGood1 6 3 4" xfId="41579"/>
    <cellStyle name="SAPBEXexcGood1 6 4" xfId="41580"/>
    <cellStyle name="SAPBEXexcGood1 6 4 2" xfId="41581"/>
    <cellStyle name="SAPBEXexcGood1 6 4 3" xfId="41582"/>
    <cellStyle name="SAPBEXexcGood1 6 4 4" xfId="41583"/>
    <cellStyle name="SAPBEXexcGood1 6 5" xfId="41584"/>
    <cellStyle name="SAPBEXexcGood1 6 6" xfId="41585"/>
    <cellStyle name="SAPBEXexcGood1 6 7" xfId="41586"/>
    <cellStyle name="SAPBEXexcGood1 6 8" xfId="41587"/>
    <cellStyle name="SAPBEXexcGood1 7" xfId="41588"/>
    <cellStyle name="SAPBEXexcGood1 7 2" xfId="41589"/>
    <cellStyle name="SAPBEXexcGood1 7 2 2" xfId="41590"/>
    <cellStyle name="SAPBEXexcGood1 7 2 3" xfId="41591"/>
    <cellStyle name="SAPBEXexcGood1 7 2 4" xfId="41592"/>
    <cellStyle name="SAPBEXexcGood1 7 3" xfId="41593"/>
    <cellStyle name="SAPBEXexcGood1 7 3 2" xfId="41594"/>
    <cellStyle name="SAPBEXexcGood1 7 3 3" xfId="41595"/>
    <cellStyle name="SAPBEXexcGood1 7 3 4" xfId="41596"/>
    <cellStyle name="SAPBEXexcGood1 7 4" xfId="41597"/>
    <cellStyle name="SAPBEXexcGood1 7 4 2" xfId="41598"/>
    <cellStyle name="SAPBEXexcGood1 7 4 3" xfId="41599"/>
    <cellStyle name="SAPBEXexcGood1 7 4 4" xfId="41600"/>
    <cellStyle name="SAPBEXexcGood1 7 5" xfId="41601"/>
    <cellStyle name="SAPBEXexcGood1 7 6" xfId="41602"/>
    <cellStyle name="SAPBEXexcGood1 7 7" xfId="41603"/>
    <cellStyle name="SAPBEXexcGood1 7 8" xfId="41604"/>
    <cellStyle name="SAPBEXexcGood1 8" xfId="41605"/>
    <cellStyle name="SAPBEXexcGood1 8 2" xfId="41606"/>
    <cellStyle name="SAPBEXexcGood1 8 3" xfId="41607"/>
    <cellStyle name="SAPBEXexcGood1 8 4" xfId="41608"/>
    <cellStyle name="SAPBEXexcGood1 9" xfId="41609"/>
    <cellStyle name="SAPBEXexcGood1 9 2" xfId="41610"/>
    <cellStyle name="SAPBEXexcGood1 9 3" xfId="41611"/>
    <cellStyle name="SAPBEXexcGood1 9 4" xfId="41612"/>
    <cellStyle name="SAPBEXexcGood2" xfId="41613"/>
    <cellStyle name="SAPBEXexcGood2 10" xfId="41614"/>
    <cellStyle name="SAPBEXexcGood2 11" xfId="41615"/>
    <cellStyle name="SAPBEXexcGood2 2" xfId="41616"/>
    <cellStyle name="SAPBEXexcGood2 2 2" xfId="41617"/>
    <cellStyle name="SAPBEXexcGood2 2 2 2" xfId="41618"/>
    <cellStyle name="SAPBEXexcGood2 2 2 2 2" xfId="41619"/>
    <cellStyle name="SAPBEXexcGood2 2 2 2 3" xfId="41620"/>
    <cellStyle name="SAPBEXexcGood2 2 2 2 4" xfId="41621"/>
    <cellStyle name="SAPBEXexcGood2 2 2 3" xfId="41622"/>
    <cellStyle name="SAPBEXexcGood2 2 2 3 2" xfId="41623"/>
    <cellStyle name="SAPBEXexcGood2 2 2 3 3" xfId="41624"/>
    <cellStyle name="SAPBEXexcGood2 2 2 3 4" xfId="41625"/>
    <cellStyle name="SAPBEXexcGood2 2 2 4" xfId="41626"/>
    <cellStyle name="SAPBEXexcGood2 2 2 4 2" xfId="41627"/>
    <cellStyle name="SAPBEXexcGood2 2 2 4 3" xfId="41628"/>
    <cellStyle name="SAPBEXexcGood2 2 2 4 4" xfId="41629"/>
    <cellStyle name="SAPBEXexcGood2 2 2 5" xfId="41630"/>
    <cellStyle name="SAPBEXexcGood2 2 2 6" xfId="41631"/>
    <cellStyle name="SAPBEXexcGood2 2 2 7" xfId="41632"/>
    <cellStyle name="SAPBEXexcGood2 2 2 8" xfId="41633"/>
    <cellStyle name="SAPBEXexcGood2 2 3" xfId="41634"/>
    <cellStyle name="SAPBEXexcGood2 2 3 2" xfId="41635"/>
    <cellStyle name="SAPBEXexcGood2 2 3 2 2" xfId="41636"/>
    <cellStyle name="SAPBEXexcGood2 2 3 2 3" xfId="41637"/>
    <cellStyle name="SAPBEXexcGood2 2 3 2 4" xfId="41638"/>
    <cellStyle name="SAPBEXexcGood2 2 3 3" xfId="41639"/>
    <cellStyle name="SAPBEXexcGood2 2 3 3 2" xfId="41640"/>
    <cellStyle name="SAPBEXexcGood2 2 3 3 3" xfId="41641"/>
    <cellStyle name="SAPBEXexcGood2 2 3 3 4" xfId="41642"/>
    <cellStyle name="SAPBEXexcGood2 2 3 4" xfId="41643"/>
    <cellStyle name="SAPBEXexcGood2 2 3 4 2" xfId="41644"/>
    <cellStyle name="SAPBEXexcGood2 2 3 4 3" xfId="41645"/>
    <cellStyle name="SAPBEXexcGood2 2 3 4 4" xfId="41646"/>
    <cellStyle name="SAPBEXexcGood2 2 3 5" xfId="41647"/>
    <cellStyle name="SAPBEXexcGood2 2 3 6" xfId="41648"/>
    <cellStyle name="SAPBEXexcGood2 2 3 7" xfId="41649"/>
    <cellStyle name="SAPBEXexcGood2 2 3 8" xfId="41650"/>
    <cellStyle name="SAPBEXexcGood2 2 4" xfId="41651"/>
    <cellStyle name="SAPBEXexcGood2 2 4 2" xfId="41652"/>
    <cellStyle name="SAPBEXexcGood2 2 4 2 2" xfId="41653"/>
    <cellStyle name="SAPBEXexcGood2 2 4 2 3" xfId="41654"/>
    <cellStyle name="SAPBEXexcGood2 2 4 2 4" xfId="41655"/>
    <cellStyle name="SAPBEXexcGood2 2 4 3" xfId="41656"/>
    <cellStyle name="SAPBEXexcGood2 2 4 3 2" xfId="41657"/>
    <cellStyle name="SAPBEXexcGood2 2 4 3 3" xfId="41658"/>
    <cellStyle name="SAPBEXexcGood2 2 4 3 4" xfId="41659"/>
    <cellStyle name="SAPBEXexcGood2 2 4 4" xfId="41660"/>
    <cellStyle name="SAPBEXexcGood2 2 4 4 2" xfId="41661"/>
    <cellStyle name="SAPBEXexcGood2 2 4 4 3" xfId="41662"/>
    <cellStyle name="SAPBEXexcGood2 2 4 4 4" xfId="41663"/>
    <cellStyle name="SAPBEXexcGood2 2 4 5" xfId="41664"/>
    <cellStyle name="SAPBEXexcGood2 2 4 6" xfId="41665"/>
    <cellStyle name="SAPBEXexcGood2 2 4 7" xfId="41666"/>
    <cellStyle name="SAPBEXexcGood2 2 4 8" xfId="41667"/>
    <cellStyle name="SAPBEXexcGood2 2 5" xfId="41668"/>
    <cellStyle name="SAPBEXexcGood2 2 5 2" xfId="41669"/>
    <cellStyle name="SAPBEXexcGood2 2 5 2 2" xfId="41670"/>
    <cellStyle name="SAPBEXexcGood2 2 5 2 3" xfId="41671"/>
    <cellStyle name="SAPBEXexcGood2 2 5 2 4" xfId="41672"/>
    <cellStyle name="SAPBEXexcGood2 2 5 3" xfId="41673"/>
    <cellStyle name="SAPBEXexcGood2 2 5 3 2" xfId="41674"/>
    <cellStyle name="SAPBEXexcGood2 2 5 3 3" xfId="41675"/>
    <cellStyle name="SAPBEXexcGood2 2 5 3 4" xfId="41676"/>
    <cellStyle name="SAPBEXexcGood2 2 5 4" xfId="41677"/>
    <cellStyle name="SAPBEXexcGood2 2 5 4 2" xfId="41678"/>
    <cellStyle name="SAPBEXexcGood2 2 5 4 3" xfId="41679"/>
    <cellStyle name="SAPBEXexcGood2 2 5 4 4" xfId="41680"/>
    <cellStyle name="SAPBEXexcGood2 2 5 5" xfId="41681"/>
    <cellStyle name="SAPBEXexcGood2 2 5 6" xfId="41682"/>
    <cellStyle name="SAPBEXexcGood2 2 5 7" xfId="41683"/>
    <cellStyle name="SAPBEXexcGood2 2 5 8" xfId="41684"/>
    <cellStyle name="SAPBEXexcGood2 2 6" xfId="41685"/>
    <cellStyle name="SAPBEXexcGood2 2 6 2" xfId="41686"/>
    <cellStyle name="SAPBEXexcGood2 2 6 3" xfId="41687"/>
    <cellStyle name="SAPBEXexcGood2 2 6 4" xfId="41688"/>
    <cellStyle name="SAPBEXexcGood2 2 7" xfId="41689"/>
    <cellStyle name="SAPBEXexcGood2 2 7 2" xfId="41690"/>
    <cellStyle name="SAPBEXexcGood2 2 7 3" xfId="41691"/>
    <cellStyle name="SAPBEXexcGood2 2 7 4" xfId="41692"/>
    <cellStyle name="SAPBEXexcGood2 2 8" xfId="41693"/>
    <cellStyle name="SAPBEXexcGood2 2 9" xfId="41694"/>
    <cellStyle name="SAPBEXexcGood2 3" xfId="41695"/>
    <cellStyle name="SAPBEXexcGood2 3 2" xfId="41696"/>
    <cellStyle name="SAPBEXexcGood2 3 2 2" xfId="41697"/>
    <cellStyle name="SAPBEXexcGood2 3 2 3" xfId="41698"/>
    <cellStyle name="SAPBEXexcGood2 3 2 4" xfId="41699"/>
    <cellStyle name="SAPBEXexcGood2 3 3" xfId="41700"/>
    <cellStyle name="SAPBEXexcGood2 3 3 2" xfId="41701"/>
    <cellStyle name="SAPBEXexcGood2 3 3 3" xfId="41702"/>
    <cellStyle name="SAPBEXexcGood2 3 3 4" xfId="41703"/>
    <cellStyle name="SAPBEXexcGood2 3 4" xfId="41704"/>
    <cellStyle name="SAPBEXexcGood2 3 4 2" xfId="41705"/>
    <cellStyle name="SAPBEXexcGood2 3 4 3" xfId="41706"/>
    <cellStyle name="SAPBEXexcGood2 3 4 4" xfId="41707"/>
    <cellStyle name="SAPBEXexcGood2 3 5" xfId="41708"/>
    <cellStyle name="SAPBEXexcGood2 3 6" xfId="41709"/>
    <cellStyle name="SAPBEXexcGood2 3 7" xfId="41710"/>
    <cellStyle name="SAPBEXexcGood2 3 8" xfId="41711"/>
    <cellStyle name="SAPBEXexcGood2 4" xfId="41712"/>
    <cellStyle name="SAPBEXexcGood2 4 2" xfId="41713"/>
    <cellStyle name="SAPBEXexcGood2 4 2 2" xfId="41714"/>
    <cellStyle name="SAPBEXexcGood2 4 2 3" xfId="41715"/>
    <cellStyle name="SAPBEXexcGood2 4 2 4" xfId="41716"/>
    <cellStyle name="SAPBEXexcGood2 4 3" xfId="41717"/>
    <cellStyle name="SAPBEXexcGood2 4 3 2" xfId="41718"/>
    <cellStyle name="SAPBEXexcGood2 4 3 3" xfId="41719"/>
    <cellStyle name="SAPBEXexcGood2 4 3 4" xfId="41720"/>
    <cellStyle name="SAPBEXexcGood2 4 4" xfId="41721"/>
    <cellStyle name="SAPBEXexcGood2 4 4 2" xfId="41722"/>
    <cellStyle name="SAPBEXexcGood2 4 4 3" xfId="41723"/>
    <cellStyle name="SAPBEXexcGood2 4 4 4" xfId="41724"/>
    <cellStyle name="SAPBEXexcGood2 4 5" xfId="41725"/>
    <cellStyle name="SAPBEXexcGood2 4 6" xfId="41726"/>
    <cellStyle name="SAPBEXexcGood2 4 7" xfId="41727"/>
    <cellStyle name="SAPBEXexcGood2 4 8" xfId="41728"/>
    <cellStyle name="SAPBEXexcGood2 5" xfId="41729"/>
    <cellStyle name="SAPBEXexcGood2 5 2" xfId="41730"/>
    <cellStyle name="SAPBEXexcGood2 5 2 2" xfId="41731"/>
    <cellStyle name="SAPBEXexcGood2 5 2 3" xfId="41732"/>
    <cellStyle name="SAPBEXexcGood2 5 2 4" xfId="41733"/>
    <cellStyle name="SAPBEXexcGood2 5 3" xfId="41734"/>
    <cellStyle name="SAPBEXexcGood2 5 3 2" xfId="41735"/>
    <cellStyle name="SAPBEXexcGood2 5 3 3" xfId="41736"/>
    <cellStyle name="SAPBEXexcGood2 5 3 4" xfId="41737"/>
    <cellStyle name="SAPBEXexcGood2 5 4" xfId="41738"/>
    <cellStyle name="SAPBEXexcGood2 5 4 2" xfId="41739"/>
    <cellStyle name="SAPBEXexcGood2 5 4 3" xfId="41740"/>
    <cellStyle name="SAPBEXexcGood2 5 4 4" xfId="41741"/>
    <cellStyle name="SAPBEXexcGood2 5 5" xfId="41742"/>
    <cellStyle name="SAPBEXexcGood2 5 6" xfId="41743"/>
    <cellStyle name="SAPBEXexcGood2 5 7" xfId="41744"/>
    <cellStyle name="SAPBEXexcGood2 5 8" xfId="41745"/>
    <cellStyle name="SAPBEXexcGood2 6" xfId="41746"/>
    <cellStyle name="SAPBEXexcGood2 6 2" xfId="41747"/>
    <cellStyle name="SAPBEXexcGood2 6 2 2" xfId="41748"/>
    <cellStyle name="SAPBEXexcGood2 6 2 3" xfId="41749"/>
    <cellStyle name="SAPBEXexcGood2 6 2 4" xfId="41750"/>
    <cellStyle name="SAPBEXexcGood2 6 3" xfId="41751"/>
    <cellStyle name="SAPBEXexcGood2 6 3 2" xfId="41752"/>
    <cellStyle name="SAPBEXexcGood2 6 3 3" xfId="41753"/>
    <cellStyle name="SAPBEXexcGood2 6 3 4" xfId="41754"/>
    <cellStyle name="SAPBEXexcGood2 6 4" xfId="41755"/>
    <cellStyle name="SAPBEXexcGood2 6 4 2" xfId="41756"/>
    <cellStyle name="SAPBEXexcGood2 6 4 3" xfId="41757"/>
    <cellStyle name="SAPBEXexcGood2 6 4 4" xfId="41758"/>
    <cellStyle name="SAPBEXexcGood2 6 5" xfId="41759"/>
    <cellStyle name="SAPBEXexcGood2 6 6" xfId="41760"/>
    <cellStyle name="SAPBEXexcGood2 6 7" xfId="41761"/>
    <cellStyle name="SAPBEXexcGood2 6 8" xfId="41762"/>
    <cellStyle name="SAPBEXexcGood2 7" xfId="41763"/>
    <cellStyle name="SAPBEXexcGood2 7 2" xfId="41764"/>
    <cellStyle name="SAPBEXexcGood2 7 2 2" xfId="41765"/>
    <cellStyle name="SAPBEXexcGood2 7 2 3" xfId="41766"/>
    <cellStyle name="SAPBEXexcGood2 7 2 4" xfId="41767"/>
    <cellStyle name="SAPBEXexcGood2 7 3" xfId="41768"/>
    <cellStyle name="SAPBEXexcGood2 7 3 2" xfId="41769"/>
    <cellStyle name="SAPBEXexcGood2 7 3 3" xfId="41770"/>
    <cellStyle name="SAPBEXexcGood2 7 3 4" xfId="41771"/>
    <cellStyle name="SAPBEXexcGood2 7 4" xfId="41772"/>
    <cellStyle name="SAPBEXexcGood2 7 4 2" xfId="41773"/>
    <cellStyle name="SAPBEXexcGood2 7 4 3" xfId="41774"/>
    <cellStyle name="SAPBEXexcGood2 7 4 4" xfId="41775"/>
    <cellStyle name="SAPBEXexcGood2 7 5" xfId="41776"/>
    <cellStyle name="SAPBEXexcGood2 7 6" xfId="41777"/>
    <cellStyle name="SAPBEXexcGood2 7 7" xfId="41778"/>
    <cellStyle name="SAPBEXexcGood2 7 8" xfId="41779"/>
    <cellStyle name="SAPBEXexcGood2 8" xfId="41780"/>
    <cellStyle name="SAPBEXexcGood2 8 2" xfId="41781"/>
    <cellStyle name="SAPBEXexcGood2 8 3" xfId="41782"/>
    <cellStyle name="SAPBEXexcGood2 8 4" xfId="41783"/>
    <cellStyle name="SAPBEXexcGood2 9" xfId="41784"/>
    <cellStyle name="SAPBEXexcGood2 9 2" xfId="41785"/>
    <cellStyle name="SAPBEXexcGood2 9 3" xfId="41786"/>
    <cellStyle name="SAPBEXexcGood2 9 4" xfId="41787"/>
    <cellStyle name="SAPBEXexcGood3" xfId="41788"/>
    <cellStyle name="SAPBEXexcGood3 10" xfId="41789"/>
    <cellStyle name="SAPBEXexcGood3 11" xfId="41790"/>
    <cellStyle name="SAPBEXexcGood3 2" xfId="41791"/>
    <cellStyle name="SAPBEXexcGood3 2 2" xfId="41792"/>
    <cellStyle name="SAPBEXexcGood3 2 2 2" xfId="41793"/>
    <cellStyle name="SAPBEXexcGood3 2 2 2 2" xfId="41794"/>
    <cellStyle name="SAPBEXexcGood3 2 2 2 3" xfId="41795"/>
    <cellStyle name="SAPBEXexcGood3 2 2 2 4" xfId="41796"/>
    <cellStyle name="SAPBEXexcGood3 2 2 3" xfId="41797"/>
    <cellStyle name="SAPBEXexcGood3 2 2 3 2" xfId="41798"/>
    <cellStyle name="SAPBEXexcGood3 2 2 3 3" xfId="41799"/>
    <cellStyle name="SAPBEXexcGood3 2 2 3 4" xfId="41800"/>
    <cellStyle name="SAPBEXexcGood3 2 2 4" xfId="41801"/>
    <cellStyle name="SAPBEXexcGood3 2 2 4 2" xfId="41802"/>
    <cellStyle name="SAPBEXexcGood3 2 2 4 3" xfId="41803"/>
    <cellStyle name="SAPBEXexcGood3 2 2 4 4" xfId="41804"/>
    <cellStyle name="SAPBEXexcGood3 2 2 5" xfId="41805"/>
    <cellStyle name="SAPBEXexcGood3 2 2 6" xfId="41806"/>
    <cellStyle name="SAPBEXexcGood3 2 2 7" xfId="41807"/>
    <cellStyle name="SAPBEXexcGood3 2 2 8" xfId="41808"/>
    <cellStyle name="SAPBEXexcGood3 2 3" xfId="41809"/>
    <cellStyle name="SAPBEXexcGood3 2 3 2" xfId="41810"/>
    <cellStyle name="SAPBEXexcGood3 2 3 2 2" xfId="41811"/>
    <cellStyle name="SAPBEXexcGood3 2 3 2 3" xfId="41812"/>
    <cellStyle name="SAPBEXexcGood3 2 3 2 4" xfId="41813"/>
    <cellStyle name="SAPBEXexcGood3 2 3 3" xfId="41814"/>
    <cellStyle name="SAPBEXexcGood3 2 3 3 2" xfId="41815"/>
    <cellStyle name="SAPBEXexcGood3 2 3 3 3" xfId="41816"/>
    <cellStyle name="SAPBEXexcGood3 2 3 3 4" xfId="41817"/>
    <cellStyle name="SAPBEXexcGood3 2 3 4" xfId="41818"/>
    <cellStyle name="SAPBEXexcGood3 2 3 4 2" xfId="41819"/>
    <cellStyle name="SAPBEXexcGood3 2 3 4 3" xfId="41820"/>
    <cellStyle name="SAPBEXexcGood3 2 3 4 4" xfId="41821"/>
    <cellStyle name="SAPBEXexcGood3 2 3 5" xfId="41822"/>
    <cellStyle name="SAPBEXexcGood3 2 3 6" xfId="41823"/>
    <cellStyle name="SAPBEXexcGood3 2 3 7" xfId="41824"/>
    <cellStyle name="SAPBEXexcGood3 2 3 8" xfId="41825"/>
    <cellStyle name="SAPBEXexcGood3 2 4" xfId="41826"/>
    <cellStyle name="SAPBEXexcGood3 2 4 2" xfId="41827"/>
    <cellStyle name="SAPBEXexcGood3 2 4 2 2" xfId="41828"/>
    <cellStyle name="SAPBEXexcGood3 2 4 2 3" xfId="41829"/>
    <cellStyle name="SAPBEXexcGood3 2 4 2 4" xfId="41830"/>
    <cellStyle name="SAPBEXexcGood3 2 4 3" xfId="41831"/>
    <cellStyle name="SAPBEXexcGood3 2 4 3 2" xfId="41832"/>
    <cellStyle name="SAPBEXexcGood3 2 4 3 3" xfId="41833"/>
    <cellStyle name="SAPBEXexcGood3 2 4 3 4" xfId="41834"/>
    <cellStyle name="SAPBEXexcGood3 2 4 4" xfId="41835"/>
    <cellStyle name="SAPBEXexcGood3 2 4 4 2" xfId="41836"/>
    <cellStyle name="SAPBEXexcGood3 2 4 4 3" xfId="41837"/>
    <cellStyle name="SAPBEXexcGood3 2 4 4 4" xfId="41838"/>
    <cellStyle name="SAPBEXexcGood3 2 4 5" xfId="41839"/>
    <cellStyle name="SAPBEXexcGood3 2 4 6" xfId="41840"/>
    <cellStyle name="SAPBEXexcGood3 2 4 7" xfId="41841"/>
    <cellStyle name="SAPBEXexcGood3 2 4 8" xfId="41842"/>
    <cellStyle name="SAPBEXexcGood3 2 5" xfId="41843"/>
    <cellStyle name="SAPBEXexcGood3 2 5 2" xfId="41844"/>
    <cellStyle name="SAPBEXexcGood3 2 5 2 2" xfId="41845"/>
    <cellStyle name="SAPBEXexcGood3 2 5 2 3" xfId="41846"/>
    <cellStyle name="SAPBEXexcGood3 2 5 2 4" xfId="41847"/>
    <cellStyle name="SAPBEXexcGood3 2 5 3" xfId="41848"/>
    <cellStyle name="SAPBEXexcGood3 2 5 3 2" xfId="41849"/>
    <cellStyle name="SAPBEXexcGood3 2 5 3 3" xfId="41850"/>
    <cellStyle name="SAPBEXexcGood3 2 5 3 4" xfId="41851"/>
    <cellStyle name="SAPBEXexcGood3 2 5 4" xfId="41852"/>
    <cellStyle name="SAPBEXexcGood3 2 5 4 2" xfId="41853"/>
    <cellStyle name="SAPBEXexcGood3 2 5 4 3" xfId="41854"/>
    <cellStyle name="SAPBEXexcGood3 2 5 4 4" xfId="41855"/>
    <cellStyle name="SAPBEXexcGood3 2 5 5" xfId="41856"/>
    <cellStyle name="SAPBEXexcGood3 2 5 6" xfId="41857"/>
    <cellStyle name="SAPBEXexcGood3 2 5 7" xfId="41858"/>
    <cellStyle name="SAPBEXexcGood3 2 5 8" xfId="41859"/>
    <cellStyle name="SAPBEXexcGood3 2 6" xfId="41860"/>
    <cellStyle name="SAPBEXexcGood3 2 6 2" xfId="41861"/>
    <cellStyle name="SAPBEXexcGood3 2 6 3" xfId="41862"/>
    <cellStyle name="SAPBEXexcGood3 2 6 4" xfId="41863"/>
    <cellStyle name="SAPBEXexcGood3 2 7" xfId="41864"/>
    <cellStyle name="SAPBEXexcGood3 2 7 2" xfId="41865"/>
    <cellStyle name="SAPBEXexcGood3 2 7 3" xfId="41866"/>
    <cellStyle name="SAPBEXexcGood3 2 7 4" xfId="41867"/>
    <cellStyle name="SAPBEXexcGood3 2 8" xfId="41868"/>
    <cellStyle name="SAPBEXexcGood3 2 9" xfId="41869"/>
    <cellStyle name="SAPBEXexcGood3 3" xfId="41870"/>
    <cellStyle name="SAPBEXexcGood3 3 2" xfId="41871"/>
    <cellStyle name="SAPBEXexcGood3 3 2 2" xfId="41872"/>
    <cellStyle name="SAPBEXexcGood3 3 2 3" xfId="41873"/>
    <cellStyle name="SAPBEXexcGood3 3 2 4" xfId="41874"/>
    <cellStyle name="SAPBEXexcGood3 3 3" xfId="41875"/>
    <cellStyle name="SAPBEXexcGood3 3 3 2" xfId="41876"/>
    <cellStyle name="SAPBEXexcGood3 3 3 3" xfId="41877"/>
    <cellStyle name="SAPBEXexcGood3 3 3 4" xfId="41878"/>
    <cellStyle name="SAPBEXexcGood3 3 4" xfId="41879"/>
    <cellStyle name="SAPBEXexcGood3 3 4 2" xfId="41880"/>
    <cellStyle name="SAPBEXexcGood3 3 4 3" xfId="41881"/>
    <cellStyle name="SAPBEXexcGood3 3 4 4" xfId="41882"/>
    <cellStyle name="SAPBEXexcGood3 3 5" xfId="41883"/>
    <cellStyle name="SAPBEXexcGood3 3 6" xfId="41884"/>
    <cellStyle name="SAPBEXexcGood3 3 7" xfId="41885"/>
    <cellStyle name="SAPBEXexcGood3 3 8" xfId="41886"/>
    <cellStyle name="SAPBEXexcGood3 4" xfId="41887"/>
    <cellStyle name="SAPBEXexcGood3 4 2" xfId="41888"/>
    <cellStyle name="SAPBEXexcGood3 4 2 2" xfId="41889"/>
    <cellStyle name="SAPBEXexcGood3 4 2 3" xfId="41890"/>
    <cellStyle name="SAPBEXexcGood3 4 2 4" xfId="41891"/>
    <cellStyle name="SAPBEXexcGood3 4 3" xfId="41892"/>
    <cellStyle name="SAPBEXexcGood3 4 3 2" xfId="41893"/>
    <cellStyle name="SAPBEXexcGood3 4 3 3" xfId="41894"/>
    <cellStyle name="SAPBEXexcGood3 4 3 4" xfId="41895"/>
    <cellStyle name="SAPBEXexcGood3 4 4" xfId="41896"/>
    <cellStyle name="SAPBEXexcGood3 4 4 2" xfId="41897"/>
    <cellStyle name="SAPBEXexcGood3 4 4 3" xfId="41898"/>
    <cellStyle name="SAPBEXexcGood3 4 4 4" xfId="41899"/>
    <cellStyle name="SAPBEXexcGood3 4 5" xfId="41900"/>
    <cellStyle name="SAPBEXexcGood3 4 6" xfId="41901"/>
    <cellStyle name="SAPBEXexcGood3 4 7" xfId="41902"/>
    <cellStyle name="SAPBEXexcGood3 4 8" xfId="41903"/>
    <cellStyle name="SAPBEXexcGood3 5" xfId="41904"/>
    <cellStyle name="SAPBEXexcGood3 5 2" xfId="41905"/>
    <cellStyle name="SAPBEXexcGood3 5 2 2" xfId="41906"/>
    <cellStyle name="SAPBEXexcGood3 5 2 3" xfId="41907"/>
    <cellStyle name="SAPBEXexcGood3 5 2 4" xfId="41908"/>
    <cellStyle name="SAPBEXexcGood3 5 3" xfId="41909"/>
    <cellStyle name="SAPBEXexcGood3 5 3 2" xfId="41910"/>
    <cellStyle name="SAPBEXexcGood3 5 3 3" xfId="41911"/>
    <cellStyle name="SAPBEXexcGood3 5 3 4" xfId="41912"/>
    <cellStyle name="SAPBEXexcGood3 5 4" xfId="41913"/>
    <cellStyle name="SAPBEXexcGood3 5 4 2" xfId="41914"/>
    <cellStyle name="SAPBEXexcGood3 5 4 3" xfId="41915"/>
    <cellStyle name="SAPBEXexcGood3 5 4 4" xfId="41916"/>
    <cellStyle name="SAPBEXexcGood3 5 5" xfId="41917"/>
    <cellStyle name="SAPBEXexcGood3 5 6" xfId="41918"/>
    <cellStyle name="SAPBEXexcGood3 5 7" xfId="41919"/>
    <cellStyle name="SAPBEXexcGood3 5 8" xfId="41920"/>
    <cellStyle name="SAPBEXexcGood3 6" xfId="41921"/>
    <cellStyle name="SAPBEXexcGood3 6 2" xfId="41922"/>
    <cellStyle name="SAPBEXexcGood3 6 2 2" xfId="41923"/>
    <cellStyle name="SAPBEXexcGood3 6 2 3" xfId="41924"/>
    <cellStyle name="SAPBEXexcGood3 6 2 4" xfId="41925"/>
    <cellStyle name="SAPBEXexcGood3 6 3" xfId="41926"/>
    <cellStyle name="SAPBEXexcGood3 6 3 2" xfId="41927"/>
    <cellStyle name="SAPBEXexcGood3 6 3 3" xfId="41928"/>
    <cellStyle name="SAPBEXexcGood3 6 3 4" xfId="41929"/>
    <cellStyle name="SAPBEXexcGood3 6 4" xfId="41930"/>
    <cellStyle name="SAPBEXexcGood3 6 4 2" xfId="41931"/>
    <cellStyle name="SAPBEXexcGood3 6 4 3" xfId="41932"/>
    <cellStyle name="SAPBEXexcGood3 6 4 4" xfId="41933"/>
    <cellStyle name="SAPBEXexcGood3 6 5" xfId="41934"/>
    <cellStyle name="SAPBEXexcGood3 6 6" xfId="41935"/>
    <cellStyle name="SAPBEXexcGood3 6 7" xfId="41936"/>
    <cellStyle name="SAPBEXexcGood3 6 8" xfId="41937"/>
    <cellStyle name="SAPBEXexcGood3 7" xfId="41938"/>
    <cellStyle name="SAPBEXexcGood3 7 2" xfId="41939"/>
    <cellStyle name="SAPBEXexcGood3 7 2 2" xfId="41940"/>
    <cellStyle name="SAPBEXexcGood3 7 2 3" xfId="41941"/>
    <cellStyle name="SAPBEXexcGood3 7 2 4" xfId="41942"/>
    <cellStyle name="SAPBEXexcGood3 7 3" xfId="41943"/>
    <cellStyle name="SAPBEXexcGood3 7 3 2" xfId="41944"/>
    <cellStyle name="SAPBEXexcGood3 7 3 3" xfId="41945"/>
    <cellStyle name="SAPBEXexcGood3 7 3 4" xfId="41946"/>
    <cellStyle name="SAPBEXexcGood3 7 4" xfId="41947"/>
    <cellStyle name="SAPBEXexcGood3 7 4 2" xfId="41948"/>
    <cellStyle name="SAPBEXexcGood3 7 4 3" xfId="41949"/>
    <cellStyle name="SAPBEXexcGood3 7 4 4" xfId="41950"/>
    <cellStyle name="SAPBEXexcGood3 7 5" xfId="41951"/>
    <cellStyle name="SAPBEXexcGood3 7 6" xfId="41952"/>
    <cellStyle name="SAPBEXexcGood3 7 7" xfId="41953"/>
    <cellStyle name="SAPBEXexcGood3 7 8" xfId="41954"/>
    <cellStyle name="SAPBEXexcGood3 8" xfId="41955"/>
    <cellStyle name="SAPBEXexcGood3 8 2" xfId="41956"/>
    <cellStyle name="SAPBEXexcGood3 8 3" xfId="41957"/>
    <cellStyle name="SAPBEXexcGood3 8 4" xfId="41958"/>
    <cellStyle name="SAPBEXexcGood3 9" xfId="41959"/>
    <cellStyle name="SAPBEXexcGood3 9 2" xfId="41960"/>
    <cellStyle name="SAPBEXexcGood3 9 3" xfId="41961"/>
    <cellStyle name="SAPBEXexcGood3 9 4" xfId="41962"/>
    <cellStyle name="SAPBEXfilterDrill" xfId="41963"/>
    <cellStyle name="SAPBEXfilterItem" xfId="41964"/>
    <cellStyle name="SAPBEXfilterText" xfId="41965"/>
    <cellStyle name="SAPBEXformats" xfId="41966"/>
    <cellStyle name="SAPBEXformats 10" xfId="41967"/>
    <cellStyle name="SAPBEXformats 11" xfId="41968"/>
    <cellStyle name="SAPBEXformats 2" xfId="41969"/>
    <cellStyle name="SAPBEXformats 2 2" xfId="41970"/>
    <cellStyle name="SAPBEXformats 2 2 2" xfId="41971"/>
    <cellStyle name="SAPBEXformats 2 2 2 2" xfId="41972"/>
    <cellStyle name="SAPBEXformats 2 2 2 3" xfId="41973"/>
    <cellStyle name="SAPBEXformats 2 2 2 4" xfId="41974"/>
    <cellStyle name="SAPBEXformats 2 2 3" xfId="41975"/>
    <cellStyle name="SAPBEXformats 2 2 3 2" xfId="41976"/>
    <cellStyle name="SAPBEXformats 2 2 3 3" xfId="41977"/>
    <cellStyle name="SAPBEXformats 2 2 3 4" xfId="41978"/>
    <cellStyle name="SAPBEXformats 2 2 4" xfId="41979"/>
    <cellStyle name="SAPBEXformats 2 2 4 2" xfId="41980"/>
    <cellStyle name="SAPBEXformats 2 2 4 3" xfId="41981"/>
    <cellStyle name="SAPBEXformats 2 2 4 4" xfId="41982"/>
    <cellStyle name="SAPBEXformats 2 2 5" xfId="41983"/>
    <cellStyle name="SAPBEXformats 2 2 6" xfId="41984"/>
    <cellStyle name="SAPBEXformats 2 2 7" xfId="41985"/>
    <cellStyle name="SAPBEXformats 2 2 8" xfId="41986"/>
    <cellStyle name="SAPBEXformats 2 3" xfId="41987"/>
    <cellStyle name="SAPBEXformats 2 3 2" xfId="41988"/>
    <cellStyle name="SAPBEXformats 2 3 2 2" xfId="41989"/>
    <cellStyle name="SAPBEXformats 2 3 2 3" xfId="41990"/>
    <cellStyle name="SAPBEXformats 2 3 2 4" xfId="41991"/>
    <cellStyle name="SAPBEXformats 2 3 3" xfId="41992"/>
    <cellStyle name="SAPBEXformats 2 3 3 2" xfId="41993"/>
    <cellStyle name="SAPBEXformats 2 3 3 3" xfId="41994"/>
    <cellStyle name="SAPBEXformats 2 3 3 4" xfId="41995"/>
    <cellStyle name="SAPBEXformats 2 3 4" xfId="41996"/>
    <cellStyle name="SAPBEXformats 2 3 4 2" xfId="41997"/>
    <cellStyle name="SAPBEXformats 2 3 4 3" xfId="41998"/>
    <cellStyle name="SAPBEXformats 2 3 4 4" xfId="41999"/>
    <cellStyle name="SAPBEXformats 2 3 5" xfId="42000"/>
    <cellStyle name="SAPBEXformats 2 3 6" xfId="42001"/>
    <cellStyle name="SAPBEXformats 2 3 7" xfId="42002"/>
    <cellStyle name="SAPBEXformats 2 3 8" xfId="42003"/>
    <cellStyle name="SAPBEXformats 2 4" xfId="42004"/>
    <cellStyle name="SAPBEXformats 2 4 2" xfId="42005"/>
    <cellStyle name="SAPBEXformats 2 4 2 2" xfId="42006"/>
    <cellStyle name="SAPBEXformats 2 4 2 3" xfId="42007"/>
    <cellStyle name="SAPBEXformats 2 4 2 4" xfId="42008"/>
    <cellStyle name="SAPBEXformats 2 4 3" xfId="42009"/>
    <cellStyle name="SAPBEXformats 2 4 3 2" xfId="42010"/>
    <cellStyle name="SAPBEXformats 2 4 3 3" xfId="42011"/>
    <cellStyle name="SAPBEXformats 2 4 3 4" xfId="42012"/>
    <cellStyle name="SAPBEXformats 2 4 4" xfId="42013"/>
    <cellStyle name="SAPBEXformats 2 4 4 2" xfId="42014"/>
    <cellStyle name="SAPBEXformats 2 4 4 3" xfId="42015"/>
    <cellStyle name="SAPBEXformats 2 4 4 4" xfId="42016"/>
    <cellStyle name="SAPBEXformats 2 4 5" xfId="42017"/>
    <cellStyle name="SAPBEXformats 2 4 6" xfId="42018"/>
    <cellStyle name="SAPBEXformats 2 4 7" xfId="42019"/>
    <cellStyle name="SAPBEXformats 2 4 8" xfId="42020"/>
    <cellStyle name="SAPBEXformats 2 5" xfId="42021"/>
    <cellStyle name="SAPBEXformats 2 5 2" xfId="42022"/>
    <cellStyle name="SAPBEXformats 2 5 2 2" xfId="42023"/>
    <cellStyle name="SAPBEXformats 2 5 2 3" xfId="42024"/>
    <cellStyle name="SAPBEXformats 2 5 2 4" xfId="42025"/>
    <cellStyle name="SAPBEXformats 2 5 3" xfId="42026"/>
    <cellStyle name="SAPBEXformats 2 5 3 2" xfId="42027"/>
    <cellStyle name="SAPBEXformats 2 5 3 3" xfId="42028"/>
    <cellStyle name="SAPBEXformats 2 5 3 4" xfId="42029"/>
    <cellStyle name="SAPBEXformats 2 5 4" xfId="42030"/>
    <cellStyle name="SAPBEXformats 2 5 4 2" xfId="42031"/>
    <cellStyle name="SAPBEXformats 2 5 4 3" xfId="42032"/>
    <cellStyle name="SAPBEXformats 2 5 4 4" xfId="42033"/>
    <cellStyle name="SAPBEXformats 2 5 5" xfId="42034"/>
    <cellStyle name="SAPBEXformats 2 5 6" xfId="42035"/>
    <cellStyle name="SAPBEXformats 2 5 7" xfId="42036"/>
    <cellStyle name="SAPBEXformats 2 5 8" xfId="42037"/>
    <cellStyle name="SAPBEXformats 2 6" xfId="42038"/>
    <cellStyle name="SAPBEXformats 2 6 2" xfId="42039"/>
    <cellStyle name="SAPBEXformats 2 6 3" xfId="42040"/>
    <cellStyle name="SAPBEXformats 2 6 4" xfId="42041"/>
    <cellStyle name="SAPBEXformats 2 7" xfId="42042"/>
    <cellStyle name="SAPBEXformats 2 7 2" xfId="42043"/>
    <cellStyle name="SAPBEXformats 2 7 3" xfId="42044"/>
    <cellStyle name="SAPBEXformats 2 7 4" xfId="42045"/>
    <cellStyle name="SAPBEXformats 2 8" xfId="42046"/>
    <cellStyle name="SAPBEXformats 2 9" xfId="42047"/>
    <cellStyle name="SAPBEXformats 3" xfId="42048"/>
    <cellStyle name="SAPBEXformats 3 2" xfId="42049"/>
    <cellStyle name="SAPBEXformats 3 2 2" xfId="42050"/>
    <cellStyle name="SAPBEXformats 3 2 3" xfId="42051"/>
    <cellStyle name="SAPBEXformats 3 2 4" xfId="42052"/>
    <cellStyle name="SAPBEXformats 3 3" xfId="42053"/>
    <cellStyle name="SAPBEXformats 3 3 2" xfId="42054"/>
    <cellStyle name="SAPBEXformats 3 3 3" xfId="42055"/>
    <cellStyle name="SAPBEXformats 3 3 4" xfId="42056"/>
    <cellStyle name="SAPBEXformats 3 4" xfId="42057"/>
    <cellStyle name="SAPBEXformats 3 4 2" xfId="42058"/>
    <cellStyle name="SAPBEXformats 3 4 3" xfId="42059"/>
    <cellStyle name="SAPBEXformats 3 4 4" xfId="42060"/>
    <cellStyle name="SAPBEXformats 3 5" xfId="42061"/>
    <cellStyle name="SAPBEXformats 3 6" xfId="42062"/>
    <cellStyle name="SAPBEXformats 3 7" xfId="42063"/>
    <cellStyle name="SAPBEXformats 3 8" xfId="42064"/>
    <cellStyle name="SAPBEXformats 4" xfId="42065"/>
    <cellStyle name="SAPBEXformats 4 2" xfId="42066"/>
    <cellStyle name="SAPBEXformats 4 2 2" xfId="42067"/>
    <cellStyle name="SAPBEXformats 4 2 3" xfId="42068"/>
    <cellStyle name="SAPBEXformats 4 2 4" xfId="42069"/>
    <cellStyle name="SAPBEXformats 4 3" xfId="42070"/>
    <cellStyle name="SAPBEXformats 4 3 2" xfId="42071"/>
    <cellStyle name="SAPBEXformats 4 3 3" xfId="42072"/>
    <cellStyle name="SAPBEXformats 4 3 4" xfId="42073"/>
    <cellStyle name="SAPBEXformats 4 4" xfId="42074"/>
    <cellStyle name="SAPBEXformats 4 4 2" xfId="42075"/>
    <cellStyle name="SAPBEXformats 4 4 3" xfId="42076"/>
    <cellStyle name="SAPBEXformats 4 4 4" xfId="42077"/>
    <cellStyle name="SAPBEXformats 4 5" xfId="42078"/>
    <cellStyle name="SAPBEXformats 4 6" xfId="42079"/>
    <cellStyle name="SAPBEXformats 4 7" xfId="42080"/>
    <cellStyle name="SAPBEXformats 4 8" xfId="42081"/>
    <cellStyle name="SAPBEXformats 5" xfId="42082"/>
    <cellStyle name="SAPBEXformats 5 2" xfId="42083"/>
    <cellStyle name="SAPBEXformats 5 2 2" xfId="42084"/>
    <cellStyle name="SAPBEXformats 5 2 3" xfId="42085"/>
    <cellStyle name="SAPBEXformats 5 2 4" xfId="42086"/>
    <cellStyle name="SAPBEXformats 5 3" xfId="42087"/>
    <cellStyle name="SAPBEXformats 5 3 2" xfId="42088"/>
    <cellStyle name="SAPBEXformats 5 3 3" xfId="42089"/>
    <cellStyle name="SAPBEXformats 5 3 4" xfId="42090"/>
    <cellStyle name="SAPBEXformats 5 4" xfId="42091"/>
    <cellStyle name="SAPBEXformats 5 4 2" xfId="42092"/>
    <cellStyle name="SAPBEXformats 5 4 3" xfId="42093"/>
    <cellStyle name="SAPBEXformats 5 4 4" xfId="42094"/>
    <cellStyle name="SAPBEXformats 5 5" xfId="42095"/>
    <cellStyle name="SAPBEXformats 5 6" xfId="42096"/>
    <cellStyle name="SAPBEXformats 5 7" xfId="42097"/>
    <cellStyle name="SAPBEXformats 5 8" xfId="42098"/>
    <cellStyle name="SAPBEXformats 6" xfId="42099"/>
    <cellStyle name="SAPBEXformats 6 2" xfId="42100"/>
    <cellStyle name="SAPBEXformats 6 2 2" xfId="42101"/>
    <cellStyle name="SAPBEXformats 6 2 3" xfId="42102"/>
    <cellStyle name="SAPBEXformats 6 2 4" xfId="42103"/>
    <cellStyle name="SAPBEXformats 6 3" xfId="42104"/>
    <cellStyle name="SAPBEXformats 6 3 2" xfId="42105"/>
    <cellStyle name="SAPBEXformats 6 3 3" xfId="42106"/>
    <cellStyle name="SAPBEXformats 6 3 4" xfId="42107"/>
    <cellStyle name="SAPBEXformats 6 4" xfId="42108"/>
    <cellStyle name="SAPBEXformats 6 4 2" xfId="42109"/>
    <cellStyle name="SAPBEXformats 6 4 3" xfId="42110"/>
    <cellStyle name="SAPBEXformats 6 4 4" xfId="42111"/>
    <cellStyle name="SAPBEXformats 6 5" xfId="42112"/>
    <cellStyle name="SAPBEXformats 6 6" xfId="42113"/>
    <cellStyle name="SAPBEXformats 6 7" xfId="42114"/>
    <cellStyle name="SAPBEXformats 6 8" xfId="42115"/>
    <cellStyle name="SAPBEXformats 7" xfId="42116"/>
    <cellStyle name="SAPBEXformats 7 2" xfId="42117"/>
    <cellStyle name="SAPBEXformats 7 2 2" xfId="42118"/>
    <cellStyle name="SAPBEXformats 7 2 3" xfId="42119"/>
    <cellStyle name="SAPBEXformats 7 2 4" xfId="42120"/>
    <cellStyle name="SAPBEXformats 7 3" xfId="42121"/>
    <cellStyle name="SAPBEXformats 7 3 2" xfId="42122"/>
    <cellStyle name="SAPBEXformats 7 3 3" xfId="42123"/>
    <cellStyle name="SAPBEXformats 7 3 4" xfId="42124"/>
    <cellStyle name="SAPBEXformats 7 4" xfId="42125"/>
    <cellStyle name="SAPBEXformats 7 4 2" xfId="42126"/>
    <cellStyle name="SAPBEXformats 7 4 3" xfId="42127"/>
    <cellStyle name="SAPBEXformats 7 4 4" xfId="42128"/>
    <cellStyle name="SAPBEXformats 7 5" xfId="42129"/>
    <cellStyle name="SAPBEXformats 7 6" xfId="42130"/>
    <cellStyle name="SAPBEXformats 7 7" xfId="42131"/>
    <cellStyle name="SAPBEXformats 7 8" xfId="42132"/>
    <cellStyle name="SAPBEXformats 8" xfId="42133"/>
    <cellStyle name="SAPBEXformats 8 2" xfId="42134"/>
    <cellStyle name="SAPBEXformats 8 3" xfId="42135"/>
    <cellStyle name="SAPBEXformats 8 4" xfId="42136"/>
    <cellStyle name="SAPBEXformats 9" xfId="42137"/>
    <cellStyle name="SAPBEXformats 9 2" xfId="42138"/>
    <cellStyle name="SAPBEXformats 9 3" xfId="42139"/>
    <cellStyle name="SAPBEXformats 9 4" xfId="42140"/>
    <cellStyle name="SAPBEXheaderItem" xfId="42141"/>
    <cellStyle name="SAPBEXheaderText" xfId="42142"/>
    <cellStyle name="SAPBEXHLevel0" xfId="42143"/>
    <cellStyle name="SAPBEXHLevel0 10" xfId="42144"/>
    <cellStyle name="SAPBEXHLevel0 10 2" xfId="42145"/>
    <cellStyle name="SAPBEXHLevel0 10 2 2" xfId="42146"/>
    <cellStyle name="SAPBEXHLevel0 10 2 3" xfId="42147"/>
    <cellStyle name="SAPBEXHLevel0 10 2 4" xfId="42148"/>
    <cellStyle name="SAPBEXHLevel0 10 3" xfId="42149"/>
    <cellStyle name="SAPBEXHLevel0 10 3 2" xfId="42150"/>
    <cellStyle name="SAPBEXHLevel0 10 3 3" xfId="42151"/>
    <cellStyle name="SAPBEXHLevel0 10 3 4" xfId="42152"/>
    <cellStyle name="SAPBEXHLevel0 10 4" xfId="42153"/>
    <cellStyle name="SAPBEXHLevel0 10 4 2" xfId="42154"/>
    <cellStyle name="SAPBEXHLevel0 10 4 3" xfId="42155"/>
    <cellStyle name="SAPBEXHLevel0 10 4 4" xfId="42156"/>
    <cellStyle name="SAPBEXHLevel0 10 5" xfId="42157"/>
    <cellStyle name="SAPBEXHLevel0 10 6" xfId="42158"/>
    <cellStyle name="SAPBEXHLevel0 10 7" xfId="42159"/>
    <cellStyle name="SAPBEXHLevel0 10 8" xfId="42160"/>
    <cellStyle name="SAPBEXHLevel0 11" xfId="42161"/>
    <cellStyle name="SAPBEXHLevel0 11 2" xfId="42162"/>
    <cellStyle name="SAPBEXHLevel0 11 3" xfId="42163"/>
    <cellStyle name="SAPBEXHLevel0 11 4" xfId="42164"/>
    <cellStyle name="SAPBEXHLevel0 12" xfId="42165"/>
    <cellStyle name="SAPBEXHLevel0 12 2" xfId="42166"/>
    <cellStyle name="SAPBEXHLevel0 12 3" xfId="42167"/>
    <cellStyle name="SAPBEXHLevel0 12 4" xfId="42168"/>
    <cellStyle name="SAPBEXHLevel0 13" xfId="42169"/>
    <cellStyle name="SAPBEXHLevel0 14" xfId="42170"/>
    <cellStyle name="SAPBEXHLevel0 2" xfId="42171"/>
    <cellStyle name="SAPBEXHLevel0 2 10" xfId="42172"/>
    <cellStyle name="SAPBEXHLevel0 2 10 2" xfId="42173"/>
    <cellStyle name="SAPBEXHLevel0 2 10 3" xfId="42174"/>
    <cellStyle name="SAPBEXHLevel0 2 10 4" xfId="42175"/>
    <cellStyle name="SAPBEXHLevel0 2 11" xfId="42176"/>
    <cellStyle name="SAPBEXHLevel0 2 11 2" xfId="42177"/>
    <cellStyle name="SAPBEXHLevel0 2 11 3" xfId="42178"/>
    <cellStyle name="SAPBEXHLevel0 2 11 4" xfId="42179"/>
    <cellStyle name="SAPBEXHLevel0 2 12" xfId="42180"/>
    <cellStyle name="SAPBEXHLevel0 2 13" xfId="42181"/>
    <cellStyle name="SAPBEXHLevel0 2 2" xfId="42182"/>
    <cellStyle name="SAPBEXHLevel0 2 2 10" xfId="42183"/>
    <cellStyle name="SAPBEXHLevel0 2 2 11" xfId="42184"/>
    <cellStyle name="SAPBEXHLevel0 2 2 2" xfId="42185"/>
    <cellStyle name="SAPBEXHLevel0 2 2 2 2" xfId="42186"/>
    <cellStyle name="SAPBEXHLevel0 2 2 2 2 2" xfId="42187"/>
    <cellStyle name="SAPBEXHLevel0 2 2 2 2 2 2" xfId="42188"/>
    <cellStyle name="SAPBEXHLevel0 2 2 2 2 2 3" xfId="42189"/>
    <cellStyle name="SAPBEXHLevel0 2 2 2 2 2 4" xfId="42190"/>
    <cellStyle name="SAPBEXHLevel0 2 2 2 2 3" xfId="42191"/>
    <cellStyle name="SAPBEXHLevel0 2 2 2 2 3 2" xfId="42192"/>
    <cellStyle name="SAPBEXHLevel0 2 2 2 2 3 3" xfId="42193"/>
    <cellStyle name="SAPBEXHLevel0 2 2 2 2 3 4" xfId="42194"/>
    <cellStyle name="SAPBEXHLevel0 2 2 2 2 4" xfId="42195"/>
    <cellStyle name="SAPBEXHLevel0 2 2 2 2 4 2" xfId="42196"/>
    <cellStyle name="SAPBEXHLevel0 2 2 2 2 4 3" xfId="42197"/>
    <cellStyle name="SAPBEXHLevel0 2 2 2 2 4 4" xfId="42198"/>
    <cellStyle name="SAPBEXHLevel0 2 2 2 2 5" xfId="42199"/>
    <cellStyle name="SAPBEXHLevel0 2 2 2 2 6" xfId="42200"/>
    <cellStyle name="SAPBEXHLevel0 2 2 2 2 7" xfId="42201"/>
    <cellStyle name="SAPBEXHLevel0 2 2 2 2 8" xfId="42202"/>
    <cellStyle name="SAPBEXHLevel0 2 2 2 3" xfId="42203"/>
    <cellStyle name="SAPBEXHLevel0 2 2 2 3 2" xfId="42204"/>
    <cellStyle name="SAPBEXHLevel0 2 2 2 3 2 2" xfId="42205"/>
    <cellStyle name="SAPBEXHLevel0 2 2 2 3 2 3" xfId="42206"/>
    <cellStyle name="SAPBEXHLevel0 2 2 2 3 2 4" xfId="42207"/>
    <cellStyle name="SAPBEXHLevel0 2 2 2 3 3" xfId="42208"/>
    <cellStyle name="SAPBEXHLevel0 2 2 2 3 3 2" xfId="42209"/>
    <cellStyle name="SAPBEXHLevel0 2 2 2 3 3 3" xfId="42210"/>
    <cellStyle name="SAPBEXHLevel0 2 2 2 3 3 4" xfId="42211"/>
    <cellStyle name="SAPBEXHLevel0 2 2 2 3 4" xfId="42212"/>
    <cellStyle name="SAPBEXHLevel0 2 2 2 3 4 2" xfId="42213"/>
    <cellStyle name="SAPBEXHLevel0 2 2 2 3 4 3" xfId="42214"/>
    <cellStyle name="SAPBEXHLevel0 2 2 2 3 4 4" xfId="42215"/>
    <cellStyle name="SAPBEXHLevel0 2 2 2 3 5" xfId="42216"/>
    <cellStyle name="SAPBEXHLevel0 2 2 2 3 6" xfId="42217"/>
    <cellStyle name="SAPBEXHLevel0 2 2 2 3 7" xfId="42218"/>
    <cellStyle name="SAPBEXHLevel0 2 2 2 3 8" xfId="42219"/>
    <cellStyle name="SAPBEXHLevel0 2 2 2 4" xfId="42220"/>
    <cellStyle name="SAPBEXHLevel0 2 2 2 4 2" xfId="42221"/>
    <cellStyle name="SAPBEXHLevel0 2 2 2 4 2 2" xfId="42222"/>
    <cellStyle name="SAPBEXHLevel0 2 2 2 4 2 3" xfId="42223"/>
    <cellStyle name="SAPBEXHLevel0 2 2 2 4 2 4" xfId="42224"/>
    <cellStyle name="SAPBEXHLevel0 2 2 2 4 3" xfId="42225"/>
    <cellStyle name="SAPBEXHLevel0 2 2 2 4 3 2" xfId="42226"/>
    <cellStyle name="SAPBEXHLevel0 2 2 2 4 3 3" xfId="42227"/>
    <cellStyle name="SAPBEXHLevel0 2 2 2 4 3 4" xfId="42228"/>
    <cellStyle name="SAPBEXHLevel0 2 2 2 4 4" xfId="42229"/>
    <cellStyle name="SAPBEXHLevel0 2 2 2 4 4 2" xfId="42230"/>
    <cellStyle name="SAPBEXHLevel0 2 2 2 4 4 3" xfId="42231"/>
    <cellStyle name="SAPBEXHLevel0 2 2 2 4 4 4" xfId="42232"/>
    <cellStyle name="SAPBEXHLevel0 2 2 2 4 5" xfId="42233"/>
    <cellStyle name="SAPBEXHLevel0 2 2 2 4 6" xfId="42234"/>
    <cellStyle name="SAPBEXHLevel0 2 2 2 4 7" xfId="42235"/>
    <cellStyle name="SAPBEXHLevel0 2 2 2 4 8" xfId="42236"/>
    <cellStyle name="SAPBEXHLevel0 2 2 2 5" xfId="42237"/>
    <cellStyle name="SAPBEXHLevel0 2 2 2 5 2" xfId="42238"/>
    <cellStyle name="SAPBEXHLevel0 2 2 2 5 2 2" xfId="42239"/>
    <cellStyle name="SAPBEXHLevel0 2 2 2 5 2 3" xfId="42240"/>
    <cellStyle name="SAPBEXHLevel0 2 2 2 5 2 4" xfId="42241"/>
    <cellStyle name="SAPBEXHLevel0 2 2 2 5 3" xfId="42242"/>
    <cellStyle name="SAPBEXHLevel0 2 2 2 5 3 2" xfId="42243"/>
    <cellStyle name="SAPBEXHLevel0 2 2 2 5 3 3" xfId="42244"/>
    <cellStyle name="SAPBEXHLevel0 2 2 2 5 3 4" xfId="42245"/>
    <cellStyle name="SAPBEXHLevel0 2 2 2 5 4" xfId="42246"/>
    <cellStyle name="SAPBEXHLevel0 2 2 2 5 4 2" xfId="42247"/>
    <cellStyle name="SAPBEXHLevel0 2 2 2 5 4 3" xfId="42248"/>
    <cellStyle name="SAPBEXHLevel0 2 2 2 5 4 4" xfId="42249"/>
    <cellStyle name="SAPBEXHLevel0 2 2 2 5 5" xfId="42250"/>
    <cellStyle name="SAPBEXHLevel0 2 2 2 5 6" xfId="42251"/>
    <cellStyle name="SAPBEXHLevel0 2 2 2 5 7" xfId="42252"/>
    <cellStyle name="SAPBEXHLevel0 2 2 2 5 8" xfId="42253"/>
    <cellStyle name="SAPBEXHLevel0 2 2 2 6" xfId="42254"/>
    <cellStyle name="SAPBEXHLevel0 2 2 2 6 2" xfId="42255"/>
    <cellStyle name="SAPBEXHLevel0 2 2 2 6 3" xfId="42256"/>
    <cellStyle name="SAPBEXHLevel0 2 2 2 6 4" xfId="42257"/>
    <cellStyle name="SAPBEXHLevel0 2 2 2 7" xfId="42258"/>
    <cellStyle name="SAPBEXHLevel0 2 2 2 7 2" xfId="42259"/>
    <cellStyle name="SAPBEXHLevel0 2 2 2 7 3" xfId="42260"/>
    <cellStyle name="SAPBEXHLevel0 2 2 2 7 4" xfId="42261"/>
    <cellStyle name="SAPBEXHLevel0 2 2 2 8" xfId="42262"/>
    <cellStyle name="SAPBEXHLevel0 2 2 2 9" xfId="42263"/>
    <cellStyle name="SAPBEXHLevel0 2 2 3" xfId="42264"/>
    <cellStyle name="SAPBEXHLevel0 2 2 3 2" xfId="42265"/>
    <cellStyle name="SAPBEXHLevel0 2 2 3 2 2" xfId="42266"/>
    <cellStyle name="SAPBEXHLevel0 2 2 3 2 3" xfId="42267"/>
    <cellStyle name="SAPBEXHLevel0 2 2 3 2 4" xfId="42268"/>
    <cellStyle name="SAPBEXHLevel0 2 2 3 3" xfId="42269"/>
    <cellStyle name="SAPBEXHLevel0 2 2 3 3 2" xfId="42270"/>
    <cellStyle name="SAPBEXHLevel0 2 2 3 3 3" xfId="42271"/>
    <cellStyle name="SAPBEXHLevel0 2 2 3 3 4" xfId="42272"/>
    <cellStyle name="SAPBEXHLevel0 2 2 3 4" xfId="42273"/>
    <cellStyle name="SAPBEXHLevel0 2 2 3 4 2" xfId="42274"/>
    <cellStyle name="SAPBEXHLevel0 2 2 3 4 3" xfId="42275"/>
    <cellStyle name="SAPBEXHLevel0 2 2 3 4 4" xfId="42276"/>
    <cellStyle name="SAPBEXHLevel0 2 2 3 5" xfId="42277"/>
    <cellStyle name="SAPBEXHLevel0 2 2 3 6" xfId="42278"/>
    <cellStyle name="SAPBEXHLevel0 2 2 3 7" xfId="42279"/>
    <cellStyle name="SAPBEXHLevel0 2 2 3 8" xfId="42280"/>
    <cellStyle name="SAPBEXHLevel0 2 2 4" xfId="42281"/>
    <cellStyle name="SAPBEXHLevel0 2 2 4 2" xfId="42282"/>
    <cellStyle name="SAPBEXHLevel0 2 2 4 2 2" xfId="42283"/>
    <cellStyle name="SAPBEXHLevel0 2 2 4 2 3" xfId="42284"/>
    <cellStyle name="SAPBEXHLevel0 2 2 4 2 4" xfId="42285"/>
    <cellStyle name="SAPBEXHLevel0 2 2 4 3" xfId="42286"/>
    <cellStyle name="SAPBEXHLevel0 2 2 4 3 2" xfId="42287"/>
    <cellStyle name="SAPBEXHLevel0 2 2 4 3 3" xfId="42288"/>
    <cellStyle name="SAPBEXHLevel0 2 2 4 3 4" xfId="42289"/>
    <cellStyle name="SAPBEXHLevel0 2 2 4 4" xfId="42290"/>
    <cellStyle name="SAPBEXHLevel0 2 2 4 4 2" xfId="42291"/>
    <cellStyle name="SAPBEXHLevel0 2 2 4 4 3" xfId="42292"/>
    <cellStyle name="SAPBEXHLevel0 2 2 4 4 4" xfId="42293"/>
    <cellStyle name="SAPBEXHLevel0 2 2 4 5" xfId="42294"/>
    <cellStyle name="SAPBEXHLevel0 2 2 4 6" xfId="42295"/>
    <cellStyle name="SAPBEXHLevel0 2 2 4 7" xfId="42296"/>
    <cellStyle name="SAPBEXHLevel0 2 2 4 8" xfId="42297"/>
    <cellStyle name="SAPBEXHLevel0 2 2 5" xfId="42298"/>
    <cellStyle name="SAPBEXHLevel0 2 2 5 2" xfId="42299"/>
    <cellStyle name="SAPBEXHLevel0 2 2 5 2 2" xfId="42300"/>
    <cellStyle name="SAPBEXHLevel0 2 2 5 2 3" xfId="42301"/>
    <cellStyle name="SAPBEXHLevel0 2 2 5 2 4" xfId="42302"/>
    <cellStyle name="SAPBEXHLevel0 2 2 5 3" xfId="42303"/>
    <cellStyle name="SAPBEXHLevel0 2 2 5 3 2" xfId="42304"/>
    <cellStyle name="SAPBEXHLevel0 2 2 5 3 3" xfId="42305"/>
    <cellStyle name="SAPBEXHLevel0 2 2 5 3 4" xfId="42306"/>
    <cellStyle name="SAPBEXHLevel0 2 2 5 4" xfId="42307"/>
    <cellStyle name="SAPBEXHLevel0 2 2 5 4 2" xfId="42308"/>
    <cellStyle name="SAPBEXHLevel0 2 2 5 4 3" xfId="42309"/>
    <cellStyle name="SAPBEXHLevel0 2 2 5 4 4" xfId="42310"/>
    <cellStyle name="SAPBEXHLevel0 2 2 5 5" xfId="42311"/>
    <cellStyle name="SAPBEXHLevel0 2 2 5 6" xfId="42312"/>
    <cellStyle name="SAPBEXHLevel0 2 2 5 7" xfId="42313"/>
    <cellStyle name="SAPBEXHLevel0 2 2 5 8" xfId="42314"/>
    <cellStyle name="SAPBEXHLevel0 2 2 6" xfId="42315"/>
    <cellStyle name="SAPBEXHLevel0 2 2 6 2" xfId="42316"/>
    <cellStyle name="SAPBEXHLevel0 2 2 6 2 2" xfId="42317"/>
    <cellStyle name="SAPBEXHLevel0 2 2 6 2 3" xfId="42318"/>
    <cellStyle name="SAPBEXHLevel0 2 2 6 2 4" xfId="42319"/>
    <cellStyle name="SAPBEXHLevel0 2 2 6 3" xfId="42320"/>
    <cellStyle name="SAPBEXHLevel0 2 2 6 3 2" xfId="42321"/>
    <cellStyle name="SAPBEXHLevel0 2 2 6 3 3" xfId="42322"/>
    <cellStyle name="SAPBEXHLevel0 2 2 6 3 4" xfId="42323"/>
    <cellStyle name="SAPBEXHLevel0 2 2 6 4" xfId="42324"/>
    <cellStyle name="SAPBEXHLevel0 2 2 6 4 2" xfId="42325"/>
    <cellStyle name="SAPBEXHLevel0 2 2 6 4 3" xfId="42326"/>
    <cellStyle name="SAPBEXHLevel0 2 2 6 4 4" xfId="42327"/>
    <cellStyle name="SAPBEXHLevel0 2 2 6 5" xfId="42328"/>
    <cellStyle name="SAPBEXHLevel0 2 2 6 6" xfId="42329"/>
    <cellStyle name="SAPBEXHLevel0 2 2 6 7" xfId="42330"/>
    <cellStyle name="SAPBEXHLevel0 2 2 6 8" xfId="42331"/>
    <cellStyle name="SAPBEXHLevel0 2 2 7" xfId="42332"/>
    <cellStyle name="SAPBEXHLevel0 2 2 7 2" xfId="42333"/>
    <cellStyle name="SAPBEXHLevel0 2 2 7 2 2" xfId="42334"/>
    <cellStyle name="SAPBEXHLevel0 2 2 7 2 3" xfId="42335"/>
    <cellStyle name="SAPBEXHLevel0 2 2 7 2 4" xfId="42336"/>
    <cellStyle name="SAPBEXHLevel0 2 2 7 3" xfId="42337"/>
    <cellStyle name="SAPBEXHLevel0 2 2 7 3 2" xfId="42338"/>
    <cellStyle name="SAPBEXHLevel0 2 2 7 3 3" xfId="42339"/>
    <cellStyle name="SAPBEXHLevel0 2 2 7 3 4" xfId="42340"/>
    <cellStyle name="SAPBEXHLevel0 2 2 7 4" xfId="42341"/>
    <cellStyle name="SAPBEXHLevel0 2 2 7 4 2" xfId="42342"/>
    <cellStyle name="SAPBEXHLevel0 2 2 7 4 3" xfId="42343"/>
    <cellStyle name="SAPBEXHLevel0 2 2 7 4 4" xfId="42344"/>
    <cellStyle name="SAPBEXHLevel0 2 2 7 5" xfId="42345"/>
    <cellStyle name="SAPBEXHLevel0 2 2 7 6" xfId="42346"/>
    <cellStyle name="SAPBEXHLevel0 2 2 7 7" xfId="42347"/>
    <cellStyle name="SAPBEXHLevel0 2 2 7 8" xfId="42348"/>
    <cellStyle name="SAPBEXHLevel0 2 2 8" xfId="42349"/>
    <cellStyle name="SAPBEXHLevel0 2 2 8 2" xfId="42350"/>
    <cellStyle name="SAPBEXHLevel0 2 2 8 3" xfId="42351"/>
    <cellStyle name="SAPBEXHLevel0 2 2 8 4" xfId="42352"/>
    <cellStyle name="SAPBEXHLevel0 2 2 9" xfId="42353"/>
    <cellStyle name="SAPBEXHLevel0 2 2 9 2" xfId="42354"/>
    <cellStyle name="SAPBEXHLevel0 2 2 9 3" xfId="42355"/>
    <cellStyle name="SAPBEXHLevel0 2 2 9 4" xfId="42356"/>
    <cellStyle name="SAPBEXHLevel0 2 3" xfId="42357"/>
    <cellStyle name="SAPBEXHLevel0 2 3 10" xfId="42358"/>
    <cellStyle name="SAPBEXHLevel0 2 3 11" xfId="42359"/>
    <cellStyle name="SAPBEXHLevel0 2 3 2" xfId="42360"/>
    <cellStyle name="SAPBEXHLevel0 2 3 2 2" xfId="42361"/>
    <cellStyle name="SAPBEXHLevel0 2 3 2 2 2" xfId="42362"/>
    <cellStyle name="SAPBEXHLevel0 2 3 2 2 2 2" xfId="42363"/>
    <cellStyle name="SAPBEXHLevel0 2 3 2 2 2 3" xfId="42364"/>
    <cellStyle name="SAPBEXHLevel0 2 3 2 2 2 4" xfId="42365"/>
    <cellStyle name="SAPBEXHLevel0 2 3 2 2 3" xfId="42366"/>
    <cellStyle name="SAPBEXHLevel0 2 3 2 2 3 2" xfId="42367"/>
    <cellStyle name="SAPBEXHLevel0 2 3 2 2 3 3" xfId="42368"/>
    <cellStyle name="SAPBEXHLevel0 2 3 2 2 3 4" xfId="42369"/>
    <cellStyle name="SAPBEXHLevel0 2 3 2 2 4" xfId="42370"/>
    <cellStyle name="SAPBEXHLevel0 2 3 2 2 4 2" xfId="42371"/>
    <cellStyle name="SAPBEXHLevel0 2 3 2 2 4 3" xfId="42372"/>
    <cellStyle name="SAPBEXHLevel0 2 3 2 2 4 4" xfId="42373"/>
    <cellStyle name="SAPBEXHLevel0 2 3 2 2 5" xfId="42374"/>
    <cellStyle name="SAPBEXHLevel0 2 3 2 2 6" xfId="42375"/>
    <cellStyle name="SAPBEXHLevel0 2 3 2 2 7" xfId="42376"/>
    <cellStyle name="SAPBEXHLevel0 2 3 2 2 8" xfId="42377"/>
    <cellStyle name="SAPBEXHLevel0 2 3 2 3" xfId="42378"/>
    <cellStyle name="SAPBEXHLevel0 2 3 2 3 2" xfId="42379"/>
    <cellStyle name="SAPBEXHLevel0 2 3 2 3 2 2" xfId="42380"/>
    <cellStyle name="SAPBEXHLevel0 2 3 2 3 2 3" xfId="42381"/>
    <cellStyle name="SAPBEXHLevel0 2 3 2 3 2 4" xfId="42382"/>
    <cellStyle name="SAPBEXHLevel0 2 3 2 3 3" xfId="42383"/>
    <cellStyle name="SAPBEXHLevel0 2 3 2 3 3 2" xfId="42384"/>
    <cellStyle name="SAPBEXHLevel0 2 3 2 3 3 3" xfId="42385"/>
    <cellStyle name="SAPBEXHLevel0 2 3 2 3 3 4" xfId="42386"/>
    <cellStyle name="SAPBEXHLevel0 2 3 2 3 4" xfId="42387"/>
    <cellStyle name="SAPBEXHLevel0 2 3 2 3 4 2" xfId="42388"/>
    <cellStyle name="SAPBEXHLevel0 2 3 2 3 4 3" xfId="42389"/>
    <cellStyle name="SAPBEXHLevel0 2 3 2 3 4 4" xfId="42390"/>
    <cellStyle name="SAPBEXHLevel0 2 3 2 3 5" xfId="42391"/>
    <cellStyle name="SAPBEXHLevel0 2 3 2 3 6" xfId="42392"/>
    <cellStyle name="SAPBEXHLevel0 2 3 2 3 7" xfId="42393"/>
    <cellStyle name="SAPBEXHLevel0 2 3 2 3 8" xfId="42394"/>
    <cellStyle name="SAPBEXHLevel0 2 3 2 4" xfId="42395"/>
    <cellStyle name="SAPBEXHLevel0 2 3 2 4 2" xfId="42396"/>
    <cellStyle name="SAPBEXHLevel0 2 3 2 4 2 2" xfId="42397"/>
    <cellStyle name="SAPBEXHLevel0 2 3 2 4 2 3" xfId="42398"/>
    <cellStyle name="SAPBEXHLevel0 2 3 2 4 2 4" xfId="42399"/>
    <cellStyle name="SAPBEXHLevel0 2 3 2 4 3" xfId="42400"/>
    <cellStyle name="SAPBEXHLevel0 2 3 2 4 3 2" xfId="42401"/>
    <cellStyle name="SAPBEXHLevel0 2 3 2 4 3 3" xfId="42402"/>
    <cellStyle name="SAPBEXHLevel0 2 3 2 4 3 4" xfId="42403"/>
    <cellStyle name="SAPBEXHLevel0 2 3 2 4 4" xfId="42404"/>
    <cellStyle name="SAPBEXHLevel0 2 3 2 4 4 2" xfId="42405"/>
    <cellStyle name="SAPBEXHLevel0 2 3 2 4 4 3" xfId="42406"/>
    <cellStyle name="SAPBEXHLevel0 2 3 2 4 4 4" xfId="42407"/>
    <cellStyle name="SAPBEXHLevel0 2 3 2 4 5" xfId="42408"/>
    <cellStyle name="SAPBEXHLevel0 2 3 2 4 6" xfId="42409"/>
    <cellStyle name="SAPBEXHLevel0 2 3 2 4 7" xfId="42410"/>
    <cellStyle name="SAPBEXHLevel0 2 3 2 4 8" xfId="42411"/>
    <cellStyle name="SAPBEXHLevel0 2 3 2 5" xfId="42412"/>
    <cellStyle name="SAPBEXHLevel0 2 3 2 5 2" xfId="42413"/>
    <cellStyle name="SAPBEXHLevel0 2 3 2 5 2 2" xfId="42414"/>
    <cellStyle name="SAPBEXHLevel0 2 3 2 5 2 3" xfId="42415"/>
    <cellStyle name="SAPBEXHLevel0 2 3 2 5 2 4" xfId="42416"/>
    <cellStyle name="SAPBEXHLevel0 2 3 2 5 3" xfId="42417"/>
    <cellStyle name="SAPBEXHLevel0 2 3 2 5 3 2" xfId="42418"/>
    <cellStyle name="SAPBEXHLevel0 2 3 2 5 3 3" xfId="42419"/>
    <cellStyle name="SAPBEXHLevel0 2 3 2 5 3 4" xfId="42420"/>
    <cellStyle name="SAPBEXHLevel0 2 3 2 5 4" xfId="42421"/>
    <cellStyle name="SAPBEXHLevel0 2 3 2 5 4 2" xfId="42422"/>
    <cellStyle name="SAPBEXHLevel0 2 3 2 5 4 3" xfId="42423"/>
    <cellStyle name="SAPBEXHLevel0 2 3 2 5 4 4" xfId="42424"/>
    <cellStyle name="SAPBEXHLevel0 2 3 2 5 5" xfId="42425"/>
    <cellStyle name="SAPBEXHLevel0 2 3 2 5 6" xfId="42426"/>
    <cellStyle name="SAPBEXHLevel0 2 3 2 5 7" xfId="42427"/>
    <cellStyle name="SAPBEXHLevel0 2 3 2 5 8" xfId="42428"/>
    <cellStyle name="SAPBEXHLevel0 2 3 2 6" xfId="42429"/>
    <cellStyle name="SAPBEXHLevel0 2 3 2 6 2" xfId="42430"/>
    <cellStyle name="SAPBEXHLevel0 2 3 2 6 3" xfId="42431"/>
    <cellStyle name="SAPBEXHLevel0 2 3 2 6 4" xfId="42432"/>
    <cellStyle name="SAPBEXHLevel0 2 3 2 7" xfId="42433"/>
    <cellStyle name="SAPBEXHLevel0 2 3 2 7 2" xfId="42434"/>
    <cellStyle name="SAPBEXHLevel0 2 3 2 7 3" xfId="42435"/>
    <cellStyle name="SAPBEXHLevel0 2 3 2 7 4" xfId="42436"/>
    <cellStyle name="SAPBEXHLevel0 2 3 2 8" xfId="42437"/>
    <cellStyle name="SAPBEXHLevel0 2 3 2 9" xfId="42438"/>
    <cellStyle name="SAPBEXHLevel0 2 3 3" xfId="42439"/>
    <cellStyle name="SAPBEXHLevel0 2 3 3 2" xfId="42440"/>
    <cellStyle name="SAPBEXHLevel0 2 3 3 2 2" xfId="42441"/>
    <cellStyle name="SAPBEXHLevel0 2 3 3 2 3" xfId="42442"/>
    <cellStyle name="SAPBEXHLevel0 2 3 3 2 4" xfId="42443"/>
    <cellStyle name="SAPBEXHLevel0 2 3 3 3" xfId="42444"/>
    <cellStyle name="SAPBEXHLevel0 2 3 3 3 2" xfId="42445"/>
    <cellStyle name="SAPBEXHLevel0 2 3 3 3 3" xfId="42446"/>
    <cellStyle name="SAPBEXHLevel0 2 3 3 3 4" xfId="42447"/>
    <cellStyle name="SAPBEXHLevel0 2 3 3 4" xfId="42448"/>
    <cellStyle name="SAPBEXHLevel0 2 3 3 4 2" xfId="42449"/>
    <cellStyle name="SAPBEXHLevel0 2 3 3 4 3" xfId="42450"/>
    <cellStyle name="SAPBEXHLevel0 2 3 3 4 4" xfId="42451"/>
    <cellStyle name="SAPBEXHLevel0 2 3 3 5" xfId="42452"/>
    <cellStyle name="SAPBEXHLevel0 2 3 3 6" xfId="42453"/>
    <cellStyle name="SAPBEXHLevel0 2 3 3 7" xfId="42454"/>
    <cellStyle name="SAPBEXHLevel0 2 3 3 8" xfId="42455"/>
    <cellStyle name="SAPBEXHLevel0 2 3 4" xfId="42456"/>
    <cellStyle name="SAPBEXHLevel0 2 3 4 2" xfId="42457"/>
    <cellStyle name="SAPBEXHLevel0 2 3 4 2 2" xfId="42458"/>
    <cellStyle name="SAPBEXHLevel0 2 3 4 2 3" xfId="42459"/>
    <cellStyle name="SAPBEXHLevel0 2 3 4 2 4" xfId="42460"/>
    <cellStyle name="SAPBEXHLevel0 2 3 4 3" xfId="42461"/>
    <cellStyle name="SAPBEXHLevel0 2 3 4 3 2" xfId="42462"/>
    <cellStyle name="SAPBEXHLevel0 2 3 4 3 3" xfId="42463"/>
    <cellStyle name="SAPBEXHLevel0 2 3 4 3 4" xfId="42464"/>
    <cellStyle name="SAPBEXHLevel0 2 3 4 4" xfId="42465"/>
    <cellStyle name="SAPBEXHLevel0 2 3 4 4 2" xfId="42466"/>
    <cellStyle name="SAPBEXHLevel0 2 3 4 4 3" xfId="42467"/>
    <cellStyle name="SAPBEXHLevel0 2 3 4 4 4" xfId="42468"/>
    <cellStyle name="SAPBEXHLevel0 2 3 4 5" xfId="42469"/>
    <cellStyle name="SAPBEXHLevel0 2 3 4 6" xfId="42470"/>
    <cellStyle name="SAPBEXHLevel0 2 3 4 7" xfId="42471"/>
    <cellStyle name="SAPBEXHLevel0 2 3 4 8" xfId="42472"/>
    <cellStyle name="SAPBEXHLevel0 2 3 5" xfId="42473"/>
    <cellStyle name="SAPBEXHLevel0 2 3 5 2" xfId="42474"/>
    <cellStyle name="SAPBEXHLevel0 2 3 5 2 2" xfId="42475"/>
    <cellStyle name="SAPBEXHLevel0 2 3 5 2 3" xfId="42476"/>
    <cellStyle name="SAPBEXHLevel0 2 3 5 2 4" xfId="42477"/>
    <cellStyle name="SAPBEXHLevel0 2 3 5 3" xfId="42478"/>
    <cellStyle name="SAPBEXHLevel0 2 3 5 3 2" xfId="42479"/>
    <cellStyle name="SAPBEXHLevel0 2 3 5 3 3" xfId="42480"/>
    <cellStyle name="SAPBEXHLevel0 2 3 5 3 4" xfId="42481"/>
    <cellStyle name="SAPBEXHLevel0 2 3 5 4" xfId="42482"/>
    <cellStyle name="SAPBEXHLevel0 2 3 5 4 2" xfId="42483"/>
    <cellStyle name="SAPBEXHLevel0 2 3 5 4 3" xfId="42484"/>
    <cellStyle name="SAPBEXHLevel0 2 3 5 4 4" xfId="42485"/>
    <cellStyle name="SAPBEXHLevel0 2 3 5 5" xfId="42486"/>
    <cellStyle name="SAPBEXHLevel0 2 3 5 6" xfId="42487"/>
    <cellStyle name="SAPBEXHLevel0 2 3 5 7" xfId="42488"/>
    <cellStyle name="SAPBEXHLevel0 2 3 5 8" xfId="42489"/>
    <cellStyle name="SAPBEXHLevel0 2 3 6" xfId="42490"/>
    <cellStyle name="SAPBEXHLevel0 2 3 6 2" xfId="42491"/>
    <cellStyle name="SAPBEXHLevel0 2 3 6 2 2" xfId="42492"/>
    <cellStyle name="SAPBEXHLevel0 2 3 6 2 3" xfId="42493"/>
    <cellStyle name="SAPBEXHLevel0 2 3 6 2 4" xfId="42494"/>
    <cellStyle name="SAPBEXHLevel0 2 3 6 3" xfId="42495"/>
    <cellStyle name="SAPBEXHLevel0 2 3 6 3 2" xfId="42496"/>
    <cellStyle name="SAPBEXHLevel0 2 3 6 3 3" xfId="42497"/>
    <cellStyle name="SAPBEXHLevel0 2 3 6 3 4" xfId="42498"/>
    <cellStyle name="SAPBEXHLevel0 2 3 6 4" xfId="42499"/>
    <cellStyle name="SAPBEXHLevel0 2 3 6 4 2" xfId="42500"/>
    <cellStyle name="SAPBEXHLevel0 2 3 6 4 3" xfId="42501"/>
    <cellStyle name="SAPBEXHLevel0 2 3 6 4 4" xfId="42502"/>
    <cellStyle name="SAPBEXHLevel0 2 3 6 5" xfId="42503"/>
    <cellStyle name="SAPBEXHLevel0 2 3 6 6" xfId="42504"/>
    <cellStyle name="SAPBEXHLevel0 2 3 6 7" xfId="42505"/>
    <cellStyle name="SAPBEXHLevel0 2 3 6 8" xfId="42506"/>
    <cellStyle name="SAPBEXHLevel0 2 3 7" xfId="42507"/>
    <cellStyle name="SAPBEXHLevel0 2 3 7 2" xfId="42508"/>
    <cellStyle name="SAPBEXHLevel0 2 3 7 2 2" xfId="42509"/>
    <cellStyle name="SAPBEXHLevel0 2 3 7 2 3" xfId="42510"/>
    <cellStyle name="SAPBEXHLevel0 2 3 7 2 4" xfId="42511"/>
    <cellStyle name="SAPBEXHLevel0 2 3 7 3" xfId="42512"/>
    <cellStyle name="SAPBEXHLevel0 2 3 7 3 2" xfId="42513"/>
    <cellStyle name="SAPBEXHLevel0 2 3 7 3 3" xfId="42514"/>
    <cellStyle name="SAPBEXHLevel0 2 3 7 3 4" xfId="42515"/>
    <cellStyle name="SAPBEXHLevel0 2 3 7 4" xfId="42516"/>
    <cellStyle name="SAPBEXHLevel0 2 3 7 4 2" xfId="42517"/>
    <cellStyle name="SAPBEXHLevel0 2 3 7 4 3" xfId="42518"/>
    <cellStyle name="SAPBEXHLevel0 2 3 7 4 4" xfId="42519"/>
    <cellStyle name="SAPBEXHLevel0 2 3 7 5" xfId="42520"/>
    <cellStyle name="SAPBEXHLevel0 2 3 7 6" xfId="42521"/>
    <cellStyle name="SAPBEXHLevel0 2 3 7 7" xfId="42522"/>
    <cellStyle name="SAPBEXHLevel0 2 3 7 8" xfId="42523"/>
    <cellStyle name="SAPBEXHLevel0 2 3 8" xfId="42524"/>
    <cellStyle name="SAPBEXHLevel0 2 3 8 2" xfId="42525"/>
    <cellStyle name="SAPBEXHLevel0 2 3 8 3" xfId="42526"/>
    <cellStyle name="SAPBEXHLevel0 2 3 8 4" xfId="42527"/>
    <cellStyle name="SAPBEXHLevel0 2 3 9" xfId="42528"/>
    <cellStyle name="SAPBEXHLevel0 2 3 9 2" xfId="42529"/>
    <cellStyle name="SAPBEXHLevel0 2 3 9 3" xfId="42530"/>
    <cellStyle name="SAPBEXHLevel0 2 3 9 4" xfId="42531"/>
    <cellStyle name="SAPBEXHLevel0 2 4" xfId="42532"/>
    <cellStyle name="SAPBEXHLevel0 2 4 2" xfId="42533"/>
    <cellStyle name="SAPBEXHLevel0 2 4 2 2" xfId="42534"/>
    <cellStyle name="SAPBEXHLevel0 2 4 2 2 2" xfId="42535"/>
    <cellStyle name="SAPBEXHLevel0 2 4 2 2 3" xfId="42536"/>
    <cellStyle name="SAPBEXHLevel0 2 4 2 2 4" xfId="42537"/>
    <cellStyle name="SAPBEXHLevel0 2 4 2 3" xfId="42538"/>
    <cellStyle name="SAPBEXHLevel0 2 4 2 3 2" xfId="42539"/>
    <cellStyle name="SAPBEXHLevel0 2 4 2 3 3" xfId="42540"/>
    <cellStyle name="SAPBEXHLevel0 2 4 2 3 4" xfId="42541"/>
    <cellStyle name="SAPBEXHLevel0 2 4 2 4" xfId="42542"/>
    <cellStyle name="SAPBEXHLevel0 2 4 2 4 2" xfId="42543"/>
    <cellStyle name="SAPBEXHLevel0 2 4 2 4 3" xfId="42544"/>
    <cellStyle name="SAPBEXHLevel0 2 4 2 4 4" xfId="42545"/>
    <cellStyle name="SAPBEXHLevel0 2 4 2 5" xfId="42546"/>
    <cellStyle name="SAPBEXHLevel0 2 4 2 6" xfId="42547"/>
    <cellStyle name="SAPBEXHLevel0 2 4 2 7" xfId="42548"/>
    <cellStyle name="SAPBEXHLevel0 2 4 2 8" xfId="42549"/>
    <cellStyle name="SAPBEXHLevel0 2 4 3" xfId="42550"/>
    <cellStyle name="SAPBEXHLevel0 2 4 3 2" xfId="42551"/>
    <cellStyle name="SAPBEXHLevel0 2 4 3 2 2" xfId="42552"/>
    <cellStyle name="SAPBEXHLevel0 2 4 3 2 3" xfId="42553"/>
    <cellStyle name="SAPBEXHLevel0 2 4 3 2 4" xfId="42554"/>
    <cellStyle name="SAPBEXHLevel0 2 4 3 3" xfId="42555"/>
    <cellStyle name="SAPBEXHLevel0 2 4 3 3 2" xfId="42556"/>
    <cellStyle name="SAPBEXHLevel0 2 4 3 3 3" xfId="42557"/>
    <cellStyle name="SAPBEXHLevel0 2 4 3 3 4" xfId="42558"/>
    <cellStyle name="SAPBEXHLevel0 2 4 3 4" xfId="42559"/>
    <cellStyle name="SAPBEXHLevel0 2 4 3 4 2" xfId="42560"/>
    <cellStyle name="SAPBEXHLevel0 2 4 3 4 3" xfId="42561"/>
    <cellStyle name="SAPBEXHLevel0 2 4 3 4 4" xfId="42562"/>
    <cellStyle name="SAPBEXHLevel0 2 4 3 5" xfId="42563"/>
    <cellStyle name="SAPBEXHLevel0 2 4 3 6" xfId="42564"/>
    <cellStyle name="SAPBEXHLevel0 2 4 3 7" xfId="42565"/>
    <cellStyle name="SAPBEXHLevel0 2 4 3 8" xfId="42566"/>
    <cellStyle name="SAPBEXHLevel0 2 4 4" xfId="42567"/>
    <cellStyle name="SAPBEXHLevel0 2 4 4 2" xfId="42568"/>
    <cellStyle name="SAPBEXHLevel0 2 4 4 2 2" xfId="42569"/>
    <cellStyle name="SAPBEXHLevel0 2 4 4 2 3" xfId="42570"/>
    <cellStyle name="SAPBEXHLevel0 2 4 4 2 4" xfId="42571"/>
    <cellStyle name="SAPBEXHLevel0 2 4 4 3" xfId="42572"/>
    <cellStyle name="SAPBEXHLevel0 2 4 4 3 2" xfId="42573"/>
    <cellStyle name="SAPBEXHLevel0 2 4 4 3 3" xfId="42574"/>
    <cellStyle name="SAPBEXHLevel0 2 4 4 3 4" xfId="42575"/>
    <cellStyle name="SAPBEXHLevel0 2 4 4 4" xfId="42576"/>
    <cellStyle name="SAPBEXHLevel0 2 4 4 4 2" xfId="42577"/>
    <cellStyle name="SAPBEXHLevel0 2 4 4 4 3" xfId="42578"/>
    <cellStyle name="SAPBEXHLevel0 2 4 4 4 4" xfId="42579"/>
    <cellStyle name="SAPBEXHLevel0 2 4 4 5" xfId="42580"/>
    <cellStyle name="SAPBEXHLevel0 2 4 4 6" xfId="42581"/>
    <cellStyle name="SAPBEXHLevel0 2 4 4 7" xfId="42582"/>
    <cellStyle name="SAPBEXHLevel0 2 4 4 8" xfId="42583"/>
    <cellStyle name="SAPBEXHLevel0 2 4 5" xfId="42584"/>
    <cellStyle name="SAPBEXHLevel0 2 4 5 2" xfId="42585"/>
    <cellStyle name="SAPBEXHLevel0 2 4 5 2 2" xfId="42586"/>
    <cellStyle name="SAPBEXHLevel0 2 4 5 2 3" xfId="42587"/>
    <cellStyle name="SAPBEXHLevel0 2 4 5 2 4" xfId="42588"/>
    <cellStyle name="SAPBEXHLevel0 2 4 5 3" xfId="42589"/>
    <cellStyle name="SAPBEXHLevel0 2 4 5 3 2" xfId="42590"/>
    <cellStyle name="SAPBEXHLevel0 2 4 5 3 3" xfId="42591"/>
    <cellStyle name="SAPBEXHLevel0 2 4 5 3 4" xfId="42592"/>
    <cellStyle name="SAPBEXHLevel0 2 4 5 4" xfId="42593"/>
    <cellStyle name="SAPBEXHLevel0 2 4 5 4 2" xfId="42594"/>
    <cellStyle name="SAPBEXHLevel0 2 4 5 4 3" xfId="42595"/>
    <cellStyle name="SAPBEXHLevel0 2 4 5 4 4" xfId="42596"/>
    <cellStyle name="SAPBEXHLevel0 2 4 5 5" xfId="42597"/>
    <cellStyle name="SAPBEXHLevel0 2 4 5 6" xfId="42598"/>
    <cellStyle name="SAPBEXHLevel0 2 4 5 7" xfId="42599"/>
    <cellStyle name="SAPBEXHLevel0 2 4 5 8" xfId="42600"/>
    <cellStyle name="SAPBEXHLevel0 2 4 6" xfId="42601"/>
    <cellStyle name="SAPBEXHLevel0 2 4 6 2" xfId="42602"/>
    <cellStyle name="SAPBEXHLevel0 2 4 6 3" xfId="42603"/>
    <cellStyle name="SAPBEXHLevel0 2 4 6 4" xfId="42604"/>
    <cellStyle name="SAPBEXHLevel0 2 4 7" xfId="42605"/>
    <cellStyle name="SAPBEXHLevel0 2 4 7 2" xfId="42606"/>
    <cellStyle name="SAPBEXHLevel0 2 4 7 3" xfId="42607"/>
    <cellStyle name="SAPBEXHLevel0 2 4 7 4" xfId="42608"/>
    <cellStyle name="SAPBEXHLevel0 2 4 8" xfId="42609"/>
    <cellStyle name="SAPBEXHLevel0 2 4 9" xfId="42610"/>
    <cellStyle name="SAPBEXHLevel0 2 5" xfId="42611"/>
    <cellStyle name="SAPBEXHLevel0 2 5 2" xfId="42612"/>
    <cellStyle name="SAPBEXHLevel0 2 5 2 2" xfId="42613"/>
    <cellStyle name="SAPBEXHLevel0 2 5 2 3" xfId="42614"/>
    <cellStyle name="SAPBEXHLevel0 2 5 2 4" xfId="42615"/>
    <cellStyle name="SAPBEXHLevel0 2 5 3" xfId="42616"/>
    <cellStyle name="SAPBEXHLevel0 2 5 3 2" xfId="42617"/>
    <cellStyle name="SAPBEXHLevel0 2 5 3 3" xfId="42618"/>
    <cellStyle name="SAPBEXHLevel0 2 5 3 4" xfId="42619"/>
    <cellStyle name="SAPBEXHLevel0 2 5 4" xfId="42620"/>
    <cellStyle name="SAPBEXHLevel0 2 5 4 2" xfId="42621"/>
    <cellStyle name="SAPBEXHLevel0 2 5 4 3" xfId="42622"/>
    <cellStyle name="SAPBEXHLevel0 2 5 4 4" xfId="42623"/>
    <cellStyle name="SAPBEXHLevel0 2 5 5" xfId="42624"/>
    <cellStyle name="SAPBEXHLevel0 2 5 6" xfId="42625"/>
    <cellStyle name="SAPBEXHLevel0 2 5 7" xfId="42626"/>
    <cellStyle name="SAPBEXHLevel0 2 5 8" xfId="42627"/>
    <cellStyle name="SAPBEXHLevel0 2 6" xfId="42628"/>
    <cellStyle name="SAPBEXHLevel0 2 6 2" xfId="42629"/>
    <cellStyle name="SAPBEXHLevel0 2 6 2 2" xfId="42630"/>
    <cellStyle name="SAPBEXHLevel0 2 6 2 3" xfId="42631"/>
    <cellStyle name="SAPBEXHLevel0 2 6 2 4" xfId="42632"/>
    <cellStyle name="SAPBEXHLevel0 2 6 3" xfId="42633"/>
    <cellStyle name="SAPBEXHLevel0 2 6 3 2" xfId="42634"/>
    <cellStyle name="SAPBEXHLevel0 2 6 3 3" xfId="42635"/>
    <cellStyle name="SAPBEXHLevel0 2 6 3 4" xfId="42636"/>
    <cellStyle name="SAPBEXHLevel0 2 6 4" xfId="42637"/>
    <cellStyle name="SAPBEXHLevel0 2 6 4 2" xfId="42638"/>
    <cellStyle name="SAPBEXHLevel0 2 6 4 3" xfId="42639"/>
    <cellStyle name="SAPBEXHLevel0 2 6 4 4" xfId="42640"/>
    <cellStyle name="SAPBEXHLevel0 2 6 5" xfId="42641"/>
    <cellStyle name="SAPBEXHLevel0 2 6 6" xfId="42642"/>
    <cellStyle name="SAPBEXHLevel0 2 6 7" xfId="42643"/>
    <cellStyle name="SAPBEXHLevel0 2 6 8" xfId="42644"/>
    <cellStyle name="SAPBEXHLevel0 2 7" xfId="42645"/>
    <cellStyle name="SAPBEXHLevel0 2 7 2" xfId="42646"/>
    <cellStyle name="SAPBEXHLevel0 2 7 2 2" xfId="42647"/>
    <cellStyle name="SAPBEXHLevel0 2 7 2 3" xfId="42648"/>
    <cellStyle name="SAPBEXHLevel0 2 7 2 4" xfId="42649"/>
    <cellStyle name="SAPBEXHLevel0 2 7 3" xfId="42650"/>
    <cellStyle name="SAPBEXHLevel0 2 7 3 2" xfId="42651"/>
    <cellStyle name="SAPBEXHLevel0 2 7 3 3" xfId="42652"/>
    <cellStyle name="SAPBEXHLevel0 2 7 3 4" xfId="42653"/>
    <cellStyle name="SAPBEXHLevel0 2 7 4" xfId="42654"/>
    <cellStyle name="SAPBEXHLevel0 2 7 4 2" xfId="42655"/>
    <cellStyle name="SAPBEXHLevel0 2 7 4 3" xfId="42656"/>
    <cellStyle name="SAPBEXHLevel0 2 7 4 4" xfId="42657"/>
    <cellStyle name="SAPBEXHLevel0 2 7 5" xfId="42658"/>
    <cellStyle name="SAPBEXHLevel0 2 7 6" xfId="42659"/>
    <cellStyle name="SAPBEXHLevel0 2 7 7" xfId="42660"/>
    <cellStyle name="SAPBEXHLevel0 2 7 8" xfId="42661"/>
    <cellStyle name="SAPBEXHLevel0 2 8" xfId="42662"/>
    <cellStyle name="SAPBEXHLevel0 2 8 2" xfId="42663"/>
    <cellStyle name="SAPBEXHLevel0 2 8 2 2" xfId="42664"/>
    <cellStyle name="SAPBEXHLevel0 2 8 2 3" xfId="42665"/>
    <cellStyle name="SAPBEXHLevel0 2 8 2 4" xfId="42666"/>
    <cellStyle name="SAPBEXHLevel0 2 8 3" xfId="42667"/>
    <cellStyle name="SAPBEXHLevel0 2 8 3 2" xfId="42668"/>
    <cellStyle name="SAPBEXHLevel0 2 8 3 3" xfId="42669"/>
    <cellStyle name="SAPBEXHLevel0 2 8 3 4" xfId="42670"/>
    <cellStyle name="SAPBEXHLevel0 2 8 4" xfId="42671"/>
    <cellStyle name="SAPBEXHLevel0 2 8 4 2" xfId="42672"/>
    <cellStyle name="SAPBEXHLevel0 2 8 4 3" xfId="42673"/>
    <cellStyle name="SAPBEXHLevel0 2 8 4 4" xfId="42674"/>
    <cellStyle name="SAPBEXHLevel0 2 8 5" xfId="42675"/>
    <cellStyle name="SAPBEXHLevel0 2 8 6" xfId="42676"/>
    <cellStyle name="SAPBEXHLevel0 2 8 7" xfId="42677"/>
    <cellStyle name="SAPBEXHLevel0 2 8 8" xfId="42678"/>
    <cellStyle name="SAPBEXHLevel0 2 9" xfId="42679"/>
    <cellStyle name="SAPBEXHLevel0 2 9 2" xfId="42680"/>
    <cellStyle name="SAPBEXHLevel0 2 9 2 2" xfId="42681"/>
    <cellStyle name="SAPBEXHLevel0 2 9 2 3" xfId="42682"/>
    <cellStyle name="SAPBEXHLevel0 2 9 2 4" xfId="42683"/>
    <cellStyle name="SAPBEXHLevel0 2 9 3" xfId="42684"/>
    <cellStyle name="SAPBEXHLevel0 2 9 3 2" xfId="42685"/>
    <cellStyle name="SAPBEXHLevel0 2 9 3 3" xfId="42686"/>
    <cellStyle name="SAPBEXHLevel0 2 9 3 4" xfId="42687"/>
    <cellStyle name="SAPBEXHLevel0 2 9 4" xfId="42688"/>
    <cellStyle name="SAPBEXHLevel0 2 9 4 2" xfId="42689"/>
    <cellStyle name="SAPBEXHLevel0 2 9 4 3" xfId="42690"/>
    <cellStyle name="SAPBEXHLevel0 2 9 4 4" xfId="42691"/>
    <cellStyle name="SAPBEXHLevel0 2 9 5" xfId="42692"/>
    <cellStyle name="SAPBEXHLevel0 2 9 6" xfId="42693"/>
    <cellStyle name="SAPBEXHLevel0 2 9 7" xfId="42694"/>
    <cellStyle name="SAPBEXHLevel0 2 9 8" xfId="42695"/>
    <cellStyle name="SAPBEXHLevel0 3" xfId="42696"/>
    <cellStyle name="SAPBEXHLevel0 3 10" xfId="42697"/>
    <cellStyle name="SAPBEXHLevel0 3 11" xfId="42698"/>
    <cellStyle name="SAPBEXHLevel0 3 2" xfId="42699"/>
    <cellStyle name="SAPBEXHLevel0 3 2 2" xfId="42700"/>
    <cellStyle name="SAPBEXHLevel0 3 2 2 2" xfId="42701"/>
    <cellStyle name="SAPBEXHLevel0 3 2 2 2 2" xfId="42702"/>
    <cellStyle name="SAPBEXHLevel0 3 2 2 2 3" xfId="42703"/>
    <cellStyle name="SAPBEXHLevel0 3 2 2 2 4" xfId="42704"/>
    <cellStyle name="SAPBEXHLevel0 3 2 2 3" xfId="42705"/>
    <cellStyle name="SAPBEXHLevel0 3 2 2 3 2" xfId="42706"/>
    <cellStyle name="SAPBEXHLevel0 3 2 2 3 3" xfId="42707"/>
    <cellStyle name="SAPBEXHLevel0 3 2 2 3 4" xfId="42708"/>
    <cellStyle name="SAPBEXHLevel0 3 2 2 4" xfId="42709"/>
    <cellStyle name="SAPBEXHLevel0 3 2 2 4 2" xfId="42710"/>
    <cellStyle name="SAPBEXHLevel0 3 2 2 4 3" xfId="42711"/>
    <cellStyle name="SAPBEXHLevel0 3 2 2 4 4" xfId="42712"/>
    <cellStyle name="SAPBEXHLevel0 3 2 2 5" xfId="42713"/>
    <cellStyle name="SAPBEXHLevel0 3 2 2 6" xfId="42714"/>
    <cellStyle name="SAPBEXHLevel0 3 2 2 7" xfId="42715"/>
    <cellStyle name="SAPBEXHLevel0 3 2 2 8" xfId="42716"/>
    <cellStyle name="SAPBEXHLevel0 3 2 3" xfId="42717"/>
    <cellStyle name="SAPBEXHLevel0 3 2 3 2" xfId="42718"/>
    <cellStyle name="SAPBEXHLevel0 3 2 3 2 2" xfId="42719"/>
    <cellStyle name="SAPBEXHLevel0 3 2 3 2 3" xfId="42720"/>
    <cellStyle name="SAPBEXHLevel0 3 2 3 2 4" xfId="42721"/>
    <cellStyle name="SAPBEXHLevel0 3 2 3 3" xfId="42722"/>
    <cellStyle name="SAPBEXHLevel0 3 2 3 3 2" xfId="42723"/>
    <cellStyle name="SAPBEXHLevel0 3 2 3 3 3" xfId="42724"/>
    <cellStyle name="SAPBEXHLevel0 3 2 3 3 4" xfId="42725"/>
    <cellStyle name="SAPBEXHLevel0 3 2 3 4" xfId="42726"/>
    <cellStyle name="SAPBEXHLevel0 3 2 3 4 2" xfId="42727"/>
    <cellStyle name="SAPBEXHLevel0 3 2 3 4 3" xfId="42728"/>
    <cellStyle name="SAPBEXHLevel0 3 2 3 4 4" xfId="42729"/>
    <cellStyle name="SAPBEXHLevel0 3 2 3 5" xfId="42730"/>
    <cellStyle name="SAPBEXHLevel0 3 2 3 6" xfId="42731"/>
    <cellStyle name="SAPBEXHLevel0 3 2 3 7" xfId="42732"/>
    <cellStyle name="SAPBEXHLevel0 3 2 3 8" xfId="42733"/>
    <cellStyle name="SAPBEXHLevel0 3 2 4" xfId="42734"/>
    <cellStyle name="SAPBEXHLevel0 3 2 4 2" xfId="42735"/>
    <cellStyle name="SAPBEXHLevel0 3 2 4 2 2" xfId="42736"/>
    <cellStyle name="SAPBEXHLevel0 3 2 4 2 3" xfId="42737"/>
    <cellStyle name="SAPBEXHLevel0 3 2 4 2 4" xfId="42738"/>
    <cellStyle name="SAPBEXHLevel0 3 2 4 3" xfId="42739"/>
    <cellStyle name="SAPBEXHLevel0 3 2 4 3 2" xfId="42740"/>
    <cellStyle name="SAPBEXHLevel0 3 2 4 3 3" xfId="42741"/>
    <cellStyle name="SAPBEXHLevel0 3 2 4 3 4" xfId="42742"/>
    <cellStyle name="SAPBEXHLevel0 3 2 4 4" xfId="42743"/>
    <cellStyle name="SAPBEXHLevel0 3 2 4 4 2" xfId="42744"/>
    <cellStyle name="SAPBEXHLevel0 3 2 4 4 3" xfId="42745"/>
    <cellStyle name="SAPBEXHLevel0 3 2 4 4 4" xfId="42746"/>
    <cellStyle name="SAPBEXHLevel0 3 2 4 5" xfId="42747"/>
    <cellStyle name="SAPBEXHLevel0 3 2 4 6" xfId="42748"/>
    <cellStyle name="SAPBEXHLevel0 3 2 4 7" xfId="42749"/>
    <cellStyle name="SAPBEXHLevel0 3 2 4 8" xfId="42750"/>
    <cellStyle name="SAPBEXHLevel0 3 2 5" xfId="42751"/>
    <cellStyle name="SAPBEXHLevel0 3 2 5 2" xfId="42752"/>
    <cellStyle name="SAPBEXHLevel0 3 2 5 2 2" xfId="42753"/>
    <cellStyle name="SAPBEXHLevel0 3 2 5 2 3" xfId="42754"/>
    <cellStyle name="SAPBEXHLevel0 3 2 5 2 4" xfId="42755"/>
    <cellStyle name="SAPBEXHLevel0 3 2 5 3" xfId="42756"/>
    <cellStyle name="SAPBEXHLevel0 3 2 5 3 2" xfId="42757"/>
    <cellStyle name="SAPBEXHLevel0 3 2 5 3 3" xfId="42758"/>
    <cellStyle name="SAPBEXHLevel0 3 2 5 3 4" xfId="42759"/>
    <cellStyle name="SAPBEXHLevel0 3 2 5 4" xfId="42760"/>
    <cellStyle name="SAPBEXHLevel0 3 2 5 4 2" xfId="42761"/>
    <cellStyle name="SAPBEXHLevel0 3 2 5 4 3" xfId="42762"/>
    <cellStyle name="SAPBEXHLevel0 3 2 5 4 4" xfId="42763"/>
    <cellStyle name="SAPBEXHLevel0 3 2 5 5" xfId="42764"/>
    <cellStyle name="SAPBEXHLevel0 3 2 5 6" xfId="42765"/>
    <cellStyle name="SAPBEXHLevel0 3 2 5 7" xfId="42766"/>
    <cellStyle name="SAPBEXHLevel0 3 2 5 8" xfId="42767"/>
    <cellStyle name="SAPBEXHLevel0 3 2 6" xfId="42768"/>
    <cellStyle name="SAPBEXHLevel0 3 2 6 2" xfId="42769"/>
    <cellStyle name="SAPBEXHLevel0 3 2 6 3" xfId="42770"/>
    <cellStyle name="SAPBEXHLevel0 3 2 6 4" xfId="42771"/>
    <cellStyle name="SAPBEXHLevel0 3 2 7" xfId="42772"/>
    <cellStyle name="SAPBEXHLevel0 3 2 7 2" xfId="42773"/>
    <cellStyle name="SAPBEXHLevel0 3 2 7 3" xfId="42774"/>
    <cellStyle name="SAPBEXHLevel0 3 2 7 4" xfId="42775"/>
    <cellStyle name="SAPBEXHLevel0 3 2 8" xfId="42776"/>
    <cellStyle name="SAPBEXHLevel0 3 2 9" xfId="42777"/>
    <cellStyle name="SAPBEXHLevel0 3 3" xfId="42778"/>
    <cellStyle name="SAPBEXHLevel0 3 3 2" xfId="42779"/>
    <cellStyle name="SAPBEXHLevel0 3 3 2 2" xfId="42780"/>
    <cellStyle name="SAPBEXHLevel0 3 3 2 3" xfId="42781"/>
    <cellStyle name="SAPBEXHLevel0 3 3 2 4" xfId="42782"/>
    <cellStyle name="SAPBEXHLevel0 3 3 3" xfId="42783"/>
    <cellStyle name="SAPBEXHLevel0 3 3 3 2" xfId="42784"/>
    <cellStyle name="SAPBEXHLevel0 3 3 3 3" xfId="42785"/>
    <cellStyle name="SAPBEXHLevel0 3 3 3 4" xfId="42786"/>
    <cellStyle name="SAPBEXHLevel0 3 3 4" xfId="42787"/>
    <cellStyle name="SAPBEXHLevel0 3 3 4 2" xfId="42788"/>
    <cellStyle name="SAPBEXHLevel0 3 3 4 3" xfId="42789"/>
    <cellStyle name="SAPBEXHLevel0 3 3 4 4" xfId="42790"/>
    <cellStyle name="SAPBEXHLevel0 3 3 5" xfId="42791"/>
    <cellStyle name="SAPBEXHLevel0 3 3 6" xfId="42792"/>
    <cellStyle name="SAPBEXHLevel0 3 3 7" xfId="42793"/>
    <cellStyle name="SAPBEXHLevel0 3 3 8" xfId="42794"/>
    <cellStyle name="SAPBEXHLevel0 3 4" xfId="42795"/>
    <cellStyle name="SAPBEXHLevel0 3 4 2" xfId="42796"/>
    <cellStyle name="SAPBEXHLevel0 3 4 2 2" xfId="42797"/>
    <cellStyle name="SAPBEXHLevel0 3 4 2 3" xfId="42798"/>
    <cellStyle name="SAPBEXHLevel0 3 4 2 4" xfId="42799"/>
    <cellStyle name="SAPBEXHLevel0 3 4 3" xfId="42800"/>
    <cellStyle name="SAPBEXHLevel0 3 4 3 2" xfId="42801"/>
    <cellStyle name="SAPBEXHLevel0 3 4 3 3" xfId="42802"/>
    <cellStyle name="SAPBEXHLevel0 3 4 3 4" xfId="42803"/>
    <cellStyle name="SAPBEXHLevel0 3 4 4" xfId="42804"/>
    <cellStyle name="SAPBEXHLevel0 3 4 4 2" xfId="42805"/>
    <cellStyle name="SAPBEXHLevel0 3 4 4 3" xfId="42806"/>
    <cellStyle name="SAPBEXHLevel0 3 4 4 4" xfId="42807"/>
    <cellStyle name="SAPBEXHLevel0 3 4 5" xfId="42808"/>
    <cellStyle name="SAPBEXHLevel0 3 4 6" xfId="42809"/>
    <cellStyle name="SAPBEXHLevel0 3 4 7" xfId="42810"/>
    <cellStyle name="SAPBEXHLevel0 3 4 8" xfId="42811"/>
    <cellStyle name="SAPBEXHLevel0 3 5" xfId="42812"/>
    <cellStyle name="SAPBEXHLevel0 3 5 2" xfId="42813"/>
    <cellStyle name="SAPBEXHLevel0 3 5 2 2" xfId="42814"/>
    <cellStyle name="SAPBEXHLevel0 3 5 2 3" xfId="42815"/>
    <cellStyle name="SAPBEXHLevel0 3 5 2 4" xfId="42816"/>
    <cellStyle name="SAPBEXHLevel0 3 5 3" xfId="42817"/>
    <cellStyle name="SAPBEXHLevel0 3 5 3 2" xfId="42818"/>
    <cellStyle name="SAPBEXHLevel0 3 5 3 3" xfId="42819"/>
    <cellStyle name="SAPBEXHLevel0 3 5 3 4" xfId="42820"/>
    <cellStyle name="SAPBEXHLevel0 3 5 4" xfId="42821"/>
    <cellStyle name="SAPBEXHLevel0 3 5 4 2" xfId="42822"/>
    <cellStyle name="SAPBEXHLevel0 3 5 4 3" xfId="42823"/>
    <cellStyle name="SAPBEXHLevel0 3 5 4 4" xfId="42824"/>
    <cellStyle name="SAPBEXHLevel0 3 5 5" xfId="42825"/>
    <cellStyle name="SAPBEXHLevel0 3 5 6" xfId="42826"/>
    <cellStyle name="SAPBEXHLevel0 3 5 7" xfId="42827"/>
    <cellStyle name="SAPBEXHLevel0 3 5 8" xfId="42828"/>
    <cellStyle name="SAPBEXHLevel0 3 6" xfId="42829"/>
    <cellStyle name="SAPBEXHLevel0 3 6 2" xfId="42830"/>
    <cellStyle name="SAPBEXHLevel0 3 6 2 2" xfId="42831"/>
    <cellStyle name="SAPBEXHLevel0 3 6 2 3" xfId="42832"/>
    <cellStyle name="SAPBEXHLevel0 3 6 2 4" xfId="42833"/>
    <cellStyle name="SAPBEXHLevel0 3 6 3" xfId="42834"/>
    <cellStyle name="SAPBEXHLevel0 3 6 3 2" xfId="42835"/>
    <cellStyle name="SAPBEXHLevel0 3 6 3 3" xfId="42836"/>
    <cellStyle name="SAPBEXHLevel0 3 6 3 4" xfId="42837"/>
    <cellStyle name="SAPBEXHLevel0 3 6 4" xfId="42838"/>
    <cellStyle name="SAPBEXHLevel0 3 6 4 2" xfId="42839"/>
    <cellStyle name="SAPBEXHLevel0 3 6 4 3" xfId="42840"/>
    <cellStyle name="SAPBEXHLevel0 3 6 4 4" xfId="42841"/>
    <cellStyle name="SAPBEXHLevel0 3 6 5" xfId="42842"/>
    <cellStyle name="SAPBEXHLevel0 3 6 6" xfId="42843"/>
    <cellStyle name="SAPBEXHLevel0 3 6 7" xfId="42844"/>
    <cellStyle name="SAPBEXHLevel0 3 6 8" xfId="42845"/>
    <cellStyle name="SAPBEXHLevel0 3 7" xfId="42846"/>
    <cellStyle name="SAPBEXHLevel0 3 7 2" xfId="42847"/>
    <cellStyle name="SAPBEXHLevel0 3 7 2 2" xfId="42848"/>
    <cellStyle name="SAPBEXHLevel0 3 7 2 3" xfId="42849"/>
    <cellStyle name="SAPBEXHLevel0 3 7 2 4" xfId="42850"/>
    <cellStyle name="SAPBEXHLevel0 3 7 3" xfId="42851"/>
    <cellStyle name="SAPBEXHLevel0 3 7 3 2" xfId="42852"/>
    <cellStyle name="SAPBEXHLevel0 3 7 3 3" xfId="42853"/>
    <cellStyle name="SAPBEXHLevel0 3 7 3 4" xfId="42854"/>
    <cellStyle name="SAPBEXHLevel0 3 7 4" xfId="42855"/>
    <cellStyle name="SAPBEXHLevel0 3 7 4 2" xfId="42856"/>
    <cellStyle name="SAPBEXHLevel0 3 7 4 3" xfId="42857"/>
    <cellStyle name="SAPBEXHLevel0 3 7 4 4" xfId="42858"/>
    <cellStyle name="SAPBEXHLevel0 3 7 5" xfId="42859"/>
    <cellStyle name="SAPBEXHLevel0 3 7 6" xfId="42860"/>
    <cellStyle name="SAPBEXHLevel0 3 7 7" xfId="42861"/>
    <cellStyle name="SAPBEXHLevel0 3 7 8" xfId="42862"/>
    <cellStyle name="SAPBEXHLevel0 3 8" xfId="42863"/>
    <cellStyle name="SAPBEXHLevel0 3 8 2" xfId="42864"/>
    <cellStyle name="SAPBEXHLevel0 3 8 3" xfId="42865"/>
    <cellStyle name="SAPBEXHLevel0 3 8 4" xfId="42866"/>
    <cellStyle name="SAPBEXHLevel0 3 9" xfId="42867"/>
    <cellStyle name="SAPBEXHLevel0 3 9 2" xfId="42868"/>
    <cellStyle name="SAPBEXHLevel0 3 9 3" xfId="42869"/>
    <cellStyle name="SAPBEXHLevel0 3 9 4" xfId="42870"/>
    <cellStyle name="SAPBEXHLevel0 4" xfId="42871"/>
    <cellStyle name="SAPBEXHLevel0 4 10" xfId="42872"/>
    <cellStyle name="SAPBEXHLevel0 4 11" xfId="42873"/>
    <cellStyle name="SAPBEXHLevel0 4 2" xfId="42874"/>
    <cellStyle name="SAPBEXHLevel0 4 2 2" xfId="42875"/>
    <cellStyle name="SAPBEXHLevel0 4 2 2 2" xfId="42876"/>
    <cellStyle name="SAPBEXHLevel0 4 2 2 2 2" xfId="42877"/>
    <cellStyle name="SAPBEXHLevel0 4 2 2 2 3" xfId="42878"/>
    <cellStyle name="SAPBEXHLevel0 4 2 2 2 4" xfId="42879"/>
    <cellStyle name="SAPBEXHLevel0 4 2 2 3" xfId="42880"/>
    <cellStyle name="SAPBEXHLevel0 4 2 2 3 2" xfId="42881"/>
    <cellStyle name="SAPBEXHLevel0 4 2 2 3 3" xfId="42882"/>
    <cellStyle name="SAPBEXHLevel0 4 2 2 3 4" xfId="42883"/>
    <cellStyle name="SAPBEXHLevel0 4 2 2 4" xfId="42884"/>
    <cellStyle name="SAPBEXHLevel0 4 2 2 4 2" xfId="42885"/>
    <cellStyle name="SAPBEXHLevel0 4 2 2 4 3" xfId="42886"/>
    <cellStyle name="SAPBEXHLevel0 4 2 2 4 4" xfId="42887"/>
    <cellStyle name="SAPBEXHLevel0 4 2 2 5" xfId="42888"/>
    <cellStyle name="SAPBEXHLevel0 4 2 2 6" xfId="42889"/>
    <cellStyle name="SAPBEXHLevel0 4 2 2 7" xfId="42890"/>
    <cellStyle name="SAPBEXHLevel0 4 2 2 8" xfId="42891"/>
    <cellStyle name="SAPBEXHLevel0 4 2 3" xfId="42892"/>
    <cellStyle name="SAPBEXHLevel0 4 2 3 2" xfId="42893"/>
    <cellStyle name="SAPBEXHLevel0 4 2 3 2 2" xfId="42894"/>
    <cellStyle name="SAPBEXHLevel0 4 2 3 2 3" xfId="42895"/>
    <cellStyle name="SAPBEXHLevel0 4 2 3 2 4" xfId="42896"/>
    <cellStyle name="SAPBEXHLevel0 4 2 3 3" xfId="42897"/>
    <cellStyle name="SAPBEXHLevel0 4 2 3 3 2" xfId="42898"/>
    <cellStyle name="SAPBEXHLevel0 4 2 3 3 3" xfId="42899"/>
    <cellStyle name="SAPBEXHLevel0 4 2 3 3 4" xfId="42900"/>
    <cellStyle name="SAPBEXHLevel0 4 2 3 4" xfId="42901"/>
    <cellStyle name="SAPBEXHLevel0 4 2 3 4 2" xfId="42902"/>
    <cellStyle name="SAPBEXHLevel0 4 2 3 4 3" xfId="42903"/>
    <cellStyle name="SAPBEXHLevel0 4 2 3 4 4" xfId="42904"/>
    <cellStyle name="SAPBEXHLevel0 4 2 3 5" xfId="42905"/>
    <cellStyle name="SAPBEXHLevel0 4 2 3 6" xfId="42906"/>
    <cellStyle name="SAPBEXHLevel0 4 2 3 7" xfId="42907"/>
    <cellStyle name="SAPBEXHLevel0 4 2 3 8" xfId="42908"/>
    <cellStyle name="SAPBEXHLevel0 4 2 4" xfId="42909"/>
    <cellStyle name="SAPBEXHLevel0 4 2 4 2" xfId="42910"/>
    <cellStyle name="SAPBEXHLevel0 4 2 4 2 2" xfId="42911"/>
    <cellStyle name="SAPBEXHLevel0 4 2 4 2 3" xfId="42912"/>
    <cellStyle name="SAPBEXHLevel0 4 2 4 2 4" xfId="42913"/>
    <cellStyle name="SAPBEXHLevel0 4 2 4 3" xfId="42914"/>
    <cellStyle name="SAPBEXHLevel0 4 2 4 3 2" xfId="42915"/>
    <cellStyle name="SAPBEXHLevel0 4 2 4 3 3" xfId="42916"/>
    <cellStyle name="SAPBEXHLevel0 4 2 4 3 4" xfId="42917"/>
    <cellStyle name="SAPBEXHLevel0 4 2 4 4" xfId="42918"/>
    <cellStyle name="SAPBEXHLevel0 4 2 4 4 2" xfId="42919"/>
    <cellStyle name="SAPBEXHLevel0 4 2 4 4 3" xfId="42920"/>
    <cellStyle name="SAPBEXHLevel0 4 2 4 4 4" xfId="42921"/>
    <cellStyle name="SAPBEXHLevel0 4 2 4 5" xfId="42922"/>
    <cellStyle name="SAPBEXHLevel0 4 2 4 6" xfId="42923"/>
    <cellStyle name="SAPBEXHLevel0 4 2 4 7" xfId="42924"/>
    <cellStyle name="SAPBEXHLevel0 4 2 4 8" xfId="42925"/>
    <cellStyle name="SAPBEXHLevel0 4 2 5" xfId="42926"/>
    <cellStyle name="SAPBEXHLevel0 4 2 5 2" xfId="42927"/>
    <cellStyle name="SAPBEXHLevel0 4 2 5 2 2" xfId="42928"/>
    <cellStyle name="SAPBEXHLevel0 4 2 5 2 3" xfId="42929"/>
    <cellStyle name="SAPBEXHLevel0 4 2 5 2 4" xfId="42930"/>
    <cellStyle name="SAPBEXHLevel0 4 2 5 3" xfId="42931"/>
    <cellStyle name="SAPBEXHLevel0 4 2 5 3 2" xfId="42932"/>
    <cellStyle name="SAPBEXHLevel0 4 2 5 3 3" xfId="42933"/>
    <cellStyle name="SAPBEXHLevel0 4 2 5 3 4" xfId="42934"/>
    <cellStyle name="SAPBEXHLevel0 4 2 5 4" xfId="42935"/>
    <cellStyle name="SAPBEXHLevel0 4 2 5 4 2" xfId="42936"/>
    <cellStyle name="SAPBEXHLevel0 4 2 5 4 3" xfId="42937"/>
    <cellStyle name="SAPBEXHLevel0 4 2 5 4 4" xfId="42938"/>
    <cellStyle name="SAPBEXHLevel0 4 2 5 5" xfId="42939"/>
    <cellStyle name="SAPBEXHLevel0 4 2 5 6" xfId="42940"/>
    <cellStyle name="SAPBEXHLevel0 4 2 5 7" xfId="42941"/>
    <cellStyle name="SAPBEXHLevel0 4 2 5 8" xfId="42942"/>
    <cellStyle name="SAPBEXHLevel0 4 2 6" xfId="42943"/>
    <cellStyle name="SAPBEXHLevel0 4 2 6 2" xfId="42944"/>
    <cellStyle name="SAPBEXHLevel0 4 2 6 3" xfId="42945"/>
    <cellStyle name="SAPBEXHLevel0 4 2 6 4" xfId="42946"/>
    <cellStyle name="SAPBEXHLevel0 4 2 7" xfId="42947"/>
    <cellStyle name="SAPBEXHLevel0 4 2 7 2" xfId="42948"/>
    <cellStyle name="SAPBEXHLevel0 4 2 7 3" xfId="42949"/>
    <cellStyle name="SAPBEXHLevel0 4 2 7 4" xfId="42950"/>
    <cellStyle name="SAPBEXHLevel0 4 2 8" xfId="42951"/>
    <cellStyle name="SAPBEXHLevel0 4 2 9" xfId="42952"/>
    <cellStyle name="SAPBEXHLevel0 4 3" xfId="42953"/>
    <cellStyle name="SAPBEXHLevel0 4 3 2" xfId="42954"/>
    <cellStyle name="SAPBEXHLevel0 4 3 2 2" xfId="42955"/>
    <cellStyle name="SAPBEXHLevel0 4 3 2 3" xfId="42956"/>
    <cellStyle name="SAPBEXHLevel0 4 3 2 4" xfId="42957"/>
    <cellStyle name="SAPBEXHLevel0 4 3 3" xfId="42958"/>
    <cellStyle name="SAPBEXHLevel0 4 3 3 2" xfId="42959"/>
    <cellStyle name="SAPBEXHLevel0 4 3 3 3" xfId="42960"/>
    <cellStyle name="SAPBEXHLevel0 4 3 3 4" xfId="42961"/>
    <cellStyle name="SAPBEXHLevel0 4 3 4" xfId="42962"/>
    <cellStyle name="SAPBEXHLevel0 4 3 4 2" xfId="42963"/>
    <cellStyle name="SAPBEXHLevel0 4 3 4 3" xfId="42964"/>
    <cellStyle name="SAPBEXHLevel0 4 3 4 4" xfId="42965"/>
    <cellStyle name="SAPBEXHLevel0 4 3 5" xfId="42966"/>
    <cellStyle name="SAPBEXHLevel0 4 3 6" xfId="42967"/>
    <cellStyle name="SAPBEXHLevel0 4 3 7" xfId="42968"/>
    <cellStyle name="SAPBEXHLevel0 4 3 8" xfId="42969"/>
    <cellStyle name="SAPBEXHLevel0 4 4" xfId="42970"/>
    <cellStyle name="SAPBEXHLevel0 4 4 2" xfId="42971"/>
    <cellStyle name="SAPBEXHLevel0 4 4 2 2" xfId="42972"/>
    <cellStyle name="SAPBEXHLevel0 4 4 2 3" xfId="42973"/>
    <cellStyle name="SAPBEXHLevel0 4 4 2 4" xfId="42974"/>
    <cellStyle name="SAPBEXHLevel0 4 4 3" xfId="42975"/>
    <cellStyle name="SAPBEXHLevel0 4 4 3 2" xfId="42976"/>
    <cellStyle name="SAPBEXHLevel0 4 4 3 3" xfId="42977"/>
    <cellStyle name="SAPBEXHLevel0 4 4 3 4" xfId="42978"/>
    <cellStyle name="SAPBEXHLevel0 4 4 4" xfId="42979"/>
    <cellStyle name="SAPBEXHLevel0 4 4 4 2" xfId="42980"/>
    <cellStyle name="SAPBEXHLevel0 4 4 4 3" xfId="42981"/>
    <cellStyle name="SAPBEXHLevel0 4 4 4 4" xfId="42982"/>
    <cellStyle name="SAPBEXHLevel0 4 4 5" xfId="42983"/>
    <cellStyle name="SAPBEXHLevel0 4 4 6" xfId="42984"/>
    <cellStyle name="SAPBEXHLevel0 4 4 7" xfId="42985"/>
    <cellStyle name="SAPBEXHLevel0 4 4 8" xfId="42986"/>
    <cellStyle name="SAPBEXHLevel0 4 5" xfId="42987"/>
    <cellStyle name="SAPBEXHLevel0 4 5 2" xfId="42988"/>
    <cellStyle name="SAPBEXHLevel0 4 5 2 2" xfId="42989"/>
    <cellStyle name="SAPBEXHLevel0 4 5 2 3" xfId="42990"/>
    <cellStyle name="SAPBEXHLevel0 4 5 2 4" xfId="42991"/>
    <cellStyle name="SAPBEXHLevel0 4 5 3" xfId="42992"/>
    <cellStyle name="SAPBEXHLevel0 4 5 3 2" xfId="42993"/>
    <cellStyle name="SAPBEXHLevel0 4 5 3 3" xfId="42994"/>
    <cellStyle name="SAPBEXHLevel0 4 5 3 4" xfId="42995"/>
    <cellStyle name="SAPBEXHLevel0 4 5 4" xfId="42996"/>
    <cellStyle name="SAPBEXHLevel0 4 5 4 2" xfId="42997"/>
    <cellStyle name="SAPBEXHLevel0 4 5 4 3" xfId="42998"/>
    <cellStyle name="SAPBEXHLevel0 4 5 4 4" xfId="42999"/>
    <cellStyle name="SAPBEXHLevel0 4 5 5" xfId="43000"/>
    <cellStyle name="SAPBEXHLevel0 4 5 6" xfId="43001"/>
    <cellStyle name="SAPBEXHLevel0 4 5 7" xfId="43002"/>
    <cellStyle name="SAPBEXHLevel0 4 5 8" xfId="43003"/>
    <cellStyle name="SAPBEXHLevel0 4 6" xfId="43004"/>
    <cellStyle name="SAPBEXHLevel0 4 6 2" xfId="43005"/>
    <cellStyle name="SAPBEXHLevel0 4 6 2 2" xfId="43006"/>
    <cellStyle name="SAPBEXHLevel0 4 6 2 3" xfId="43007"/>
    <cellStyle name="SAPBEXHLevel0 4 6 2 4" xfId="43008"/>
    <cellStyle name="SAPBEXHLevel0 4 6 3" xfId="43009"/>
    <cellStyle name="SAPBEXHLevel0 4 6 3 2" xfId="43010"/>
    <cellStyle name="SAPBEXHLevel0 4 6 3 3" xfId="43011"/>
    <cellStyle name="SAPBEXHLevel0 4 6 3 4" xfId="43012"/>
    <cellStyle name="SAPBEXHLevel0 4 6 4" xfId="43013"/>
    <cellStyle name="SAPBEXHLevel0 4 6 4 2" xfId="43014"/>
    <cellStyle name="SAPBEXHLevel0 4 6 4 3" xfId="43015"/>
    <cellStyle name="SAPBEXHLevel0 4 6 4 4" xfId="43016"/>
    <cellStyle name="SAPBEXHLevel0 4 6 5" xfId="43017"/>
    <cellStyle name="SAPBEXHLevel0 4 6 6" xfId="43018"/>
    <cellStyle name="SAPBEXHLevel0 4 6 7" xfId="43019"/>
    <cellStyle name="SAPBEXHLevel0 4 6 8" xfId="43020"/>
    <cellStyle name="SAPBEXHLevel0 4 7" xfId="43021"/>
    <cellStyle name="SAPBEXHLevel0 4 7 2" xfId="43022"/>
    <cellStyle name="SAPBEXHLevel0 4 7 2 2" xfId="43023"/>
    <cellStyle name="SAPBEXHLevel0 4 7 2 3" xfId="43024"/>
    <cellStyle name="SAPBEXHLevel0 4 7 2 4" xfId="43025"/>
    <cellStyle name="SAPBEXHLevel0 4 7 3" xfId="43026"/>
    <cellStyle name="SAPBEXHLevel0 4 7 3 2" xfId="43027"/>
    <cellStyle name="SAPBEXHLevel0 4 7 3 3" xfId="43028"/>
    <cellStyle name="SAPBEXHLevel0 4 7 3 4" xfId="43029"/>
    <cellStyle name="SAPBEXHLevel0 4 7 4" xfId="43030"/>
    <cellStyle name="SAPBEXHLevel0 4 7 4 2" xfId="43031"/>
    <cellStyle name="SAPBEXHLevel0 4 7 4 3" xfId="43032"/>
    <cellStyle name="SAPBEXHLevel0 4 7 4 4" xfId="43033"/>
    <cellStyle name="SAPBEXHLevel0 4 7 5" xfId="43034"/>
    <cellStyle name="SAPBEXHLevel0 4 7 6" xfId="43035"/>
    <cellStyle name="SAPBEXHLevel0 4 7 7" xfId="43036"/>
    <cellStyle name="SAPBEXHLevel0 4 7 8" xfId="43037"/>
    <cellStyle name="SAPBEXHLevel0 4 8" xfId="43038"/>
    <cellStyle name="SAPBEXHLevel0 4 8 2" xfId="43039"/>
    <cellStyle name="SAPBEXHLevel0 4 8 3" xfId="43040"/>
    <cellStyle name="SAPBEXHLevel0 4 8 4" xfId="43041"/>
    <cellStyle name="SAPBEXHLevel0 4 9" xfId="43042"/>
    <cellStyle name="SAPBEXHLevel0 4 9 2" xfId="43043"/>
    <cellStyle name="SAPBEXHLevel0 4 9 3" xfId="43044"/>
    <cellStyle name="SAPBEXHLevel0 4 9 4" xfId="43045"/>
    <cellStyle name="SAPBEXHLevel0 5" xfId="43046"/>
    <cellStyle name="SAPBEXHLevel0 5 2" xfId="43047"/>
    <cellStyle name="SAPBEXHLevel0 5 2 2" xfId="43048"/>
    <cellStyle name="SAPBEXHLevel0 5 2 2 2" xfId="43049"/>
    <cellStyle name="SAPBEXHLevel0 5 2 2 3" xfId="43050"/>
    <cellStyle name="SAPBEXHLevel0 5 2 2 4" xfId="43051"/>
    <cellStyle name="SAPBEXHLevel0 5 2 3" xfId="43052"/>
    <cellStyle name="SAPBEXHLevel0 5 2 3 2" xfId="43053"/>
    <cellStyle name="SAPBEXHLevel0 5 2 3 3" xfId="43054"/>
    <cellStyle name="SAPBEXHLevel0 5 2 3 4" xfId="43055"/>
    <cellStyle name="SAPBEXHLevel0 5 2 4" xfId="43056"/>
    <cellStyle name="SAPBEXHLevel0 5 2 4 2" xfId="43057"/>
    <cellStyle name="SAPBEXHLevel0 5 2 4 3" xfId="43058"/>
    <cellStyle name="SAPBEXHLevel0 5 2 4 4" xfId="43059"/>
    <cellStyle name="SAPBEXHLevel0 5 2 5" xfId="43060"/>
    <cellStyle name="SAPBEXHLevel0 5 2 6" xfId="43061"/>
    <cellStyle name="SAPBEXHLevel0 5 2 7" xfId="43062"/>
    <cellStyle name="SAPBEXHLevel0 5 2 8" xfId="43063"/>
    <cellStyle name="SAPBEXHLevel0 5 3" xfId="43064"/>
    <cellStyle name="SAPBEXHLevel0 5 3 2" xfId="43065"/>
    <cellStyle name="SAPBEXHLevel0 5 3 2 2" xfId="43066"/>
    <cellStyle name="SAPBEXHLevel0 5 3 2 3" xfId="43067"/>
    <cellStyle name="SAPBEXHLevel0 5 3 2 4" xfId="43068"/>
    <cellStyle name="SAPBEXHLevel0 5 3 3" xfId="43069"/>
    <cellStyle name="SAPBEXHLevel0 5 3 3 2" xfId="43070"/>
    <cellStyle name="SAPBEXHLevel0 5 3 3 3" xfId="43071"/>
    <cellStyle name="SAPBEXHLevel0 5 3 3 4" xfId="43072"/>
    <cellStyle name="SAPBEXHLevel0 5 3 4" xfId="43073"/>
    <cellStyle name="SAPBEXHLevel0 5 3 4 2" xfId="43074"/>
    <cellStyle name="SAPBEXHLevel0 5 3 4 3" xfId="43075"/>
    <cellStyle name="SAPBEXHLevel0 5 3 4 4" xfId="43076"/>
    <cellStyle name="SAPBEXHLevel0 5 3 5" xfId="43077"/>
    <cellStyle name="SAPBEXHLevel0 5 3 6" xfId="43078"/>
    <cellStyle name="SAPBEXHLevel0 5 3 7" xfId="43079"/>
    <cellStyle name="SAPBEXHLevel0 5 3 8" xfId="43080"/>
    <cellStyle name="SAPBEXHLevel0 5 4" xfId="43081"/>
    <cellStyle name="SAPBEXHLevel0 5 4 2" xfId="43082"/>
    <cellStyle name="SAPBEXHLevel0 5 4 2 2" xfId="43083"/>
    <cellStyle name="SAPBEXHLevel0 5 4 2 3" xfId="43084"/>
    <cellStyle name="SAPBEXHLevel0 5 4 2 4" xfId="43085"/>
    <cellStyle name="SAPBEXHLevel0 5 4 3" xfId="43086"/>
    <cellStyle name="SAPBEXHLevel0 5 4 3 2" xfId="43087"/>
    <cellStyle name="SAPBEXHLevel0 5 4 3 3" xfId="43088"/>
    <cellStyle name="SAPBEXHLevel0 5 4 3 4" xfId="43089"/>
    <cellStyle name="SAPBEXHLevel0 5 4 4" xfId="43090"/>
    <cellStyle name="SAPBEXHLevel0 5 4 4 2" xfId="43091"/>
    <cellStyle name="SAPBEXHLevel0 5 4 4 3" xfId="43092"/>
    <cellStyle name="SAPBEXHLevel0 5 4 4 4" xfId="43093"/>
    <cellStyle name="SAPBEXHLevel0 5 4 5" xfId="43094"/>
    <cellStyle name="SAPBEXHLevel0 5 4 6" xfId="43095"/>
    <cellStyle name="SAPBEXHLevel0 5 4 7" xfId="43096"/>
    <cellStyle name="SAPBEXHLevel0 5 4 8" xfId="43097"/>
    <cellStyle name="SAPBEXHLevel0 5 5" xfId="43098"/>
    <cellStyle name="SAPBEXHLevel0 5 5 2" xfId="43099"/>
    <cellStyle name="SAPBEXHLevel0 5 5 2 2" xfId="43100"/>
    <cellStyle name="SAPBEXHLevel0 5 5 2 3" xfId="43101"/>
    <cellStyle name="SAPBEXHLevel0 5 5 2 4" xfId="43102"/>
    <cellStyle name="SAPBEXHLevel0 5 5 3" xfId="43103"/>
    <cellStyle name="SAPBEXHLevel0 5 5 3 2" xfId="43104"/>
    <cellStyle name="SAPBEXHLevel0 5 5 3 3" xfId="43105"/>
    <cellStyle name="SAPBEXHLevel0 5 5 3 4" xfId="43106"/>
    <cellStyle name="SAPBEXHLevel0 5 5 4" xfId="43107"/>
    <cellStyle name="SAPBEXHLevel0 5 5 4 2" xfId="43108"/>
    <cellStyle name="SAPBEXHLevel0 5 5 4 3" xfId="43109"/>
    <cellStyle name="SAPBEXHLevel0 5 5 4 4" xfId="43110"/>
    <cellStyle name="SAPBEXHLevel0 5 5 5" xfId="43111"/>
    <cellStyle name="SAPBEXHLevel0 5 5 6" xfId="43112"/>
    <cellStyle name="SAPBEXHLevel0 5 5 7" xfId="43113"/>
    <cellStyle name="SAPBEXHLevel0 5 5 8" xfId="43114"/>
    <cellStyle name="SAPBEXHLevel0 5 6" xfId="43115"/>
    <cellStyle name="SAPBEXHLevel0 5 6 2" xfId="43116"/>
    <cellStyle name="SAPBEXHLevel0 5 6 3" xfId="43117"/>
    <cellStyle name="SAPBEXHLevel0 5 6 4" xfId="43118"/>
    <cellStyle name="SAPBEXHLevel0 5 7" xfId="43119"/>
    <cellStyle name="SAPBEXHLevel0 5 7 2" xfId="43120"/>
    <cellStyle name="SAPBEXHLevel0 5 7 3" xfId="43121"/>
    <cellStyle name="SAPBEXHLevel0 5 7 4" xfId="43122"/>
    <cellStyle name="SAPBEXHLevel0 5 8" xfId="43123"/>
    <cellStyle name="SAPBEXHLevel0 5 9" xfId="43124"/>
    <cellStyle name="SAPBEXHLevel0 6" xfId="43125"/>
    <cellStyle name="SAPBEXHLevel0 6 2" xfId="43126"/>
    <cellStyle name="SAPBEXHLevel0 6 2 2" xfId="43127"/>
    <cellStyle name="SAPBEXHLevel0 6 2 3" xfId="43128"/>
    <cellStyle name="SAPBEXHLevel0 6 2 4" xfId="43129"/>
    <cellStyle name="SAPBEXHLevel0 6 3" xfId="43130"/>
    <cellStyle name="SAPBEXHLevel0 6 3 2" xfId="43131"/>
    <cellStyle name="SAPBEXHLevel0 6 3 3" xfId="43132"/>
    <cellStyle name="SAPBEXHLevel0 6 3 4" xfId="43133"/>
    <cellStyle name="SAPBEXHLevel0 6 4" xfId="43134"/>
    <cellStyle name="SAPBEXHLevel0 6 4 2" xfId="43135"/>
    <cellStyle name="SAPBEXHLevel0 6 4 3" xfId="43136"/>
    <cellStyle name="SAPBEXHLevel0 6 4 4" xfId="43137"/>
    <cellStyle name="SAPBEXHLevel0 6 5" xfId="43138"/>
    <cellStyle name="SAPBEXHLevel0 6 6" xfId="43139"/>
    <cellStyle name="SAPBEXHLevel0 6 7" xfId="43140"/>
    <cellStyle name="SAPBEXHLevel0 6 8" xfId="43141"/>
    <cellStyle name="SAPBEXHLevel0 7" xfId="43142"/>
    <cellStyle name="SAPBEXHLevel0 7 2" xfId="43143"/>
    <cellStyle name="SAPBEXHLevel0 7 2 2" xfId="43144"/>
    <cellStyle name="SAPBEXHLevel0 7 2 3" xfId="43145"/>
    <cellStyle name="SAPBEXHLevel0 7 2 4" xfId="43146"/>
    <cellStyle name="SAPBEXHLevel0 7 3" xfId="43147"/>
    <cellStyle name="SAPBEXHLevel0 7 3 2" xfId="43148"/>
    <cellStyle name="SAPBEXHLevel0 7 3 3" xfId="43149"/>
    <cellStyle name="SAPBEXHLevel0 7 3 4" xfId="43150"/>
    <cellStyle name="SAPBEXHLevel0 7 4" xfId="43151"/>
    <cellStyle name="SAPBEXHLevel0 7 4 2" xfId="43152"/>
    <cellStyle name="SAPBEXHLevel0 7 4 3" xfId="43153"/>
    <cellStyle name="SAPBEXHLevel0 7 4 4" xfId="43154"/>
    <cellStyle name="SAPBEXHLevel0 7 5" xfId="43155"/>
    <cellStyle name="SAPBEXHLevel0 7 6" xfId="43156"/>
    <cellStyle name="SAPBEXHLevel0 7 7" xfId="43157"/>
    <cellStyle name="SAPBEXHLevel0 7 8" xfId="43158"/>
    <cellStyle name="SAPBEXHLevel0 8" xfId="43159"/>
    <cellStyle name="SAPBEXHLevel0 8 2" xfId="43160"/>
    <cellStyle name="SAPBEXHLevel0 8 2 2" xfId="43161"/>
    <cellStyle name="SAPBEXHLevel0 8 2 3" xfId="43162"/>
    <cellStyle name="SAPBEXHLevel0 8 2 4" xfId="43163"/>
    <cellStyle name="SAPBEXHLevel0 8 3" xfId="43164"/>
    <cellStyle name="SAPBEXHLevel0 8 3 2" xfId="43165"/>
    <cellStyle name="SAPBEXHLevel0 8 3 3" xfId="43166"/>
    <cellStyle name="SAPBEXHLevel0 8 3 4" xfId="43167"/>
    <cellStyle name="SAPBEXHLevel0 8 4" xfId="43168"/>
    <cellStyle name="SAPBEXHLevel0 8 4 2" xfId="43169"/>
    <cellStyle name="SAPBEXHLevel0 8 4 3" xfId="43170"/>
    <cellStyle name="SAPBEXHLevel0 8 4 4" xfId="43171"/>
    <cellStyle name="SAPBEXHLevel0 8 5" xfId="43172"/>
    <cellStyle name="SAPBEXHLevel0 8 6" xfId="43173"/>
    <cellStyle name="SAPBEXHLevel0 8 7" xfId="43174"/>
    <cellStyle name="SAPBEXHLevel0 8 8" xfId="43175"/>
    <cellStyle name="SAPBEXHLevel0 9" xfId="43176"/>
    <cellStyle name="SAPBEXHLevel0 9 2" xfId="43177"/>
    <cellStyle name="SAPBEXHLevel0 9 2 2" xfId="43178"/>
    <cellStyle name="SAPBEXHLevel0 9 2 3" xfId="43179"/>
    <cellStyle name="SAPBEXHLevel0 9 2 4" xfId="43180"/>
    <cellStyle name="SAPBEXHLevel0 9 3" xfId="43181"/>
    <cellStyle name="SAPBEXHLevel0 9 3 2" xfId="43182"/>
    <cellStyle name="SAPBEXHLevel0 9 3 3" xfId="43183"/>
    <cellStyle name="SAPBEXHLevel0 9 3 4" xfId="43184"/>
    <cellStyle name="SAPBEXHLevel0 9 4" xfId="43185"/>
    <cellStyle name="SAPBEXHLevel0 9 4 2" xfId="43186"/>
    <cellStyle name="SAPBEXHLevel0 9 4 3" xfId="43187"/>
    <cellStyle name="SAPBEXHLevel0 9 4 4" xfId="43188"/>
    <cellStyle name="SAPBEXHLevel0 9 5" xfId="43189"/>
    <cellStyle name="SAPBEXHLevel0 9 6" xfId="43190"/>
    <cellStyle name="SAPBEXHLevel0 9 7" xfId="43191"/>
    <cellStyle name="SAPBEXHLevel0 9 8" xfId="43192"/>
    <cellStyle name="SAPBEXHLevel0X" xfId="43193"/>
    <cellStyle name="SAPBEXHLevel0X 10" xfId="43194"/>
    <cellStyle name="SAPBEXHLevel0X 10 2" xfId="43195"/>
    <cellStyle name="SAPBEXHLevel0X 10 2 2" xfId="43196"/>
    <cellStyle name="SAPBEXHLevel0X 10 2 3" xfId="43197"/>
    <cellStyle name="SAPBEXHLevel0X 10 2 4" xfId="43198"/>
    <cellStyle name="SAPBEXHLevel0X 10 3" xfId="43199"/>
    <cellStyle name="SAPBEXHLevel0X 10 3 2" xfId="43200"/>
    <cellStyle name="SAPBEXHLevel0X 10 3 3" xfId="43201"/>
    <cellStyle name="SAPBEXHLevel0X 10 3 4" xfId="43202"/>
    <cellStyle name="SAPBEXHLevel0X 10 4" xfId="43203"/>
    <cellStyle name="SAPBEXHLevel0X 10 4 2" xfId="43204"/>
    <cellStyle name="SAPBEXHLevel0X 10 4 3" xfId="43205"/>
    <cellStyle name="SAPBEXHLevel0X 10 4 4" xfId="43206"/>
    <cellStyle name="SAPBEXHLevel0X 10 5" xfId="43207"/>
    <cellStyle name="SAPBEXHLevel0X 10 6" xfId="43208"/>
    <cellStyle name="SAPBEXHLevel0X 10 7" xfId="43209"/>
    <cellStyle name="SAPBEXHLevel0X 10 8" xfId="43210"/>
    <cellStyle name="SAPBEXHLevel0X 11" xfId="43211"/>
    <cellStyle name="SAPBEXHLevel0X 11 2" xfId="43212"/>
    <cellStyle name="SAPBEXHLevel0X 11 3" xfId="43213"/>
    <cellStyle name="SAPBEXHLevel0X 11 4" xfId="43214"/>
    <cellStyle name="SAPBEXHLevel0X 12" xfId="43215"/>
    <cellStyle name="SAPBEXHLevel0X 12 2" xfId="43216"/>
    <cellStyle name="SAPBEXHLevel0X 12 3" xfId="43217"/>
    <cellStyle name="SAPBEXHLevel0X 12 4" xfId="43218"/>
    <cellStyle name="SAPBEXHLevel0X 13" xfId="43219"/>
    <cellStyle name="SAPBEXHLevel0X 14" xfId="43220"/>
    <cellStyle name="SAPBEXHLevel0X 2" xfId="43221"/>
    <cellStyle name="SAPBEXHLevel0X 2 10" xfId="43222"/>
    <cellStyle name="SAPBEXHLevel0X 2 10 2" xfId="43223"/>
    <cellStyle name="SAPBEXHLevel0X 2 10 3" xfId="43224"/>
    <cellStyle name="SAPBEXHLevel0X 2 10 4" xfId="43225"/>
    <cellStyle name="SAPBEXHLevel0X 2 11" xfId="43226"/>
    <cellStyle name="SAPBEXHLevel0X 2 11 2" xfId="43227"/>
    <cellStyle name="SAPBEXHLevel0X 2 11 3" xfId="43228"/>
    <cellStyle name="SAPBEXHLevel0X 2 11 4" xfId="43229"/>
    <cellStyle name="SAPBEXHLevel0X 2 12" xfId="43230"/>
    <cellStyle name="SAPBEXHLevel0X 2 13" xfId="43231"/>
    <cellStyle name="SAPBEXHLevel0X 2 2" xfId="43232"/>
    <cellStyle name="SAPBEXHLevel0X 2 2 10" xfId="43233"/>
    <cellStyle name="SAPBEXHLevel0X 2 2 11" xfId="43234"/>
    <cellStyle name="SAPBEXHLevel0X 2 2 2" xfId="43235"/>
    <cellStyle name="SAPBEXHLevel0X 2 2 2 2" xfId="43236"/>
    <cellStyle name="SAPBEXHLevel0X 2 2 2 2 2" xfId="43237"/>
    <cellStyle name="SAPBEXHLevel0X 2 2 2 2 2 2" xfId="43238"/>
    <cellStyle name="SAPBEXHLevel0X 2 2 2 2 2 3" xfId="43239"/>
    <cellStyle name="SAPBEXHLevel0X 2 2 2 2 2 4" xfId="43240"/>
    <cellStyle name="SAPBEXHLevel0X 2 2 2 2 3" xfId="43241"/>
    <cellStyle name="SAPBEXHLevel0X 2 2 2 2 3 2" xfId="43242"/>
    <cellStyle name="SAPBEXHLevel0X 2 2 2 2 3 3" xfId="43243"/>
    <cellStyle name="SAPBEXHLevel0X 2 2 2 2 3 4" xfId="43244"/>
    <cellStyle name="SAPBEXHLevel0X 2 2 2 2 4" xfId="43245"/>
    <cellStyle name="SAPBEXHLevel0X 2 2 2 2 4 2" xfId="43246"/>
    <cellStyle name="SAPBEXHLevel0X 2 2 2 2 4 3" xfId="43247"/>
    <cellStyle name="SAPBEXHLevel0X 2 2 2 2 4 4" xfId="43248"/>
    <cellStyle name="SAPBEXHLevel0X 2 2 2 2 5" xfId="43249"/>
    <cellStyle name="SAPBEXHLevel0X 2 2 2 2 6" xfId="43250"/>
    <cellStyle name="SAPBEXHLevel0X 2 2 2 2 7" xfId="43251"/>
    <cellStyle name="SAPBEXHLevel0X 2 2 2 2 8" xfId="43252"/>
    <cellStyle name="SAPBEXHLevel0X 2 2 2 3" xfId="43253"/>
    <cellStyle name="SAPBEXHLevel0X 2 2 2 3 2" xfId="43254"/>
    <cellStyle name="SAPBEXHLevel0X 2 2 2 3 2 2" xfId="43255"/>
    <cellStyle name="SAPBEXHLevel0X 2 2 2 3 2 3" xfId="43256"/>
    <cellStyle name="SAPBEXHLevel0X 2 2 2 3 2 4" xfId="43257"/>
    <cellStyle name="SAPBEXHLevel0X 2 2 2 3 3" xfId="43258"/>
    <cellStyle name="SAPBEXHLevel0X 2 2 2 3 3 2" xfId="43259"/>
    <cellStyle name="SAPBEXHLevel0X 2 2 2 3 3 3" xfId="43260"/>
    <cellStyle name="SAPBEXHLevel0X 2 2 2 3 3 4" xfId="43261"/>
    <cellStyle name="SAPBEXHLevel0X 2 2 2 3 4" xfId="43262"/>
    <cellStyle name="SAPBEXHLevel0X 2 2 2 3 4 2" xfId="43263"/>
    <cellStyle name="SAPBEXHLevel0X 2 2 2 3 4 3" xfId="43264"/>
    <cellStyle name="SAPBEXHLevel0X 2 2 2 3 4 4" xfId="43265"/>
    <cellStyle name="SAPBEXHLevel0X 2 2 2 3 5" xfId="43266"/>
    <cellStyle name="SAPBEXHLevel0X 2 2 2 3 6" xfId="43267"/>
    <cellStyle name="SAPBEXHLevel0X 2 2 2 3 7" xfId="43268"/>
    <cellStyle name="SAPBEXHLevel0X 2 2 2 3 8" xfId="43269"/>
    <cellStyle name="SAPBEXHLevel0X 2 2 2 4" xfId="43270"/>
    <cellStyle name="SAPBEXHLevel0X 2 2 2 4 2" xfId="43271"/>
    <cellStyle name="SAPBEXHLevel0X 2 2 2 4 2 2" xfId="43272"/>
    <cellStyle name="SAPBEXHLevel0X 2 2 2 4 2 3" xfId="43273"/>
    <cellStyle name="SAPBEXHLevel0X 2 2 2 4 2 4" xfId="43274"/>
    <cellStyle name="SAPBEXHLevel0X 2 2 2 4 3" xfId="43275"/>
    <cellStyle name="SAPBEXHLevel0X 2 2 2 4 3 2" xfId="43276"/>
    <cellStyle name="SAPBEXHLevel0X 2 2 2 4 3 3" xfId="43277"/>
    <cellStyle name="SAPBEXHLevel0X 2 2 2 4 3 4" xfId="43278"/>
    <cellStyle name="SAPBEXHLevel0X 2 2 2 4 4" xfId="43279"/>
    <cellStyle name="SAPBEXHLevel0X 2 2 2 4 4 2" xfId="43280"/>
    <cellStyle name="SAPBEXHLevel0X 2 2 2 4 4 3" xfId="43281"/>
    <cellStyle name="SAPBEXHLevel0X 2 2 2 4 4 4" xfId="43282"/>
    <cellStyle name="SAPBEXHLevel0X 2 2 2 4 5" xfId="43283"/>
    <cellStyle name="SAPBEXHLevel0X 2 2 2 4 6" xfId="43284"/>
    <cellStyle name="SAPBEXHLevel0X 2 2 2 4 7" xfId="43285"/>
    <cellStyle name="SAPBEXHLevel0X 2 2 2 4 8" xfId="43286"/>
    <cellStyle name="SAPBEXHLevel0X 2 2 2 5" xfId="43287"/>
    <cellStyle name="SAPBEXHLevel0X 2 2 2 5 2" xfId="43288"/>
    <cellStyle name="SAPBEXHLevel0X 2 2 2 5 2 2" xfId="43289"/>
    <cellStyle name="SAPBEXHLevel0X 2 2 2 5 2 3" xfId="43290"/>
    <cellStyle name="SAPBEXHLevel0X 2 2 2 5 2 4" xfId="43291"/>
    <cellStyle name="SAPBEXHLevel0X 2 2 2 5 3" xfId="43292"/>
    <cellStyle name="SAPBEXHLevel0X 2 2 2 5 3 2" xfId="43293"/>
    <cellStyle name="SAPBEXHLevel0X 2 2 2 5 3 3" xfId="43294"/>
    <cellStyle name="SAPBEXHLevel0X 2 2 2 5 3 4" xfId="43295"/>
    <cellStyle name="SAPBEXHLevel0X 2 2 2 5 4" xfId="43296"/>
    <cellStyle name="SAPBEXHLevel0X 2 2 2 5 4 2" xfId="43297"/>
    <cellStyle name="SAPBEXHLevel0X 2 2 2 5 4 3" xfId="43298"/>
    <cellStyle name="SAPBEXHLevel0X 2 2 2 5 4 4" xfId="43299"/>
    <cellStyle name="SAPBEXHLevel0X 2 2 2 5 5" xfId="43300"/>
    <cellStyle name="SAPBEXHLevel0X 2 2 2 5 6" xfId="43301"/>
    <cellStyle name="SAPBEXHLevel0X 2 2 2 5 7" xfId="43302"/>
    <cellStyle name="SAPBEXHLevel0X 2 2 2 5 8" xfId="43303"/>
    <cellStyle name="SAPBEXHLevel0X 2 2 2 6" xfId="43304"/>
    <cellStyle name="SAPBEXHLevel0X 2 2 2 6 2" xfId="43305"/>
    <cellStyle name="SAPBEXHLevel0X 2 2 2 6 3" xfId="43306"/>
    <cellStyle name="SAPBEXHLevel0X 2 2 2 6 4" xfId="43307"/>
    <cellStyle name="SAPBEXHLevel0X 2 2 2 7" xfId="43308"/>
    <cellStyle name="SAPBEXHLevel0X 2 2 2 7 2" xfId="43309"/>
    <cellStyle name="SAPBEXHLevel0X 2 2 2 7 3" xfId="43310"/>
    <cellStyle name="SAPBEXHLevel0X 2 2 2 7 4" xfId="43311"/>
    <cellStyle name="SAPBEXHLevel0X 2 2 2 8" xfId="43312"/>
    <cellStyle name="SAPBEXHLevel0X 2 2 2 9" xfId="43313"/>
    <cellStyle name="SAPBEXHLevel0X 2 2 3" xfId="43314"/>
    <cellStyle name="SAPBEXHLevel0X 2 2 3 2" xfId="43315"/>
    <cellStyle name="SAPBEXHLevel0X 2 2 3 2 2" xfId="43316"/>
    <cellStyle name="SAPBEXHLevel0X 2 2 3 2 3" xfId="43317"/>
    <cellStyle name="SAPBEXHLevel0X 2 2 3 2 4" xfId="43318"/>
    <cellStyle name="SAPBEXHLevel0X 2 2 3 3" xfId="43319"/>
    <cellStyle name="SAPBEXHLevel0X 2 2 3 3 2" xfId="43320"/>
    <cellStyle name="SAPBEXHLevel0X 2 2 3 3 3" xfId="43321"/>
    <cellStyle name="SAPBEXHLevel0X 2 2 3 3 4" xfId="43322"/>
    <cellStyle name="SAPBEXHLevel0X 2 2 3 4" xfId="43323"/>
    <cellStyle name="SAPBEXHLevel0X 2 2 3 4 2" xfId="43324"/>
    <cellStyle name="SAPBEXHLevel0X 2 2 3 4 3" xfId="43325"/>
    <cellStyle name="SAPBEXHLevel0X 2 2 3 4 4" xfId="43326"/>
    <cellStyle name="SAPBEXHLevel0X 2 2 3 5" xfId="43327"/>
    <cellStyle name="SAPBEXHLevel0X 2 2 3 6" xfId="43328"/>
    <cellStyle name="SAPBEXHLevel0X 2 2 3 7" xfId="43329"/>
    <cellStyle name="SAPBEXHLevel0X 2 2 3 8" xfId="43330"/>
    <cellStyle name="SAPBEXHLevel0X 2 2 4" xfId="43331"/>
    <cellStyle name="SAPBEXHLevel0X 2 2 4 2" xfId="43332"/>
    <cellStyle name="SAPBEXHLevel0X 2 2 4 2 2" xfId="43333"/>
    <cellStyle name="SAPBEXHLevel0X 2 2 4 2 3" xfId="43334"/>
    <cellStyle name="SAPBEXHLevel0X 2 2 4 2 4" xfId="43335"/>
    <cellStyle name="SAPBEXHLevel0X 2 2 4 3" xfId="43336"/>
    <cellStyle name="SAPBEXHLevel0X 2 2 4 3 2" xfId="43337"/>
    <cellStyle name="SAPBEXHLevel0X 2 2 4 3 3" xfId="43338"/>
    <cellStyle name="SAPBEXHLevel0X 2 2 4 3 4" xfId="43339"/>
    <cellStyle name="SAPBEXHLevel0X 2 2 4 4" xfId="43340"/>
    <cellStyle name="SAPBEXHLevel0X 2 2 4 4 2" xfId="43341"/>
    <cellStyle name="SAPBEXHLevel0X 2 2 4 4 3" xfId="43342"/>
    <cellStyle name="SAPBEXHLevel0X 2 2 4 4 4" xfId="43343"/>
    <cellStyle name="SAPBEXHLevel0X 2 2 4 5" xfId="43344"/>
    <cellStyle name="SAPBEXHLevel0X 2 2 4 6" xfId="43345"/>
    <cellStyle name="SAPBEXHLevel0X 2 2 4 7" xfId="43346"/>
    <cellStyle name="SAPBEXHLevel0X 2 2 4 8" xfId="43347"/>
    <cellStyle name="SAPBEXHLevel0X 2 2 5" xfId="43348"/>
    <cellStyle name="SAPBEXHLevel0X 2 2 5 2" xfId="43349"/>
    <cellStyle name="SAPBEXHLevel0X 2 2 5 2 2" xfId="43350"/>
    <cellStyle name="SAPBEXHLevel0X 2 2 5 2 3" xfId="43351"/>
    <cellStyle name="SAPBEXHLevel0X 2 2 5 2 4" xfId="43352"/>
    <cellStyle name="SAPBEXHLevel0X 2 2 5 3" xfId="43353"/>
    <cellStyle name="SAPBEXHLevel0X 2 2 5 3 2" xfId="43354"/>
    <cellStyle name="SAPBEXHLevel0X 2 2 5 3 3" xfId="43355"/>
    <cellStyle name="SAPBEXHLevel0X 2 2 5 3 4" xfId="43356"/>
    <cellStyle name="SAPBEXHLevel0X 2 2 5 4" xfId="43357"/>
    <cellStyle name="SAPBEXHLevel0X 2 2 5 4 2" xfId="43358"/>
    <cellStyle name="SAPBEXHLevel0X 2 2 5 4 3" xfId="43359"/>
    <cellStyle name="SAPBEXHLevel0X 2 2 5 4 4" xfId="43360"/>
    <cellStyle name="SAPBEXHLevel0X 2 2 5 5" xfId="43361"/>
    <cellStyle name="SAPBEXHLevel0X 2 2 5 6" xfId="43362"/>
    <cellStyle name="SAPBEXHLevel0X 2 2 5 7" xfId="43363"/>
    <cellStyle name="SAPBEXHLevel0X 2 2 5 8" xfId="43364"/>
    <cellStyle name="SAPBEXHLevel0X 2 2 6" xfId="43365"/>
    <cellStyle name="SAPBEXHLevel0X 2 2 6 2" xfId="43366"/>
    <cellStyle name="SAPBEXHLevel0X 2 2 6 2 2" xfId="43367"/>
    <cellStyle name="SAPBEXHLevel0X 2 2 6 2 3" xfId="43368"/>
    <cellStyle name="SAPBEXHLevel0X 2 2 6 2 4" xfId="43369"/>
    <cellStyle name="SAPBEXHLevel0X 2 2 6 3" xfId="43370"/>
    <cellStyle name="SAPBEXHLevel0X 2 2 6 3 2" xfId="43371"/>
    <cellStyle name="SAPBEXHLevel0X 2 2 6 3 3" xfId="43372"/>
    <cellStyle name="SAPBEXHLevel0X 2 2 6 3 4" xfId="43373"/>
    <cellStyle name="SAPBEXHLevel0X 2 2 6 4" xfId="43374"/>
    <cellStyle name="SAPBEXHLevel0X 2 2 6 4 2" xfId="43375"/>
    <cellStyle name="SAPBEXHLevel0X 2 2 6 4 3" xfId="43376"/>
    <cellStyle name="SAPBEXHLevel0X 2 2 6 4 4" xfId="43377"/>
    <cellStyle name="SAPBEXHLevel0X 2 2 6 5" xfId="43378"/>
    <cellStyle name="SAPBEXHLevel0X 2 2 6 6" xfId="43379"/>
    <cellStyle name="SAPBEXHLevel0X 2 2 6 7" xfId="43380"/>
    <cellStyle name="SAPBEXHLevel0X 2 2 6 8" xfId="43381"/>
    <cellStyle name="SAPBEXHLevel0X 2 2 7" xfId="43382"/>
    <cellStyle name="SAPBEXHLevel0X 2 2 7 2" xfId="43383"/>
    <cellStyle name="SAPBEXHLevel0X 2 2 7 2 2" xfId="43384"/>
    <cellStyle name="SAPBEXHLevel0X 2 2 7 2 3" xfId="43385"/>
    <cellStyle name="SAPBEXHLevel0X 2 2 7 2 4" xfId="43386"/>
    <cellStyle name="SAPBEXHLevel0X 2 2 7 3" xfId="43387"/>
    <cellStyle name="SAPBEXHLevel0X 2 2 7 3 2" xfId="43388"/>
    <cellStyle name="SAPBEXHLevel0X 2 2 7 3 3" xfId="43389"/>
    <cellStyle name="SAPBEXHLevel0X 2 2 7 3 4" xfId="43390"/>
    <cellStyle name="SAPBEXHLevel0X 2 2 7 4" xfId="43391"/>
    <cellStyle name="SAPBEXHLevel0X 2 2 7 4 2" xfId="43392"/>
    <cellStyle name="SAPBEXHLevel0X 2 2 7 4 3" xfId="43393"/>
    <cellStyle name="SAPBEXHLevel0X 2 2 7 4 4" xfId="43394"/>
    <cellStyle name="SAPBEXHLevel0X 2 2 7 5" xfId="43395"/>
    <cellStyle name="SAPBEXHLevel0X 2 2 7 6" xfId="43396"/>
    <cellStyle name="SAPBEXHLevel0X 2 2 7 7" xfId="43397"/>
    <cellStyle name="SAPBEXHLevel0X 2 2 7 8" xfId="43398"/>
    <cellStyle name="SAPBEXHLevel0X 2 2 8" xfId="43399"/>
    <cellStyle name="SAPBEXHLevel0X 2 2 8 2" xfId="43400"/>
    <cellStyle name="SAPBEXHLevel0X 2 2 8 3" xfId="43401"/>
    <cellStyle name="SAPBEXHLevel0X 2 2 8 4" xfId="43402"/>
    <cellStyle name="SAPBEXHLevel0X 2 2 9" xfId="43403"/>
    <cellStyle name="SAPBEXHLevel0X 2 2 9 2" xfId="43404"/>
    <cellStyle name="SAPBEXHLevel0X 2 2 9 3" xfId="43405"/>
    <cellStyle name="SAPBEXHLevel0X 2 2 9 4" xfId="43406"/>
    <cellStyle name="SAPBEXHLevel0X 2 3" xfId="43407"/>
    <cellStyle name="SAPBEXHLevel0X 2 3 10" xfId="43408"/>
    <cellStyle name="SAPBEXHLevel0X 2 3 11" xfId="43409"/>
    <cellStyle name="SAPBEXHLevel0X 2 3 2" xfId="43410"/>
    <cellStyle name="SAPBEXHLevel0X 2 3 2 2" xfId="43411"/>
    <cellStyle name="SAPBEXHLevel0X 2 3 2 2 2" xfId="43412"/>
    <cellStyle name="SAPBEXHLevel0X 2 3 2 2 2 2" xfId="43413"/>
    <cellStyle name="SAPBEXHLevel0X 2 3 2 2 2 3" xfId="43414"/>
    <cellStyle name="SAPBEXHLevel0X 2 3 2 2 2 4" xfId="43415"/>
    <cellStyle name="SAPBEXHLevel0X 2 3 2 2 3" xfId="43416"/>
    <cellStyle name="SAPBEXHLevel0X 2 3 2 2 3 2" xfId="43417"/>
    <cellStyle name="SAPBEXHLevel0X 2 3 2 2 3 3" xfId="43418"/>
    <cellStyle name="SAPBEXHLevel0X 2 3 2 2 3 4" xfId="43419"/>
    <cellStyle name="SAPBEXHLevel0X 2 3 2 2 4" xfId="43420"/>
    <cellStyle name="SAPBEXHLevel0X 2 3 2 2 4 2" xfId="43421"/>
    <cellStyle name="SAPBEXHLevel0X 2 3 2 2 4 3" xfId="43422"/>
    <cellStyle name="SAPBEXHLevel0X 2 3 2 2 4 4" xfId="43423"/>
    <cellStyle name="SAPBEXHLevel0X 2 3 2 2 5" xfId="43424"/>
    <cellStyle name="SAPBEXHLevel0X 2 3 2 2 6" xfId="43425"/>
    <cellStyle name="SAPBEXHLevel0X 2 3 2 2 7" xfId="43426"/>
    <cellStyle name="SAPBEXHLevel0X 2 3 2 2 8" xfId="43427"/>
    <cellStyle name="SAPBEXHLevel0X 2 3 2 3" xfId="43428"/>
    <cellStyle name="SAPBEXHLevel0X 2 3 2 3 2" xfId="43429"/>
    <cellStyle name="SAPBEXHLevel0X 2 3 2 3 2 2" xfId="43430"/>
    <cellStyle name="SAPBEXHLevel0X 2 3 2 3 2 3" xfId="43431"/>
    <cellStyle name="SAPBEXHLevel0X 2 3 2 3 2 4" xfId="43432"/>
    <cellStyle name="SAPBEXHLevel0X 2 3 2 3 3" xfId="43433"/>
    <cellStyle name="SAPBEXHLevel0X 2 3 2 3 3 2" xfId="43434"/>
    <cellStyle name="SAPBEXHLevel0X 2 3 2 3 3 3" xfId="43435"/>
    <cellStyle name="SAPBEXHLevel0X 2 3 2 3 3 4" xfId="43436"/>
    <cellStyle name="SAPBEXHLevel0X 2 3 2 3 4" xfId="43437"/>
    <cellStyle name="SAPBEXHLevel0X 2 3 2 3 4 2" xfId="43438"/>
    <cellStyle name="SAPBEXHLevel0X 2 3 2 3 4 3" xfId="43439"/>
    <cellStyle name="SAPBEXHLevel0X 2 3 2 3 4 4" xfId="43440"/>
    <cellStyle name="SAPBEXHLevel0X 2 3 2 3 5" xfId="43441"/>
    <cellStyle name="SAPBEXHLevel0X 2 3 2 3 6" xfId="43442"/>
    <cellStyle name="SAPBEXHLevel0X 2 3 2 3 7" xfId="43443"/>
    <cellStyle name="SAPBEXHLevel0X 2 3 2 3 8" xfId="43444"/>
    <cellStyle name="SAPBEXHLevel0X 2 3 2 4" xfId="43445"/>
    <cellStyle name="SAPBEXHLevel0X 2 3 2 4 2" xfId="43446"/>
    <cellStyle name="SAPBEXHLevel0X 2 3 2 4 2 2" xfId="43447"/>
    <cellStyle name="SAPBEXHLevel0X 2 3 2 4 2 3" xfId="43448"/>
    <cellStyle name="SAPBEXHLevel0X 2 3 2 4 2 4" xfId="43449"/>
    <cellStyle name="SAPBEXHLevel0X 2 3 2 4 3" xfId="43450"/>
    <cellStyle name="SAPBEXHLevel0X 2 3 2 4 3 2" xfId="43451"/>
    <cellStyle name="SAPBEXHLevel0X 2 3 2 4 3 3" xfId="43452"/>
    <cellStyle name="SAPBEXHLevel0X 2 3 2 4 3 4" xfId="43453"/>
    <cellStyle name="SAPBEXHLevel0X 2 3 2 4 4" xfId="43454"/>
    <cellStyle name="SAPBEXHLevel0X 2 3 2 4 4 2" xfId="43455"/>
    <cellStyle name="SAPBEXHLevel0X 2 3 2 4 4 3" xfId="43456"/>
    <cellStyle name="SAPBEXHLevel0X 2 3 2 4 4 4" xfId="43457"/>
    <cellStyle name="SAPBEXHLevel0X 2 3 2 4 5" xfId="43458"/>
    <cellStyle name="SAPBEXHLevel0X 2 3 2 4 6" xfId="43459"/>
    <cellStyle name="SAPBEXHLevel0X 2 3 2 4 7" xfId="43460"/>
    <cellStyle name="SAPBEXHLevel0X 2 3 2 4 8" xfId="43461"/>
    <cellStyle name="SAPBEXHLevel0X 2 3 2 5" xfId="43462"/>
    <cellStyle name="SAPBEXHLevel0X 2 3 2 5 2" xfId="43463"/>
    <cellStyle name="SAPBEXHLevel0X 2 3 2 5 2 2" xfId="43464"/>
    <cellStyle name="SAPBEXHLevel0X 2 3 2 5 2 3" xfId="43465"/>
    <cellStyle name="SAPBEXHLevel0X 2 3 2 5 2 4" xfId="43466"/>
    <cellStyle name="SAPBEXHLevel0X 2 3 2 5 3" xfId="43467"/>
    <cellStyle name="SAPBEXHLevel0X 2 3 2 5 3 2" xfId="43468"/>
    <cellStyle name="SAPBEXHLevel0X 2 3 2 5 3 3" xfId="43469"/>
    <cellStyle name="SAPBEXHLevel0X 2 3 2 5 3 4" xfId="43470"/>
    <cellStyle name="SAPBEXHLevel0X 2 3 2 5 4" xfId="43471"/>
    <cellStyle name="SAPBEXHLevel0X 2 3 2 5 4 2" xfId="43472"/>
    <cellStyle name="SAPBEXHLevel0X 2 3 2 5 4 3" xfId="43473"/>
    <cellStyle name="SAPBEXHLevel0X 2 3 2 5 4 4" xfId="43474"/>
    <cellStyle name="SAPBEXHLevel0X 2 3 2 5 5" xfId="43475"/>
    <cellStyle name="SAPBEXHLevel0X 2 3 2 5 6" xfId="43476"/>
    <cellStyle name="SAPBEXHLevel0X 2 3 2 5 7" xfId="43477"/>
    <cellStyle name="SAPBEXHLevel0X 2 3 2 5 8" xfId="43478"/>
    <cellStyle name="SAPBEXHLevel0X 2 3 2 6" xfId="43479"/>
    <cellStyle name="SAPBEXHLevel0X 2 3 2 6 2" xfId="43480"/>
    <cellStyle name="SAPBEXHLevel0X 2 3 2 6 3" xfId="43481"/>
    <cellStyle name="SAPBEXHLevel0X 2 3 2 6 4" xfId="43482"/>
    <cellStyle name="SAPBEXHLevel0X 2 3 2 7" xfId="43483"/>
    <cellStyle name="SAPBEXHLevel0X 2 3 2 7 2" xfId="43484"/>
    <cellStyle name="SAPBEXHLevel0X 2 3 2 7 3" xfId="43485"/>
    <cellStyle name="SAPBEXHLevel0X 2 3 2 7 4" xfId="43486"/>
    <cellStyle name="SAPBEXHLevel0X 2 3 2 8" xfId="43487"/>
    <cellStyle name="SAPBEXHLevel0X 2 3 2 9" xfId="43488"/>
    <cellStyle name="SAPBEXHLevel0X 2 3 3" xfId="43489"/>
    <cellStyle name="SAPBEXHLevel0X 2 3 3 2" xfId="43490"/>
    <cellStyle name="SAPBEXHLevel0X 2 3 3 2 2" xfId="43491"/>
    <cellStyle name="SAPBEXHLevel0X 2 3 3 2 3" xfId="43492"/>
    <cellStyle name="SAPBEXHLevel0X 2 3 3 2 4" xfId="43493"/>
    <cellStyle name="SAPBEXHLevel0X 2 3 3 3" xfId="43494"/>
    <cellStyle name="SAPBEXHLevel0X 2 3 3 3 2" xfId="43495"/>
    <cellStyle name="SAPBEXHLevel0X 2 3 3 3 3" xfId="43496"/>
    <cellStyle name="SAPBEXHLevel0X 2 3 3 3 4" xfId="43497"/>
    <cellStyle name="SAPBEXHLevel0X 2 3 3 4" xfId="43498"/>
    <cellStyle name="SAPBEXHLevel0X 2 3 3 4 2" xfId="43499"/>
    <cellStyle name="SAPBEXHLevel0X 2 3 3 4 3" xfId="43500"/>
    <cellStyle name="SAPBEXHLevel0X 2 3 3 4 4" xfId="43501"/>
    <cellStyle name="SAPBEXHLevel0X 2 3 3 5" xfId="43502"/>
    <cellStyle name="SAPBEXHLevel0X 2 3 3 6" xfId="43503"/>
    <cellStyle name="SAPBEXHLevel0X 2 3 3 7" xfId="43504"/>
    <cellStyle name="SAPBEXHLevel0X 2 3 3 8" xfId="43505"/>
    <cellStyle name="SAPBEXHLevel0X 2 3 4" xfId="43506"/>
    <cellStyle name="SAPBEXHLevel0X 2 3 4 2" xfId="43507"/>
    <cellStyle name="SAPBEXHLevel0X 2 3 4 2 2" xfId="43508"/>
    <cellStyle name="SAPBEXHLevel0X 2 3 4 2 3" xfId="43509"/>
    <cellStyle name="SAPBEXHLevel0X 2 3 4 2 4" xfId="43510"/>
    <cellStyle name="SAPBEXHLevel0X 2 3 4 3" xfId="43511"/>
    <cellStyle name="SAPBEXHLevel0X 2 3 4 3 2" xfId="43512"/>
    <cellStyle name="SAPBEXHLevel0X 2 3 4 3 3" xfId="43513"/>
    <cellStyle name="SAPBEXHLevel0X 2 3 4 3 4" xfId="43514"/>
    <cellStyle name="SAPBEXHLevel0X 2 3 4 4" xfId="43515"/>
    <cellStyle name="SAPBEXHLevel0X 2 3 4 4 2" xfId="43516"/>
    <cellStyle name="SAPBEXHLevel0X 2 3 4 4 3" xfId="43517"/>
    <cellStyle name="SAPBEXHLevel0X 2 3 4 4 4" xfId="43518"/>
    <cellStyle name="SAPBEXHLevel0X 2 3 4 5" xfId="43519"/>
    <cellStyle name="SAPBEXHLevel0X 2 3 4 6" xfId="43520"/>
    <cellStyle name="SAPBEXHLevel0X 2 3 4 7" xfId="43521"/>
    <cellStyle name="SAPBEXHLevel0X 2 3 4 8" xfId="43522"/>
    <cellStyle name="SAPBEXHLevel0X 2 3 5" xfId="43523"/>
    <cellStyle name="SAPBEXHLevel0X 2 3 5 2" xfId="43524"/>
    <cellStyle name="SAPBEXHLevel0X 2 3 5 2 2" xfId="43525"/>
    <cellStyle name="SAPBEXHLevel0X 2 3 5 2 3" xfId="43526"/>
    <cellStyle name="SAPBEXHLevel0X 2 3 5 2 4" xfId="43527"/>
    <cellStyle name="SAPBEXHLevel0X 2 3 5 3" xfId="43528"/>
    <cellStyle name="SAPBEXHLevel0X 2 3 5 3 2" xfId="43529"/>
    <cellStyle name="SAPBEXHLevel0X 2 3 5 3 3" xfId="43530"/>
    <cellStyle name="SAPBEXHLevel0X 2 3 5 3 4" xfId="43531"/>
    <cellStyle name="SAPBEXHLevel0X 2 3 5 4" xfId="43532"/>
    <cellStyle name="SAPBEXHLevel0X 2 3 5 4 2" xfId="43533"/>
    <cellStyle name="SAPBEXHLevel0X 2 3 5 4 3" xfId="43534"/>
    <cellStyle name="SAPBEXHLevel0X 2 3 5 4 4" xfId="43535"/>
    <cellStyle name="SAPBEXHLevel0X 2 3 5 5" xfId="43536"/>
    <cellStyle name="SAPBEXHLevel0X 2 3 5 6" xfId="43537"/>
    <cellStyle name="SAPBEXHLevel0X 2 3 5 7" xfId="43538"/>
    <cellStyle name="SAPBEXHLevel0X 2 3 5 8" xfId="43539"/>
    <cellStyle name="SAPBEXHLevel0X 2 3 6" xfId="43540"/>
    <cellStyle name="SAPBEXHLevel0X 2 3 6 2" xfId="43541"/>
    <cellStyle name="SAPBEXHLevel0X 2 3 6 2 2" xfId="43542"/>
    <cellStyle name="SAPBEXHLevel0X 2 3 6 2 3" xfId="43543"/>
    <cellStyle name="SAPBEXHLevel0X 2 3 6 2 4" xfId="43544"/>
    <cellStyle name="SAPBEXHLevel0X 2 3 6 3" xfId="43545"/>
    <cellStyle name="SAPBEXHLevel0X 2 3 6 3 2" xfId="43546"/>
    <cellStyle name="SAPBEXHLevel0X 2 3 6 3 3" xfId="43547"/>
    <cellStyle name="SAPBEXHLevel0X 2 3 6 3 4" xfId="43548"/>
    <cellStyle name="SAPBEXHLevel0X 2 3 6 4" xfId="43549"/>
    <cellStyle name="SAPBEXHLevel0X 2 3 6 4 2" xfId="43550"/>
    <cellStyle name="SAPBEXHLevel0X 2 3 6 4 3" xfId="43551"/>
    <cellStyle name="SAPBEXHLevel0X 2 3 6 4 4" xfId="43552"/>
    <cellStyle name="SAPBEXHLevel0X 2 3 6 5" xfId="43553"/>
    <cellStyle name="SAPBEXHLevel0X 2 3 6 6" xfId="43554"/>
    <cellStyle name="SAPBEXHLevel0X 2 3 6 7" xfId="43555"/>
    <cellStyle name="SAPBEXHLevel0X 2 3 6 8" xfId="43556"/>
    <cellStyle name="SAPBEXHLevel0X 2 3 7" xfId="43557"/>
    <cellStyle name="SAPBEXHLevel0X 2 3 7 2" xfId="43558"/>
    <cellStyle name="SAPBEXHLevel0X 2 3 7 2 2" xfId="43559"/>
    <cellStyle name="SAPBEXHLevel0X 2 3 7 2 3" xfId="43560"/>
    <cellStyle name="SAPBEXHLevel0X 2 3 7 2 4" xfId="43561"/>
    <cellStyle name="SAPBEXHLevel0X 2 3 7 3" xfId="43562"/>
    <cellStyle name="SAPBEXHLevel0X 2 3 7 3 2" xfId="43563"/>
    <cellStyle name="SAPBEXHLevel0X 2 3 7 3 3" xfId="43564"/>
    <cellStyle name="SAPBEXHLevel0X 2 3 7 3 4" xfId="43565"/>
    <cellStyle name="SAPBEXHLevel0X 2 3 7 4" xfId="43566"/>
    <cellStyle name="SAPBEXHLevel0X 2 3 7 4 2" xfId="43567"/>
    <cellStyle name="SAPBEXHLevel0X 2 3 7 4 3" xfId="43568"/>
    <cellStyle name="SAPBEXHLevel0X 2 3 7 4 4" xfId="43569"/>
    <cellStyle name="SAPBEXHLevel0X 2 3 7 5" xfId="43570"/>
    <cellStyle name="SAPBEXHLevel0X 2 3 7 6" xfId="43571"/>
    <cellStyle name="SAPBEXHLevel0X 2 3 7 7" xfId="43572"/>
    <cellStyle name="SAPBEXHLevel0X 2 3 7 8" xfId="43573"/>
    <cellStyle name="SAPBEXHLevel0X 2 3 8" xfId="43574"/>
    <cellStyle name="SAPBEXHLevel0X 2 3 8 2" xfId="43575"/>
    <cellStyle name="SAPBEXHLevel0X 2 3 8 3" xfId="43576"/>
    <cellStyle name="SAPBEXHLevel0X 2 3 8 4" xfId="43577"/>
    <cellStyle name="SAPBEXHLevel0X 2 3 9" xfId="43578"/>
    <cellStyle name="SAPBEXHLevel0X 2 3 9 2" xfId="43579"/>
    <cellStyle name="SAPBEXHLevel0X 2 3 9 3" xfId="43580"/>
    <cellStyle name="SAPBEXHLevel0X 2 3 9 4" xfId="43581"/>
    <cellStyle name="SAPBEXHLevel0X 2 4" xfId="43582"/>
    <cellStyle name="SAPBEXHLevel0X 2 4 2" xfId="43583"/>
    <cellStyle name="SAPBEXHLevel0X 2 4 2 2" xfId="43584"/>
    <cellStyle name="SAPBEXHLevel0X 2 4 2 2 2" xfId="43585"/>
    <cellStyle name="SAPBEXHLevel0X 2 4 2 2 3" xfId="43586"/>
    <cellStyle name="SAPBEXHLevel0X 2 4 2 2 4" xfId="43587"/>
    <cellStyle name="SAPBEXHLevel0X 2 4 2 3" xfId="43588"/>
    <cellStyle name="SAPBEXHLevel0X 2 4 2 3 2" xfId="43589"/>
    <cellStyle name="SAPBEXHLevel0X 2 4 2 3 3" xfId="43590"/>
    <cellStyle name="SAPBEXHLevel0X 2 4 2 3 4" xfId="43591"/>
    <cellStyle name="SAPBEXHLevel0X 2 4 2 4" xfId="43592"/>
    <cellStyle name="SAPBEXHLevel0X 2 4 2 4 2" xfId="43593"/>
    <cellStyle name="SAPBEXHLevel0X 2 4 2 4 3" xfId="43594"/>
    <cellStyle name="SAPBEXHLevel0X 2 4 2 4 4" xfId="43595"/>
    <cellStyle name="SAPBEXHLevel0X 2 4 2 5" xfId="43596"/>
    <cellStyle name="SAPBEXHLevel0X 2 4 2 6" xfId="43597"/>
    <cellStyle name="SAPBEXHLevel0X 2 4 2 7" xfId="43598"/>
    <cellStyle name="SAPBEXHLevel0X 2 4 2 8" xfId="43599"/>
    <cellStyle name="SAPBEXHLevel0X 2 4 3" xfId="43600"/>
    <cellStyle name="SAPBEXHLevel0X 2 4 3 2" xfId="43601"/>
    <cellStyle name="SAPBEXHLevel0X 2 4 3 2 2" xfId="43602"/>
    <cellStyle name="SAPBEXHLevel0X 2 4 3 2 3" xfId="43603"/>
    <cellStyle name="SAPBEXHLevel0X 2 4 3 2 4" xfId="43604"/>
    <cellStyle name="SAPBEXHLevel0X 2 4 3 3" xfId="43605"/>
    <cellStyle name="SAPBEXHLevel0X 2 4 3 3 2" xfId="43606"/>
    <cellStyle name="SAPBEXHLevel0X 2 4 3 3 3" xfId="43607"/>
    <cellStyle name="SAPBEXHLevel0X 2 4 3 3 4" xfId="43608"/>
    <cellStyle name="SAPBEXHLevel0X 2 4 3 4" xfId="43609"/>
    <cellStyle name="SAPBEXHLevel0X 2 4 3 4 2" xfId="43610"/>
    <cellStyle name="SAPBEXHLevel0X 2 4 3 4 3" xfId="43611"/>
    <cellStyle name="SAPBEXHLevel0X 2 4 3 4 4" xfId="43612"/>
    <cellStyle name="SAPBEXHLevel0X 2 4 3 5" xfId="43613"/>
    <cellStyle name="SAPBEXHLevel0X 2 4 3 6" xfId="43614"/>
    <cellStyle name="SAPBEXHLevel0X 2 4 3 7" xfId="43615"/>
    <cellStyle name="SAPBEXHLevel0X 2 4 3 8" xfId="43616"/>
    <cellStyle name="SAPBEXHLevel0X 2 4 4" xfId="43617"/>
    <cellStyle name="SAPBEXHLevel0X 2 4 4 2" xfId="43618"/>
    <cellStyle name="SAPBEXHLevel0X 2 4 4 2 2" xfId="43619"/>
    <cellStyle name="SAPBEXHLevel0X 2 4 4 2 3" xfId="43620"/>
    <cellStyle name="SAPBEXHLevel0X 2 4 4 2 4" xfId="43621"/>
    <cellStyle name="SAPBEXHLevel0X 2 4 4 3" xfId="43622"/>
    <cellStyle name="SAPBEXHLevel0X 2 4 4 3 2" xfId="43623"/>
    <cellStyle name="SAPBEXHLevel0X 2 4 4 3 3" xfId="43624"/>
    <cellStyle name="SAPBEXHLevel0X 2 4 4 3 4" xfId="43625"/>
    <cellStyle name="SAPBEXHLevel0X 2 4 4 4" xfId="43626"/>
    <cellStyle name="SAPBEXHLevel0X 2 4 4 4 2" xfId="43627"/>
    <cellStyle name="SAPBEXHLevel0X 2 4 4 4 3" xfId="43628"/>
    <cellStyle name="SAPBEXHLevel0X 2 4 4 4 4" xfId="43629"/>
    <cellStyle name="SAPBEXHLevel0X 2 4 4 5" xfId="43630"/>
    <cellStyle name="SAPBEXHLevel0X 2 4 4 6" xfId="43631"/>
    <cellStyle name="SAPBEXHLevel0X 2 4 4 7" xfId="43632"/>
    <cellStyle name="SAPBEXHLevel0X 2 4 4 8" xfId="43633"/>
    <cellStyle name="SAPBEXHLevel0X 2 4 5" xfId="43634"/>
    <cellStyle name="SAPBEXHLevel0X 2 4 5 2" xfId="43635"/>
    <cellStyle name="SAPBEXHLevel0X 2 4 5 2 2" xfId="43636"/>
    <cellStyle name="SAPBEXHLevel0X 2 4 5 2 3" xfId="43637"/>
    <cellStyle name="SAPBEXHLevel0X 2 4 5 2 4" xfId="43638"/>
    <cellStyle name="SAPBEXHLevel0X 2 4 5 3" xfId="43639"/>
    <cellStyle name="SAPBEXHLevel0X 2 4 5 3 2" xfId="43640"/>
    <cellStyle name="SAPBEXHLevel0X 2 4 5 3 3" xfId="43641"/>
    <cellStyle name="SAPBEXHLevel0X 2 4 5 3 4" xfId="43642"/>
    <cellStyle name="SAPBEXHLevel0X 2 4 5 4" xfId="43643"/>
    <cellStyle name="SAPBEXHLevel0X 2 4 5 4 2" xfId="43644"/>
    <cellStyle name="SAPBEXHLevel0X 2 4 5 4 3" xfId="43645"/>
    <cellStyle name="SAPBEXHLevel0X 2 4 5 4 4" xfId="43646"/>
    <cellStyle name="SAPBEXHLevel0X 2 4 5 5" xfId="43647"/>
    <cellStyle name="SAPBEXHLevel0X 2 4 5 6" xfId="43648"/>
    <cellStyle name="SAPBEXHLevel0X 2 4 5 7" xfId="43649"/>
    <cellStyle name="SAPBEXHLevel0X 2 4 5 8" xfId="43650"/>
    <cellStyle name="SAPBEXHLevel0X 2 4 6" xfId="43651"/>
    <cellStyle name="SAPBEXHLevel0X 2 4 6 2" xfId="43652"/>
    <cellStyle name="SAPBEXHLevel0X 2 4 6 3" xfId="43653"/>
    <cellStyle name="SAPBEXHLevel0X 2 4 6 4" xfId="43654"/>
    <cellStyle name="SAPBEXHLevel0X 2 4 7" xfId="43655"/>
    <cellStyle name="SAPBEXHLevel0X 2 4 7 2" xfId="43656"/>
    <cellStyle name="SAPBEXHLevel0X 2 4 7 3" xfId="43657"/>
    <cellStyle name="SAPBEXHLevel0X 2 4 7 4" xfId="43658"/>
    <cellStyle name="SAPBEXHLevel0X 2 4 8" xfId="43659"/>
    <cellStyle name="SAPBEXHLevel0X 2 4 9" xfId="43660"/>
    <cellStyle name="SAPBEXHLevel0X 2 5" xfId="43661"/>
    <cellStyle name="SAPBEXHLevel0X 2 5 2" xfId="43662"/>
    <cellStyle name="SAPBEXHLevel0X 2 5 2 2" xfId="43663"/>
    <cellStyle name="SAPBEXHLevel0X 2 5 2 3" xfId="43664"/>
    <cellStyle name="SAPBEXHLevel0X 2 5 2 4" xfId="43665"/>
    <cellStyle name="SAPBEXHLevel0X 2 5 3" xfId="43666"/>
    <cellStyle name="SAPBEXHLevel0X 2 5 3 2" xfId="43667"/>
    <cellStyle name="SAPBEXHLevel0X 2 5 3 3" xfId="43668"/>
    <cellStyle name="SAPBEXHLevel0X 2 5 3 4" xfId="43669"/>
    <cellStyle name="SAPBEXHLevel0X 2 5 4" xfId="43670"/>
    <cellStyle name="SAPBEXHLevel0X 2 5 4 2" xfId="43671"/>
    <cellStyle name="SAPBEXHLevel0X 2 5 4 3" xfId="43672"/>
    <cellStyle name="SAPBEXHLevel0X 2 5 4 4" xfId="43673"/>
    <cellStyle name="SAPBEXHLevel0X 2 5 5" xfId="43674"/>
    <cellStyle name="SAPBEXHLevel0X 2 5 6" xfId="43675"/>
    <cellStyle name="SAPBEXHLevel0X 2 5 7" xfId="43676"/>
    <cellStyle name="SAPBEXHLevel0X 2 5 8" xfId="43677"/>
    <cellStyle name="SAPBEXHLevel0X 2 6" xfId="43678"/>
    <cellStyle name="SAPBEXHLevel0X 2 6 2" xfId="43679"/>
    <cellStyle name="SAPBEXHLevel0X 2 6 2 2" xfId="43680"/>
    <cellStyle name="SAPBEXHLevel0X 2 6 2 3" xfId="43681"/>
    <cellStyle name="SAPBEXHLevel0X 2 6 2 4" xfId="43682"/>
    <cellStyle name="SAPBEXHLevel0X 2 6 3" xfId="43683"/>
    <cellStyle name="SAPBEXHLevel0X 2 6 3 2" xfId="43684"/>
    <cellStyle name="SAPBEXHLevel0X 2 6 3 3" xfId="43685"/>
    <cellStyle name="SAPBEXHLevel0X 2 6 3 4" xfId="43686"/>
    <cellStyle name="SAPBEXHLevel0X 2 6 4" xfId="43687"/>
    <cellStyle name="SAPBEXHLevel0X 2 6 4 2" xfId="43688"/>
    <cellStyle name="SAPBEXHLevel0X 2 6 4 3" xfId="43689"/>
    <cellStyle name="SAPBEXHLevel0X 2 6 4 4" xfId="43690"/>
    <cellStyle name="SAPBEXHLevel0X 2 6 5" xfId="43691"/>
    <cellStyle name="SAPBEXHLevel0X 2 6 6" xfId="43692"/>
    <cellStyle name="SAPBEXHLevel0X 2 6 7" xfId="43693"/>
    <cellStyle name="SAPBEXHLevel0X 2 6 8" xfId="43694"/>
    <cellStyle name="SAPBEXHLevel0X 2 7" xfId="43695"/>
    <cellStyle name="SAPBEXHLevel0X 2 7 2" xfId="43696"/>
    <cellStyle name="SAPBEXHLevel0X 2 7 2 2" xfId="43697"/>
    <cellStyle name="SAPBEXHLevel0X 2 7 2 3" xfId="43698"/>
    <cellStyle name="SAPBEXHLevel0X 2 7 2 4" xfId="43699"/>
    <cellStyle name="SAPBEXHLevel0X 2 7 3" xfId="43700"/>
    <cellStyle name="SAPBEXHLevel0X 2 7 3 2" xfId="43701"/>
    <cellStyle name="SAPBEXHLevel0X 2 7 3 3" xfId="43702"/>
    <cellStyle name="SAPBEXHLevel0X 2 7 3 4" xfId="43703"/>
    <cellStyle name="SAPBEXHLevel0X 2 7 4" xfId="43704"/>
    <cellStyle name="SAPBEXHLevel0X 2 7 4 2" xfId="43705"/>
    <cellStyle name="SAPBEXHLevel0X 2 7 4 3" xfId="43706"/>
    <cellStyle name="SAPBEXHLevel0X 2 7 4 4" xfId="43707"/>
    <cellStyle name="SAPBEXHLevel0X 2 7 5" xfId="43708"/>
    <cellStyle name="SAPBEXHLevel0X 2 7 6" xfId="43709"/>
    <cellStyle name="SAPBEXHLevel0X 2 7 7" xfId="43710"/>
    <cellStyle name="SAPBEXHLevel0X 2 7 8" xfId="43711"/>
    <cellStyle name="SAPBEXHLevel0X 2 8" xfId="43712"/>
    <cellStyle name="SAPBEXHLevel0X 2 8 2" xfId="43713"/>
    <cellStyle name="SAPBEXHLevel0X 2 8 2 2" xfId="43714"/>
    <cellStyle name="SAPBEXHLevel0X 2 8 2 3" xfId="43715"/>
    <cellStyle name="SAPBEXHLevel0X 2 8 2 4" xfId="43716"/>
    <cellStyle name="SAPBEXHLevel0X 2 8 3" xfId="43717"/>
    <cellStyle name="SAPBEXHLevel0X 2 8 3 2" xfId="43718"/>
    <cellStyle name="SAPBEXHLevel0X 2 8 3 3" xfId="43719"/>
    <cellStyle name="SAPBEXHLevel0X 2 8 3 4" xfId="43720"/>
    <cellStyle name="SAPBEXHLevel0X 2 8 4" xfId="43721"/>
    <cellStyle name="SAPBEXHLevel0X 2 8 4 2" xfId="43722"/>
    <cellStyle name="SAPBEXHLevel0X 2 8 4 3" xfId="43723"/>
    <cellStyle name="SAPBEXHLevel0X 2 8 4 4" xfId="43724"/>
    <cellStyle name="SAPBEXHLevel0X 2 8 5" xfId="43725"/>
    <cellStyle name="SAPBEXHLevel0X 2 8 6" xfId="43726"/>
    <cellStyle name="SAPBEXHLevel0X 2 8 7" xfId="43727"/>
    <cellStyle name="SAPBEXHLevel0X 2 8 8" xfId="43728"/>
    <cellStyle name="SAPBEXHLevel0X 2 9" xfId="43729"/>
    <cellStyle name="SAPBEXHLevel0X 2 9 2" xfId="43730"/>
    <cellStyle name="SAPBEXHLevel0X 2 9 2 2" xfId="43731"/>
    <cellStyle name="SAPBEXHLevel0X 2 9 2 3" xfId="43732"/>
    <cellStyle name="SAPBEXHLevel0X 2 9 2 4" xfId="43733"/>
    <cellStyle name="SAPBEXHLevel0X 2 9 3" xfId="43734"/>
    <cellStyle name="SAPBEXHLevel0X 2 9 3 2" xfId="43735"/>
    <cellStyle name="SAPBEXHLevel0X 2 9 3 3" xfId="43736"/>
    <cellStyle name="SAPBEXHLevel0X 2 9 3 4" xfId="43737"/>
    <cellStyle name="SAPBEXHLevel0X 2 9 4" xfId="43738"/>
    <cellStyle name="SAPBEXHLevel0X 2 9 4 2" xfId="43739"/>
    <cellStyle name="SAPBEXHLevel0X 2 9 4 3" xfId="43740"/>
    <cellStyle name="SAPBEXHLevel0X 2 9 4 4" xfId="43741"/>
    <cellStyle name="SAPBEXHLevel0X 2 9 5" xfId="43742"/>
    <cellStyle name="SAPBEXHLevel0X 2 9 6" xfId="43743"/>
    <cellStyle name="SAPBEXHLevel0X 2 9 7" xfId="43744"/>
    <cellStyle name="SAPBEXHLevel0X 2 9 8" xfId="43745"/>
    <cellStyle name="SAPBEXHLevel0X 3" xfId="43746"/>
    <cellStyle name="SAPBEXHLevel0X 3 10" xfId="43747"/>
    <cellStyle name="SAPBEXHLevel0X 3 11" xfId="43748"/>
    <cellStyle name="SAPBEXHLevel0X 3 2" xfId="43749"/>
    <cellStyle name="SAPBEXHLevel0X 3 2 2" xfId="43750"/>
    <cellStyle name="SAPBEXHLevel0X 3 2 2 2" xfId="43751"/>
    <cellStyle name="SAPBEXHLevel0X 3 2 2 2 2" xfId="43752"/>
    <cellStyle name="SAPBEXHLevel0X 3 2 2 2 3" xfId="43753"/>
    <cellStyle name="SAPBEXHLevel0X 3 2 2 2 4" xfId="43754"/>
    <cellStyle name="SAPBEXHLevel0X 3 2 2 3" xfId="43755"/>
    <cellStyle name="SAPBEXHLevel0X 3 2 2 3 2" xfId="43756"/>
    <cellStyle name="SAPBEXHLevel0X 3 2 2 3 3" xfId="43757"/>
    <cellStyle name="SAPBEXHLevel0X 3 2 2 3 4" xfId="43758"/>
    <cellStyle name="SAPBEXHLevel0X 3 2 2 4" xfId="43759"/>
    <cellStyle name="SAPBEXHLevel0X 3 2 2 4 2" xfId="43760"/>
    <cellStyle name="SAPBEXHLevel0X 3 2 2 4 3" xfId="43761"/>
    <cellStyle name="SAPBEXHLevel0X 3 2 2 4 4" xfId="43762"/>
    <cellStyle name="SAPBEXHLevel0X 3 2 2 5" xfId="43763"/>
    <cellStyle name="SAPBEXHLevel0X 3 2 2 6" xfId="43764"/>
    <cellStyle name="SAPBEXHLevel0X 3 2 2 7" xfId="43765"/>
    <cellStyle name="SAPBEXHLevel0X 3 2 2 8" xfId="43766"/>
    <cellStyle name="SAPBEXHLevel0X 3 2 3" xfId="43767"/>
    <cellStyle name="SAPBEXHLevel0X 3 2 3 2" xfId="43768"/>
    <cellStyle name="SAPBEXHLevel0X 3 2 3 2 2" xfId="43769"/>
    <cellStyle name="SAPBEXHLevel0X 3 2 3 2 3" xfId="43770"/>
    <cellStyle name="SAPBEXHLevel0X 3 2 3 2 4" xfId="43771"/>
    <cellStyle name="SAPBEXHLevel0X 3 2 3 3" xfId="43772"/>
    <cellStyle name="SAPBEXHLevel0X 3 2 3 3 2" xfId="43773"/>
    <cellStyle name="SAPBEXHLevel0X 3 2 3 3 3" xfId="43774"/>
    <cellStyle name="SAPBEXHLevel0X 3 2 3 3 4" xfId="43775"/>
    <cellStyle name="SAPBEXHLevel0X 3 2 3 4" xfId="43776"/>
    <cellStyle name="SAPBEXHLevel0X 3 2 3 4 2" xfId="43777"/>
    <cellStyle name="SAPBEXHLevel0X 3 2 3 4 3" xfId="43778"/>
    <cellStyle name="SAPBEXHLevel0X 3 2 3 4 4" xfId="43779"/>
    <cellStyle name="SAPBEXHLevel0X 3 2 3 5" xfId="43780"/>
    <cellStyle name="SAPBEXHLevel0X 3 2 3 6" xfId="43781"/>
    <cellStyle name="SAPBEXHLevel0X 3 2 3 7" xfId="43782"/>
    <cellStyle name="SAPBEXHLevel0X 3 2 3 8" xfId="43783"/>
    <cellStyle name="SAPBEXHLevel0X 3 2 4" xfId="43784"/>
    <cellStyle name="SAPBEXHLevel0X 3 2 4 2" xfId="43785"/>
    <cellStyle name="SAPBEXHLevel0X 3 2 4 2 2" xfId="43786"/>
    <cellStyle name="SAPBEXHLevel0X 3 2 4 2 3" xfId="43787"/>
    <cellStyle name="SAPBEXHLevel0X 3 2 4 2 4" xfId="43788"/>
    <cellStyle name="SAPBEXHLevel0X 3 2 4 3" xfId="43789"/>
    <cellStyle name="SAPBEXHLevel0X 3 2 4 3 2" xfId="43790"/>
    <cellStyle name="SAPBEXHLevel0X 3 2 4 3 3" xfId="43791"/>
    <cellStyle name="SAPBEXHLevel0X 3 2 4 3 4" xfId="43792"/>
    <cellStyle name="SAPBEXHLevel0X 3 2 4 4" xfId="43793"/>
    <cellStyle name="SAPBEXHLevel0X 3 2 4 4 2" xfId="43794"/>
    <cellStyle name="SAPBEXHLevel0X 3 2 4 4 3" xfId="43795"/>
    <cellStyle name="SAPBEXHLevel0X 3 2 4 4 4" xfId="43796"/>
    <cellStyle name="SAPBEXHLevel0X 3 2 4 5" xfId="43797"/>
    <cellStyle name="SAPBEXHLevel0X 3 2 4 6" xfId="43798"/>
    <cellStyle name="SAPBEXHLevel0X 3 2 4 7" xfId="43799"/>
    <cellStyle name="SAPBEXHLevel0X 3 2 4 8" xfId="43800"/>
    <cellStyle name="SAPBEXHLevel0X 3 2 5" xfId="43801"/>
    <cellStyle name="SAPBEXHLevel0X 3 2 5 2" xfId="43802"/>
    <cellStyle name="SAPBEXHLevel0X 3 2 5 2 2" xfId="43803"/>
    <cellStyle name="SAPBEXHLevel0X 3 2 5 2 3" xfId="43804"/>
    <cellStyle name="SAPBEXHLevel0X 3 2 5 2 4" xfId="43805"/>
    <cellStyle name="SAPBEXHLevel0X 3 2 5 3" xfId="43806"/>
    <cellStyle name="SAPBEXHLevel0X 3 2 5 3 2" xfId="43807"/>
    <cellStyle name="SAPBEXHLevel0X 3 2 5 3 3" xfId="43808"/>
    <cellStyle name="SAPBEXHLevel0X 3 2 5 3 4" xfId="43809"/>
    <cellStyle name="SAPBEXHLevel0X 3 2 5 4" xfId="43810"/>
    <cellStyle name="SAPBEXHLevel0X 3 2 5 4 2" xfId="43811"/>
    <cellStyle name="SAPBEXHLevel0X 3 2 5 4 3" xfId="43812"/>
    <cellStyle name="SAPBEXHLevel0X 3 2 5 4 4" xfId="43813"/>
    <cellStyle name="SAPBEXHLevel0X 3 2 5 5" xfId="43814"/>
    <cellStyle name="SAPBEXHLevel0X 3 2 5 6" xfId="43815"/>
    <cellStyle name="SAPBEXHLevel0X 3 2 5 7" xfId="43816"/>
    <cellStyle name="SAPBEXHLevel0X 3 2 5 8" xfId="43817"/>
    <cellStyle name="SAPBEXHLevel0X 3 2 6" xfId="43818"/>
    <cellStyle name="SAPBEXHLevel0X 3 2 6 2" xfId="43819"/>
    <cellStyle name="SAPBEXHLevel0X 3 2 6 3" xfId="43820"/>
    <cellStyle name="SAPBEXHLevel0X 3 2 6 4" xfId="43821"/>
    <cellStyle name="SAPBEXHLevel0X 3 2 7" xfId="43822"/>
    <cellStyle name="SAPBEXHLevel0X 3 2 7 2" xfId="43823"/>
    <cellStyle name="SAPBEXHLevel0X 3 2 7 3" xfId="43824"/>
    <cellStyle name="SAPBEXHLevel0X 3 2 7 4" xfId="43825"/>
    <cellStyle name="SAPBEXHLevel0X 3 2 8" xfId="43826"/>
    <cellStyle name="SAPBEXHLevel0X 3 2 9" xfId="43827"/>
    <cellStyle name="SAPBEXHLevel0X 3 3" xfId="43828"/>
    <cellStyle name="SAPBEXHLevel0X 3 3 2" xfId="43829"/>
    <cellStyle name="SAPBEXHLevel0X 3 3 2 2" xfId="43830"/>
    <cellStyle name="SAPBEXHLevel0X 3 3 2 3" xfId="43831"/>
    <cellStyle name="SAPBEXHLevel0X 3 3 2 4" xfId="43832"/>
    <cellStyle name="SAPBEXHLevel0X 3 3 3" xfId="43833"/>
    <cellStyle name="SAPBEXHLevel0X 3 3 3 2" xfId="43834"/>
    <cellStyle name="SAPBEXHLevel0X 3 3 3 3" xfId="43835"/>
    <cellStyle name="SAPBEXHLevel0X 3 3 3 4" xfId="43836"/>
    <cellStyle name="SAPBEXHLevel0X 3 3 4" xfId="43837"/>
    <cellStyle name="SAPBEXHLevel0X 3 3 4 2" xfId="43838"/>
    <cellStyle name="SAPBEXHLevel0X 3 3 4 3" xfId="43839"/>
    <cellStyle name="SAPBEXHLevel0X 3 3 4 4" xfId="43840"/>
    <cellStyle name="SAPBEXHLevel0X 3 3 5" xfId="43841"/>
    <cellStyle name="SAPBEXHLevel0X 3 3 6" xfId="43842"/>
    <cellStyle name="SAPBEXHLevel0X 3 3 7" xfId="43843"/>
    <cellStyle name="SAPBEXHLevel0X 3 3 8" xfId="43844"/>
    <cellStyle name="SAPBEXHLevel0X 3 4" xfId="43845"/>
    <cellStyle name="SAPBEXHLevel0X 3 4 2" xfId="43846"/>
    <cellStyle name="SAPBEXHLevel0X 3 4 2 2" xfId="43847"/>
    <cellStyle name="SAPBEXHLevel0X 3 4 2 3" xfId="43848"/>
    <cellStyle name="SAPBEXHLevel0X 3 4 2 4" xfId="43849"/>
    <cellStyle name="SAPBEXHLevel0X 3 4 3" xfId="43850"/>
    <cellStyle name="SAPBEXHLevel0X 3 4 3 2" xfId="43851"/>
    <cellStyle name="SAPBEXHLevel0X 3 4 3 3" xfId="43852"/>
    <cellStyle name="SAPBEXHLevel0X 3 4 3 4" xfId="43853"/>
    <cellStyle name="SAPBEXHLevel0X 3 4 4" xfId="43854"/>
    <cellStyle name="SAPBEXHLevel0X 3 4 4 2" xfId="43855"/>
    <cellStyle name="SAPBEXHLevel0X 3 4 4 3" xfId="43856"/>
    <cellStyle name="SAPBEXHLevel0X 3 4 4 4" xfId="43857"/>
    <cellStyle name="SAPBEXHLevel0X 3 4 5" xfId="43858"/>
    <cellStyle name="SAPBEXHLevel0X 3 4 6" xfId="43859"/>
    <cellStyle name="SAPBEXHLevel0X 3 4 7" xfId="43860"/>
    <cellStyle name="SAPBEXHLevel0X 3 4 8" xfId="43861"/>
    <cellStyle name="SAPBEXHLevel0X 3 5" xfId="43862"/>
    <cellStyle name="SAPBEXHLevel0X 3 5 2" xfId="43863"/>
    <cellStyle name="SAPBEXHLevel0X 3 5 2 2" xfId="43864"/>
    <cellStyle name="SAPBEXHLevel0X 3 5 2 3" xfId="43865"/>
    <cellStyle name="SAPBEXHLevel0X 3 5 2 4" xfId="43866"/>
    <cellStyle name="SAPBEXHLevel0X 3 5 3" xfId="43867"/>
    <cellStyle name="SAPBEXHLevel0X 3 5 3 2" xfId="43868"/>
    <cellStyle name="SAPBEXHLevel0X 3 5 3 3" xfId="43869"/>
    <cellStyle name="SAPBEXHLevel0X 3 5 3 4" xfId="43870"/>
    <cellStyle name="SAPBEXHLevel0X 3 5 4" xfId="43871"/>
    <cellStyle name="SAPBEXHLevel0X 3 5 4 2" xfId="43872"/>
    <cellStyle name="SAPBEXHLevel0X 3 5 4 3" xfId="43873"/>
    <cellStyle name="SAPBEXHLevel0X 3 5 4 4" xfId="43874"/>
    <cellStyle name="SAPBEXHLevel0X 3 5 5" xfId="43875"/>
    <cellStyle name="SAPBEXHLevel0X 3 5 6" xfId="43876"/>
    <cellStyle name="SAPBEXHLevel0X 3 5 7" xfId="43877"/>
    <cellStyle name="SAPBEXHLevel0X 3 5 8" xfId="43878"/>
    <cellStyle name="SAPBEXHLevel0X 3 6" xfId="43879"/>
    <cellStyle name="SAPBEXHLevel0X 3 6 2" xfId="43880"/>
    <cellStyle name="SAPBEXHLevel0X 3 6 2 2" xfId="43881"/>
    <cellStyle name="SAPBEXHLevel0X 3 6 2 3" xfId="43882"/>
    <cellStyle name="SAPBEXHLevel0X 3 6 2 4" xfId="43883"/>
    <cellStyle name="SAPBEXHLevel0X 3 6 3" xfId="43884"/>
    <cellStyle name="SAPBEXHLevel0X 3 6 3 2" xfId="43885"/>
    <cellStyle name="SAPBEXHLevel0X 3 6 3 3" xfId="43886"/>
    <cellStyle name="SAPBEXHLevel0X 3 6 3 4" xfId="43887"/>
    <cellStyle name="SAPBEXHLevel0X 3 6 4" xfId="43888"/>
    <cellStyle name="SAPBEXHLevel0X 3 6 4 2" xfId="43889"/>
    <cellStyle name="SAPBEXHLevel0X 3 6 4 3" xfId="43890"/>
    <cellStyle name="SAPBEXHLevel0X 3 6 4 4" xfId="43891"/>
    <cellStyle name="SAPBEXHLevel0X 3 6 5" xfId="43892"/>
    <cellStyle name="SAPBEXHLevel0X 3 6 6" xfId="43893"/>
    <cellStyle name="SAPBEXHLevel0X 3 6 7" xfId="43894"/>
    <cellStyle name="SAPBEXHLevel0X 3 6 8" xfId="43895"/>
    <cellStyle name="SAPBEXHLevel0X 3 7" xfId="43896"/>
    <cellStyle name="SAPBEXHLevel0X 3 7 2" xfId="43897"/>
    <cellStyle name="SAPBEXHLevel0X 3 7 2 2" xfId="43898"/>
    <cellStyle name="SAPBEXHLevel0X 3 7 2 3" xfId="43899"/>
    <cellStyle name="SAPBEXHLevel0X 3 7 2 4" xfId="43900"/>
    <cellStyle name="SAPBEXHLevel0X 3 7 3" xfId="43901"/>
    <cellStyle name="SAPBEXHLevel0X 3 7 3 2" xfId="43902"/>
    <cellStyle name="SAPBEXHLevel0X 3 7 3 3" xfId="43903"/>
    <cellStyle name="SAPBEXHLevel0X 3 7 3 4" xfId="43904"/>
    <cellStyle name="SAPBEXHLevel0X 3 7 4" xfId="43905"/>
    <cellStyle name="SAPBEXHLevel0X 3 7 4 2" xfId="43906"/>
    <cellStyle name="SAPBEXHLevel0X 3 7 4 3" xfId="43907"/>
    <cellStyle name="SAPBEXHLevel0X 3 7 4 4" xfId="43908"/>
    <cellStyle name="SAPBEXHLevel0X 3 7 5" xfId="43909"/>
    <cellStyle name="SAPBEXHLevel0X 3 7 6" xfId="43910"/>
    <cellStyle name="SAPBEXHLevel0X 3 7 7" xfId="43911"/>
    <cellStyle name="SAPBEXHLevel0X 3 7 8" xfId="43912"/>
    <cellStyle name="SAPBEXHLevel0X 3 8" xfId="43913"/>
    <cellStyle name="SAPBEXHLevel0X 3 8 2" xfId="43914"/>
    <cellStyle name="SAPBEXHLevel0X 3 8 3" xfId="43915"/>
    <cellStyle name="SAPBEXHLevel0X 3 8 4" xfId="43916"/>
    <cellStyle name="SAPBEXHLevel0X 3 9" xfId="43917"/>
    <cellStyle name="SAPBEXHLevel0X 3 9 2" xfId="43918"/>
    <cellStyle name="SAPBEXHLevel0X 3 9 3" xfId="43919"/>
    <cellStyle name="SAPBEXHLevel0X 3 9 4" xfId="43920"/>
    <cellStyle name="SAPBEXHLevel0X 4" xfId="43921"/>
    <cellStyle name="SAPBEXHLevel0X 4 10" xfId="43922"/>
    <cellStyle name="SAPBEXHLevel0X 4 11" xfId="43923"/>
    <cellStyle name="SAPBEXHLevel0X 4 2" xfId="43924"/>
    <cellStyle name="SAPBEXHLevel0X 4 2 2" xfId="43925"/>
    <cellStyle name="SAPBEXHLevel0X 4 2 2 2" xfId="43926"/>
    <cellStyle name="SAPBEXHLevel0X 4 2 2 2 2" xfId="43927"/>
    <cellStyle name="SAPBEXHLevel0X 4 2 2 2 3" xfId="43928"/>
    <cellStyle name="SAPBEXHLevel0X 4 2 2 2 4" xfId="43929"/>
    <cellStyle name="SAPBEXHLevel0X 4 2 2 3" xfId="43930"/>
    <cellStyle name="SAPBEXHLevel0X 4 2 2 3 2" xfId="43931"/>
    <cellStyle name="SAPBEXHLevel0X 4 2 2 3 3" xfId="43932"/>
    <cellStyle name="SAPBEXHLevel0X 4 2 2 3 4" xfId="43933"/>
    <cellStyle name="SAPBEXHLevel0X 4 2 2 4" xfId="43934"/>
    <cellStyle name="SAPBEXHLevel0X 4 2 2 4 2" xfId="43935"/>
    <cellStyle name="SAPBEXHLevel0X 4 2 2 4 3" xfId="43936"/>
    <cellStyle name="SAPBEXHLevel0X 4 2 2 4 4" xfId="43937"/>
    <cellStyle name="SAPBEXHLevel0X 4 2 2 5" xfId="43938"/>
    <cellStyle name="SAPBEXHLevel0X 4 2 2 6" xfId="43939"/>
    <cellStyle name="SAPBEXHLevel0X 4 2 2 7" xfId="43940"/>
    <cellStyle name="SAPBEXHLevel0X 4 2 2 8" xfId="43941"/>
    <cellStyle name="SAPBEXHLevel0X 4 2 3" xfId="43942"/>
    <cellStyle name="SAPBEXHLevel0X 4 2 3 2" xfId="43943"/>
    <cellStyle name="SAPBEXHLevel0X 4 2 3 2 2" xfId="43944"/>
    <cellStyle name="SAPBEXHLevel0X 4 2 3 2 3" xfId="43945"/>
    <cellStyle name="SAPBEXHLevel0X 4 2 3 2 4" xfId="43946"/>
    <cellStyle name="SAPBEXHLevel0X 4 2 3 3" xfId="43947"/>
    <cellStyle name="SAPBEXHLevel0X 4 2 3 3 2" xfId="43948"/>
    <cellStyle name="SAPBEXHLevel0X 4 2 3 3 3" xfId="43949"/>
    <cellStyle name="SAPBEXHLevel0X 4 2 3 3 4" xfId="43950"/>
    <cellStyle name="SAPBEXHLevel0X 4 2 3 4" xfId="43951"/>
    <cellStyle name="SAPBEXHLevel0X 4 2 3 4 2" xfId="43952"/>
    <cellStyle name="SAPBEXHLevel0X 4 2 3 4 3" xfId="43953"/>
    <cellStyle name="SAPBEXHLevel0X 4 2 3 4 4" xfId="43954"/>
    <cellStyle name="SAPBEXHLevel0X 4 2 3 5" xfId="43955"/>
    <cellStyle name="SAPBEXHLevel0X 4 2 3 6" xfId="43956"/>
    <cellStyle name="SAPBEXHLevel0X 4 2 3 7" xfId="43957"/>
    <cellStyle name="SAPBEXHLevel0X 4 2 3 8" xfId="43958"/>
    <cellStyle name="SAPBEXHLevel0X 4 2 4" xfId="43959"/>
    <cellStyle name="SAPBEXHLevel0X 4 2 4 2" xfId="43960"/>
    <cellStyle name="SAPBEXHLevel0X 4 2 4 2 2" xfId="43961"/>
    <cellStyle name="SAPBEXHLevel0X 4 2 4 2 3" xfId="43962"/>
    <cellStyle name="SAPBEXHLevel0X 4 2 4 2 4" xfId="43963"/>
    <cellStyle name="SAPBEXHLevel0X 4 2 4 3" xfId="43964"/>
    <cellStyle name="SAPBEXHLevel0X 4 2 4 3 2" xfId="43965"/>
    <cellStyle name="SAPBEXHLevel0X 4 2 4 3 3" xfId="43966"/>
    <cellStyle name="SAPBEXHLevel0X 4 2 4 3 4" xfId="43967"/>
    <cellStyle name="SAPBEXHLevel0X 4 2 4 4" xfId="43968"/>
    <cellStyle name="SAPBEXHLevel0X 4 2 4 4 2" xfId="43969"/>
    <cellStyle name="SAPBEXHLevel0X 4 2 4 4 3" xfId="43970"/>
    <cellStyle name="SAPBEXHLevel0X 4 2 4 4 4" xfId="43971"/>
    <cellStyle name="SAPBEXHLevel0X 4 2 4 5" xfId="43972"/>
    <cellStyle name="SAPBEXHLevel0X 4 2 4 6" xfId="43973"/>
    <cellStyle name="SAPBEXHLevel0X 4 2 4 7" xfId="43974"/>
    <cellStyle name="SAPBEXHLevel0X 4 2 4 8" xfId="43975"/>
    <cellStyle name="SAPBEXHLevel0X 4 2 5" xfId="43976"/>
    <cellStyle name="SAPBEXHLevel0X 4 2 5 2" xfId="43977"/>
    <cellStyle name="SAPBEXHLevel0X 4 2 5 2 2" xfId="43978"/>
    <cellStyle name="SAPBEXHLevel0X 4 2 5 2 3" xfId="43979"/>
    <cellStyle name="SAPBEXHLevel0X 4 2 5 2 4" xfId="43980"/>
    <cellStyle name="SAPBEXHLevel0X 4 2 5 3" xfId="43981"/>
    <cellStyle name="SAPBEXHLevel0X 4 2 5 3 2" xfId="43982"/>
    <cellStyle name="SAPBEXHLevel0X 4 2 5 3 3" xfId="43983"/>
    <cellStyle name="SAPBEXHLevel0X 4 2 5 3 4" xfId="43984"/>
    <cellStyle name="SAPBEXHLevel0X 4 2 5 4" xfId="43985"/>
    <cellStyle name="SAPBEXHLevel0X 4 2 5 4 2" xfId="43986"/>
    <cellStyle name="SAPBEXHLevel0X 4 2 5 4 3" xfId="43987"/>
    <cellStyle name="SAPBEXHLevel0X 4 2 5 4 4" xfId="43988"/>
    <cellStyle name="SAPBEXHLevel0X 4 2 5 5" xfId="43989"/>
    <cellStyle name="SAPBEXHLevel0X 4 2 5 6" xfId="43990"/>
    <cellStyle name="SAPBEXHLevel0X 4 2 5 7" xfId="43991"/>
    <cellStyle name="SAPBEXHLevel0X 4 2 5 8" xfId="43992"/>
    <cellStyle name="SAPBEXHLevel0X 4 2 6" xfId="43993"/>
    <cellStyle name="SAPBEXHLevel0X 4 2 6 2" xfId="43994"/>
    <cellStyle name="SAPBEXHLevel0X 4 2 6 3" xfId="43995"/>
    <cellStyle name="SAPBEXHLevel0X 4 2 6 4" xfId="43996"/>
    <cellStyle name="SAPBEXHLevel0X 4 2 7" xfId="43997"/>
    <cellStyle name="SAPBEXHLevel0X 4 2 7 2" xfId="43998"/>
    <cellStyle name="SAPBEXHLevel0X 4 2 7 3" xfId="43999"/>
    <cellStyle name="SAPBEXHLevel0X 4 2 7 4" xfId="44000"/>
    <cellStyle name="SAPBEXHLevel0X 4 2 8" xfId="44001"/>
    <cellStyle name="SAPBEXHLevel0X 4 2 9" xfId="44002"/>
    <cellStyle name="SAPBEXHLevel0X 4 3" xfId="44003"/>
    <cellStyle name="SAPBEXHLevel0X 4 3 2" xfId="44004"/>
    <cellStyle name="SAPBEXHLevel0X 4 3 2 2" xfId="44005"/>
    <cellStyle name="SAPBEXHLevel0X 4 3 2 3" xfId="44006"/>
    <cellStyle name="SAPBEXHLevel0X 4 3 2 4" xfId="44007"/>
    <cellStyle name="SAPBEXHLevel0X 4 3 3" xfId="44008"/>
    <cellStyle name="SAPBEXHLevel0X 4 3 3 2" xfId="44009"/>
    <cellStyle name="SAPBEXHLevel0X 4 3 3 3" xfId="44010"/>
    <cellStyle name="SAPBEXHLevel0X 4 3 3 4" xfId="44011"/>
    <cellStyle name="SAPBEXHLevel0X 4 3 4" xfId="44012"/>
    <cellStyle name="SAPBEXHLevel0X 4 3 4 2" xfId="44013"/>
    <cellStyle name="SAPBEXHLevel0X 4 3 4 3" xfId="44014"/>
    <cellStyle name="SAPBEXHLevel0X 4 3 4 4" xfId="44015"/>
    <cellStyle name="SAPBEXHLevel0X 4 3 5" xfId="44016"/>
    <cellStyle name="SAPBEXHLevel0X 4 3 6" xfId="44017"/>
    <cellStyle name="SAPBEXHLevel0X 4 3 7" xfId="44018"/>
    <cellStyle name="SAPBEXHLevel0X 4 3 8" xfId="44019"/>
    <cellStyle name="SAPBEXHLevel0X 4 4" xfId="44020"/>
    <cellStyle name="SAPBEXHLevel0X 4 4 2" xfId="44021"/>
    <cellStyle name="SAPBEXHLevel0X 4 4 2 2" xfId="44022"/>
    <cellStyle name="SAPBEXHLevel0X 4 4 2 3" xfId="44023"/>
    <cellStyle name="SAPBEXHLevel0X 4 4 2 4" xfId="44024"/>
    <cellStyle name="SAPBEXHLevel0X 4 4 3" xfId="44025"/>
    <cellStyle name="SAPBEXHLevel0X 4 4 3 2" xfId="44026"/>
    <cellStyle name="SAPBEXHLevel0X 4 4 3 3" xfId="44027"/>
    <cellStyle name="SAPBEXHLevel0X 4 4 3 4" xfId="44028"/>
    <cellStyle name="SAPBEXHLevel0X 4 4 4" xfId="44029"/>
    <cellStyle name="SAPBEXHLevel0X 4 4 4 2" xfId="44030"/>
    <cellStyle name="SAPBEXHLevel0X 4 4 4 3" xfId="44031"/>
    <cellStyle name="SAPBEXHLevel0X 4 4 4 4" xfId="44032"/>
    <cellStyle name="SAPBEXHLevel0X 4 4 5" xfId="44033"/>
    <cellStyle name="SAPBEXHLevel0X 4 4 6" xfId="44034"/>
    <cellStyle name="SAPBEXHLevel0X 4 4 7" xfId="44035"/>
    <cellStyle name="SAPBEXHLevel0X 4 4 8" xfId="44036"/>
    <cellStyle name="SAPBEXHLevel0X 4 5" xfId="44037"/>
    <cellStyle name="SAPBEXHLevel0X 4 5 2" xfId="44038"/>
    <cellStyle name="SAPBEXHLevel0X 4 5 2 2" xfId="44039"/>
    <cellStyle name="SAPBEXHLevel0X 4 5 2 3" xfId="44040"/>
    <cellStyle name="SAPBEXHLevel0X 4 5 2 4" xfId="44041"/>
    <cellStyle name="SAPBEXHLevel0X 4 5 3" xfId="44042"/>
    <cellStyle name="SAPBEXHLevel0X 4 5 3 2" xfId="44043"/>
    <cellStyle name="SAPBEXHLevel0X 4 5 3 3" xfId="44044"/>
    <cellStyle name="SAPBEXHLevel0X 4 5 3 4" xfId="44045"/>
    <cellStyle name="SAPBEXHLevel0X 4 5 4" xfId="44046"/>
    <cellStyle name="SAPBEXHLevel0X 4 5 4 2" xfId="44047"/>
    <cellStyle name="SAPBEXHLevel0X 4 5 4 3" xfId="44048"/>
    <cellStyle name="SAPBEXHLevel0X 4 5 4 4" xfId="44049"/>
    <cellStyle name="SAPBEXHLevel0X 4 5 5" xfId="44050"/>
    <cellStyle name="SAPBEXHLevel0X 4 5 6" xfId="44051"/>
    <cellStyle name="SAPBEXHLevel0X 4 5 7" xfId="44052"/>
    <cellStyle name="SAPBEXHLevel0X 4 5 8" xfId="44053"/>
    <cellStyle name="SAPBEXHLevel0X 4 6" xfId="44054"/>
    <cellStyle name="SAPBEXHLevel0X 4 6 2" xfId="44055"/>
    <cellStyle name="SAPBEXHLevel0X 4 6 2 2" xfId="44056"/>
    <cellStyle name="SAPBEXHLevel0X 4 6 2 3" xfId="44057"/>
    <cellStyle name="SAPBEXHLevel0X 4 6 2 4" xfId="44058"/>
    <cellStyle name="SAPBEXHLevel0X 4 6 3" xfId="44059"/>
    <cellStyle name="SAPBEXHLevel0X 4 6 3 2" xfId="44060"/>
    <cellStyle name="SAPBEXHLevel0X 4 6 3 3" xfId="44061"/>
    <cellStyle name="SAPBEXHLevel0X 4 6 3 4" xfId="44062"/>
    <cellStyle name="SAPBEXHLevel0X 4 6 4" xfId="44063"/>
    <cellStyle name="SAPBEXHLevel0X 4 6 4 2" xfId="44064"/>
    <cellStyle name="SAPBEXHLevel0X 4 6 4 3" xfId="44065"/>
    <cellStyle name="SAPBEXHLevel0X 4 6 4 4" xfId="44066"/>
    <cellStyle name="SAPBEXHLevel0X 4 6 5" xfId="44067"/>
    <cellStyle name="SAPBEXHLevel0X 4 6 6" xfId="44068"/>
    <cellStyle name="SAPBEXHLevel0X 4 6 7" xfId="44069"/>
    <cellStyle name="SAPBEXHLevel0X 4 6 8" xfId="44070"/>
    <cellStyle name="SAPBEXHLevel0X 4 7" xfId="44071"/>
    <cellStyle name="SAPBEXHLevel0X 4 7 2" xfId="44072"/>
    <cellStyle name="SAPBEXHLevel0X 4 7 2 2" xfId="44073"/>
    <cellStyle name="SAPBEXHLevel0X 4 7 2 3" xfId="44074"/>
    <cellStyle name="SAPBEXHLevel0X 4 7 2 4" xfId="44075"/>
    <cellStyle name="SAPBEXHLevel0X 4 7 3" xfId="44076"/>
    <cellStyle name="SAPBEXHLevel0X 4 7 3 2" xfId="44077"/>
    <cellStyle name="SAPBEXHLevel0X 4 7 3 3" xfId="44078"/>
    <cellStyle name="SAPBEXHLevel0X 4 7 3 4" xfId="44079"/>
    <cellStyle name="SAPBEXHLevel0X 4 7 4" xfId="44080"/>
    <cellStyle name="SAPBEXHLevel0X 4 7 4 2" xfId="44081"/>
    <cellStyle name="SAPBEXHLevel0X 4 7 4 3" xfId="44082"/>
    <cellStyle name="SAPBEXHLevel0X 4 7 4 4" xfId="44083"/>
    <cellStyle name="SAPBEXHLevel0X 4 7 5" xfId="44084"/>
    <cellStyle name="SAPBEXHLevel0X 4 7 6" xfId="44085"/>
    <cellStyle name="SAPBEXHLevel0X 4 7 7" xfId="44086"/>
    <cellStyle name="SAPBEXHLevel0X 4 7 8" xfId="44087"/>
    <cellStyle name="SAPBEXHLevel0X 4 8" xfId="44088"/>
    <cellStyle name="SAPBEXHLevel0X 4 8 2" xfId="44089"/>
    <cellStyle name="SAPBEXHLevel0X 4 8 3" xfId="44090"/>
    <cellStyle name="SAPBEXHLevel0X 4 8 4" xfId="44091"/>
    <cellStyle name="SAPBEXHLevel0X 4 9" xfId="44092"/>
    <cellStyle name="SAPBEXHLevel0X 4 9 2" xfId="44093"/>
    <cellStyle name="SAPBEXHLevel0X 4 9 3" xfId="44094"/>
    <cellStyle name="SAPBEXHLevel0X 4 9 4" xfId="44095"/>
    <cellStyle name="SAPBEXHLevel0X 5" xfId="44096"/>
    <cellStyle name="SAPBEXHLevel0X 5 2" xfId="44097"/>
    <cellStyle name="SAPBEXHLevel0X 5 2 2" xfId="44098"/>
    <cellStyle name="SAPBEXHLevel0X 5 2 2 2" xfId="44099"/>
    <cellStyle name="SAPBEXHLevel0X 5 2 2 3" xfId="44100"/>
    <cellStyle name="SAPBEXHLevel0X 5 2 2 4" xfId="44101"/>
    <cellStyle name="SAPBEXHLevel0X 5 2 3" xfId="44102"/>
    <cellStyle name="SAPBEXHLevel0X 5 2 3 2" xfId="44103"/>
    <cellStyle name="SAPBEXHLevel0X 5 2 3 3" xfId="44104"/>
    <cellStyle name="SAPBEXHLevel0X 5 2 3 4" xfId="44105"/>
    <cellStyle name="SAPBEXHLevel0X 5 2 4" xfId="44106"/>
    <cellStyle name="SAPBEXHLevel0X 5 2 4 2" xfId="44107"/>
    <cellStyle name="SAPBEXHLevel0X 5 2 4 3" xfId="44108"/>
    <cellStyle name="SAPBEXHLevel0X 5 2 4 4" xfId="44109"/>
    <cellStyle name="SAPBEXHLevel0X 5 2 5" xfId="44110"/>
    <cellStyle name="SAPBEXHLevel0X 5 2 6" xfId="44111"/>
    <cellStyle name="SAPBEXHLevel0X 5 2 7" xfId="44112"/>
    <cellStyle name="SAPBEXHLevel0X 5 2 8" xfId="44113"/>
    <cellStyle name="SAPBEXHLevel0X 5 3" xfId="44114"/>
    <cellStyle name="SAPBEXHLevel0X 5 3 2" xfId="44115"/>
    <cellStyle name="SAPBEXHLevel0X 5 3 2 2" xfId="44116"/>
    <cellStyle name="SAPBEXHLevel0X 5 3 2 3" xfId="44117"/>
    <cellStyle name="SAPBEXHLevel0X 5 3 2 4" xfId="44118"/>
    <cellStyle name="SAPBEXHLevel0X 5 3 3" xfId="44119"/>
    <cellStyle name="SAPBEXHLevel0X 5 3 3 2" xfId="44120"/>
    <cellStyle name="SAPBEXHLevel0X 5 3 3 3" xfId="44121"/>
    <cellStyle name="SAPBEXHLevel0X 5 3 3 4" xfId="44122"/>
    <cellStyle name="SAPBEXHLevel0X 5 3 4" xfId="44123"/>
    <cellStyle name="SAPBEXHLevel0X 5 3 4 2" xfId="44124"/>
    <cellStyle name="SAPBEXHLevel0X 5 3 4 3" xfId="44125"/>
    <cellStyle name="SAPBEXHLevel0X 5 3 4 4" xfId="44126"/>
    <cellStyle name="SAPBEXHLevel0X 5 3 5" xfId="44127"/>
    <cellStyle name="SAPBEXHLevel0X 5 3 6" xfId="44128"/>
    <cellStyle name="SAPBEXHLevel0X 5 3 7" xfId="44129"/>
    <cellStyle name="SAPBEXHLevel0X 5 3 8" xfId="44130"/>
    <cellStyle name="SAPBEXHLevel0X 5 4" xfId="44131"/>
    <cellStyle name="SAPBEXHLevel0X 5 4 2" xfId="44132"/>
    <cellStyle name="SAPBEXHLevel0X 5 4 2 2" xfId="44133"/>
    <cellStyle name="SAPBEXHLevel0X 5 4 2 3" xfId="44134"/>
    <cellStyle name="SAPBEXHLevel0X 5 4 2 4" xfId="44135"/>
    <cellStyle name="SAPBEXHLevel0X 5 4 3" xfId="44136"/>
    <cellStyle name="SAPBEXHLevel0X 5 4 3 2" xfId="44137"/>
    <cellStyle name="SAPBEXHLevel0X 5 4 3 3" xfId="44138"/>
    <cellStyle name="SAPBEXHLevel0X 5 4 3 4" xfId="44139"/>
    <cellStyle name="SAPBEXHLevel0X 5 4 4" xfId="44140"/>
    <cellStyle name="SAPBEXHLevel0X 5 4 4 2" xfId="44141"/>
    <cellStyle name="SAPBEXHLevel0X 5 4 4 3" xfId="44142"/>
    <cellStyle name="SAPBEXHLevel0X 5 4 4 4" xfId="44143"/>
    <cellStyle name="SAPBEXHLevel0X 5 4 5" xfId="44144"/>
    <cellStyle name="SAPBEXHLevel0X 5 4 6" xfId="44145"/>
    <cellStyle name="SAPBEXHLevel0X 5 4 7" xfId="44146"/>
    <cellStyle name="SAPBEXHLevel0X 5 4 8" xfId="44147"/>
    <cellStyle name="SAPBEXHLevel0X 5 5" xfId="44148"/>
    <cellStyle name="SAPBEXHLevel0X 5 5 2" xfId="44149"/>
    <cellStyle name="SAPBEXHLevel0X 5 5 2 2" xfId="44150"/>
    <cellStyle name="SAPBEXHLevel0X 5 5 2 3" xfId="44151"/>
    <cellStyle name="SAPBEXHLevel0X 5 5 2 4" xfId="44152"/>
    <cellStyle name="SAPBEXHLevel0X 5 5 3" xfId="44153"/>
    <cellStyle name="SAPBEXHLevel0X 5 5 3 2" xfId="44154"/>
    <cellStyle name="SAPBEXHLevel0X 5 5 3 3" xfId="44155"/>
    <cellStyle name="SAPBEXHLevel0X 5 5 3 4" xfId="44156"/>
    <cellStyle name="SAPBEXHLevel0X 5 5 4" xfId="44157"/>
    <cellStyle name="SAPBEXHLevel0X 5 5 4 2" xfId="44158"/>
    <cellStyle name="SAPBEXHLevel0X 5 5 4 3" xfId="44159"/>
    <cellStyle name="SAPBEXHLevel0X 5 5 4 4" xfId="44160"/>
    <cellStyle name="SAPBEXHLevel0X 5 5 5" xfId="44161"/>
    <cellStyle name="SAPBEXHLevel0X 5 5 6" xfId="44162"/>
    <cellStyle name="SAPBEXHLevel0X 5 5 7" xfId="44163"/>
    <cellStyle name="SAPBEXHLevel0X 5 5 8" xfId="44164"/>
    <cellStyle name="SAPBEXHLevel0X 5 6" xfId="44165"/>
    <cellStyle name="SAPBEXHLevel0X 5 6 2" xfId="44166"/>
    <cellStyle name="SAPBEXHLevel0X 5 6 3" xfId="44167"/>
    <cellStyle name="SAPBEXHLevel0X 5 6 4" xfId="44168"/>
    <cellStyle name="SAPBEXHLevel0X 5 7" xfId="44169"/>
    <cellStyle name="SAPBEXHLevel0X 5 7 2" xfId="44170"/>
    <cellStyle name="SAPBEXHLevel0X 5 7 3" xfId="44171"/>
    <cellStyle name="SAPBEXHLevel0X 5 7 4" xfId="44172"/>
    <cellStyle name="SAPBEXHLevel0X 5 8" xfId="44173"/>
    <cellStyle name="SAPBEXHLevel0X 5 9" xfId="44174"/>
    <cellStyle name="SAPBEXHLevel0X 6" xfId="44175"/>
    <cellStyle name="SAPBEXHLevel0X 6 2" xfId="44176"/>
    <cellStyle name="SAPBEXHLevel0X 6 2 2" xfId="44177"/>
    <cellStyle name="SAPBEXHLevel0X 6 2 3" xfId="44178"/>
    <cellStyle name="SAPBEXHLevel0X 6 2 4" xfId="44179"/>
    <cellStyle name="SAPBEXHLevel0X 6 3" xfId="44180"/>
    <cellStyle name="SAPBEXHLevel0X 6 3 2" xfId="44181"/>
    <cellStyle name="SAPBEXHLevel0X 6 3 3" xfId="44182"/>
    <cellStyle name="SAPBEXHLevel0X 6 3 4" xfId="44183"/>
    <cellStyle name="SAPBEXHLevel0X 6 4" xfId="44184"/>
    <cellStyle name="SAPBEXHLevel0X 6 4 2" xfId="44185"/>
    <cellStyle name="SAPBEXHLevel0X 6 4 3" xfId="44186"/>
    <cellStyle name="SAPBEXHLevel0X 6 4 4" xfId="44187"/>
    <cellStyle name="SAPBEXHLevel0X 6 5" xfId="44188"/>
    <cellStyle name="SAPBEXHLevel0X 6 6" xfId="44189"/>
    <cellStyle name="SAPBEXHLevel0X 6 7" xfId="44190"/>
    <cellStyle name="SAPBEXHLevel0X 6 8" xfId="44191"/>
    <cellStyle name="SAPBEXHLevel0X 7" xfId="44192"/>
    <cellStyle name="SAPBEXHLevel0X 7 2" xfId="44193"/>
    <cellStyle name="SAPBEXHLevel0X 7 2 2" xfId="44194"/>
    <cellStyle name="SAPBEXHLevel0X 7 2 3" xfId="44195"/>
    <cellStyle name="SAPBEXHLevel0X 7 2 4" xfId="44196"/>
    <cellStyle name="SAPBEXHLevel0X 7 3" xfId="44197"/>
    <cellStyle name="SAPBEXHLevel0X 7 3 2" xfId="44198"/>
    <cellStyle name="SAPBEXHLevel0X 7 3 3" xfId="44199"/>
    <cellStyle name="SAPBEXHLevel0X 7 3 4" xfId="44200"/>
    <cellStyle name="SAPBEXHLevel0X 7 4" xfId="44201"/>
    <cellStyle name="SAPBEXHLevel0X 7 4 2" xfId="44202"/>
    <cellStyle name="SAPBEXHLevel0X 7 4 3" xfId="44203"/>
    <cellStyle name="SAPBEXHLevel0X 7 4 4" xfId="44204"/>
    <cellStyle name="SAPBEXHLevel0X 7 5" xfId="44205"/>
    <cellStyle name="SAPBEXHLevel0X 7 6" xfId="44206"/>
    <cellStyle name="SAPBEXHLevel0X 7 7" xfId="44207"/>
    <cellStyle name="SAPBEXHLevel0X 7 8" xfId="44208"/>
    <cellStyle name="SAPBEXHLevel0X 8" xfId="44209"/>
    <cellStyle name="SAPBEXHLevel0X 8 2" xfId="44210"/>
    <cellStyle name="SAPBEXHLevel0X 8 2 2" xfId="44211"/>
    <cellStyle name="SAPBEXHLevel0X 8 2 3" xfId="44212"/>
    <cellStyle name="SAPBEXHLevel0X 8 2 4" xfId="44213"/>
    <cellStyle name="SAPBEXHLevel0X 8 3" xfId="44214"/>
    <cellStyle name="SAPBEXHLevel0X 8 3 2" xfId="44215"/>
    <cellStyle name="SAPBEXHLevel0X 8 3 3" xfId="44216"/>
    <cellStyle name="SAPBEXHLevel0X 8 3 4" xfId="44217"/>
    <cellStyle name="SAPBEXHLevel0X 8 4" xfId="44218"/>
    <cellStyle name="SAPBEXHLevel0X 8 4 2" xfId="44219"/>
    <cellStyle name="SAPBEXHLevel0X 8 4 3" xfId="44220"/>
    <cellStyle name="SAPBEXHLevel0X 8 4 4" xfId="44221"/>
    <cellStyle name="SAPBEXHLevel0X 8 5" xfId="44222"/>
    <cellStyle name="SAPBEXHLevel0X 8 6" xfId="44223"/>
    <cellStyle name="SAPBEXHLevel0X 8 7" xfId="44224"/>
    <cellStyle name="SAPBEXHLevel0X 8 8" xfId="44225"/>
    <cellStyle name="SAPBEXHLevel0X 9" xfId="44226"/>
    <cellStyle name="SAPBEXHLevel0X 9 2" xfId="44227"/>
    <cellStyle name="SAPBEXHLevel0X 9 2 2" xfId="44228"/>
    <cellStyle name="SAPBEXHLevel0X 9 2 3" xfId="44229"/>
    <cellStyle name="SAPBEXHLevel0X 9 2 4" xfId="44230"/>
    <cellStyle name="SAPBEXHLevel0X 9 3" xfId="44231"/>
    <cellStyle name="SAPBEXHLevel0X 9 3 2" xfId="44232"/>
    <cellStyle name="SAPBEXHLevel0X 9 3 3" xfId="44233"/>
    <cellStyle name="SAPBEXHLevel0X 9 3 4" xfId="44234"/>
    <cellStyle name="SAPBEXHLevel0X 9 4" xfId="44235"/>
    <cellStyle name="SAPBEXHLevel0X 9 4 2" xfId="44236"/>
    <cellStyle name="SAPBEXHLevel0X 9 4 3" xfId="44237"/>
    <cellStyle name="SAPBEXHLevel0X 9 4 4" xfId="44238"/>
    <cellStyle name="SAPBEXHLevel0X 9 5" xfId="44239"/>
    <cellStyle name="SAPBEXHLevel0X 9 6" xfId="44240"/>
    <cellStyle name="SAPBEXHLevel0X 9 7" xfId="44241"/>
    <cellStyle name="SAPBEXHLevel0X 9 8" xfId="44242"/>
    <cellStyle name="SAPBEXHLevel1" xfId="44243"/>
    <cellStyle name="SAPBEXHLevel1 10" xfId="44244"/>
    <cellStyle name="SAPBEXHLevel1 10 2" xfId="44245"/>
    <cellStyle name="SAPBEXHLevel1 10 2 2" xfId="44246"/>
    <cellStyle name="SAPBEXHLevel1 10 2 3" xfId="44247"/>
    <cellStyle name="SAPBEXHLevel1 10 2 4" xfId="44248"/>
    <cellStyle name="SAPBEXHLevel1 10 3" xfId="44249"/>
    <cellStyle name="SAPBEXHLevel1 10 3 2" xfId="44250"/>
    <cellStyle name="SAPBEXHLevel1 10 3 3" xfId="44251"/>
    <cellStyle name="SAPBEXHLevel1 10 3 4" xfId="44252"/>
    <cellStyle name="SAPBEXHLevel1 10 4" xfId="44253"/>
    <cellStyle name="SAPBEXHLevel1 10 4 2" xfId="44254"/>
    <cellStyle name="SAPBEXHLevel1 10 4 3" xfId="44255"/>
    <cellStyle name="SAPBEXHLevel1 10 4 4" xfId="44256"/>
    <cellStyle name="SAPBEXHLevel1 10 5" xfId="44257"/>
    <cellStyle name="SAPBEXHLevel1 10 6" xfId="44258"/>
    <cellStyle name="SAPBEXHLevel1 10 7" xfId="44259"/>
    <cellStyle name="SAPBEXHLevel1 10 8" xfId="44260"/>
    <cellStyle name="SAPBEXHLevel1 11" xfId="44261"/>
    <cellStyle name="SAPBEXHLevel1 11 2" xfId="44262"/>
    <cellStyle name="SAPBEXHLevel1 11 3" xfId="44263"/>
    <cellStyle name="SAPBEXHLevel1 11 4" xfId="44264"/>
    <cellStyle name="SAPBEXHLevel1 12" xfId="44265"/>
    <cellStyle name="SAPBEXHLevel1 12 2" xfId="44266"/>
    <cellStyle name="SAPBEXHLevel1 12 3" xfId="44267"/>
    <cellStyle name="SAPBEXHLevel1 12 4" xfId="44268"/>
    <cellStyle name="SAPBEXHLevel1 13" xfId="44269"/>
    <cellStyle name="SAPBEXHLevel1 14" xfId="44270"/>
    <cellStyle name="SAPBEXHLevel1 2" xfId="44271"/>
    <cellStyle name="SAPBEXHLevel1 2 10" xfId="44272"/>
    <cellStyle name="SAPBEXHLevel1 2 10 2" xfId="44273"/>
    <cellStyle name="SAPBEXHLevel1 2 10 3" xfId="44274"/>
    <cellStyle name="SAPBEXHLevel1 2 10 4" xfId="44275"/>
    <cellStyle name="SAPBEXHLevel1 2 11" xfId="44276"/>
    <cellStyle name="SAPBEXHLevel1 2 11 2" xfId="44277"/>
    <cellStyle name="SAPBEXHLevel1 2 11 3" xfId="44278"/>
    <cellStyle name="SAPBEXHLevel1 2 11 4" xfId="44279"/>
    <cellStyle name="SAPBEXHLevel1 2 12" xfId="44280"/>
    <cellStyle name="SAPBEXHLevel1 2 13" xfId="44281"/>
    <cellStyle name="SAPBEXHLevel1 2 2" xfId="44282"/>
    <cellStyle name="SAPBEXHLevel1 2 2 10" xfId="44283"/>
    <cellStyle name="SAPBEXHLevel1 2 2 11" xfId="44284"/>
    <cellStyle name="SAPBEXHLevel1 2 2 2" xfId="44285"/>
    <cellStyle name="SAPBEXHLevel1 2 2 2 2" xfId="44286"/>
    <cellStyle name="SAPBEXHLevel1 2 2 2 2 2" xfId="44287"/>
    <cellStyle name="SAPBEXHLevel1 2 2 2 2 2 2" xfId="44288"/>
    <cellStyle name="SAPBEXHLevel1 2 2 2 2 2 3" xfId="44289"/>
    <cellStyle name="SAPBEXHLevel1 2 2 2 2 2 4" xfId="44290"/>
    <cellStyle name="SAPBEXHLevel1 2 2 2 2 3" xfId="44291"/>
    <cellStyle name="SAPBEXHLevel1 2 2 2 2 3 2" xfId="44292"/>
    <cellStyle name="SAPBEXHLevel1 2 2 2 2 3 3" xfId="44293"/>
    <cellStyle name="SAPBEXHLevel1 2 2 2 2 3 4" xfId="44294"/>
    <cellStyle name="SAPBEXHLevel1 2 2 2 2 4" xfId="44295"/>
    <cellStyle name="SAPBEXHLevel1 2 2 2 2 4 2" xfId="44296"/>
    <cellStyle name="SAPBEXHLevel1 2 2 2 2 4 3" xfId="44297"/>
    <cellStyle name="SAPBEXHLevel1 2 2 2 2 4 4" xfId="44298"/>
    <cellStyle name="SAPBEXHLevel1 2 2 2 2 5" xfId="44299"/>
    <cellStyle name="SAPBEXHLevel1 2 2 2 2 6" xfId="44300"/>
    <cellStyle name="SAPBEXHLevel1 2 2 2 2 7" xfId="44301"/>
    <cellStyle name="SAPBEXHLevel1 2 2 2 2 8" xfId="44302"/>
    <cellStyle name="SAPBEXHLevel1 2 2 2 3" xfId="44303"/>
    <cellStyle name="SAPBEXHLevel1 2 2 2 3 2" xfId="44304"/>
    <cellStyle name="SAPBEXHLevel1 2 2 2 3 2 2" xfId="44305"/>
    <cellStyle name="SAPBEXHLevel1 2 2 2 3 2 3" xfId="44306"/>
    <cellStyle name="SAPBEXHLevel1 2 2 2 3 2 4" xfId="44307"/>
    <cellStyle name="SAPBEXHLevel1 2 2 2 3 3" xfId="44308"/>
    <cellStyle name="SAPBEXHLevel1 2 2 2 3 3 2" xfId="44309"/>
    <cellStyle name="SAPBEXHLevel1 2 2 2 3 3 3" xfId="44310"/>
    <cellStyle name="SAPBEXHLevel1 2 2 2 3 3 4" xfId="44311"/>
    <cellStyle name="SAPBEXHLevel1 2 2 2 3 4" xfId="44312"/>
    <cellStyle name="SAPBEXHLevel1 2 2 2 3 4 2" xfId="44313"/>
    <cellStyle name="SAPBEXHLevel1 2 2 2 3 4 3" xfId="44314"/>
    <cellStyle name="SAPBEXHLevel1 2 2 2 3 4 4" xfId="44315"/>
    <cellStyle name="SAPBEXHLevel1 2 2 2 3 5" xfId="44316"/>
    <cellStyle name="SAPBEXHLevel1 2 2 2 3 6" xfId="44317"/>
    <cellStyle name="SAPBEXHLevel1 2 2 2 3 7" xfId="44318"/>
    <cellStyle name="SAPBEXHLevel1 2 2 2 3 8" xfId="44319"/>
    <cellStyle name="SAPBEXHLevel1 2 2 2 4" xfId="44320"/>
    <cellStyle name="SAPBEXHLevel1 2 2 2 4 2" xfId="44321"/>
    <cellStyle name="SAPBEXHLevel1 2 2 2 4 2 2" xfId="44322"/>
    <cellStyle name="SAPBEXHLevel1 2 2 2 4 2 3" xfId="44323"/>
    <cellStyle name="SAPBEXHLevel1 2 2 2 4 2 4" xfId="44324"/>
    <cellStyle name="SAPBEXHLevel1 2 2 2 4 3" xfId="44325"/>
    <cellStyle name="SAPBEXHLevel1 2 2 2 4 3 2" xfId="44326"/>
    <cellStyle name="SAPBEXHLevel1 2 2 2 4 3 3" xfId="44327"/>
    <cellStyle name="SAPBEXHLevel1 2 2 2 4 3 4" xfId="44328"/>
    <cellStyle name="SAPBEXHLevel1 2 2 2 4 4" xfId="44329"/>
    <cellStyle name="SAPBEXHLevel1 2 2 2 4 4 2" xfId="44330"/>
    <cellStyle name="SAPBEXHLevel1 2 2 2 4 4 3" xfId="44331"/>
    <cellStyle name="SAPBEXHLevel1 2 2 2 4 4 4" xfId="44332"/>
    <cellStyle name="SAPBEXHLevel1 2 2 2 4 5" xfId="44333"/>
    <cellStyle name="SAPBEXHLevel1 2 2 2 4 6" xfId="44334"/>
    <cellStyle name="SAPBEXHLevel1 2 2 2 4 7" xfId="44335"/>
    <cellStyle name="SAPBEXHLevel1 2 2 2 4 8" xfId="44336"/>
    <cellStyle name="SAPBEXHLevel1 2 2 2 5" xfId="44337"/>
    <cellStyle name="SAPBEXHLevel1 2 2 2 5 2" xfId="44338"/>
    <cellStyle name="SAPBEXHLevel1 2 2 2 5 2 2" xfId="44339"/>
    <cellStyle name="SAPBEXHLevel1 2 2 2 5 2 3" xfId="44340"/>
    <cellStyle name="SAPBEXHLevel1 2 2 2 5 2 4" xfId="44341"/>
    <cellStyle name="SAPBEXHLevel1 2 2 2 5 3" xfId="44342"/>
    <cellStyle name="SAPBEXHLevel1 2 2 2 5 3 2" xfId="44343"/>
    <cellStyle name="SAPBEXHLevel1 2 2 2 5 3 3" xfId="44344"/>
    <cellStyle name="SAPBEXHLevel1 2 2 2 5 3 4" xfId="44345"/>
    <cellStyle name="SAPBEXHLevel1 2 2 2 5 4" xfId="44346"/>
    <cellStyle name="SAPBEXHLevel1 2 2 2 5 4 2" xfId="44347"/>
    <cellStyle name="SAPBEXHLevel1 2 2 2 5 4 3" xfId="44348"/>
    <cellStyle name="SAPBEXHLevel1 2 2 2 5 4 4" xfId="44349"/>
    <cellStyle name="SAPBEXHLevel1 2 2 2 5 5" xfId="44350"/>
    <cellStyle name="SAPBEXHLevel1 2 2 2 5 6" xfId="44351"/>
    <cellStyle name="SAPBEXHLevel1 2 2 2 5 7" xfId="44352"/>
    <cellStyle name="SAPBEXHLevel1 2 2 2 5 8" xfId="44353"/>
    <cellStyle name="SAPBEXHLevel1 2 2 2 6" xfId="44354"/>
    <cellStyle name="SAPBEXHLevel1 2 2 2 6 2" xfId="44355"/>
    <cellStyle name="SAPBEXHLevel1 2 2 2 6 3" xfId="44356"/>
    <cellStyle name="SAPBEXHLevel1 2 2 2 6 4" xfId="44357"/>
    <cellStyle name="SAPBEXHLevel1 2 2 2 7" xfId="44358"/>
    <cellStyle name="SAPBEXHLevel1 2 2 2 7 2" xfId="44359"/>
    <cellStyle name="SAPBEXHLevel1 2 2 2 7 3" xfId="44360"/>
    <cellStyle name="SAPBEXHLevel1 2 2 2 7 4" xfId="44361"/>
    <cellStyle name="SAPBEXHLevel1 2 2 2 8" xfId="44362"/>
    <cellStyle name="SAPBEXHLevel1 2 2 2 9" xfId="44363"/>
    <cellStyle name="SAPBEXHLevel1 2 2 3" xfId="44364"/>
    <cellStyle name="SAPBEXHLevel1 2 2 3 2" xfId="44365"/>
    <cellStyle name="SAPBEXHLevel1 2 2 3 2 2" xfId="44366"/>
    <cellStyle name="SAPBEXHLevel1 2 2 3 2 3" xfId="44367"/>
    <cellStyle name="SAPBEXHLevel1 2 2 3 2 4" xfId="44368"/>
    <cellStyle name="SAPBEXHLevel1 2 2 3 3" xfId="44369"/>
    <cellStyle name="SAPBEXHLevel1 2 2 3 3 2" xfId="44370"/>
    <cellStyle name="SAPBEXHLevel1 2 2 3 3 3" xfId="44371"/>
    <cellStyle name="SAPBEXHLevel1 2 2 3 3 4" xfId="44372"/>
    <cellStyle name="SAPBEXHLevel1 2 2 3 4" xfId="44373"/>
    <cellStyle name="SAPBEXHLevel1 2 2 3 4 2" xfId="44374"/>
    <cellStyle name="SAPBEXHLevel1 2 2 3 4 3" xfId="44375"/>
    <cellStyle name="SAPBEXHLevel1 2 2 3 4 4" xfId="44376"/>
    <cellStyle name="SAPBEXHLevel1 2 2 3 5" xfId="44377"/>
    <cellStyle name="SAPBEXHLevel1 2 2 3 6" xfId="44378"/>
    <cellStyle name="SAPBEXHLevel1 2 2 3 7" xfId="44379"/>
    <cellStyle name="SAPBEXHLevel1 2 2 3 8" xfId="44380"/>
    <cellStyle name="SAPBEXHLevel1 2 2 4" xfId="44381"/>
    <cellStyle name="SAPBEXHLevel1 2 2 4 2" xfId="44382"/>
    <cellStyle name="SAPBEXHLevel1 2 2 4 2 2" xfId="44383"/>
    <cellStyle name="SAPBEXHLevel1 2 2 4 2 3" xfId="44384"/>
    <cellStyle name="SAPBEXHLevel1 2 2 4 2 4" xfId="44385"/>
    <cellStyle name="SAPBEXHLevel1 2 2 4 3" xfId="44386"/>
    <cellStyle name="SAPBEXHLevel1 2 2 4 3 2" xfId="44387"/>
    <cellStyle name="SAPBEXHLevel1 2 2 4 3 3" xfId="44388"/>
    <cellStyle name="SAPBEXHLevel1 2 2 4 3 4" xfId="44389"/>
    <cellStyle name="SAPBEXHLevel1 2 2 4 4" xfId="44390"/>
    <cellStyle name="SAPBEXHLevel1 2 2 4 4 2" xfId="44391"/>
    <cellStyle name="SAPBEXHLevel1 2 2 4 4 3" xfId="44392"/>
    <cellStyle name="SAPBEXHLevel1 2 2 4 4 4" xfId="44393"/>
    <cellStyle name="SAPBEXHLevel1 2 2 4 5" xfId="44394"/>
    <cellStyle name="SAPBEXHLevel1 2 2 4 6" xfId="44395"/>
    <cellStyle name="SAPBEXHLevel1 2 2 4 7" xfId="44396"/>
    <cellStyle name="SAPBEXHLevel1 2 2 4 8" xfId="44397"/>
    <cellStyle name="SAPBEXHLevel1 2 2 5" xfId="44398"/>
    <cellStyle name="SAPBEXHLevel1 2 2 5 2" xfId="44399"/>
    <cellStyle name="SAPBEXHLevel1 2 2 5 2 2" xfId="44400"/>
    <cellStyle name="SAPBEXHLevel1 2 2 5 2 3" xfId="44401"/>
    <cellStyle name="SAPBEXHLevel1 2 2 5 2 4" xfId="44402"/>
    <cellStyle name="SAPBEXHLevel1 2 2 5 3" xfId="44403"/>
    <cellStyle name="SAPBEXHLevel1 2 2 5 3 2" xfId="44404"/>
    <cellStyle name="SAPBEXHLevel1 2 2 5 3 3" xfId="44405"/>
    <cellStyle name="SAPBEXHLevel1 2 2 5 3 4" xfId="44406"/>
    <cellStyle name="SAPBEXHLevel1 2 2 5 4" xfId="44407"/>
    <cellStyle name="SAPBEXHLevel1 2 2 5 4 2" xfId="44408"/>
    <cellStyle name="SAPBEXHLevel1 2 2 5 4 3" xfId="44409"/>
    <cellStyle name="SAPBEXHLevel1 2 2 5 4 4" xfId="44410"/>
    <cellStyle name="SAPBEXHLevel1 2 2 5 5" xfId="44411"/>
    <cellStyle name="SAPBEXHLevel1 2 2 5 6" xfId="44412"/>
    <cellStyle name="SAPBEXHLevel1 2 2 5 7" xfId="44413"/>
    <cellStyle name="SAPBEXHLevel1 2 2 5 8" xfId="44414"/>
    <cellStyle name="SAPBEXHLevel1 2 2 6" xfId="44415"/>
    <cellStyle name="SAPBEXHLevel1 2 2 6 2" xfId="44416"/>
    <cellStyle name="SAPBEXHLevel1 2 2 6 2 2" xfId="44417"/>
    <cellStyle name="SAPBEXHLevel1 2 2 6 2 3" xfId="44418"/>
    <cellStyle name="SAPBEXHLevel1 2 2 6 2 4" xfId="44419"/>
    <cellStyle name="SAPBEXHLevel1 2 2 6 3" xfId="44420"/>
    <cellStyle name="SAPBEXHLevel1 2 2 6 3 2" xfId="44421"/>
    <cellStyle name="SAPBEXHLevel1 2 2 6 3 3" xfId="44422"/>
    <cellStyle name="SAPBEXHLevel1 2 2 6 3 4" xfId="44423"/>
    <cellStyle name="SAPBEXHLevel1 2 2 6 4" xfId="44424"/>
    <cellStyle name="SAPBEXHLevel1 2 2 6 4 2" xfId="44425"/>
    <cellStyle name="SAPBEXHLevel1 2 2 6 4 3" xfId="44426"/>
    <cellStyle name="SAPBEXHLevel1 2 2 6 4 4" xfId="44427"/>
    <cellStyle name="SAPBEXHLevel1 2 2 6 5" xfId="44428"/>
    <cellStyle name="SAPBEXHLevel1 2 2 6 6" xfId="44429"/>
    <cellStyle name="SAPBEXHLevel1 2 2 6 7" xfId="44430"/>
    <cellStyle name="SAPBEXHLevel1 2 2 6 8" xfId="44431"/>
    <cellStyle name="SAPBEXHLevel1 2 2 7" xfId="44432"/>
    <cellStyle name="SAPBEXHLevel1 2 2 7 2" xfId="44433"/>
    <cellStyle name="SAPBEXHLevel1 2 2 7 2 2" xfId="44434"/>
    <cellStyle name="SAPBEXHLevel1 2 2 7 2 3" xfId="44435"/>
    <cellStyle name="SAPBEXHLevel1 2 2 7 2 4" xfId="44436"/>
    <cellStyle name="SAPBEXHLevel1 2 2 7 3" xfId="44437"/>
    <cellStyle name="SAPBEXHLevel1 2 2 7 3 2" xfId="44438"/>
    <cellStyle name="SAPBEXHLevel1 2 2 7 3 3" xfId="44439"/>
    <cellStyle name="SAPBEXHLevel1 2 2 7 3 4" xfId="44440"/>
    <cellStyle name="SAPBEXHLevel1 2 2 7 4" xfId="44441"/>
    <cellStyle name="SAPBEXHLevel1 2 2 7 4 2" xfId="44442"/>
    <cellStyle name="SAPBEXHLevel1 2 2 7 4 3" xfId="44443"/>
    <cellStyle name="SAPBEXHLevel1 2 2 7 4 4" xfId="44444"/>
    <cellStyle name="SAPBEXHLevel1 2 2 7 5" xfId="44445"/>
    <cellStyle name="SAPBEXHLevel1 2 2 7 6" xfId="44446"/>
    <cellStyle name="SAPBEXHLevel1 2 2 7 7" xfId="44447"/>
    <cellStyle name="SAPBEXHLevel1 2 2 7 8" xfId="44448"/>
    <cellStyle name="SAPBEXHLevel1 2 2 8" xfId="44449"/>
    <cellStyle name="SAPBEXHLevel1 2 2 8 2" xfId="44450"/>
    <cellStyle name="SAPBEXHLevel1 2 2 8 3" xfId="44451"/>
    <cellStyle name="SAPBEXHLevel1 2 2 8 4" xfId="44452"/>
    <cellStyle name="SAPBEXHLevel1 2 2 9" xfId="44453"/>
    <cellStyle name="SAPBEXHLevel1 2 2 9 2" xfId="44454"/>
    <cellStyle name="SAPBEXHLevel1 2 2 9 3" xfId="44455"/>
    <cellStyle name="SAPBEXHLevel1 2 2 9 4" xfId="44456"/>
    <cellStyle name="SAPBEXHLevel1 2 3" xfId="44457"/>
    <cellStyle name="SAPBEXHLevel1 2 3 10" xfId="44458"/>
    <cellStyle name="SAPBEXHLevel1 2 3 11" xfId="44459"/>
    <cellStyle name="SAPBEXHLevel1 2 3 2" xfId="44460"/>
    <cellStyle name="SAPBEXHLevel1 2 3 2 2" xfId="44461"/>
    <cellStyle name="SAPBEXHLevel1 2 3 2 2 2" xfId="44462"/>
    <cellStyle name="SAPBEXHLevel1 2 3 2 2 2 2" xfId="44463"/>
    <cellStyle name="SAPBEXHLevel1 2 3 2 2 2 3" xfId="44464"/>
    <cellStyle name="SAPBEXHLevel1 2 3 2 2 2 4" xfId="44465"/>
    <cellStyle name="SAPBEXHLevel1 2 3 2 2 3" xfId="44466"/>
    <cellStyle name="SAPBEXHLevel1 2 3 2 2 3 2" xfId="44467"/>
    <cellStyle name="SAPBEXHLevel1 2 3 2 2 3 3" xfId="44468"/>
    <cellStyle name="SAPBEXHLevel1 2 3 2 2 3 4" xfId="44469"/>
    <cellStyle name="SAPBEXHLevel1 2 3 2 2 4" xfId="44470"/>
    <cellStyle name="SAPBEXHLevel1 2 3 2 2 4 2" xfId="44471"/>
    <cellStyle name="SAPBEXHLevel1 2 3 2 2 4 3" xfId="44472"/>
    <cellStyle name="SAPBEXHLevel1 2 3 2 2 4 4" xfId="44473"/>
    <cellStyle name="SAPBEXHLevel1 2 3 2 2 5" xfId="44474"/>
    <cellStyle name="SAPBEXHLevel1 2 3 2 2 6" xfId="44475"/>
    <cellStyle name="SAPBEXHLevel1 2 3 2 2 7" xfId="44476"/>
    <cellStyle name="SAPBEXHLevel1 2 3 2 2 8" xfId="44477"/>
    <cellStyle name="SAPBEXHLevel1 2 3 2 3" xfId="44478"/>
    <cellStyle name="SAPBEXHLevel1 2 3 2 3 2" xfId="44479"/>
    <cellStyle name="SAPBEXHLevel1 2 3 2 3 2 2" xfId="44480"/>
    <cellStyle name="SAPBEXHLevel1 2 3 2 3 2 3" xfId="44481"/>
    <cellStyle name="SAPBEXHLevel1 2 3 2 3 2 4" xfId="44482"/>
    <cellStyle name="SAPBEXHLevel1 2 3 2 3 3" xfId="44483"/>
    <cellStyle name="SAPBEXHLevel1 2 3 2 3 3 2" xfId="44484"/>
    <cellStyle name="SAPBEXHLevel1 2 3 2 3 3 3" xfId="44485"/>
    <cellStyle name="SAPBEXHLevel1 2 3 2 3 3 4" xfId="44486"/>
    <cellStyle name="SAPBEXHLevel1 2 3 2 3 4" xfId="44487"/>
    <cellStyle name="SAPBEXHLevel1 2 3 2 3 4 2" xfId="44488"/>
    <cellStyle name="SAPBEXHLevel1 2 3 2 3 4 3" xfId="44489"/>
    <cellStyle name="SAPBEXHLevel1 2 3 2 3 4 4" xfId="44490"/>
    <cellStyle name="SAPBEXHLevel1 2 3 2 3 5" xfId="44491"/>
    <cellStyle name="SAPBEXHLevel1 2 3 2 3 6" xfId="44492"/>
    <cellStyle name="SAPBEXHLevel1 2 3 2 3 7" xfId="44493"/>
    <cellStyle name="SAPBEXHLevel1 2 3 2 3 8" xfId="44494"/>
    <cellStyle name="SAPBEXHLevel1 2 3 2 4" xfId="44495"/>
    <cellStyle name="SAPBEXHLevel1 2 3 2 4 2" xfId="44496"/>
    <cellStyle name="SAPBEXHLevel1 2 3 2 4 2 2" xfId="44497"/>
    <cellStyle name="SAPBEXHLevel1 2 3 2 4 2 3" xfId="44498"/>
    <cellStyle name="SAPBEXHLevel1 2 3 2 4 2 4" xfId="44499"/>
    <cellStyle name="SAPBEXHLevel1 2 3 2 4 3" xfId="44500"/>
    <cellStyle name="SAPBEXHLevel1 2 3 2 4 3 2" xfId="44501"/>
    <cellStyle name="SAPBEXHLevel1 2 3 2 4 3 3" xfId="44502"/>
    <cellStyle name="SAPBEXHLevel1 2 3 2 4 3 4" xfId="44503"/>
    <cellStyle name="SAPBEXHLevel1 2 3 2 4 4" xfId="44504"/>
    <cellStyle name="SAPBEXHLevel1 2 3 2 4 4 2" xfId="44505"/>
    <cellStyle name="SAPBEXHLevel1 2 3 2 4 4 3" xfId="44506"/>
    <cellStyle name="SAPBEXHLevel1 2 3 2 4 4 4" xfId="44507"/>
    <cellStyle name="SAPBEXHLevel1 2 3 2 4 5" xfId="44508"/>
    <cellStyle name="SAPBEXHLevel1 2 3 2 4 6" xfId="44509"/>
    <cellStyle name="SAPBEXHLevel1 2 3 2 4 7" xfId="44510"/>
    <cellStyle name="SAPBEXHLevel1 2 3 2 4 8" xfId="44511"/>
    <cellStyle name="SAPBEXHLevel1 2 3 2 5" xfId="44512"/>
    <cellStyle name="SAPBEXHLevel1 2 3 2 5 2" xfId="44513"/>
    <cellStyle name="SAPBEXHLevel1 2 3 2 5 2 2" xfId="44514"/>
    <cellStyle name="SAPBEXHLevel1 2 3 2 5 2 3" xfId="44515"/>
    <cellStyle name="SAPBEXHLevel1 2 3 2 5 2 4" xfId="44516"/>
    <cellStyle name="SAPBEXHLevel1 2 3 2 5 3" xfId="44517"/>
    <cellStyle name="SAPBEXHLevel1 2 3 2 5 3 2" xfId="44518"/>
    <cellStyle name="SAPBEXHLevel1 2 3 2 5 3 3" xfId="44519"/>
    <cellStyle name="SAPBEXHLevel1 2 3 2 5 3 4" xfId="44520"/>
    <cellStyle name="SAPBEXHLevel1 2 3 2 5 4" xfId="44521"/>
    <cellStyle name="SAPBEXHLevel1 2 3 2 5 4 2" xfId="44522"/>
    <cellStyle name="SAPBEXHLevel1 2 3 2 5 4 3" xfId="44523"/>
    <cellStyle name="SAPBEXHLevel1 2 3 2 5 4 4" xfId="44524"/>
    <cellStyle name="SAPBEXHLevel1 2 3 2 5 5" xfId="44525"/>
    <cellStyle name="SAPBEXHLevel1 2 3 2 5 6" xfId="44526"/>
    <cellStyle name="SAPBEXHLevel1 2 3 2 5 7" xfId="44527"/>
    <cellStyle name="SAPBEXHLevel1 2 3 2 5 8" xfId="44528"/>
    <cellStyle name="SAPBEXHLevel1 2 3 2 6" xfId="44529"/>
    <cellStyle name="SAPBEXHLevel1 2 3 2 6 2" xfId="44530"/>
    <cellStyle name="SAPBEXHLevel1 2 3 2 6 3" xfId="44531"/>
    <cellStyle name="SAPBEXHLevel1 2 3 2 6 4" xfId="44532"/>
    <cellStyle name="SAPBEXHLevel1 2 3 2 7" xfId="44533"/>
    <cellStyle name="SAPBEXHLevel1 2 3 2 7 2" xfId="44534"/>
    <cellStyle name="SAPBEXHLevel1 2 3 2 7 3" xfId="44535"/>
    <cellStyle name="SAPBEXHLevel1 2 3 2 7 4" xfId="44536"/>
    <cellStyle name="SAPBEXHLevel1 2 3 2 8" xfId="44537"/>
    <cellStyle name="SAPBEXHLevel1 2 3 2 9" xfId="44538"/>
    <cellStyle name="SAPBEXHLevel1 2 3 3" xfId="44539"/>
    <cellStyle name="SAPBEXHLevel1 2 3 3 2" xfId="44540"/>
    <cellStyle name="SAPBEXHLevel1 2 3 3 2 2" xfId="44541"/>
    <cellStyle name="SAPBEXHLevel1 2 3 3 2 3" xfId="44542"/>
    <cellStyle name="SAPBEXHLevel1 2 3 3 2 4" xfId="44543"/>
    <cellStyle name="SAPBEXHLevel1 2 3 3 3" xfId="44544"/>
    <cellStyle name="SAPBEXHLevel1 2 3 3 3 2" xfId="44545"/>
    <cellStyle name="SAPBEXHLevel1 2 3 3 3 3" xfId="44546"/>
    <cellStyle name="SAPBEXHLevel1 2 3 3 3 4" xfId="44547"/>
    <cellStyle name="SAPBEXHLevel1 2 3 3 4" xfId="44548"/>
    <cellStyle name="SAPBEXHLevel1 2 3 3 4 2" xfId="44549"/>
    <cellStyle name="SAPBEXHLevel1 2 3 3 4 3" xfId="44550"/>
    <cellStyle name="SAPBEXHLevel1 2 3 3 4 4" xfId="44551"/>
    <cellStyle name="SAPBEXHLevel1 2 3 3 5" xfId="44552"/>
    <cellStyle name="SAPBEXHLevel1 2 3 3 6" xfId="44553"/>
    <cellStyle name="SAPBEXHLevel1 2 3 3 7" xfId="44554"/>
    <cellStyle name="SAPBEXHLevel1 2 3 3 8" xfId="44555"/>
    <cellStyle name="SAPBEXHLevel1 2 3 4" xfId="44556"/>
    <cellStyle name="SAPBEXHLevel1 2 3 4 2" xfId="44557"/>
    <cellStyle name="SAPBEXHLevel1 2 3 4 2 2" xfId="44558"/>
    <cellStyle name="SAPBEXHLevel1 2 3 4 2 3" xfId="44559"/>
    <cellStyle name="SAPBEXHLevel1 2 3 4 2 4" xfId="44560"/>
    <cellStyle name="SAPBEXHLevel1 2 3 4 3" xfId="44561"/>
    <cellStyle name="SAPBEXHLevel1 2 3 4 3 2" xfId="44562"/>
    <cellStyle name="SAPBEXHLevel1 2 3 4 3 3" xfId="44563"/>
    <cellStyle name="SAPBEXHLevel1 2 3 4 3 4" xfId="44564"/>
    <cellStyle name="SAPBEXHLevel1 2 3 4 4" xfId="44565"/>
    <cellStyle name="SAPBEXHLevel1 2 3 4 4 2" xfId="44566"/>
    <cellStyle name="SAPBEXHLevel1 2 3 4 4 3" xfId="44567"/>
    <cellStyle name="SAPBEXHLevel1 2 3 4 4 4" xfId="44568"/>
    <cellStyle name="SAPBEXHLevel1 2 3 4 5" xfId="44569"/>
    <cellStyle name="SAPBEXHLevel1 2 3 4 6" xfId="44570"/>
    <cellStyle name="SAPBEXHLevel1 2 3 4 7" xfId="44571"/>
    <cellStyle name="SAPBEXHLevel1 2 3 4 8" xfId="44572"/>
    <cellStyle name="SAPBEXHLevel1 2 3 5" xfId="44573"/>
    <cellStyle name="SAPBEXHLevel1 2 3 5 2" xfId="44574"/>
    <cellStyle name="SAPBEXHLevel1 2 3 5 2 2" xfId="44575"/>
    <cellStyle name="SAPBEXHLevel1 2 3 5 2 3" xfId="44576"/>
    <cellStyle name="SAPBEXHLevel1 2 3 5 2 4" xfId="44577"/>
    <cellStyle name="SAPBEXHLevel1 2 3 5 3" xfId="44578"/>
    <cellStyle name="SAPBEXHLevel1 2 3 5 3 2" xfId="44579"/>
    <cellStyle name="SAPBEXHLevel1 2 3 5 3 3" xfId="44580"/>
    <cellStyle name="SAPBEXHLevel1 2 3 5 3 4" xfId="44581"/>
    <cellStyle name="SAPBEXHLevel1 2 3 5 4" xfId="44582"/>
    <cellStyle name="SAPBEXHLevel1 2 3 5 4 2" xfId="44583"/>
    <cellStyle name="SAPBEXHLevel1 2 3 5 4 3" xfId="44584"/>
    <cellStyle name="SAPBEXHLevel1 2 3 5 4 4" xfId="44585"/>
    <cellStyle name="SAPBEXHLevel1 2 3 5 5" xfId="44586"/>
    <cellStyle name="SAPBEXHLevel1 2 3 5 6" xfId="44587"/>
    <cellStyle name="SAPBEXHLevel1 2 3 5 7" xfId="44588"/>
    <cellStyle name="SAPBEXHLevel1 2 3 5 8" xfId="44589"/>
    <cellStyle name="SAPBEXHLevel1 2 3 6" xfId="44590"/>
    <cellStyle name="SAPBEXHLevel1 2 3 6 2" xfId="44591"/>
    <cellStyle name="SAPBEXHLevel1 2 3 6 2 2" xfId="44592"/>
    <cellStyle name="SAPBEXHLevel1 2 3 6 2 3" xfId="44593"/>
    <cellStyle name="SAPBEXHLevel1 2 3 6 2 4" xfId="44594"/>
    <cellStyle name="SAPBEXHLevel1 2 3 6 3" xfId="44595"/>
    <cellStyle name="SAPBEXHLevel1 2 3 6 3 2" xfId="44596"/>
    <cellStyle name="SAPBEXHLevel1 2 3 6 3 3" xfId="44597"/>
    <cellStyle name="SAPBEXHLevel1 2 3 6 3 4" xfId="44598"/>
    <cellStyle name="SAPBEXHLevel1 2 3 6 4" xfId="44599"/>
    <cellStyle name="SAPBEXHLevel1 2 3 6 4 2" xfId="44600"/>
    <cellStyle name="SAPBEXHLevel1 2 3 6 4 3" xfId="44601"/>
    <cellStyle name="SAPBEXHLevel1 2 3 6 4 4" xfId="44602"/>
    <cellStyle name="SAPBEXHLevel1 2 3 6 5" xfId="44603"/>
    <cellStyle name="SAPBEXHLevel1 2 3 6 6" xfId="44604"/>
    <cellStyle name="SAPBEXHLevel1 2 3 6 7" xfId="44605"/>
    <cellStyle name="SAPBEXHLevel1 2 3 6 8" xfId="44606"/>
    <cellStyle name="SAPBEXHLevel1 2 3 7" xfId="44607"/>
    <cellStyle name="SAPBEXHLevel1 2 3 7 2" xfId="44608"/>
    <cellStyle name="SAPBEXHLevel1 2 3 7 2 2" xfId="44609"/>
    <cellStyle name="SAPBEXHLevel1 2 3 7 2 3" xfId="44610"/>
    <cellStyle name="SAPBEXHLevel1 2 3 7 2 4" xfId="44611"/>
    <cellStyle name="SAPBEXHLevel1 2 3 7 3" xfId="44612"/>
    <cellStyle name="SAPBEXHLevel1 2 3 7 3 2" xfId="44613"/>
    <cellStyle name="SAPBEXHLevel1 2 3 7 3 3" xfId="44614"/>
    <cellStyle name="SAPBEXHLevel1 2 3 7 3 4" xfId="44615"/>
    <cellStyle name="SAPBEXHLevel1 2 3 7 4" xfId="44616"/>
    <cellStyle name="SAPBEXHLevel1 2 3 7 4 2" xfId="44617"/>
    <cellStyle name="SAPBEXHLevel1 2 3 7 4 3" xfId="44618"/>
    <cellStyle name="SAPBEXHLevel1 2 3 7 4 4" xfId="44619"/>
    <cellStyle name="SAPBEXHLevel1 2 3 7 5" xfId="44620"/>
    <cellStyle name="SAPBEXHLevel1 2 3 7 6" xfId="44621"/>
    <cellStyle name="SAPBEXHLevel1 2 3 7 7" xfId="44622"/>
    <cellStyle name="SAPBEXHLevel1 2 3 7 8" xfId="44623"/>
    <cellStyle name="SAPBEXHLevel1 2 3 8" xfId="44624"/>
    <cellStyle name="SAPBEXHLevel1 2 3 8 2" xfId="44625"/>
    <cellStyle name="SAPBEXHLevel1 2 3 8 3" xfId="44626"/>
    <cellStyle name="SAPBEXHLevel1 2 3 8 4" xfId="44627"/>
    <cellStyle name="SAPBEXHLevel1 2 3 9" xfId="44628"/>
    <cellStyle name="SAPBEXHLevel1 2 3 9 2" xfId="44629"/>
    <cellStyle name="SAPBEXHLevel1 2 3 9 3" xfId="44630"/>
    <cellStyle name="SAPBEXHLevel1 2 3 9 4" xfId="44631"/>
    <cellStyle name="SAPBEXHLevel1 2 4" xfId="44632"/>
    <cellStyle name="SAPBEXHLevel1 2 4 2" xfId="44633"/>
    <cellStyle name="SAPBEXHLevel1 2 4 2 2" xfId="44634"/>
    <cellStyle name="SAPBEXHLevel1 2 4 2 2 2" xfId="44635"/>
    <cellStyle name="SAPBEXHLevel1 2 4 2 2 3" xfId="44636"/>
    <cellStyle name="SAPBEXHLevel1 2 4 2 2 4" xfId="44637"/>
    <cellStyle name="SAPBEXHLevel1 2 4 2 3" xfId="44638"/>
    <cellStyle name="SAPBEXHLevel1 2 4 2 3 2" xfId="44639"/>
    <cellStyle name="SAPBEXHLevel1 2 4 2 3 3" xfId="44640"/>
    <cellStyle name="SAPBEXHLevel1 2 4 2 3 4" xfId="44641"/>
    <cellStyle name="SAPBEXHLevel1 2 4 2 4" xfId="44642"/>
    <cellStyle name="SAPBEXHLevel1 2 4 2 4 2" xfId="44643"/>
    <cellStyle name="SAPBEXHLevel1 2 4 2 4 3" xfId="44644"/>
    <cellStyle name="SAPBEXHLevel1 2 4 2 4 4" xfId="44645"/>
    <cellStyle name="SAPBEXHLevel1 2 4 2 5" xfId="44646"/>
    <cellStyle name="SAPBEXHLevel1 2 4 2 6" xfId="44647"/>
    <cellStyle name="SAPBEXHLevel1 2 4 2 7" xfId="44648"/>
    <cellStyle name="SAPBEXHLevel1 2 4 2 8" xfId="44649"/>
    <cellStyle name="SAPBEXHLevel1 2 4 3" xfId="44650"/>
    <cellStyle name="SAPBEXHLevel1 2 4 3 2" xfId="44651"/>
    <cellStyle name="SAPBEXHLevel1 2 4 3 2 2" xfId="44652"/>
    <cellStyle name="SAPBEXHLevel1 2 4 3 2 3" xfId="44653"/>
    <cellStyle name="SAPBEXHLevel1 2 4 3 2 4" xfId="44654"/>
    <cellStyle name="SAPBEXHLevel1 2 4 3 3" xfId="44655"/>
    <cellStyle name="SAPBEXHLevel1 2 4 3 3 2" xfId="44656"/>
    <cellStyle name="SAPBEXHLevel1 2 4 3 3 3" xfId="44657"/>
    <cellStyle name="SAPBEXHLevel1 2 4 3 3 4" xfId="44658"/>
    <cellStyle name="SAPBEXHLevel1 2 4 3 4" xfId="44659"/>
    <cellStyle name="SAPBEXHLevel1 2 4 3 4 2" xfId="44660"/>
    <cellStyle name="SAPBEXHLevel1 2 4 3 4 3" xfId="44661"/>
    <cellStyle name="SAPBEXHLevel1 2 4 3 4 4" xfId="44662"/>
    <cellStyle name="SAPBEXHLevel1 2 4 3 5" xfId="44663"/>
    <cellStyle name="SAPBEXHLevel1 2 4 3 6" xfId="44664"/>
    <cellStyle name="SAPBEXHLevel1 2 4 3 7" xfId="44665"/>
    <cellStyle name="SAPBEXHLevel1 2 4 3 8" xfId="44666"/>
    <cellStyle name="SAPBEXHLevel1 2 4 4" xfId="44667"/>
    <cellStyle name="SAPBEXHLevel1 2 4 4 2" xfId="44668"/>
    <cellStyle name="SAPBEXHLevel1 2 4 4 2 2" xfId="44669"/>
    <cellStyle name="SAPBEXHLevel1 2 4 4 2 3" xfId="44670"/>
    <cellStyle name="SAPBEXHLevel1 2 4 4 2 4" xfId="44671"/>
    <cellStyle name="SAPBEXHLevel1 2 4 4 3" xfId="44672"/>
    <cellStyle name="SAPBEXHLevel1 2 4 4 3 2" xfId="44673"/>
    <cellStyle name="SAPBEXHLevel1 2 4 4 3 3" xfId="44674"/>
    <cellStyle name="SAPBEXHLevel1 2 4 4 3 4" xfId="44675"/>
    <cellStyle name="SAPBEXHLevel1 2 4 4 4" xfId="44676"/>
    <cellStyle name="SAPBEXHLevel1 2 4 4 4 2" xfId="44677"/>
    <cellStyle name="SAPBEXHLevel1 2 4 4 4 3" xfId="44678"/>
    <cellStyle name="SAPBEXHLevel1 2 4 4 4 4" xfId="44679"/>
    <cellStyle name="SAPBEXHLevel1 2 4 4 5" xfId="44680"/>
    <cellStyle name="SAPBEXHLevel1 2 4 4 6" xfId="44681"/>
    <cellStyle name="SAPBEXHLevel1 2 4 4 7" xfId="44682"/>
    <cellStyle name="SAPBEXHLevel1 2 4 4 8" xfId="44683"/>
    <cellStyle name="SAPBEXHLevel1 2 4 5" xfId="44684"/>
    <cellStyle name="SAPBEXHLevel1 2 4 5 2" xfId="44685"/>
    <cellStyle name="SAPBEXHLevel1 2 4 5 2 2" xfId="44686"/>
    <cellStyle name="SAPBEXHLevel1 2 4 5 2 3" xfId="44687"/>
    <cellStyle name="SAPBEXHLevel1 2 4 5 2 4" xfId="44688"/>
    <cellStyle name="SAPBEXHLevel1 2 4 5 3" xfId="44689"/>
    <cellStyle name="SAPBEXHLevel1 2 4 5 3 2" xfId="44690"/>
    <cellStyle name="SAPBEXHLevel1 2 4 5 3 3" xfId="44691"/>
    <cellStyle name="SAPBEXHLevel1 2 4 5 3 4" xfId="44692"/>
    <cellStyle name="SAPBEXHLevel1 2 4 5 4" xfId="44693"/>
    <cellStyle name="SAPBEXHLevel1 2 4 5 4 2" xfId="44694"/>
    <cellStyle name="SAPBEXHLevel1 2 4 5 4 3" xfId="44695"/>
    <cellStyle name="SAPBEXHLevel1 2 4 5 4 4" xfId="44696"/>
    <cellStyle name="SAPBEXHLevel1 2 4 5 5" xfId="44697"/>
    <cellStyle name="SAPBEXHLevel1 2 4 5 6" xfId="44698"/>
    <cellStyle name="SAPBEXHLevel1 2 4 5 7" xfId="44699"/>
    <cellStyle name="SAPBEXHLevel1 2 4 5 8" xfId="44700"/>
    <cellStyle name="SAPBEXHLevel1 2 4 6" xfId="44701"/>
    <cellStyle name="SAPBEXHLevel1 2 4 6 2" xfId="44702"/>
    <cellStyle name="SAPBEXHLevel1 2 4 6 3" xfId="44703"/>
    <cellStyle name="SAPBEXHLevel1 2 4 6 4" xfId="44704"/>
    <cellStyle name="SAPBEXHLevel1 2 4 7" xfId="44705"/>
    <cellStyle name="SAPBEXHLevel1 2 4 7 2" xfId="44706"/>
    <cellStyle name="SAPBEXHLevel1 2 4 7 3" xfId="44707"/>
    <cellStyle name="SAPBEXHLevel1 2 4 7 4" xfId="44708"/>
    <cellStyle name="SAPBEXHLevel1 2 4 8" xfId="44709"/>
    <cellStyle name="SAPBEXHLevel1 2 4 9" xfId="44710"/>
    <cellStyle name="SAPBEXHLevel1 2 5" xfId="44711"/>
    <cellStyle name="SAPBEXHLevel1 2 5 2" xfId="44712"/>
    <cellStyle name="SAPBEXHLevel1 2 5 2 2" xfId="44713"/>
    <cellStyle name="SAPBEXHLevel1 2 5 2 3" xfId="44714"/>
    <cellStyle name="SAPBEXHLevel1 2 5 2 4" xfId="44715"/>
    <cellStyle name="SAPBEXHLevel1 2 5 3" xfId="44716"/>
    <cellStyle name="SAPBEXHLevel1 2 5 3 2" xfId="44717"/>
    <cellStyle name="SAPBEXHLevel1 2 5 3 3" xfId="44718"/>
    <cellStyle name="SAPBEXHLevel1 2 5 3 4" xfId="44719"/>
    <cellStyle name="SAPBEXHLevel1 2 5 4" xfId="44720"/>
    <cellStyle name="SAPBEXHLevel1 2 5 4 2" xfId="44721"/>
    <cellStyle name="SAPBEXHLevel1 2 5 4 3" xfId="44722"/>
    <cellStyle name="SAPBEXHLevel1 2 5 4 4" xfId="44723"/>
    <cellStyle name="SAPBEXHLevel1 2 5 5" xfId="44724"/>
    <cellStyle name="SAPBEXHLevel1 2 5 6" xfId="44725"/>
    <cellStyle name="SAPBEXHLevel1 2 5 7" xfId="44726"/>
    <cellStyle name="SAPBEXHLevel1 2 5 8" xfId="44727"/>
    <cellStyle name="SAPBEXHLevel1 2 6" xfId="44728"/>
    <cellStyle name="SAPBEXHLevel1 2 6 2" xfId="44729"/>
    <cellStyle name="SAPBEXHLevel1 2 6 2 2" xfId="44730"/>
    <cellStyle name="SAPBEXHLevel1 2 6 2 3" xfId="44731"/>
    <cellStyle name="SAPBEXHLevel1 2 6 2 4" xfId="44732"/>
    <cellStyle name="SAPBEXHLevel1 2 6 3" xfId="44733"/>
    <cellStyle name="SAPBEXHLevel1 2 6 3 2" xfId="44734"/>
    <cellStyle name="SAPBEXHLevel1 2 6 3 3" xfId="44735"/>
    <cellStyle name="SAPBEXHLevel1 2 6 3 4" xfId="44736"/>
    <cellStyle name="SAPBEXHLevel1 2 6 4" xfId="44737"/>
    <cellStyle name="SAPBEXHLevel1 2 6 4 2" xfId="44738"/>
    <cellStyle name="SAPBEXHLevel1 2 6 4 3" xfId="44739"/>
    <cellStyle name="SAPBEXHLevel1 2 6 4 4" xfId="44740"/>
    <cellStyle name="SAPBEXHLevel1 2 6 5" xfId="44741"/>
    <cellStyle name="SAPBEXHLevel1 2 6 6" xfId="44742"/>
    <cellStyle name="SAPBEXHLevel1 2 6 7" xfId="44743"/>
    <cellStyle name="SAPBEXHLevel1 2 6 8" xfId="44744"/>
    <cellStyle name="SAPBEXHLevel1 2 7" xfId="44745"/>
    <cellStyle name="SAPBEXHLevel1 2 7 2" xfId="44746"/>
    <cellStyle name="SAPBEXHLevel1 2 7 2 2" xfId="44747"/>
    <cellStyle name="SAPBEXHLevel1 2 7 2 3" xfId="44748"/>
    <cellStyle name="SAPBEXHLevel1 2 7 2 4" xfId="44749"/>
    <cellStyle name="SAPBEXHLevel1 2 7 3" xfId="44750"/>
    <cellStyle name="SAPBEXHLevel1 2 7 3 2" xfId="44751"/>
    <cellStyle name="SAPBEXHLevel1 2 7 3 3" xfId="44752"/>
    <cellStyle name="SAPBEXHLevel1 2 7 3 4" xfId="44753"/>
    <cellStyle name="SAPBEXHLevel1 2 7 4" xfId="44754"/>
    <cellStyle name="SAPBEXHLevel1 2 7 4 2" xfId="44755"/>
    <cellStyle name="SAPBEXHLevel1 2 7 4 3" xfId="44756"/>
    <cellStyle name="SAPBEXHLevel1 2 7 4 4" xfId="44757"/>
    <cellStyle name="SAPBEXHLevel1 2 7 5" xfId="44758"/>
    <cellStyle name="SAPBEXHLevel1 2 7 6" xfId="44759"/>
    <cellStyle name="SAPBEXHLevel1 2 7 7" xfId="44760"/>
    <cellStyle name="SAPBEXHLevel1 2 7 8" xfId="44761"/>
    <cellStyle name="SAPBEXHLevel1 2 8" xfId="44762"/>
    <cellStyle name="SAPBEXHLevel1 2 8 2" xfId="44763"/>
    <cellStyle name="SAPBEXHLevel1 2 8 2 2" xfId="44764"/>
    <cellStyle name="SAPBEXHLevel1 2 8 2 3" xfId="44765"/>
    <cellStyle name="SAPBEXHLevel1 2 8 2 4" xfId="44766"/>
    <cellStyle name="SAPBEXHLevel1 2 8 3" xfId="44767"/>
    <cellStyle name="SAPBEXHLevel1 2 8 3 2" xfId="44768"/>
    <cellStyle name="SAPBEXHLevel1 2 8 3 3" xfId="44769"/>
    <cellStyle name="SAPBEXHLevel1 2 8 3 4" xfId="44770"/>
    <cellStyle name="SAPBEXHLevel1 2 8 4" xfId="44771"/>
    <cellStyle name="SAPBEXHLevel1 2 8 4 2" xfId="44772"/>
    <cellStyle name="SAPBEXHLevel1 2 8 4 3" xfId="44773"/>
    <cellStyle name="SAPBEXHLevel1 2 8 4 4" xfId="44774"/>
    <cellStyle name="SAPBEXHLevel1 2 8 5" xfId="44775"/>
    <cellStyle name="SAPBEXHLevel1 2 8 6" xfId="44776"/>
    <cellStyle name="SAPBEXHLevel1 2 8 7" xfId="44777"/>
    <cellStyle name="SAPBEXHLevel1 2 8 8" xfId="44778"/>
    <cellStyle name="SAPBEXHLevel1 2 9" xfId="44779"/>
    <cellStyle name="SAPBEXHLevel1 2 9 2" xfId="44780"/>
    <cellStyle name="SAPBEXHLevel1 2 9 2 2" xfId="44781"/>
    <cellStyle name="SAPBEXHLevel1 2 9 2 3" xfId="44782"/>
    <cellStyle name="SAPBEXHLevel1 2 9 2 4" xfId="44783"/>
    <cellStyle name="SAPBEXHLevel1 2 9 3" xfId="44784"/>
    <cellStyle name="SAPBEXHLevel1 2 9 3 2" xfId="44785"/>
    <cellStyle name="SAPBEXHLevel1 2 9 3 3" xfId="44786"/>
    <cellStyle name="SAPBEXHLevel1 2 9 3 4" xfId="44787"/>
    <cellStyle name="SAPBEXHLevel1 2 9 4" xfId="44788"/>
    <cellStyle name="SAPBEXHLevel1 2 9 4 2" xfId="44789"/>
    <cellStyle name="SAPBEXHLevel1 2 9 4 3" xfId="44790"/>
    <cellStyle name="SAPBEXHLevel1 2 9 4 4" xfId="44791"/>
    <cellStyle name="SAPBEXHLevel1 2 9 5" xfId="44792"/>
    <cellStyle name="SAPBEXHLevel1 2 9 6" xfId="44793"/>
    <cellStyle name="SAPBEXHLevel1 2 9 7" xfId="44794"/>
    <cellStyle name="SAPBEXHLevel1 2 9 8" xfId="44795"/>
    <cellStyle name="SAPBEXHLevel1 3" xfId="44796"/>
    <cellStyle name="SAPBEXHLevel1 3 10" xfId="44797"/>
    <cellStyle name="SAPBEXHLevel1 3 11" xfId="44798"/>
    <cellStyle name="SAPBEXHLevel1 3 2" xfId="44799"/>
    <cellStyle name="SAPBEXHLevel1 3 2 2" xfId="44800"/>
    <cellStyle name="SAPBEXHLevel1 3 2 2 2" xfId="44801"/>
    <cellStyle name="SAPBEXHLevel1 3 2 2 2 2" xfId="44802"/>
    <cellStyle name="SAPBEXHLevel1 3 2 2 2 3" xfId="44803"/>
    <cellStyle name="SAPBEXHLevel1 3 2 2 2 4" xfId="44804"/>
    <cellStyle name="SAPBEXHLevel1 3 2 2 3" xfId="44805"/>
    <cellStyle name="SAPBEXHLevel1 3 2 2 3 2" xfId="44806"/>
    <cellStyle name="SAPBEXHLevel1 3 2 2 3 3" xfId="44807"/>
    <cellStyle name="SAPBEXHLevel1 3 2 2 3 4" xfId="44808"/>
    <cellStyle name="SAPBEXHLevel1 3 2 2 4" xfId="44809"/>
    <cellStyle name="SAPBEXHLevel1 3 2 2 4 2" xfId="44810"/>
    <cellStyle name="SAPBEXHLevel1 3 2 2 4 3" xfId="44811"/>
    <cellStyle name="SAPBEXHLevel1 3 2 2 4 4" xfId="44812"/>
    <cellStyle name="SAPBEXHLevel1 3 2 2 5" xfId="44813"/>
    <cellStyle name="SAPBEXHLevel1 3 2 2 6" xfId="44814"/>
    <cellStyle name="SAPBEXHLevel1 3 2 2 7" xfId="44815"/>
    <cellStyle name="SAPBEXHLevel1 3 2 2 8" xfId="44816"/>
    <cellStyle name="SAPBEXHLevel1 3 2 3" xfId="44817"/>
    <cellStyle name="SAPBEXHLevel1 3 2 3 2" xfId="44818"/>
    <cellStyle name="SAPBEXHLevel1 3 2 3 2 2" xfId="44819"/>
    <cellStyle name="SAPBEXHLevel1 3 2 3 2 3" xfId="44820"/>
    <cellStyle name="SAPBEXHLevel1 3 2 3 2 4" xfId="44821"/>
    <cellStyle name="SAPBEXHLevel1 3 2 3 3" xfId="44822"/>
    <cellStyle name="SAPBEXHLevel1 3 2 3 3 2" xfId="44823"/>
    <cellStyle name="SAPBEXHLevel1 3 2 3 3 3" xfId="44824"/>
    <cellStyle name="SAPBEXHLevel1 3 2 3 3 4" xfId="44825"/>
    <cellStyle name="SAPBEXHLevel1 3 2 3 4" xfId="44826"/>
    <cellStyle name="SAPBEXHLevel1 3 2 3 4 2" xfId="44827"/>
    <cellStyle name="SAPBEXHLevel1 3 2 3 4 3" xfId="44828"/>
    <cellStyle name="SAPBEXHLevel1 3 2 3 4 4" xfId="44829"/>
    <cellStyle name="SAPBEXHLevel1 3 2 3 5" xfId="44830"/>
    <cellStyle name="SAPBEXHLevel1 3 2 3 6" xfId="44831"/>
    <cellStyle name="SAPBEXHLevel1 3 2 3 7" xfId="44832"/>
    <cellStyle name="SAPBEXHLevel1 3 2 3 8" xfId="44833"/>
    <cellStyle name="SAPBEXHLevel1 3 2 4" xfId="44834"/>
    <cellStyle name="SAPBEXHLevel1 3 2 4 2" xfId="44835"/>
    <cellStyle name="SAPBEXHLevel1 3 2 4 2 2" xfId="44836"/>
    <cellStyle name="SAPBEXHLevel1 3 2 4 2 3" xfId="44837"/>
    <cellStyle name="SAPBEXHLevel1 3 2 4 2 4" xfId="44838"/>
    <cellStyle name="SAPBEXHLevel1 3 2 4 3" xfId="44839"/>
    <cellStyle name="SAPBEXHLevel1 3 2 4 3 2" xfId="44840"/>
    <cellStyle name="SAPBEXHLevel1 3 2 4 3 3" xfId="44841"/>
    <cellStyle name="SAPBEXHLevel1 3 2 4 3 4" xfId="44842"/>
    <cellStyle name="SAPBEXHLevel1 3 2 4 4" xfId="44843"/>
    <cellStyle name="SAPBEXHLevel1 3 2 4 4 2" xfId="44844"/>
    <cellStyle name="SAPBEXHLevel1 3 2 4 4 3" xfId="44845"/>
    <cellStyle name="SAPBEXHLevel1 3 2 4 4 4" xfId="44846"/>
    <cellStyle name="SAPBEXHLevel1 3 2 4 5" xfId="44847"/>
    <cellStyle name="SAPBEXHLevel1 3 2 4 6" xfId="44848"/>
    <cellStyle name="SAPBEXHLevel1 3 2 4 7" xfId="44849"/>
    <cellStyle name="SAPBEXHLevel1 3 2 4 8" xfId="44850"/>
    <cellStyle name="SAPBEXHLevel1 3 2 5" xfId="44851"/>
    <cellStyle name="SAPBEXHLevel1 3 2 5 2" xfId="44852"/>
    <cellStyle name="SAPBEXHLevel1 3 2 5 2 2" xfId="44853"/>
    <cellStyle name="SAPBEXHLevel1 3 2 5 2 3" xfId="44854"/>
    <cellStyle name="SAPBEXHLevel1 3 2 5 2 4" xfId="44855"/>
    <cellStyle name="SAPBEXHLevel1 3 2 5 3" xfId="44856"/>
    <cellStyle name="SAPBEXHLevel1 3 2 5 3 2" xfId="44857"/>
    <cellStyle name="SAPBEXHLevel1 3 2 5 3 3" xfId="44858"/>
    <cellStyle name="SAPBEXHLevel1 3 2 5 3 4" xfId="44859"/>
    <cellStyle name="SAPBEXHLevel1 3 2 5 4" xfId="44860"/>
    <cellStyle name="SAPBEXHLevel1 3 2 5 4 2" xfId="44861"/>
    <cellStyle name="SAPBEXHLevel1 3 2 5 4 3" xfId="44862"/>
    <cellStyle name="SAPBEXHLevel1 3 2 5 4 4" xfId="44863"/>
    <cellStyle name="SAPBEXHLevel1 3 2 5 5" xfId="44864"/>
    <cellStyle name="SAPBEXHLevel1 3 2 5 6" xfId="44865"/>
    <cellStyle name="SAPBEXHLevel1 3 2 5 7" xfId="44866"/>
    <cellStyle name="SAPBEXHLevel1 3 2 5 8" xfId="44867"/>
    <cellStyle name="SAPBEXHLevel1 3 2 6" xfId="44868"/>
    <cellStyle name="SAPBEXHLevel1 3 2 6 2" xfId="44869"/>
    <cellStyle name="SAPBEXHLevel1 3 2 6 3" xfId="44870"/>
    <cellStyle name="SAPBEXHLevel1 3 2 6 4" xfId="44871"/>
    <cellStyle name="SAPBEXHLevel1 3 2 7" xfId="44872"/>
    <cellStyle name="SAPBEXHLevel1 3 2 7 2" xfId="44873"/>
    <cellStyle name="SAPBEXHLevel1 3 2 7 3" xfId="44874"/>
    <cellStyle name="SAPBEXHLevel1 3 2 7 4" xfId="44875"/>
    <cellStyle name="SAPBEXHLevel1 3 2 8" xfId="44876"/>
    <cellStyle name="SAPBEXHLevel1 3 2 9" xfId="44877"/>
    <cellStyle name="SAPBEXHLevel1 3 3" xfId="44878"/>
    <cellStyle name="SAPBEXHLevel1 3 3 2" xfId="44879"/>
    <cellStyle name="SAPBEXHLevel1 3 3 2 2" xfId="44880"/>
    <cellStyle name="SAPBEXHLevel1 3 3 2 3" xfId="44881"/>
    <cellStyle name="SAPBEXHLevel1 3 3 2 4" xfId="44882"/>
    <cellStyle name="SAPBEXHLevel1 3 3 3" xfId="44883"/>
    <cellStyle name="SAPBEXHLevel1 3 3 3 2" xfId="44884"/>
    <cellStyle name="SAPBEXHLevel1 3 3 3 3" xfId="44885"/>
    <cellStyle name="SAPBEXHLevel1 3 3 3 4" xfId="44886"/>
    <cellStyle name="SAPBEXHLevel1 3 3 4" xfId="44887"/>
    <cellStyle name="SAPBEXHLevel1 3 3 4 2" xfId="44888"/>
    <cellStyle name="SAPBEXHLevel1 3 3 4 3" xfId="44889"/>
    <cellStyle name="SAPBEXHLevel1 3 3 4 4" xfId="44890"/>
    <cellStyle name="SAPBEXHLevel1 3 3 5" xfId="44891"/>
    <cellStyle name="SAPBEXHLevel1 3 3 6" xfId="44892"/>
    <cellStyle name="SAPBEXHLevel1 3 3 7" xfId="44893"/>
    <cellStyle name="SAPBEXHLevel1 3 3 8" xfId="44894"/>
    <cellStyle name="SAPBEXHLevel1 3 4" xfId="44895"/>
    <cellStyle name="SAPBEXHLevel1 3 4 2" xfId="44896"/>
    <cellStyle name="SAPBEXHLevel1 3 4 2 2" xfId="44897"/>
    <cellStyle name="SAPBEXHLevel1 3 4 2 3" xfId="44898"/>
    <cellStyle name="SAPBEXHLevel1 3 4 2 4" xfId="44899"/>
    <cellStyle name="SAPBEXHLevel1 3 4 3" xfId="44900"/>
    <cellStyle name="SAPBEXHLevel1 3 4 3 2" xfId="44901"/>
    <cellStyle name="SAPBEXHLevel1 3 4 3 3" xfId="44902"/>
    <cellStyle name="SAPBEXHLevel1 3 4 3 4" xfId="44903"/>
    <cellStyle name="SAPBEXHLevel1 3 4 4" xfId="44904"/>
    <cellStyle name="SAPBEXHLevel1 3 4 4 2" xfId="44905"/>
    <cellStyle name="SAPBEXHLevel1 3 4 4 3" xfId="44906"/>
    <cellStyle name="SAPBEXHLevel1 3 4 4 4" xfId="44907"/>
    <cellStyle name="SAPBEXHLevel1 3 4 5" xfId="44908"/>
    <cellStyle name="SAPBEXHLevel1 3 4 6" xfId="44909"/>
    <cellStyle name="SAPBEXHLevel1 3 4 7" xfId="44910"/>
    <cellStyle name="SAPBEXHLevel1 3 4 8" xfId="44911"/>
    <cellStyle name="SAPBEXHLevel1 3 5" xfId="44912"/>
    <cellStyle name="SAPBEXHLevel1 3 5 2" xfId="44913"/>
    <cellStyle name="SAPBEXHLevel1 3 5 2 2" xfId="44914"/>
    <cellStyle name="SAPBEXHLevel1 3 5 2 3" xfId="44915"/>
    <cellStyle name="SAPBEXHLevel1 3 5 2 4" xfId="44916"/>
    <cellStyle name="SAPBEXHLevel1 3 5 3" xfId="44917"/>
    <cellStyle name="SAPBEXHLevel1 3 5 3 2" xfId="44918"/>
    <cellStyle name="SAPBEXHLevel1 3 5 3 3" xfId="44919"/>
    <cellStyle name="SAPBEXHLevel1 3 5 3 4" xfId="44920"/>
    <cellStyle name="SAPBEXHLevel1 3 5 4" xfId="44921"/>
    <cellStyle name="SAPBEXHLevel1 3 5 4 2" xfId="44922"/>
    <cellStyle name="SAPBEXHLevel1 3 5 4 3" xfId="44923"/>
    <cellStyle name="SAPBEXHLevel1 3 5 4 4" xfId="44924"/>
    <cellStyle name="SAPBEXHLevel1 3 5 5" xfId="44925"/>
    <cellStyle name="SAPBEXHLevel1 3 5 6" xfId="44926"/>
    <cellStyle name="SAPBEXHLevel1 3 5 7" xfId="44927"/>
    <cellStyle name="SAPBEXHLevel1 3 5 8" xfId="44928"/>
    <cellStyle name="SAPBEXHLevel1 3 6" xfId="44929"/>
    <cellStyle name="SAPBEXHLevel1 3 6 2" xfId="44930"/>
    <cellStyle name="SAPBEXHLevel1 3 6 2 2" xfId="44931"/>
    <cellStyle name="SAPBEXHLevel1 3 6 2 3" xfId="44932"/>
    <cellStyle name="SAPBEXHLevel1 3 6 2 4" xfId="44933"/>
    <cellStyle name="SAPBEXHLevel1 3 6 3" xfId="44934"/>
    <cellStyle name="SAPBEXHLevel1 3 6 3 2" xfId="44935"/>
    <cellStyle name="SAPBEXHLevel1 3 6 3 3" xfId="44936"/>
    <cellStyle name="SAPBEXHLevel1 3 6 3 4" xfId="44937"/>
    <cellStyle name="SAPBEXHLevel1 3 6 4" xfId="44938"/>
    <cellStyle name="SAPBEXHLevel1 3 6 4 2" xfId="44939"/>
    <cellStyle name="SAPBEXHLevel1 3 6 4 3" xfId="44940"/>
    <cellStyle name="SAPBEXHLevel1 3 6 4 4" xfId="44941"/>
    <cellStyle name="SAPBEXHLevel1 3 6 5" xfId="44942"/>
    <cellStyle name="SAPBEXHLevel1 3 6 6" xfId="44943"/>
    <cellStyle name="SAPBEXHLevel1 3 6 7" xfId="44944"/>
    <cellStyle name="SAPBEXHLevel1 3 6 8" xfId="44945"/>
    <cellStyle name="SAPBEXHLevel1 3 7" xfId="44946"/>
    <cellStyle name="SAPBEXHLevel1 3 7 2" xfId="44947"/>
    <cellStyle name="SAPBEXHLevel1 3 7 2 2" xfId="44948"/>
    <cellStyle name="SAPBEXHLevel1 3 7 2 3" xfId="44949"/>
    <cellStyle name="SAPBEXHLevel1 3 7 2 4" xfId="44950"/>
    <cellStyle name="SAPBEXHLevel1 3 7 3" xfId="44951"/>
    <cellStyle name="SAPBEXHLevel1 3 7 3 2" xfId="44952"/>
    <cellStyle name="SAPBEXHLevel1 3 7 3 3" xfId="44953"/>
    <cellStyle name="SAPBEXHLevel1 3 7 3 4" xfId="44954"/>
    <cellStyle name="SAPBEXHLevel1 3 7 4" xfId="44955"/>
    <cellStyle name="SAPBEXHLevel1 3 7 4 2" xfId="44956"/>
    <cellStyle name="SAPBEXHLevel1 3 7 4 3" xfId="44957"/>
    <cellStyle name="SAPBEXHLevel1 3 7 4 4" xfId="44958"/>
    <cellStyle name="SAPBEXHLevel1 3 7 5" xfId="44959"/>
    <cellStyle name="SAPBEXHLevel1 3 7 6" xfId="44960"/>
    <cellStyle name="SAPBEXHLevel1 3 7 7" xfId="44961"/>
    <cellStyle name="SAPBEXHLevel1 3 7 8" xfId="44962"/>
    <cellStyle name="SAPBEXHLevel1 3 8" xfId="44963"/>
    <cellStyle name="SAPBEXHLevel1 3 8 2" xfId="44964"/>
    <cellStyle name="SAPBEXHLevel1 3 8 3" xfId="44965"/>
    <cellStyle name="SAPBEXHLevel1 3 8 4" xfId="44966"/>
    <cellStyle name="SAPBEXHLevel1 3 9" xfId="44967"/>
    <cellStyle name="SAPBEXHLevel1 3 9 2" xfId="44968"/>
    <cellStyle name="SAPBEXHLevel1 3 9 3" xfId="44969"/>
    <cellStyle name="SAPBEXHLevel1 3 9 4" xfId="44970"/>
    <cellStyle name="SAPBEXHLevel1 4" xfId="44971"/>
    <cellStyle name="SAPBEXHLevel1 4 10" xfId="44972"/>
    <cellStyle name="SAPBEXHLevel1 4 11" xfId="44973"/>
    <cellStyle name="SAPBEXHLevel1 4 2" xfId="44974"/>
    <cellStyle name="SAPBEXHLevel1 4 2 2" xfId="44975"/>
    <cellStyle name="SAPBEXHLevel1 4 2 2 2" xfId="44976"/>
    <cellStyle name="SAPBEXHLevel1 4 2 2 2 2" xfId="44977"/>
    <cellStyle name="SAPBEXHLevel1 4 2 2 2 3" xfId="44978"/>
    <cellStyle name="SAPBEXHLevel1 4 2 2 2 4" xfId="44979"/>
    <cellStyle name="SAPBEXHLevel1 4 2 2 3" xfId="44980"/>
    <cellStyle name="SAPBEXHLevel1 4 2 2 3 2" xfId="44981"/>
    <cellStyle name="SAPBEXHLevel1 4 2 2 3 3" xfId="44982"/>
    <cellStyle name="SAPBEXHLevel1 4 2 2 3 4" xfId="44983"/>
    <cellStyle name="SAPBEXHLevel1 4 2 2 4" xfId="44984"/>
    <cellStyle name="SAPBEXHLevel1 4 2 2 4 2" xfId="44985"/>
    <cellStyle name="SAPBEXHLevel1 4 2 2 4 3" xfId="44986"/>
    <cellStyle name="SAPBEXHLevel1 4 2 2 4 4" xfId="44987"/>
    <cellStyle name="SAPBEXHLevel1 4 2 2 5" xfId="44988"/>
    <cellStyle name="SAPBEXHLevel1 4 2 2 6" xfId="44989"/>
    <cellStyle name="SAPBEXHLevel1 4 2 2 7" xfId="44990"/>
    <cellStyle name="SAPBEXHLevel1 4 2 2 8" xfId="44991"/>
    <cellStyle name="SAPBEXHLevel1 4 2 3" xfId="44992"/>
    <cellStyle name="SAPBEXHLevel1 4 2 3 2" xfId="44993"/>
    <cellStyle name="SAPBEXHLevel1 4 2 3 2 2" xfId="44994"/>
    <cellStyle name="SAPBEXHLevel1 4 2 3 2 3" xfId="44995"/>
    <cellStyle name="SAPBEXHLevel1 4 2 3 2 4" xfId="44996"/>
    <cellStyle name="SAPBEXHLevel1 4 2 3 3" xfId="44997"/>
    <cellStyle name="SAPBEXHLevel1 4 2 3 3 2" xfId="44998"/>
    <cellStyle name="SAPBEXHLevel1 4 2 3 3 3" xfId="44999"/>
    <cellStyle name="SAPBEXHLevel1 4 2 3 3 4" xfId="45000"/>
    <cellStyle name="SAPBEXHLevel1 4 2 3 4" xfId="45001"/>
    <cellStyle name="SAPBEXHLevel1 4 2 3 4 2" xfId="45002"/>
    <cellStyle name="SAPBEXHLevel1 4 2 3 4 3" xfId="45003"/>
    <cellStyle name="SAPBEXHLevel1 4 2 3 4 4" xfId="45004"/>
    <cellStyle name="SAPBEXHLevel1 4 2 3 5" xfId="45005"/>
    <cellStyle name="SAPBEXHLevel1 4 2 3 6" xfId="45006"/>
    <cellStyle name="SAPBEXHLevel1 4 2 3 7" xfId="45007"/>
    <cellStyle name="SAPBEXHLevel1 4 2 3 8" xfId="45008"/>
    <cellStyle name="SAPBEXHLevel1 4 2 4" xfId="45009"/>
    <cellStyle name="SAPBEXHLevel1 4 2 4 2" xfId="45010"/>
    <cellStyle name="SAPBEXHLevel1 4 2 4 2 2" xfId="45011"/>
    <cellStyle name="SAPBEXHLevel1 4 2 4 2 3" xfId="45012"/>
    <cellStyle name="SAPBEXHLevel1 4 2 4 2 4" xfId="45013"/>
    <cellStyle name="SAPBEXHLevel1 4 2 4 3" xfId="45014"/>
    <cellStyle name="SAPBEXHLevel1 4 2 4 3 2" xfId="45015"/>
    <cellStyle name="SAPBEXHLevel1 4 2 4 3 3" xfId="45016"/>
    <cellStyle name="SAPBEXHLevel1 4 2 4 3 4" xfId="45017"/>
    <cellStyle name="SAPBEXHLevel1 4 2 4 4" xfId="45018"/>
    <cellStyle name="SAPBEXHLevel1 4 2 4 4 2" xfId="45019"/>
    <cellStyle name="SAPBEXHLevel1 4 2 4 4 3" xfId="45020"/>
    <cellStyle name="SAPBEXHLevel1 4 2 4 4 4" xfId="45021"/>
    <cellStyle name="SAPBEXHLevel1 4 2 4 5" xfId="45022"/>
    <cellStyle name="SAPBEXHLevel1 4 2 4 6" xfId="45023"/>
    <cellStyle name="SAPBEXHLevel1 4 2 4 7" xfId="45024"/>
    <cellStyle name="SAPBEXHLevel1 4 2 4 8" xfId="45025"/>
    <cellStyle name="SAPBEXHLevel1 4 2 5" xfId="45026"/>
    <cellStyle name="SAPBEXHLevel1 4 2 5 2" xfId="45027"/>
    <cellStyle name="SAPBEXHLevel1 4 2 5 2 2" xfId="45028"/>
    <cellStyle name="SAPBEXHLevel1 4 2 5 2 3" xfId="45029"/>
    <cellStyle name="SAPBEXHLevel1 4 2 5 2 4" xfId="45030"/>
    <cellStyle name="SAPBEXHLevel1 4 2 5 3" xfId="45031"/>
    <cellStyle name="SAPBEXHLevel1 4 2 5 3 2" xfId="45032"/>
    <cellStyle name="SAPBEXHLevel1 4 2 5 3 3" xfId="45033"/>
    <cellStyle name="SAPBEXHLevel1 4 2 5 3 4" xfId="45034"/>
    <cellStyle name="SAPBEXHLevel1 4 2 5 4" xfId="45035"/>
    <cellStyle name="SAPBEXHLevel1 4 2 5 4 2" xfId="45036"/>
    <cellStyle name="SAPBEXHLevel1 4 2 5 4 3" xfId="45037"/>
    <cellStyle name="SAPBEXHLevel1 4 2 5 4 4" xfId="45038"/>
    <cellStyle name="SAPBEXHLevel1 4 2 5 5" xfId="45039"/>
    <cellStyle name="SAPBEXHLevel1 4 2 5 6" xfId="45040"/>
    <cellStyle name="SAPBEXHLevel1 4 2 5 7" xfId="45041"/>
    <cellStyle name="SAPBEXHLevel1 4 2 5 8" xfId="45042"/>
    <cellStyle name="SAPBEXHLevel1 4 2 6" xfId="45043"/>
    <cellStyle name="SAPBEXHLevel1 4 2 6 2" xfId="45044"/>
    <cellStyle name="SAPBEXHLevel1 4 2 6 3" xfId="45045"/>
    <cellStyle name="SAPBEXHLevel1 4 2 6 4" xfId="45046"/>
    <cellStyle name="SAPBEXHLevel1 4 2 7" xfId="45047"/>
    <cellStyle name="SAPBEXHLevel1 4 2 7 2" xfId="45048"/>
    <cellStyle name="SAPBEXHLevel1 4 2 7 3" xfId="45049"/>
    <cellStyle name="SAPBEXHLevel1 4 2 7 4" xfId="45050"/>
    <cellStyle name="SAPBEXHLevel1 4 2 8" xfId="45051"/>
    <cellStyle name="SAPBEXHLevel1 4 2 9" xfId="45052"/>
    <cellStyle name="SAPBEXHLevel1 4 3" xfId="45053"/>
    <cellStyle name="SAPBEXHLevel1 4 3 2" xfId="45054"/>
    <cellStyle name="SAPBEXHLevel1 4 3 2 2" xfId="45055"/>
    <cellStyle name="SAPBEXHLevel1 4 3 2 3" xfId="45056"/>
    <cellStyle name="SAPBEXHLevel1 4 3 2 4" xfId="45057"/>
    <cellStyle name="SAPBEXHLevel1 4 3 3" xfId="45058"/>
    <cellStyle name="SAPBEXHLevel1 4 3 3 2" xfId="45059"/>
    <cellStyle name="SAPBEXHLevel1 4 3 3 3" xfId="45060"/>
    <cellStyle name="SAPBEXHLevel1 4 3 3 4" xfId="45061"/>
    <cellStyle name="SAPBEXHLevel1 4 3 4" xfId="45062"/>
    <cellStyle name="SAPBEXHLevel1 4 3 4 2" xfId="45063"/>
    <cellStyle name="SAPBEXHLevel1 4 3 4 3" xfId="45064"/>
    <cellStyle name="SAPBEXHLevel1 4 3 4 4" xfId="45065"/>
    <cellStyle name="SAPBEXHLevel1 4 3 5" xfId="45066"/>
    <cellStyle name="SAPBEXHLevel1 4 3 6" xfId="45067"/>
    <cellStyle name="SAPBEXHLevel1 4 3 7" xfId="45068"/>
    <cellStyle name="SAPBEXHLevel1 4 3 8" xfId="45069"/>
    <cellStyle name="SAPBEXHLevel1 4 4" xfId="45070"/>
    <cellStyle name="SAPBEXHLevel1 4 4 2" xfId="45071"/>
    <cellStyle name="SAPBEXHLevel1 4 4 2 2" xfId="45072"/>
    <cellStyle name="SAPBEXHLevel1 4 4 2 3" xfId="45073"/>
    <cellStyle name="SAPBEXHLevel1 4 4 2 4" xfId="45074"/>
    <cellStyle name="SAPBEXHLevel1 4 4 3" xfId="45075"/>
    <cellStyle name="SAPBEXHLevel1 4 4 3 2" xfId="45076"/>
    <cellStyle name="SAPBEXHLevel1 4 4 3 3" xfId="45077"/>
    <cellStyle name="SAPBEXHLevel1 4 4 3 4" xfId="45078"/>
    <cellStyle name="SAPBEXHLevel1 4 4 4" xfId="45079"/>
    <cellStyle name="SAPBEXHLevel1 4 4 4 2" xfId="45080"/>
    <cellStyle name="SAPBEXHLevel1 4 4 4 3" xfId="45081"/>
    <cellStyle name="SAPBEXHLevel1 4 4 4 4" xfId="45082"/>
    <cellStyle name="SAPBEXHLevel1 4 4 5" xfId="45083"/>
    <cellStyle name="SAPBEXHLevel1 4 4 6" xfId="45084"/>
    <cellStyle name="SAPBEXHLevel1 4 4 7" xfId="45085"/>
    <cellStyle name="SAPBEXHLevel1 4 4 8" xfId="45086"/>
    <cellStyle name="SAPBEXHLevel1 4 5" xfId="45087"/>
    <cellStyle name="SAPBEXHLevel1 4 5 2" xfId="45088"/>
    <cellStyle name="SAPBEXHLevel1 4 5 2 2" xfId="45089"/>
    <cellStyle name="SAPBEXHLevel1 4 5 2 3" xfId="45090"/>
    <cellStyle name="SAPBEXHLevel1 4 5 2 4" xfId="45091"/>
    <cellStyle name="SAPBEXHLevel1 4 5 3" xfId="45092"/>
    <cellStyle name="SAPBEXHLevel1 4 5 3 2" xfId="45093"/>
    <cellStyle name="SAPBEXHLevel1 4 5 3 3" xfId="45094"/>
    <cellStyle name="SAPBEXHLevel1 4 5 3 4" xfId="45095"/>
    <cellStyle name="SAPBEXHLevel1 4 5 4" xfId="45096"/>
    <cellStyle name="SAPBEXHLevel1 4 5 4 2" xfId="45097"/>
    <cellStyle name="SAPBEXHLevel1 4 5 4 3" xfId="45098"/>
    <cellStyle name="SAPBEXHLevel1 4 5 4 4" xfId="45099"/>
    <cellStyle name="SAPBEXHLevel1 4 5 5" xfId="45100"/>
    <cellStyle name="SAPBEXHLevel1 4 5 6" xfId="45101"/>
    <cellStyle name="SAPBEXHLevel1 4 5 7" xfId="45102"/>
    <cellStyle name="SAPBEXHLevel1 4 5 8" xfId="45103"/>
    <cellStyle name="SAPBEXHLevel1 4 6" xfId="45104"/>
    <cellStyle name="SAPBEXHLevel1 4 6 2" xfId="45105"/>
    <cellStyle name="SAPBEXHLevel1 4 6 2 2" xfId="45106"/>
    <cellStyle name="SAPBEXHLevel1 4 6 2 3" xfId="45107"/>
    <cellStyle name="SAPBEXHLevel1 4 6 2 4" xfId="45108"/>
    <cellStyle name="SAPBEXHLevel1 4 6 3" xfId="45109"/>
    <cellStyle name="SAPBEXHLevel1 4 6 3 2" xfId="45110"/>
    <cellStyle name="SAPBEXHLevel1 4 6 3 3" xfId="45111"/>
    <cellStyle name="SAPBEXHLevel1 4 6 3 4" xfId="45112"/>
    <cellStyle name="SAPBEXHLevel1 4 6 4" xfId="45113"/>
    <cellStyle name="SAPBEXHLevel1 4 6 4 2" xfId="45114"/>
    <cellStyle name="SAPBEXHLevel1 4 6 4 3" xfId="45115"/>
    <cellStyle name="SAPBEXHLevel1 4 6 4 4" xfId="45116"/>
    <cellStyle name="SAPBEXHLevel1 4 6 5" xfId="45117"/>
    <cellStyle name="SAPBEXHLevel1 4 6 6" xfId="45118"/>
    <cellStyle name="SAPBEXHLevel1 4 6 7" xfId="45119"/>
    <cellStyle name="SAPBEXHLevel1 4 6 8" xfId="45120"/>
    <cellStyle name="SAPBEXHLevel1 4 7" xfId="45121"/>
    <cellStyle name="SAPBEXHLevel1 4 7 2" xfId="45122"/>
    <cellStyle name="SAPBEXHLevel1 4 7 2 2" xfId="45123"/>
    <cellStyle name="SAPBEXHLevel1 4 7 2 3" xfId="45124"/>
    <cellStyle name="SAPBEXHLevel1 4 7 2 4" xfId="45125"/>
    <cellStyle name="SAPBEXHLevel1 4 7 3" xfId="45126"/>
    <cellStyle name="SAPBEXHLevel1 4 7 3 2" xfId="45127"/>
    <cellStyle name="SAPBEXHLevel1 4 7 3 3" xfId="45128"/>
    <cellStyle name="SAPBEXHLevel1 4 7 3 4" xfId="45129"/>
    <cellStyle name="SAPBEXHLevel1 4 7 4" xfId="45130"/>
    <cellStyle name="SAPBEXHLevel1 4 7 4 2" xfId="45131"/>
    <cellStyle name="SAPBEXHLevel1 4 7 4 3" xfId="45132"/>
    <cellStyle name="SAPBEXHLevel1 4 7 4 4" xfId="45133"/>
    <cellStyle name="SAPBEXHLevel1 4 7 5" xfId="45134"/>
    <cellStyle name="SAPBEXHLevel1 4 7 6" xfId="45135"/>
    <cellStyle name="SAPBEXHLevel1 4 7 7" xfId="45136"/>
    <cellStyle name="SAPBEXHLevel1 4 7 8" xfId="45137"/>
    <cellStyle name="SAPBEXHLevel1 4 8" xfId="45138"/>
    <cellStyle name="SAPBEXHLevel1 4 8 2" xfId="45139"/>
    <cellStyle name="SAPBEXHLevel1 4 8 3" xfId="45140"/>
    <cellStyle name="SAPBEXHLevel1 4 8 4" xfId="45141"/>
    <cellStyle name="SAPBEXHLevel1 4 9" xfId="45142"/>
    <cellStyle name="SAPBEXHLevel1 4 9 2" xfId="45143"/>
    <cellStyle name="SAPBEXHLevel1 4 9 3" xfId="45144"/>
    <cellStyle name="SAPBEXHLevel1 4 9 4" xfId="45145"/>
    <cellStyle name="SAPBEXHLevel1 5" xfId="45146"/>
    <cellStyle name="SAPBEXHLevel1 5 2" xfId="45147"/>
    <cellStyle name="SAPBEXHLevel1 5 2 2" xfId="45148"/>
    <cellStyle name="SAPBEXHLevel1 5 2 2 2" xfId="45149"/>
    <cellStyle name="SAPBEXHLevel1 5 2 2 3" xfId="45150"/>
    <cellStyle name="SAPBEXHLevel1 5 2 2 4" xfId="45151"/>
    <cellStyle name="SAPBEXHLevel1 5 2 3" xfId="45152"/>
    <cellStyle name="SAPBEXHLevel1 5 2 3 2" xfId="45153"/>
    <cellStyle name="SAPBEXHLevel1 5 2 3 3" xfId="45154"/>
    <cellStyle name="SAPBEXHLevel1 5 2 3 4" xfId="45155"/>
    <cellStyle name="SAPBEXHLevel1 5 2 4" xfId="45156"/>
    <cellStyle name="SAPBEXHLevel1 5 2 4 2" xfId="45157"/>
    <cellStyle name="SAPBEXHLevel1 5 2 4 3" xfId="45158"/>
    <cellStyle name="SAPBEXHLevel1 5 2 4 4" xfId="45159"/>
    <cellStyle name="SAPBEXHLevel1 5 2 5" xfId="45160"/>
    <cellStyle name="SAPBEXHLevel1 5 2 6" xfId="45161"/>
    <cellStyle name="SAPBEXHLevel1 5 2 7" xfId="45162"/>
    <cellStyle name="SAPBEXHLevel1 5 2 8" xfId="45163"/>
    <cellStyle name="SAPBEXHLevel1 5 3" xfId="45164"/>
    <cellStyle name="SAPBEXHLevel1 5 3 2" xfId="45165"/>
    <cellStyle name="SAPBEXHLevel1 5 3 2 2" xfId="45166"/>
    <cellStyle name="SAPBEXHLevel1 5 3 2 3" xfId="45167"/>
    <cellStyle name="SAPBEXHLevel1 5 3 2 4" xfId="45168"/>
    <cellStyle name="SAPBEXHLevel1 5 3 3" xfId="45169"/>
    <cellStyle name="SAPBEXHLevel1 5 3 3 2" xfId="45170"/>
    <cellStyle name="SAPBEXHLevel1 5 3 3 3" xfId="45171"/>
    <cellStyle name="SAPBEXHLevel1 5 3 3 4" xfId="45172"/>
    <cellStyle name="SAPBEXHLevel1 5 3 4" xfId="45173"/>
    <cellStyle name="SAPBEXHLevel1 5 3 4 2" xfId="45174"/>
    <cellStyle name="SAPBEXHLevel1 5 3 4 3" xfId="45175"/>
    <cellStyle name="SAPBEXHLevel1 5 3 4 4" xfId="45176"/>
    <cellStyle name="SAPBEXHLevel1 5 3 5" xfId="45177"/>
    <cellStyle name="SAPBEXHLevel1 5 3 6" xfId="45178"/>
    <cellStyle name="SAPBEXHLevel1 5 3 7" xfId="45179"/>
    <cellStyle name="SAPBEXHLevel1 5 3 8" xfId="45180"/>
    <cellStyle name="SAPBEXHLevel1 5 4" xfId="45181"/>
    <cellStyle name="SAPBEXHLevel1 5 4 2" xfId="45182"/>
    <cellStyle name="SAPBEXHLevel1 5 4 2 2" xfId="45183"/>
    <cellStyle name="SAPBEXHLevel1 5 4 2 3" xfId="45184"/>
    <cellStyle name="SAPBEXHLevel1 5 4 2 4" xfId="45185"/>
    <cellStyle name="SAPBEXHLevel1 5 4 3" xfId="45186"/>
    <cellStyle name="SAPBEXHLevel1 5 4 3 2" xfId="45187"/>
    <cellStyle name="SAPBEXHLevel1 5 4 3 3" xfId="45188"/>
    <cellStyle name="SAPBEXHLevel1 5 4 3 4" xfId="45189"/>
    <cellStyle name="SAPBEXHLevel1 5 4 4" xfId="45190"/>
    <cellStyle name="SAPBEXHLevel1 5 4 4 2" xfId="45191"/>
    <cellStyle name="SAPBEXHLevel1 5 4 4 3" xfId="45192"/>
    <cellStyle name="SAPBEXHLevel1 5 4 4 4" xfId="45193"/>
    <cellStyle name="SAPBEXHLevel1 5 4 5" xfId="45194"/>
    <cellStyle name="SAPBEXHLevel1 5 4 6" xfId="45195"/>
    <cellStyle name="SAPBEXHLevel1 5 4 7" xfId="45196"/>
    <cellStyle name="SAPBEXHLevel1 5 4 8" xfId="45197"/>
    <cellStyle name="SAPBEXHLevel1 5 5" xfId="45198"/>
    <cellStyle name="SAPBEXHLevel1 5 5 2" xfId="45199"/>
    <cellStyle name="SAPBEXHLevel1 5 5 2 2" xfId="45200"/>
    <cellStyle name="SAPBEXHLevel1 5 5 2 3" xfId="45201"/>
    <cellStyle name="SAPBEXHLevel1 5 5 2 4" xfId="45202"/>
    <cellStyle name="SAPBEXHLevel1 5 5 3" xfId="45203"/>
    <cellStyle name="SAPBEXHLevel1 5 5 3 2" xfId="45204"/>
    <cellStyle name="SAPBEXHLevel1 5 5 3 3" xfId="45205"/>
    <cellStyle name="SAPBEXHLevel1 5 5 3 4" xfId="45206"/>
    <cellStyle name="SAPBEXHLevel1 5 5 4" xfId="45207"/>
    <cellStyle name="SAPBEXHLevel1 5 5 4 2" xfId="45208"/>
    <cellStyle name="SAPBEXHLevel1 5 5 4 3" xfId="45209"/>
    <cellStyle name="SAPBEXHLevel1 5 5 4 4" xfId="45210"/>
    <cellStyle name="SAPBEXHLevel1 5 5 5" xfId="45211"/>
    <cellStyle name="SAPBEXHLevel1 5 5 6" xfId="45212"/>
    <cellStyle name="SAPBEXHLevel1 5 5 7" xfId="45213"/>
    <cellStyle name="SAPBEXHLevel1 5 5 8" xfId="45214"/>
    <cellStyle name="SAPBEXHLevel1 5 6" xfId="45215"/>
    <cellStyle name="SAPBEXHLevel1 5 6 2" xfId="45216"/>
    <cellStyle name="SAPBEXHLevel1 5 6 3" xfId="45217"/>
    <cellStyle name="SAPBEXHLevel1 5 6 4" xfId="45218"/>
    <cellStyle name="SAPBEXHLevel1 5 7" xfId="45219"/>
    <cellStyle name="SAPBEXHLevel1 5 7 2" xfId="45220"/>
    <cellStyle name="SAPBEXHLevel1 5 7 3" xfId="45221"/>
    <cellStyle name="SAPBEXHLevel1 5 7 4" xfId="45222"/>
    <cellStyle name="SAPBEXHLevel1 5 8" xfId="45223"/>
    <cellStyle name="SAPBEXHLevel1 5 9" xfId="45224"/>
    <cellStyle name="SAPBEXHLevel1 6" xfId="45225"/>
    <cellStyle name="SAPBEXHLevel1 6 2" xfId="45226"/>
    <cellStyle name="SAPBEXHLevel1 6 2 2" xfId="45227"/>
    <cellStyle name="SAPBEXHLevel1 6 2 3" xfId="45228"/>
    <cellStyle name="SAPBEXHLevel1 6 2 4" xfId="45229"/>
    <cellStyle name="SAPBEXHLevel1 6 3" xfId="45230"/>
    <cellStyle name="SAPBEXHLevel1 6 3 2" xfId="45231"/>
    <cellStyle name="SAPBEXHLevel1 6 3 3" xfId="45232"/>
    <cellStyle name="SAPBEXHLevel1 6 3 4" xfId="45233"/>
    <cellStyle name="SAPBEXHLevel1 6 4" xfId="45234"/>
    <cellStyle name="SAPBEXHLevel1 6 4 2" xfId="45235"/>
    <cellStyle name="SAPBEXHLevel1 6 4 3" xfId="45236"/>
    <cellStyle name="SAPBEXHLevel1 6 4 4" xfId="45237"/>
    <cellStyle name="SAPBEXHLevel1 6 5" xfId="45238"/>
    <cellStyle name="SAPBEXHLevel1 6 6" xfId="45239"/>
    <cellStyle name="SAPBEXHLevel1 6 7" xfId="45240"/>
    <cellStyle name="SAPBEXHLevel1 6 8" xfId="45241"/>
    <cellStyle name="SAPBEXHLevel1 7" xfId="45242"/>
    <cellStyle name="SAPBEXHLevel1 7 2" xfId="45243"/>
    <cellStyle name="SAPBEXHLevel1 7 2 2" xfId="45244"/>
    <cellStyle name="SAPBEXHLevel1 7 2 3" xfId="45245"/>
    <cellStyle name="SAPBEXHLevel1 7 2 4" xfId="45246"/>
    <cellStyle name="SAPBEXHLevel1 7 3" xfId="45247"/>
    <cellStyle name="SAPBEXHLevel1 7 3 2" xfId="45248"/>
    <cellStyle name="SAPBEXHLevel1 7 3 3" xfId="45249"/>
    <cellStyle name="SAPBEXHLevel1 7 3 4" xfId="45250"/>
    <cellStyle name="SAPBEXHLevel1 7 4" xfId="45251"/>
    <cellStyle name="SAPBEXHLevel1 7 4 2" xfId="45252"/>
    <cellStyle name="SAPBEXHLevel1 7 4 3" xfId="45253"/>
    <cellStyle name="SAPBEXHLevel1 7 4 4" xfId="45254"/>
    <cellStyle name="SAPBEXHLevel1 7 5" xfId="45255"/>
    <cellStyle name="SAPBEXHLevel1 7 6" xfId="45256"/>
    <cellStyle name="SAPBEXHLevel1 7 7" xfId="45257"/>
    <cellStyle name="SAPBEXHLevel1 7 8" xfId="45258"/>
    <cellStyle name="SAPBEXHLevel1 8" xfId="45259"/>
    <cellStyle name="SAPBEXHLevel1 8 2" xfId="45260"/>
    <cellStyle name="SAPBEXHLevel1 8 2 2" xfId="45261"/>
    <cellStyle name="SAPBEXHLevel1 8 2 3" xfId="45262"/>
    <cellStyle name="SAPBEXHLevel1 8 2 4" xfId="45263"/>
    <cellStyle name="SAPBEXHLevel1 8 3" xfId="45264"/>
    <cellStyle name="SAPBEXHLevel1 8 3 2" xfId="45265"/>
    <cellStyle name="SAPBEXHLevel1 8 3 3" xfId="45266"/>
    <cellStyle name="SAPBEXHLevel1 8 3 4" xfId="45267"/>
    <cellStyle name="SAPBEXHLevel1 8 4" xfId="45268"/>
    <cellStyle name="SAPBEXHLevel1 8 4 2" xfId="45269"/>
    <cellStyle name="SAPBEXHLevel1 8 4 3" xfId="45270"/>
    <cellStyle name="SAPBEXHLevel1 8 4 4" xfId="45271"/>
    <cellStyle name="SAPBEXHLevel1 8 5" xfId="45272"/>
    <cellStyle name="SAPBEXHLevel1 8 6" xfId="45273"/>
    <cellStyle name="SAPBEXHLevel1 8 7" xfId="45274"/>
    <cellStyle name="SAPBEXHLevel1 8 8" xfId="45275"/>
    <cellStyle name="SAPBEXHLevel1 9" xfId="45276"/>
    <cellStyle name="SAPBEXHLevel1 9 2" xfId="45277"/>
    <cellStyle name="SAPBEXHLevel1 9 2 2" xfId="45278"/>
    <cellStyle name="SAPBEXHLevel1 9 2 3" xfId="45279"/>
    <cellStyle name="SAPBEXHLevel1 9 2 4" xfId="45280"/>
    <cellStyle name="SAPBEXHLevel1 9 3" xfId="45281"/>
    <cellStyle name="SAPBEXHLevel1 9 3 2" xfId="45282"/>
    <cellStyle name="SAPBEXHLevel1 9 3 3" xfId="45283"/>
    <cellStyle name="SAPBEXHLevel1 9 3 4" xfId="45284"/>
    <cellStyle name="SAPBEXHLevel1 9 4" xfId="45285"/>
    <cellStyle name="SAPBEXHLevel1 9 4 2" xfId="45286"/>
    <cellStyle name="SAPBEXHLevel1 9 4 3" xfId="45287"/>
    <cellStyle name="SAPBEXHLevel1 9 4 4" xfId="45288"/>
    <cellStyle name="SAPBEXHLevel1 9 5" xfId="45289"/>
    <cellStyle name="SAPBEXHLevel1 9 6" xfId="45290"/>
    <cellStyle name="SAPBEXHLevel1 9 7" xfId="45291"/>
    <cellStyle name="SAPBEXHLevel1 9 8" xfId="45292"/>
    <cellStyle name="SAPBEXHLevel1X" xfId="45293"/>
    <cellStyle name="SAPBEXHLevel1X 10" xfId="45294"/>
    <cellStyle name="SAPBEXHLevel1X 10 2" xfId="45295"/>
    <cellStyle name="SAPBEXHLevel1X 10 2 2" xfId="45296"/>
    <cellStyle name="SAPBEXHLevel1X 10 2 3" xfId="45297"/>
    <cellStyle name="SAPBEXHLevel1X 10 2 4" xfId="45298"/>
    <cellStyle name="SAPBEXHLevel1X 10 3" xfId="45299"/>
    <cellStyle name="SAPBEXHLevel1X 10 3 2" xfId="45300"/>
    <cellStyle name="SAPBEXHLevel1X 10 3 3" xfId="45301"/>
    <cellStyle name="SAPBEXHLevel1X 10 3 4" xfId="45302"/>
    <cellStyle name="SAPBEXHLevel1X 10 4" xfId="45303"/>
    <cellStyle name="SAPBEXHLevel1X 10 4 2" xfId="45304"/>
    <cellStyle name="SAPBEXHLevel1X 10 4 3" xfId="45305"/>
    <cellStyle name="SAPBEXHLevel1X 10 4 4" xfId="45306"/>
    <cellStyle name="SAPBEXHLevel1X 10 5" xfId="45307"/>
    <cellStyle name="SAPBEXHLevel1X 10 6" xfId="45308"/>
    <cellStyle name="SAPBEXHLevel1X 10 7" xfId="45309"/>
    <cellStyle name="SAPBEXHLevel1X 10 8" xfId="45310"/>
    <cellStyle name="SAPBEXHLevel1X 11" xfId="45311"/>
    <cellStyle name="SAPBEXHLevel1X 11 2" xfId="45312"/>
    <cellStyle name="SAPBEXHLevel1X 11 3" xfId="45313"/>
    <cellStyle name="SAPBEXHLevel1X 11 4" xfId="45314"/>
    <cellStyle name="SAPBEXHLevel1X 12" xfId="45315"/>
    <cellStyle name="SAPBEXHLevel1X 12 2" xfId="45316"/>
    <cellStyle name="SAPBEXHLevel1X 12 3" xfId="45317"/>
    <cellStyle name="SAPBEXHLevel1X 12 4" xfId="45318"/>
    <cellStyle name="SAPBEXHLevel1X 13" xfId="45319"/>
    <cellStyle name="SAPBEXHLevel1X 14" xfId="45320"/>
    <cellStyle name="SAPBEXHLevel1X 2" xfId="45321"/>
    <cellStyle name="SAPBEXHLevel1X 2 10" xfId="45322"/>
    <cellStyle name="SAPBEXHLevel1X 2 10 2" xfId="45323"/>
    <cellStyle name="SAPBEXHLevel1X 2 10 3" xfId="45324"/>
    <cellStyle name="SAPBEXHLevel1X 2 10 4" xfId="45325"/>
    <cellStyle name="SAPBEXHLevel1X 2 11" xfId="45326"/>
    <cellStyle name="SAPBEXHLevel1X 2 11 2" xfId="45327"/>
    <cellStyle name="SAPBEXHLevel1X 2 11 3" xfId="45328"/>
    <cellStyle name="SAPBEXHLevel1X 2 11 4" xfId="45329"/>
    <cellStyle name="SAPBEXHLevel1X 2 12" xfId="45330"/>
    <cellStyle name="SAPBEXHLevel1X 2 13" xfId="45331"/>
    <cellStyle name="SAPBEXHLevel1X 2 2" xfId="45332"/>
    <cellStyle name="SAPBEXHLevel1X 2 2 10" xfId="45333"/>
    <cellStyle name="SAPBEXHLevel1X 2 2 11" xfId="45334"/>
    <cellStyle name="SAPBEXHLevel1X 2 2 2" xfId="45335"/>
    <cellStyle name="SAPBEXHLevel1X 2 2 2 2" xfId="45336"/>
    <cellStyle name="SAPBEXHLevel1X 2 2 2 2 2" xfId="45337"/>
    <cellStyle name="SAPBEXHLevel1X 2 2 2 2 2 2" xfId="45338"/>
    <cellStyle name="SAPBEXHLevel1X 2 2 2 2 2 3" xfId="45339"/>
    <cellStyle name="SAPBEXHLevel1X 2 2 2 2 2 4" xfId="45340"/>
    <cellStyle name="SAPBEXHLevel1X 2 2 2 2 3" xfId="45341"/>
    <cellStyle name="SAPBEXHLevel1X 2 2 2 2 3 2" xfId="45342"/>
    <cellStyle name="SAPBEXHLevel1X 2 2 2 2 3 3" xfId="45343"/>
    <cellStyle name="SAPBEXHLevel1X 2 2 2 2 3 4" xfId="45344"/>
    <cellStyle name="SAPBEXHLevel1X 2 2 2 2 4" xfId="45345"/>
    <cellStyle name="SAPBEXHLevel1X 2 2 2 2 4 2" xfId="45346"/>
    <cellStyle name="SAPBEXHLevel1X 2 2 2 2 4 3" xfId="45347"/>
    <cellStyle name="SAPBEXHLevel1X 2 2 2 2 4 4" xfId="45348"/>
    <cellStyle name="SAPBEXHLevel1X 2 2 2 2 5" xfId="45349"/>
    <cellStyle name="SAPBEXHLevel1X 2 2 2 2 6" xfId="45350"/>
    <cellStyle name="SAPBEXHLevel1X 2 2 2 2 7" xfId="45351"/>
    <cellStyle name="SAPBEXHLevel1X 2 2 2 2 8" xfId="45352"/>
    <cellStyle name="SAPBEXHLevel1X 2 2 2 3" xfId="45353"/>
    <cellStyle name="SAPBEXHLevel1X 2 2 2 3 2" xfId="45354"/>
    <cellStyle name="SAPBEXHLevel1X 2 2 2 3 2 2" xfId="45355"/>
    <cellStyle name="SAPBEXHLevel1X 2 2 2 3 2 3" xfId="45356"/>
    <cellStyle name="SAPBEXHLevel1X 2 2 2 3 2 4" xfId="45357"/>
    <cellStyle name="SAPBEXHLevel1X 2 2 2 3 3" xfId="45358"/>
    <cellStyle name="SAPBEXHLevel1X 2 2 2 3 3 2" xfId="45359"/>
    <cellStyle name="SAPBEXHLevel1X 2 2 2 3 3 3" xfId="45360"/>
    <cellStyle name="SAPBEXHLevel1X 2 2 2 3 3 4" xfId="45361"/>
    <cellStyle name="SAPBEXHLevel1X 2 2 2 3 4" xfId="45362"/>
    <cellStyle name="SAPBEXHLevel1X 2 2 2 3 4 2" xfId="45363"/>
    <cellStyle name="SAPBEXHLevel1X 2 2 2 3 4 3" xfId="45364"/>
    <cellStyle name="SAPBEXHLevel1X 2 2 2 3 4 4" xfId="45365"/>
    <cellStyle name="SAPBEXHLevel1X 2 2 2 3 5" xfId="45366"/>
    <cellStyle name="SAPBEXHLevel1X 2 2 2 3 6" xfId="45367"/>
    <cellStyle name="SAPBEXHLevel1X 2 2 2 3 7" xfId="45368"/>
    <cellStyle name="SAPBEXHLevel1X 2 2 2 3 8" xfId="45369"/>
    <cellStyle name="SAPBEXHLevel1X 2 2 2 4" xfId="45370"/>
    <cellStyle name="SAPBEXHLevel1X 2 2 2 4 2" xfId="45371"/>
    <cellStyle name="SAPBEXHLevel1X 2 2 2 4 2 2" xfId="45372"/>
    <cellStyle name="SAPBEXHLevel1X 2 2 2 4 2 3" xfId="45373"/>
    <cellStyle name="SAPBEXHLevel1X 2 2 2 4 2 4" xfId="45374"/>
    <cellStyle name="SAPBEXHLevel1X 2 2 2 4 3" xfId="45375"/>
    <cellStyle name="SAPBEXHLevel1X 2 2 2 4 3 2" xfId="45376"/>
    <cellStyle name="SAPBEXHLevel1X 2 2 2 4 3 3" xfId="45377"/>
    <cellStyle name="SAPBEXHLevel1X 2 2 2 4 3 4" xfId="45378"/>
    <cellStyle name="SAPBEXHLevel1X 2 2 2 4 4" xfId="45379"/>
    <cellStyle name="SAPBEXHLevel1X 2 2 2 4 4 2" xfId="45380"/>
    <cellStyle name="SAPBEXHLevel1X 2 2 2 4 4 3" xfId="45381"/>
    <cellStyle name="SAPBEXHLevel1X 2 2 2 4 4 4" xfId="45382"/>
    <cellStyle name="SAPBEXHLevel1X 2 2 2 4 5" xfId="45383"/>
    <cellStyle name="SAPBEXHLevel1X 2 2 2 4 6" xfId="45384"/>
    <cellStyle name="SAPBEXHLevel1X 2 2 2 4 7" xfId="45385"/>
    <cellStyle name="SAPBEXHLevel1X 2 2 2 4 8" xfId="45386"/>
    <cellStyle name="SAPBEXHLevel1X 2 2 2 5" xfId="45387"/>
    <cellStyle name="SAPBEXHLevel1X 2 2 2 5 2" xfId="45388"/>
    <cellStyle name="SAPBEXHLevel1X 2 2 2 5 2 2" xfId="45389"/>
    <cellStyle name="SAPBEXHLevel1X 2 2 2 5 2 3" xfId="45390"/>
    <cellStyle name="SAPBEXHLevel1X 2 2 2 5 2 4" xfId="45391"/>
    <cellStyle name="SAPBEXHLevel1X 2 2 2 5 3" xfId="45392"/>
    <cellStyle name="SAPBEXHLevel1X 2 2 2 5 3 2" xfId="45393"/>
    <cellStyle name="SAPBEXHLevel1X 2 2 2 5 3 3" xfId="45394"/>
    <cellStyle name="SAPBEXHLevel1X 2 2 2 5 3 4" xfId="45395"/>
    <cellStyle name="SAPBEXHLevel1X 2 2 2 5 4" xfId="45396"/>
    <cellStyle name="SAPBEXHLevel1X 2 2 2 5 4 2" xfId="45397"/>
    <cellStyle name="SAPBEXHLevel1X 2 2 2 5 4 3" xfId="45398"/>
    <cellStyle name="SAPBEXHLevel1X 2 2 2 5 4 4" xfId="45399"/>
    <cellStyle name="SAPBEXHLevel1X 2 2 2 5 5" xfId="45400"/>
    <cellStyle name="SAPBEXHLevel1X 2 2 2 5 6" xfId="45401"/>
    <cellStyle name="SAPBEXHLevel1X 2 2 2 5 7" xfId="45402"/>
    <cellStyle name="SAPBEXHLevel1X 2 2 2 5 8" xfId="45403"/>
    <cellStyle name="SAPBEXHLevel1X 2 2 2 6" xfId="45404"/>
    <cellStyle name="SAPBEXHLevel1X 2 2 2 6 2" xfId="45405"/>
    <cellStyle name="SAPBEXHLevel1X 2 2 2 6 3" xfId="45406"/>
    <cellStyle name="SAPBEXHLevel1X 2 2 2 6 4" xfId="45407"/>
    <cellStyle name="SAPBEXHLevel1X 2 2 2 7" xfId="45408"/>
    <cellStyle name="SAPBEXHLevel1X 2 2 2 7 2" xfId="45409"/>
    <cellStyle name="SAPBEXHLevel1X 2 2 2 7 3" xfId="45410"/>
    <cellStyle name="SAPBEXHLevel1X 2 2 2 7 4" xfId="45411"/>
    <cellStyle name="SAPBEXHLevel1X 2 2 2 8" xfId="45412"/>
    <cellStyle name="SAPBEXHLevel1X 2 2 2 9" xfId="45413"/>
    <cellStyle name="SAPBEXHLevel1X 2 2 3" xfId="45414"/>
    <cellStyle name="SAPBEXHLevel1X 2 2 3 2" xfId="45415"/>
    <cellStyle name="SAPBEXHLevel1X 2 2 3 2 2" xfId="45416"/>
    <cellStyle name="SAPBEXHLevel1X 2 2 3 2 3" xfId="45417"/>
    <cellStyle name="SAPBEXHLevel1X 2 2 3 2 4" xfId="45418"/>
    <cellStyle name="SAPBEXHLevel1X 2 2 3 3" xfId="45419"/>
    <cellStyle name="SAPBEXHLevel1X 2 2 3 3 2" xfId="45420"/>
    <cellStyle name="SAPBEXHLevel1X 2 2 3 3 3" xfId="45421"/>
    <cellStyle name="SAPBEXHLevel1X 2 2 3 3 4" xfId="45422"/>
    <cellStyle name="SAPBEXHLevel1X 2 2 3 4" xfId="45423"/>
    <cellStyle name="SAPBEXHLevel1X 2 2 3 4 2" xfId="45424"/>
    <cellStyle name="SAPBEXHLevel1X 2 2 3 4 3" xfId="45425"/>
    <cellStyle name="SAPBEXHLevel1X 2 2 3 4 4" xfId="45426"/>
    <cellStyle name="SAPBEXHLevel1X 2 2 3 5" xfId="45427"/>
    <cellStyle name="SAPBEXHLevel1X 2 2 3 6" xfId="45428"/>
    <cellStyle name="SAPBEXHLevel1X 2 2 3 7" xfId="45429"/>
    <cellStyle name="SAPBEXHLevel1X 2 2 3 8" xfId="45430"/>
    <cellStyle name="SAPBEXHLevel1X 2 2 4" xfId="45431"/>
    <cellStyle name="SAPBEXHLevel1X 2 2 4 2" xfId="45432"/>
    <cellStyle name="SAPBEXHLevel1X 2 2 4 2 2" xfId="45433"/>
    <cellStyle name="SAPBEXHLevel1X 2 2 4 2 3" xfId="45434"/>
    <cellStyle name="SAPBEXHLevel1X 2 2 4 2 4" xfId="45435"/>
    <cellStyle name="SAPBEXHLevel1X 2 2 4 3" xfId="45436"/>
    <cellStyle name="SAPBEXHLevel1X 2 2 4 3 2" xfId="45437"/>
    <cellStyle name="SAPBEXHLevel1X 2 2 4 3 3" xfId="45438"/>
    <cellStyle name="SAPBEXHLevel1X 2 2 4 3 4" xfId="45439"/>
    <cellStyle name="SAPBEXHLevel1X 2 2 4 4" xfId="45440"/>
    <cellStyle name="SAPBEXHLevel1X 2 2 4 4 2" xfId="45441"/>
    <cellStyle name="SAPBEXHLevel1X 2 2 4 4 3" xfId="45442"/>
    <cellStyle name="SAPBEXHLevel1X 2 2 4 4 4" xfId="45443"/>
    <cellStyle name="SAPBEXHLevel1X 2 2 4 5" xfId="45444"/>
    <cellStyle name="SAPBEXHLevel1X 2 2 4 6" xfId="45445"/>
    <cellStyle name="SAPBEXHLevel1X 2 2 4 7" xfId="45446"/>
    <cellStyle name="SAPBEXHLevel1X 2 2 4 8" xfId="45447"/>
    <cellStyle name="SAPBEXHLevel1X 2 2 5" xfId="45448"/>
    <cellStyle name="SAPBEXHLevel1X 2 2 5 2" xfId="45449"/>
    <cellStyle name="SAPBEXHLevel1X 2 2 5 2 2" xfId="45450"/>
    <cellStyle name="SAPBEXHLevel1X 2 2 5 2 3" xfId="45451"/>
    <cellStyle name="SAPBEXHLevel1X 2 2 5 2 4" xfId="45452"/>
    <cellStyle name="SAPBEXHLevel1X 2 2 5 3" xfId="45453"/>
    <cellStyle name="SAPBEXHLevel1X 2 2 5 3 2" xfId="45454"/>
    <cellStyle name="SAPBEXHLevel1X 2 2 5 3 3" xfId="45455"/>
    <cellStyle name="SAPBEXHLevel1X 2 2 5 3 4" xfId="45456"/>
    <cellStyle name="SAPBEXHLevel1X 2 2 5 4" xfId="45457"/>
    <cellStyle name="SAPBEXHLevel1X 2 2 5 4 2" xfId="45458"/>
    <cellStyle name="SAPBEXHLevel1X 2 2 5 4 3" xfId="45459"/>
    <cellStyle name="SAPBEXHLevel1X 2 2 5 4 4" xfId="45460"/>
    <cellStyle name="SAPBEXHLevel1X 2 2 5 5" xfId="45461"/>
    <cellStyle name="SAPBEXHLevel1X 2 2 5 6" xfId="45462"/>
    <cellStyle name="SAPBEXHLevel1X 2 2 5 7" xfId="45463"/>
    <cellStyle name="SAPBEXHLevel1X 2 2 5 8" xfId="45464"/>
    <cellStyle name="SAPBEXHLevel1X 2 2 6" xfId="45465"/>
    <cellStyle name="SAPBEXHLevel1X 2 2 6 2" xfId="45466"/>
    <cellStyle name="SAPBEXHLevel1X 2 2 6 2 2" xfId="45467"/>
    <cellStyle name="SAPBEXHLevel1X 2 2 6 2 3" xfId="45468"/>
    <cellStyle name="SAPBEXHLevel1X 2 2 6 2 4" xfId="45469"/>
    <cellStyle name="SAPBEXHLevel1X 2 2 6 3" xfId="45470"/>
    <cellStyle name="SAPBEXHLevel1X 2 2 6 3 2" xfId="45471"/>
    <cellStyle name="SAPBEXHLevel1X 2 2 6 3 3" xfId="45472"/>
    <cellStyle name="SAPBEXHLevel1X 2 2 6 3 4" xfId="45473"/>
    <cellStyle name="SAPBEXHLevel1X 2 2 6 4" xfId="45474"/>
    <cellStyle name="SAPBEXHLevel1X 2 2 6 4 2" xfId="45475"/>
    <cellStyle name="SAPBEXHLevel1X 2 2 6 4 3" xfId="45476"/>
    <cellStyle name="SAPBEXHLevel1X 2 2 6 4 4" xfId="45477"/>
    <cellStyle name="SAPBEXHLevel1X 2 2 6 5" xfId="45478"/>
    <cellStyle name="SAPBEXHLevel1X 2 2 6 6" xfId="45479"/>
    <cellStyle name="SAPBEXHLevel1X 2 2 6 7" xfId="45480"/>
    <cellStyle name="SAPBEXHLevel1X 2 2 6 8" xfId="45481"/>
    <cellStyle name="SAPBEXHLevel1X 2 2 7" xfId="45482"/>
    <cellStyle name="SAPBEXHLevel1X 2 2 7 2" xfId="45483"/>
    <cellStyle name="SAPBEXHLevel1X 2 2 7 2 2" xfId="45484"/>
    <cellStyle name="SAPBEXHLevel1X 2 2 7 2 3" xfId="45485"/>
    <cellStyle name="SAPBEXHLevel1X 2 2 7 2 4" xfId="45486"/>
    <cellStyle name="SAPBEXHLevel1X 2 2 7 3" xfId="45487"/>
    <cellStyle name="SAPBEXHLevel1X 2 2 7 3 2" xfId="45488"/>
    <cellStyle name="SAPBEXHLevel1X 2 2 7 3 3" xfId="45489"/>
    <cellStyle name="SAPBEXHLevel1X 2 2 7 3 4" xfId="45490"/>
    <cellStyle name="SAPBEXHLevel1X 2 2 7 4" xfId="45491"/>
    <cellStyle name="SAPBEXHLevel1X 2 2 7 4 2" xfId="45492"/>
    <cellStyle name="SAPBEXHLevel1X 2 2 7 4 3" xfId="45493"/>
    <cellStyle name="SAPBEXHLevel1X 2 2 7 4 4" xfId="45494"/>
    <cellStyle name="SAPBEXHLevel1X 2 2 7 5" xfId="45495"/>
    <cellStyle name="SAPBEXHLevel1X 2 2 7 6" xfId="45496"/>
    <cellStyle name="SAPBEXHLevel1X 2 2 7 7" xfId="45497"/>
    <cellStyle name="SAPBEXHLevel1X 2 2 7 8" xfId="45498"/>
    <cellStyle name="SAPBEXHLevel1X 2 2 8" xfId="45499"/>
    <cellStyle name="SAPBEXHLevel1X 2 2 8 2" xfId="45500"/>
    <cellStyle name="SAPBEXHLevel1X 2 2 8 3" xfId="45501"/>
    <cellStyle name="SAPBEXHLevel1X 2 2 8 4" xfId="45502"/>
    <cellStyle name="SAPBEXHLevel1X 2 2 9" xfId="45503"/>
    <cellStyle name="SAPBEXHLevel1X 2 2 9 2" xfId="45504"/>
    <cellStyle name="SAPBEXHLevel1X 2 2 9 3" xfId="45505"/>
    <cellStyle name="SAPBEXHLevel1X 2 2 9 4" xfId="45506"/>
    <cellStyle name="SAPBEXHLevel1X 2 3" xfId="45507"/>
    <cellStyle name="SAPBEXHLevel1X 2 3 10" xfId="45508"/>
    <cellStyle name="SAPBEXHLevel1X 2 3 11" xfId="45509"/>
    <cellStyle name="SAPBEXHLevel1X 2 3 2" xfId="45510"/>
    <cellStyle name="SAPBEXHLevel1X 2 3 2 2" xfId="45511"/>
    <cellStyle name="SAPBEXHLevel1X 2 3 2 2 2" xfId="45512"/>
    <cellStyle name="SAPBEXHLevel1X 2 3 2 2 2 2" xfId="45513"/>
    <cellStyle name="SAPBEXHLevel1X 2 3 2 2 2 3" xfId="45514"/>
    <cellStyle name="SAPBEXHLevel1X 2 3 2 2 2 4" xfId="45515"/>
    <cellStyle name="SAPBEXHLevel1X 2 3 2 2 3" xfId="45516"/>
    <cellStyle name="SAPBEXHLevel1X 2 3 2 2 3 2" xfId="45517"/>
    <cellStyle name="SAPBEXHLevel1X 2 3 2 2 3 3" xfId="45518"/>
    <cellStyle name="SAPBEXHLevel1X 2 3 2 2 3 4" xfId="45519"/>
    <cellStyle name="SAPBEXHLevel1X 2 3 2 2 4" xfId="45520"/>
    <cellStyle name="SAPBEXHLevel1X 2 3 2 2 4 2" xfId="45521"/>
    <cellStyle name="SAPBEXHLevel1X 2 3 2 2 4 3" xfId="45522"/>
    <cellStyle name="SAPBEXHLevel1X 2 3 2 2 4 4" xfId="45523"/>
    <cellStyle name="SAPBEXHLevel1X 2 3 2 2 5" xfId="45524"/>
    <cellStyle name="SAPBEXHLevel1X 2 3 2 2 6" xfId="45525"/>
    <cellStyle name="SAPBEXHLevel1X 2 3 2 2 7" xfId="45526"/>
    <cellStyle name="SAPBEXHLevel1X 2 3 2 2 8" xfId="45527"/>
    <cellStyle name="SAPBEXHLevel1X 2 3 2 3" xfId="45528"/>
    <cellStyle name="SAPBEXHLevel1X 2 3 2 3 2" xfId="45529"/>
    <cellStyle name="SAPBEXHLevel1X 2 3 2 3 2 2" xfId="45530"/>
    <cellStyle name="SAPBEXHLevel1X 2 3 2 3 2 3" xfId="45531"/>
    <cellStyle name="SAPBEXHLevel1X 2 3 2 3 2 4" xfId="45532"/>
    <cellStyle name="SAPBEXHLevel1X 2 3 2 3 3" xfId="45533"/>
    <cellStyle name="SAPBEXHLevel1X 2 3 2 3 3 2" xfId="45534"/>
    <cellStyle name="SAPBEXHLevel1X 2 3 2 3 3 3" xfId="45535"/>
    <cellStyle name="SAPBEXHLevel1X 2 3 2 3 3 4" xfId="45536"/>
    <cellStyle name="SAPBEXHLevel1X 2 3 2 3 4" xfId="45537"/>
    <cellStyle name="SAPBEXHLevel1X 2 3 2 3 4 2" xfId="45538"/>
    <cellStyle name="SAPBEXHLevel1X 2 3 2 3 4 3" xfId="45539"/>
    <cellStyle name="SAPBEXHLevel1X 2 3 2 3 4 4" xfId="45540"/>
    <cellStyle name="SAPBEXHLevel1X 2 3 2 3 5" xfId="45541"/>
    <cellStyle name="SAPBEXHLevel1X 2 3 2 3 6" xfId="45542"/>
    <cellStyle name="SAPBEXHLevel1X 2 3 2 3 7" xfId="45543"/>
    <cellStyle name="SAPBEXHLevel1X 2 3 2 3 8" xfId="45544"/>
    <cellStyle name="SAPBEXHLevel1X 2 3 2 4" xfId="45545"/>
    <cellStyle name="SAPBEXHLevel1X 2 3 2 4 2" xfId="45546"/>
    <cellStyle name="SAPBEXHLevel1X 2 3 2 4 2 2" xfId="45547"/>
    <cellStyle name="SAPBEXHLevel1X 2 3 2 4 2 3" xfId="45548"/>
    <cellStyle name="SAPBEXHLevel1X 2 3 2 4 2 4" xfId="45549"/>
    <cellStyle name="SAPBEXHLevel1X 2 3 2 4 3" xfId="45550"/>
    <cellStyle name="SAPBEXHLevel1X 2 3 2 4 3 2" xfId="45551"/>
    <cellStyle name="SAPBEXHLevel1X 2 3 2 4 3 3" xfId="45552"/>
    <cellStyle name="SAPBEXHLevel1X 2 3 2 4 3 4" xfId="45553"/>
    <cellStyle name="SAPBEXHLevel1X 2 3 2 4 4" xfId="45554"/>
    <cellStyle name="SAPBEXHLevel1X 2 3 2 4 4 2" xfId="45555"/>
    <cellStyle name="SAPBEXHLevel1X 2 3 2 4 4 3" xfId="45556"/>
    <cellStyle name="SAPBEXHLevel1X 2 3 2 4 4 4" xfId="45557"/>
    <cellStyle name="SAPBEXHLevel1X 2 3 2 4 5" xfId="45558"/>
    <cellStyle name="SAPBEXHLevel1X 2 3 2 4 6" xfId="45559"/>
    <cellStyle name="SAPBEXHLevel1X 2 3 2 4 7" xfId="45560"/>
    <cellStyle name="SAPBEXHLevel1X 2 3 2 4 8" xfId="45561"/>
    <cellStyle name="SAPBEXHLevel1X 2 3 2 5" xfId="45562"/>
    <cellStyle name="SAPBEXHLevel1X 2 3 2 5 2" xfId="45563"/>
    <cellStyle name="SAPBEXHLevel1X 2 3 2 5 2 2" xfId="45564"/>
    <cellStyle name="SAPBEXHLevel1X 2 3 2 5 2 3" xfId="45565"/>
    <cellStyle name="SAPBEXHLevel1X 2 3 2 5 2 4" xfId="45566"/>
    <cellStyle name="SAPBEXHLevel1X 2 3 2 5 3" xfId="45567"/>
    <cellStyle name="SAPBEXHLevel1X 2 3 2 5 3 2" xfId="45568"/>
    <cellStyle name="SAPBEXHLevel1X 2 3 2 5 3 3" xfId="45569"/>
    <cellStyle name="SAPBEXHLevel1X 2 3 2 5 3 4" xfId="45570"/>
    <cellStyle name="SAPBEXHLevel1X 2 3 2 5 4" xfId="45571"/>
    <cellStyle name="SAPBEXHLevel1X 2 3 2 5 4 2" xfId="45572"/>
    <cellStyle name="SAPBEXHLevel1X 2 3 2 5 4 3" xfId="45573"/>
    <cellStyle name="SAPBEXHLevel1X 2 3 2 5 4 4" xfId="45574"/>
    <cellStyle name="SAPBEXHLevel1X 2 3 2 5 5" xfId="45575"/>
    <cellStyle name="SAPBEXHLevel1X 2 3 2 5 6" xfId="45576"/>
    <cellStyle name="SAPBEXHLevel1X 2 3 2 5 7" xfId="45577"/>
    <cellStyle name="SAPBEXHLevel1X 2 3 2 5 8" xfId="45578"/>
    <cellStyle name="SAPBEXHLevel1X 2 3 2 6" xfId="45579"/>
    <cellStyle name="SAPBEXHLevel1X 2 3 2 6 2" xfId="45580"/>
    <cellStyle name="SAPBEXHLevel1X 2 3 2 6 3" xfId="45581"/>
    <cellStyle name="SAPBEXHLevel1X 2 3 2 6 4" xfId="45582"/>
    <cellStyle name="SAPBEXHLevel1X 2 3 2 7" xfId="45583"/>
    <cellStyle name="SAPBEXHLevel1X 2 3 2 7 2" xfId="45584"/>
    <cellStyle name="SAPBEXHLevel1X 2 3 2 7 3" xfId="45585"/>
    <cellStyle name="SAPBEXHLevel1X 2 3 2 7 4" xfId="45586"/>
    <cellStyle name="SAPBEXHLevel1X 2 3 2 8" xfId="45587"/>
    <cellStyle name="SAPBEXHLevel1X 2 3 2 9" xfId="45588"/>
    <cellStyle name="SAPBEXHLevel1X 2 3 3" xfId="45589"/>
    <cellStyle name="SAPBEXHLevel1X 2 3 3 2" xfId="45590"/>
    <cellStyle name="SAPBEXHLevel1X 2 3 3 2 2" xfId="45591"/>
    <cellStyle name="SAPBEXHLevel1X 2 3 3 2 3" xfId="45592"/>
    <cellStyle name="SAPBEXHLevel1X 2 3 3 2 4" xfId="45593"/>
    <cellStyle name="SAPBEXHLevel1X 2 3 3 3" xfId="45594"/>
    <cellStyle name="SAPBEXHLevel1X 2 3 3 3 2" xfId="45595"/>
    <cellStyle name="SAPBEXHLevel1X 2 3 3 3 3" xfId="45596"/>
    <cellStyle name="SAPBEXHLevel1X 2 3 3 3 4" xfId="45597"/>
    <cellStyle name="SAPBEXHLevel1X 2 3 3 4" xfId="45598"/>
    <cellStyle name="SAPBEXHLevel1X 2 3 3 4 2" xfId="45599"/>
    <cellStyle name="SAPBEXHLevel1X 2 3 3 4 3" xfId="45600"/>
    <cellStyle name="SAPBEXHLevel1X 2 3 3 4 4" xfId="45601"/>
    <cellStyle name="SAPBEXHLevel1X 2 3 3 5" xfId="45602"/>
    <cellStyle name="SAPBEXHLevel1X 2 3 3 6" xfId="45603"/>
    <cellStyle name="SAPBEXHLevel1X 2 3 3 7" xfId="45604"/>
    <cellStyle name="SAPBEXHLevel1X 2 3 3 8" xfId="45605"/>
    <cellStyle name="SAPBEXHLevel1X 2 3 4" xfId="45606"/>
    <cellStyle name="SAPBEXHLevel1X 2 3 4 2" xfId="45607"/>
    <cellStyle name="SAPBEXHLevel1X 2 3 4 2 2" xfId="45608"/>
    <cellStyle name="SAPBEXHLevel1X 2 3 4 2 3" xfId="45609"/>
    <cellStyle name="SAPBEXHLevel1X 2 3 4 2 4" xfId="45610"/>
    <cellStyle name="SAPBEXHLevel1X 2 3 4 3" xfId="45611"/>
    <cellStyle name="SAPBEXHLevel1X 2 3 4 3 2" xfId="45612"/>
    <cellStyle name="SAPBEXHLevel1X 2 3 4 3 3" xfId="45613"/>
    <cellStyle name="SAPBEXHLevel1X 2 3 4 3 4" xfId="45614"/>
    <cellStyle name="SAPBEXHLevel1X 2 3 4 4" xfId="45615"/>
    <cellStyle name="SAPBEXHLevel1X 2 3 4 4 2" xfId="45616"/>
    <cellStyle name="SAPBEXHLevel1X 2 3 4 4 3" xfId="45617"/>
    <cellStyle name="SAPBEXHLevel1X 2 3 4 4 4" xfId="45618"/>
    <cellStyle name="SAPBEXHLevel1X 2 3 4 5" xfId="45619"/>
    <cellStyle name="SAPBEXHLevel1X 2 3 4 6" xfId="45620"/>
    <cellStyle name="SAPBEXHLevel1X 2 3 4 7" xfId="45621"/>
    <cellStyle name="SAPBEXHLevel1X 2 3 4 8" xfId="45622"/>
    <cellStyle name="SAPBEXHLevel1X 2 3 5" xfId="45623"/>
    <cellStyle name="SAPBEXHLevel1X 2 3 5 2" xfId="45624"/>
    <cellStyle name="SAPBEXHLevel1X 2 3 5 2 2" xfId="45625"/>
    <cellStyle name="SAPBEXHLevel1X 2 3 5 2 3" xfId="45626"/>
    <cellStyle name="SAPBEXHLevel1X 2 3 5 2 4" xfId="45627"/>
    <cellStyle name="SAPBEXHLevel1X 2 3 5 3" xfId="45628"/>
    <cellStyle name="SAPBEXHLevel1X 2 3 5 3 2" xfId="45629"/>
    <cellStyle name="SAPBEXHLevel1X 2 3 5 3 3" xfId="45630"/>
    <cellStyle name="SAPBEXHLevel1X 2 3 5 3 4" xfId="45631"/>
    <cellStyle name="SAPBEXHLevel1X 2 3 5 4" xfId="45632"/>
    <cellStyle name="SAPBEXHLevel1X 2 3 5 4 2" xfId="45633"/>
    <cellStyle name="SAPBEXHLevel1X 2 3 5 4 3" xfId="45634"/>
    <cellStyle name="SAPBEXHLevel1X 2 3 5 4 4" xfId="45635"/>
    <cellStyle name="SAPBEXHLevel1X 2 3 5 5" xfId="45636"/>
    <cellStyle name="SAPBEXHLevel1X 2 3 5 6" xfId="45637"/>
    <cellStyle name="SAPBEXHLevel1X 2 3 5 7" xfId="45638"/>
    <cellStyle name="SAPBEXHLevel1X 2 3 5 8" xfId="45639"/>
    <cellStyle name="SAPBEXHLevel1X 2 3 6" xfId="45640"/>
    <cellStyle name="SAPBEXHLevel1X 2 3 6 2" xfId="45641"/>
    <cellStyle name="SAPBEXHLevel1X 2 3 6 2 2" xfId="45642"/>
    <cellStyle name="SAPBEXHLevel1X 2 3 6 2 3" xfId="45643"/>
    <cellStyle name="SAPBEXHLevel1X 2 3 6 2 4" xfId="45644"/>
    <cellStyle name="SAPBEXHLevel1X 2 3 6 3" xfId="45645"/>
    <cellStyle name="SAPBEXHLevel1X 2 3 6 3 2" xfId="45646"/>
    <cellStyle name="SAPBEXHLevel1X 2 3 6 3 3" xfId="45647"/>
    <cellStyle name="SAPBEXHLevel1X 2 3 6 3 4" xfId="45648"/>
    <cellStyle name="SAPBEXHLevel1X 2 3 6 4" xfId="45649"/>
    <cellStyle name="SAPBEXHLevel1X 2 3 6 4 2" xfId="45650"/>
    <cellStyle name="SAPBEXHLevel1X 2 3 6 4 3" xfId="45651"/>
    <cellStyle name="SAPBEXHLevel1X 2 3 6 4 4" xfId="45652"/>
    <cellStyle name="SAPBEXHLevel1X 2 3 6 5" xfId="45653"/>
    <cellStyle name="SAPBEXHLevel1X 2 3 6 6" xfId="45654"/>
    <cellStyle name="SAPBEXHLevel1X 2 3 6 7" xfId="45655"/>
    <cellStyle name="SAPBEXHLevel1X 2 3 6 8" xfId="45656"/>
    <cellStyle name="SAPBEXHLevel1X 2 3 7" xfId="45657"/>
    <cellStyle name="SAPBEXHLevel1X 2 3 7 2" xfId="45658"/>
    <cellStyle name="SAPBEXHLevel1X 2 3 7 2 2" xfId="45659"/>
    <cellStyle name="SAPBEXHLevel1X 2 3 7 2 3" xfId="45660"/>
    <cellStyle name="SAPBEXHLevel1X 2 3 7 2 4" xfId="45661"/>
    <cellStyle name="SAPBEXHLevel1X 2 3 7 3" xfId="45662"/>
    <cellStyle name="SAPBEXHLevel1X 2 3 7 3 2" xfId="45663"/>
    <cellStyle name="SAPBEXHLevel1X 2 3 7 3 3" xfId="45664"/>
    <cellStyle name="SAPBEXHLevel1X 2 3 7 3 4" xfId="45665"/>
    <cellStyle name="SAPBEXHLevel1X 2 3 7 4" xfId="45666"/>
    <cellStyle name="SAPBEXHLevel1X 2 3 7 4 2" xfId="45667"/>
    <cellStyle name="SAPBEXHLevel1X 2 3 7 4 3" xfId="45668"/>
    <cellStyle name="SAPBEXHLevel1X 2 3 7 4 4" xfId="45669"/>
    <cellStyle name="SAPBEXHLevel1X 2 3 7 5" xfId="45670"/>
    <cellStyle name="SAPBEXHLevel1X 2 3 7 6" xfId="45671"/>
    <cellStyle name="SAPBEXHLevel1X 2 3 7 7" xfId="45672"/>
    <cellStyle name="SAPBEXHLevel1X 2 3 7 8" xfId="45673"/>
    <cellStyle name="SAPBEXHLevel1X 2 3 8" xfId="45674"/>
    <cellStyle name="SAPBEXHLevel1X 2 3 8 2" xfId="45675"/>
    <cellStyle name="SAPBEXHLevel1X 2 3 8 3" xfId="45676"/>
    <cellStyle name="SAPBEXHLevel1X 2 3 8 4" xfId="45677"/>
    <cellStyle name="SAPBEXHLevel1X 2 3 9" xfId="45678"/>
    <cellStyle name="SAPBEXHLevel1X 2 3 9 2" xfId="45679"/>
    <cellStyle name="SAPBEXHLevel1X 2 3 9 3" xfId="45680"/>
    <cellStyle name="SAPBEXHLevel1X 2 3 9 4" xfId="45681"/>
    <cellStyle name="SAPBEXHLevel1X 2 4" xfId="45682"/>
    <cellStyle name="SAPBEXHLevel1X 2 4 2" xfId="45683"/>
    <cellStyle name="SAPBEXHLevel1X 2 4 2 2" xfId="45684"/>
    <cellStyle name="SAPBEXHLevel1X 2 4 2 2 2" xfId="45685"/>
    <cellStyle name="SAPBEXHLevel1X 2 4 2 2 3" xfId="45686"/>
    <cellStyle name="SAPBEXHLevel1X 2 4 2 2 4" xfId="45687"/>
    <cellStyle name="SAPBEXHLevel1X 2 4 2 3" xfId="45688"/>
    <cellStyle name="SAPBEXHLevel1X 2 4 2 3 2" xfId="45689"/>
    <cellStyle name="SAPBEXHLevel1X 2 4 2 3 3" xfId="45690"/>
    <cellStyle name="SAPBEXHLevel1X 2 4 2 3 4" xfId="45691"/>
    <cellStyle name="SAPBEXHLevel1X 2 4 2 4" xfId="45692"/>
    <cellStyle name="SAPBEXHLevel1X 2 4 2 4 2" xfId="45693"/>
    <cellStyle name="SAPBEXHLevel1X 2 4 2 4 3" xfId="45694"/>
    <cellStyle name="SAPBEXHLevel1X 2 4 2 4 4" xfId="45695"/>
    <cellStyle name="SAPBEXHLevel1X 2 4 2 5" xfId="45696"/>
    <cellStyle name="SAPBEXHLevel1X 2 4 2 6" xfId="45697"/>
    <cellStyle name="SAPBEXHLevel1X 2 4 2 7" xfId="45698"/>
    <cellStyle name="SAPBEXHLevel1X 2 4 2 8" xfId="45699"/>
    <cellStyle name="SAPBEXHLevel1X 2 4 3" xfId="45700"/>
    <cellStyle name="SAPBEXHLevel1X 2 4 3 2" xfId="45701"/>
    <cellStyle name="SAPBEXHLevel1X 2 4 3 2 2" xfId="45702"/>
    <cellStyle name="SAPBEXHLevel1X 2 4 3 2 3" xfId="45703"/>
    <cellStyle name="SAPBEXHLevel1X 2 4 3 2 4" xfId="45704"/>
    <cellStyle name="SAPBEXHLevel1X 2 4 3 3" xfId="45705"/>
    <cellStyle name="SAPBEXHLevel1X 2 4 3 3 2" xfId="45706"/>
    <cellStyle name="SAPBEXHLevel1X 2 4 3 3 3" xfId="45707"/>
    <cellStyle name="SAPBEXHLevel1X 2 4 3 3 4" xfId="45708"/>
    <cellStyle name="SAPBEXHLevel1X 2 4 3 4" xfId="45709"/>
    <cellStyle name="SAPBEXHLevel1X 2 4 3 4 2" xfId="45710"/>
    <cellStyle name="SAPBEXHLevel1X 2 4 3 4 3" xfId="45711"/>
    <cellStyle name="SAPBEXHLevel1X 2 4 3 4 4" xfId="45712"/>
    <cellStyle name="SAPBEXHLevel1X 2 4 3 5" xfId="45713"/>
    <cellStyle name="SAPBEXHLevel1X 2 4 3 6" xfId="45714"/>
    <cellStyle name="SAPBEXHLevel1X 2 4 3 7" xfId="45715"/>
    <cellStyle name="SAPBEXHLevel1X 2 4 3 8" xfId="45716"/>
    <cellStyle name="SAPBEXHLevel1X 2 4 4" xfId="45717"/>
    <cellStyle name="SAPBEXHLevel1X 2 4 4 2" xfId="45718"/>
    <cellStyle name="SAPBEXHLevel1X 2 4 4 2 2" xfId="45719"/>
    <cellStyle name="SAPBEXHLevel1X 2 4 4 2 3" xfId="45720"/>
    <cellStyle name="SAPBEXHLevel1X 2 4 4 2 4" xfId="45721"/>
    <cellStyle name="SAPBEXHLevel1X 2 4 4 3" xfId="45722"/>
    <cellStyle name="SAPBEXHLevel1X 2 4 4 3 2" xfId="45723"/>
    <cellStyle name="SAPBEXHLevel1X 2 4 4 3 3" xfId="45724"/>
    <cellStyle name="SAPBEXHLevel1X 2 4 4 3 4" xfId="45725"/>
    <cellStyle name="SAPBEXHLevel1X 2 4 4 4" xfId="45726"/>
    <cellStyle name="SAPBEXHLevel1X 2 4 4 4 2" xfId="45727"/>
    <cellStyle name="SAPBEXHLevel1X 2 4 4 4 3" xfId="45728"/>
    <cellStyle name="SAPBEXHLevel1X 2 4 4 4 4" xfId="45729"/>
    <cellStyle name="SAPBEXHLevel1X 2 4 4 5" xfId="45730"/>
    <cellStyle name="SAPBEXHLevel1X 2 4 4 6" xfId="45731"/>
    <cellStyle name="SAPBEXHLevel1X 2 4 4 7" xfId="45732"/>
    <cellStyle name="SAPBEXHLevel1X 2 4 4 8" xfId="45733"/>
    <cellStyle name="SAPBEXHLevel1X 2 4 5" xfId="45734"/>
    <cellStyle name="SAPBEXHLevel1X 2 4 5 2" xfId="45735"/>
    <cellStyle name="SAPBEXHLevel1X 2 4 5 2 2" xfId="45736"/>
    <cellStyle name="SAPBEXHLevel1X 2 4 5 2 3" xfId="45737"/>
    <cellStyle name="SAPBEXHLevel1X 2 4 5 2 4" xfId="45738"/>
    <cellStyle name="SAPBEXHLevel1X 2 4 5 3" xfId="45739"/>
    <cellStyle name="SAPBEXHLevel1X 2 4 5 3 2" xfId="45740"/>
    <cellStyle name="SAPBEXHLevel1X 2 4 5 3 3" xfId="45741"/>
    <cellStyle name="SAPBEXHLevel1X 2 4 5 3 4" xfId="45742"/>
    <cellStyle name="SAPBEXHLevel1X 2 4 5 4" xfId="45743"/>
    <cellStyle name="SAPBEXHLevel1X 2 4 5 4 2" xfId="45744"/>
    <cellStyle name="SAPBEXHLevel1X 2 4 5 4 3" xfId="45745"/>
    <cellStyle name="SAPBEXHLevel1X 2 4 5 4 4" xfId="45746"/>
    <cellStyle name="SAPBEXHLevel1X 2 4 5 5" xfId="45747"/>
    <cellStyle name="SAPBEXHLevel1X 2 4 5 6" xfId="45748"/>
    <cellStyle name="SAPBEXHLevel1X 2 4 5 7" xfId="45749"/>
    <cellStyle name="SAPBEXHLevel1X 2 4 5 8" xfId="45750"/>
    <cellStyle name="SAPBEXHLevel1X 2 4 6" xfId="45751"/>
    <cellStyle name="SAPBEXHLevel1X 2 4 6 2" xfId="45752"/>
    <cellStyle name="SAPBEXHLevel1X 2 4 6 3" xfId="45753"/>
    <cellStyle name="SAPBEXHLevel1X 2 4 6 4" xfId="45754"/>
    <cellStyle name="SAPBEXHLevel1X 2 4 7" xfId="45755"/>
    <cellStyle name="SAPBEXHLevel1X 2 4 7 2" xfId="45756"/>
    <cellStyle name="SAPBEXHLevel1X 2 4 7 3" xfId="45757"/>
    <cellStyle name="SAPBEXHLevel1X 2 4 7 4" xfId="45758"/>
    <cellStyle name="SAPBEXHLevel1X 2 4 8" xfId="45759"/>
    <cellStyle name="SAPBEXHLevel1X 2 4 9" xfId="45760"/>
    <cellStyle name="SAPBEXHLevel1X 2 5" xfId="45761"/>
    <cellStyle name="SAPBEXHLevel1X 2 5 2" xfId="45762"/>
    <cellStyle name="SAPBEXHLevel1X 2 5 2 2" xfId="45763"/>
    <cellStyle name="SAPBEXHLevel1X 2 5 2 3" xfId="45764"/>
    <cellStyle name="SAPBEXHLevel1X 2 5 2 4" xfId="45765"/>
    <cellStyle name="SAPBEXHLevel1X 2 5 3" xfId="45766"/>
    <cellStyle name="SAPBEXHLevel1X 2 5 3 2" xfId="45767"/>
    <cellStyle name="SAPBEXHLevel1X 2 5 3 3" xfId="45768"/>
    <cellStyle name="SAPBEXHLevel1X 2 5 3 4" xfId="45769"/>
    <cellStyle name="SAPBEXHLevel1X 2 5 4" xfId="45770"/>
    <cellStyle name="SAPBEXHLevel1X 2 5 4 2" xfId="45771"/>
    <cellStyle name="SAPBEXHLevel1X 2 5 4 3" xfId="45772"/>
    <cellStyle name="SAPBEXHLevel1X 2 5 4 4" xfId="45773"/>
    <cellStyle name="SAPBEXHLevel1X 2 5 5" xfId="45774"/>
    <cellStyle name="SAPBEXHLevel1X 2 5 6" xfId="45775"/>
    <cellStyle name="SAPBEXHLevel1X 2 5 7" xfId="45776"/>
    <cellStyle name="SAPBEXHLevel1X 2 5 8" xfId="45777"/>
    <cellStyle name="SAPBEXHLevel1X 2 6" xfId="45778"/>
    <cellStyle name="SAPBEXHLevel1X 2 6 2" xfId="45779"/>
    <cellStyle name="SAPBEXHLevel1X 2 6 2 2" xfId="45780"/>
    <cellStyle name="SAPBEXHLevel1X 2 6 2 3" xfId="45781"/>
    <cellStyle name="SAPBEXHLevel1X 2 6 2 4" xfId="45782"/>
    <cellStyle name="SAPBEXHLevel1X 2 6 3" xfId="45783"/>
    <cellStyle name="SAPBEXHLevel1X 2 6 3 2" xfId="45784"/>
    <cellStyle name="SAPBEXHLevel1X 2 6 3 3" xfId="45785"/>
    <cellStyle name="SAPBEXHLevel1X 2 6 3 4" xfId="45786"/>
    <cellStyle name="SAPBEXHLevel1X 2 6 4" xfId="45787"/>
    <cellStyle name="SAPBEXHLevel1X 2 6 4 2" xfId="45788"/>
    <cellStyle name="SAPBEXHLevel1X 2 6 4 3" xfId="45789"/>
    <cellStyle name="SAPBEXHLevel1X 2 6 4 4" xfId="45790"/>
    <cellStyle name="SAPBEXHLevel1X 2 6 5" xfId="45791"/>
    <cellStyle name="SAPBEXHLevel1X 2 6 6" xfId="45792"/>
    <cellStyle name="SAPBEXHLevel1X 2 6 7" xfId="45793"/>
    <cellStyle name="SAPBEXHLevel1X 2 6 8" xfId="45794"/>
    <cellStyle name="SAPBEXHLevel1X 2 7" xfId="45795"/>
    <cellStyle name="SAPBEXHLevel1X 2 7 2" xfId="45796"/>
    <cellStyle name="SAPBEXHLevel1X 2 7 2 2" xfId="45797"/>
    <cellStyle name="SAPBEXHLevel1X 2 7 2 3" xfId="45798"/>
    <cellStyle name="SAPBEXHLevel1X 2 7 2 4" xfId="45799"/>
    <cellStyle name="SAPBEXHLevel1X 2 7 3" xfId="45800"/>
    <cellStyle name="SAPBEXHLevel1X 2 7 3 2" xfId="45801"/>
    <cellStyle name="SAPBEXHLevel1X 2 7 3 3" xfId="45802"/>
    <cellStyle name="SAPBEXHLevel1X 2 7 3 4" xfId="45803"/>
    <cellStyle name="SAPBEXHLevel1X 2 7 4" xfId="45804"/>
    <cellStyle name="SAPBEXHLevel1X 2 7 4 2" xfId="45805"/>
    <cellStyle name="SAPBEXHLevel1X 2 7 4 3" xfId="45806"/>
    <cellStyle name="SAPBEXHLevel1X 2 7 4 4" xfId="45807"/>
    <cellStyle name="SAPBEXHLevel1X 2 7 5" xfId="45808"/>
    <cellStyle name="SAPBEXHLevel1X 2 7 6" xfId="45809"/>
    <cellStyle name="SAPBEXHLevel1X 2 7 7" xfId="45810"/>
    <cellStyle name="SAPBEXHLevel1X 2 7 8" xfId="45811"/>
    <cellStyle name="SAPBEXHLevel1X 2 8" xfId="45812"/>
    <cellStyle name="SAPBEXHLevel1X 2 8 2" xfId="45813"/>
    <cellStyle name="SAPBEXHLevel1X 2 8 2 2" xfId="45814"/>
    <cellStyle name="SAPBEXHLevel1X 2 8 2 3" xfId="45815"/>
    <cellStyle name="SAPBEXHLevel1X 2 8 2 4" xfId="45816"/>
    <cellStyle name="SAPBEXHLevel1X 2 8 3" xfId="45817"/>
    <cellStyle name="SAPBEXHLevel1X 2 8 3 2" xfId="45818"/>
    <cellStyle name="SAPBEXHLevel1X 2 8 3 3" xfId="45819"/>
    <cellStyle name="SAPBEXHLevel1X 2 8 3 4" xfId="45820"/>
    <cellStyle name="SAPBEXHLevel1X 2 8 4" xfId="45821"/>
    <cellStyle name="SAPBEXHLevel1X 2 8 4 2" xfId="45822"/>
    <cellStyle name="SAPBEXHLevel1X 2 8 4 3" xfId="45823"/>
    <cellStyle name="SAPBEXHLevel1X 2 8 4 4" xfId="45824"/>
    <cellStyle name="SAPBEXHLevel1X 2 8 5" xfId="45825"/>
    <cellStyle name="SAPBEXHLevel1X 2 8 6" xfId="45826"/>
    <cellStyle name="SAPBEXHLevel1X 2 8 7" xfId="45827"/>
    <cellStyle name="SAPBEXHLevel1X 2 8 8" xfId="45828"/>
    <cellStyle name="SAPBEXHLevel1X 2 9" xfId="45829"/>
    <cellStyle name="SAPBEXHLevel1X 2 9 2" xfId="45830"/>
    <cellStyle name="SAPBEXHLevel1X 2 9 2 2" xfId="45831"/>
    <cellStyle name="SAPBEXHLevel1X 2 9 2 3" xfId="45832"/>
    <cellStyle name="SAPBEXHLevel1X 2 9 2 4" xfId="45833"/>
    <cellStyle name="SAPBEXHLevel1X 2 9 3" xfId="45834"/>
    <cellStyle name="SAPBEXHLevel1X 2 9 3 2" xfId="45835"/>
    <cellStyle name="SAPBEXHLevel1X 2 9 3 3" xfId="45836"/>
    <cellStyle name="SAPBEXHLevel1X 2 9 3 4" xfId="45837"/>
    <cellStyle name="SAPBEXHLevel1X 2 9 4" xfId="45838"/>
    <cellStyle name="SAPBEXHLevel1X 2 9 4 2" xfId="45839"/>
    <cellStyle name="SAPBEXHLevel1X 2 9 4 3" xfId="45840"/>
    <cellStyle name="SAPBEXHLevel1X 2 9 4 4" xfId="45841"/>
    <cellStyle name="SAPBEXHLevel1X 2 9 5" xfId="45842"/>
    <cellStyle name="SAPBEXHLevel1X 2 9 6" xfId="45843"/>
    <cellStyle name="SAPBEXHLevel1X 2 9 7" xfId="45844"/>
    <cellStyle name="SAPBEXHLevel1X 2 9 8" xfId="45845"/>
    <cellStyle name="SAPBEXHLevel1X 3" xfId="45846"/>
    <cellStyle name="SAPBEXHLevel1X 3 10" xfId="45847"/>
    <cellStyle name="SAPBEXHLevel1X 3 11" xfId="45848"/>
    <cellStyle name="SAPBEXHLevel1X 3 2" xfId="45849"/>
    <cellStyle name="SAPBEXHLevel1X 3 2 2" xfId="45850"/>
    <cellStyle name="SAPBEXHLevel1X 3 2 2 2" xfId="45851"/>
    <cellStyle name="SAPBEXHLevel1X 3 2 2 2 2" xfId="45852"/>
    <cellStyle name="SAPBEXHLevel1X 3 2 2 2 3" xfId="45853"/>
    <cellStyle name="SAPBEXHLevel1X 3 2 2 2 4" xfId="45854"/>
    <cellStyle name="SAPBEXHLevel1X 3 2 2 3" xfId="45855"/>
    <cellStyle name="SAPBEXHLevel1X 3 2 2 3 2" xfId="45856"/>
    <cellStyle name="SAPBEXHLevel1X 3 2 2 3 3" xfId="45857"/>
    <cellStyle name="SAPBEXHLevel1X 3 2 2 3 4" xfId="45858"/>
    <cellStyle name="SAPBEXHLevel1X 3 2 2 4" xfId="45859"/>
    <cellStyle name="SAPBEXHLevel1X 3 2 2 4 2" xfId="45860"/>
    <cellStyle name="SAPBEXHLevel1X 3 2 2 4 3" xfId="45861"/>
    <cellStyle name="SAPBEXHLevel1X 3 2 2 4 4" xfId="45862"/>
    <cellStyle name="SAPBEXHLevel1X 3 2 2 5" xfId="45863"/>
    <cellStyle name="SAPBEXHLevel1X 3 2 2 6" xfId="45864"/>
    <cellStyle name="SAPBEXHLevel1X 3 2 2 7" xfId="45865"/>
    <cellStyle name="SAPBEXHLevel1X 3 2 2 8" xfId="45866"/>
    <cellStyle name="SAPBEXHLevel1X 3 2 3" xfId="45867"/>
    <cellStyle name="SAPBEXHLevel1X 3 2 3 2" xfId="45868"/>
    <cellStyle name="SAPBEXHLevel1X 3 2 3 2 2" xfId="45869"/>
    <cellStyle name="SAPBEXHLevel1X 3 2 3 2 3" xfId="45870"/>
    <cellStyle name="SAPBEXHLevel1X 3 2 3 2 4" xfId="45871"/>
    <cellStyle name="SAPBEXHLevel1X 3 2 3 3" xfId="45872"/>
    <cellStyle name="SAPBEXHLevel1X 3 2 3 3 2" xfId="45873"/>
    <cellStyle name="SAPBEXHLevel1X 3 2 3 3 3" xfId="45874"/>
    <cellStyle name="SAPBEXHLevel1X 3 2 3 3 4" xfId="45875"/>
    <cellStyle name="SAPBEXHLevel1X 3 2 3 4" xfId="45876"/>
    <cellStyle name="SAPBEXHLevel1X 3 2 3 4 2" xfId="45877"/>
    <cellStyle name="SAPBEXHLevel1X 3 2 3 4 3" xfId="45878"/>
    <cellStyle name="SAPBEXHLevel1X 3 2 3 4 4" xfId="45879"/>
    <cellStyle name="SAPBEXHLevel1X 3 2 3 5" xfId="45880"/>
    <cellStyle name="SAPBEXHLevel1X 3 2 3 6" xfId="45881"/>
    <cellStyle name="SAPBEXHLevel1X 3 2 3 7" xfId="45882"/>
    <cellStyle name="SAPBEXHLevel1X 3 2 3 8" xfId="45883"/>
    <cellStyle name="SAPBEXHLevel1X 3 2 4" xfId="45884"/>
    <cellStyle name="SAPBEXHLevel1X 3 2 4 2" xfId="45885"/>
    <cellStyle name="SAPBEXHLevel1X 3 2 4 2 2" xfId="45886"/>
    <cellStyle name="SAPBEXHLevel1X 3 2 4 2 3" xfId="45887"/>
    <cellStyle name="SAPBEXHLevel1X 3 2 4 2 4" xfId="45888"/>
    <cellStyle name="SAPBEXHLevel1X 3 2 4 3" xfId="45889"/>
    <cellStyle name="SAPBEXHLevel1X 3 2 4 3 2" xfId="45890"/>
    <cellStyle name="SAPBEXHLevel1X 3 2 4 3 3" xfId="45891"/>
    <cellStyle name="SAPBEXHLevel1X 3 2 4 3 4" xfId="45892"/>
    <cellStyle name="SAPBEXHLevel1X 3 2 4 4" xfId="45893"/>
    <cellStyle name="SAPBEXHLevel1X 3 2 4 4 2" xfId="45894"/>
    <cellStyle name="SAPBEXHLevel1X 3 2 4 4 3" xfId="45895"/>
    <cellStyle name="SAPBEXHLevel1X 3 2 4 4 4" xfId="45896"/>
    <cellStyle name="SAPBEXHLevel1X 3 2 4 5" xfId="45897"/>
    <cellStyle name="SAPBEXHLevel1X 3 2 4 6" xfId="45898"/>
    <cellStyle name="SAPBEXHLevel1X 3 2 4 7" xfId="45899"/>
    <cellStyle name="SAPBEXHLevel1X 3 2 4 8" xfId="45900"/>
    <cellStyle name="SAPBEXHLevel1X 3 2 5" xfId="45901"/>
    <cellStyle name="SAPBEXHLevel1X 3 2 5 2" xfId="45902"/>
    <cellStyle name="SAPBEXHLevel1X 3 2 5 2 2" xfId="45903"/>
    <cellStyle name="SAPBEXHLevel1X 3 2 5 2 3" xfId="45904"/>
    <cellStyle name="SAPBEXHLevel1X 3 2 5 2 4" xfId="45905"/>
    <cellStyle name="SAPBEXHLevel1X 3 2 5 3" xfId="45906"/>
    <cellStyle name="SAPBEXHLevel1X 3 2 5 3 2" xfId="45907"/>
    <cellStyle name="SAPBEXHLevel1X 3 2 5 3 3" xfId="45908"/>
    <cellStyle name="SAPBEXHLevel1X 3 2 5 3 4" xfId="45909"/>
    <cellStyle name="SAPBEXHLevel1X 3 2 5 4" xfId="45910"/>
    <cellStyle name="SAPBEXHLevel1X 3 2 5 4 2" xfId="45911"/>
    <cellStyle name="SAPBEXHLevel1X 3 2 5 4 3" xfId="45912"/>
    <cellStyle name="SAPBEXHLevel1X 3 2 5 4 4" xfId="45913"/>
    <cellStyle name="SAPBEXHLevel1X 3 2 5 5" xfId="45914"/>
    <cellStyle name="SAPBEXHLevel1X 3 2 5 6" xfId="45915"/>
    <cellStyle name="SAPBEXHLevel1X 3 2 5 7" xfId="45916"/>
    <cellStyle name="SAPBEXHLevel1X 3 2 5 8" xfId="45917"/>
    <cellStyle name="SAPBEXHLevel1X 3 2 6" xfId="45918"/>
    <cellStyle name="SAPBEXHLevel1X 3 2 6 2" xfId="45919"/>
    <cellStyle name="SAPBEXHLevel1X 3 2 6 3" xfId="45920"/>
    <cellStyle name="SAPBEXHLevel1X 3 2 6 4" xfId="45921"/>
    <cellStyle name="SAPBEXHLevel1X 3 2 7" xfId="45922"/>
    <cellStyle name="SAPBEXHLevel1X 3 2 7 2" xfId="45923"/>
    <cellStyle name="SAPBEXHLevel1X 3 2 7 3" xfId="45924"/>
    <cellStyle name="SAPBEXHLevel1X 3 2 7 4" xfId="45925"/>
    <cellStyle name="SAPBEXHLevel1X 3 2 8" xfId="45926"/>
    <cellStyle name="SAPBEXHLevel1X 3 2 9" xfId="45927"/>
    <cellStyle name="SAPBEXHLevel1X 3 3" xfId="45928"/>
    <cellStyle name="SAPBEXHLevel1X 3 3 2" xfId="45929"/>
    <cellStyle name="SAPBEXHLevel1X 3 3 2 2" xfId="45930"/>
    <cellStyle name="SAPBEXHLevel1X 3 3 2 3" xfId="45931"/>
    <cellStyle name="SAPBEXHLevel1X 3 3 2 4" xfId="45932"/>
    <cellStyle name="SAPBEXHLevel1X 3 3 3" xfId="45933"/>
    <cellStyle name="SAPBEXHLevel1X 3 3 3 2" xfId="45934"/>
    <cellStyle name="SAPBEXHLevel1X 3 3 3 3" xfId="45935"/>
    <cellStyle name="SAPBEXHLevel1X 3 3 3 4" xfId="45936"/>
    <cellStyle name="SAPBEXHLevel1X 3 3 4" xfId="45937"/>
    <cellStyle name="SAPBEXHLevel1X 3 3 4 2" xfId="45938"/>
    <cellStyle name="SAPBEXHLevel1X 3 3 4 3" xfId="45939"/>
    <cellStyle name="SAPBEXHLevel1X 3 3 4 4" xfId="45940"/>
    <cellStyle name="SAPBEXHLevel1X 3 3 5" xfId="45941"/>
    <cellStyle name="SAPBEXHLevel1X 3 3 6" xfId="45942"/>
    <cellStyle name="SAPBEXHLevel1X 3 3 7" xfId="45943"/>
    <cellStyle name="SAPBEXHLevel1X 3 3 8" xfId="45944"/>
    <cellStyle name="SAPBEXHLevel1X 3 4" xfId="45945"/>
    <cellStyle name="SAPBEXHLevel1X 3 4 2" xfId="45946"/>
    <cellStyle name="SAPBEXHLevel1X 3 4 2 2" xfId="45947"/>
    <cellStyle name="SAPBEXHLevel1X 3 4 2 3" xfId="45948"/>
    <cellStyle name="SAPBEXHLevel1X 3 4 2 4" xfId="45949"/>
    <cellStyle name="SAPBEXHLevel1X 3 4 3" xfId="45950"/>
    <cellStyle name="SAPBEXHLevel1X 3 4 3 2" xfId="45951"/>
    <cellStyle name="SAPBEXHLevel1X 3 4 3 3" xfId="45952"/>
    <cellStyle name="SAPBEXHLevel1X 3 4 3 4" xfId="45953"/>
    <cellStyle name="SAPBEXHLevel1X 3 4 4" xfId="45954"/>
    <cellStyle name="SAPBEXHLevel1X 3 4 4 2" xfId="45955"/>
    <cellStyle name="SAPBEXHLevel1X 3 4 4 3" xfId="45956"/>
    <cellStyle name="SAPBEXHLevel1X 3 4 4 4" xfId="45957"/>
    <cellStyle name="SAPBEXHLevel1X 3 4 5" xfId="45958"/>
    <cellStyle name="SAPBEXHLevel1X 3 4 6" xfId="45959"/>
    <cellStyle name="SAPBEXHLevel1X 3 4 7" xfId="45960"/>
    <cellStyle name="SAPBEXHLevel1X 3 4 8" xfId="45961"/>
    <cellStyle name="SAPBEXHLevel1X 3 5" xfId="45962"/>
    <cellStyle name="SAPBEXHLevel1X 3 5 2" xfId="45963"/>
    <cellStyle name="SAPBEXHLevel1X 3 5 2 2" xfId="45964"/>
    <cellStyle name="SAPBEXHLevel1X 3 5 2 3" xfId="45965"/>
    <cellStyle name="SAPBEXHLevel1X 3 5 2 4" xfId="45966"/>
    <cellStyle name="SAPBEXHLevel1X 3 5 3" xfId="45967"/>
    <cellStyle name="SAPBEXHLevel1X 3 5 3 2" xfId="45968"/>
    <cellStyle name="SAPBEXHLevel1X 3 5 3 3" xfId="45969"/>
    <cellStyle name="SAPBEXHLevel1X 3 5 3 4" xfId="45970"/>
    <cellStyle name="SAPBEXHLevel1X 3 5 4" xfId="45971"/>
    <cellStyle name="SAPBEXHLevel1X 3 5 4 2" xfId="45972"/>
    <cellStyle name="SAPBEXHLevel1X 3 5 4 3" xfId="45973"/>
    <cellStyle name="SAPBEXHLevel1X 3 5 4 4" xfId="45974"/>
    <cellStyle name="SAPBEXHLevel1X 3 5 5" xfId="45975"/>
    <cellStyle name="SAPBEXHLevel1X 3 5 6" xfId="45976"/>
    <cellStyle name="SAPBEXHLevel1X 3 5 7" xfId="45977"/>
    <cellStyle name="SAPBEXHLevel1X 3 5 8" xfId="45978"/>
    <cellStyle name="SAPBEXHLevel1X 3 6" xfId="45979"/>
    <cellStyle name="SAPBEXHLevel1X 3 6 2" xfId="45980"/>
    <cellStyle name="SAPBEXHLevel1X 3 6 2 2" xfId="45981"/>
    <cellStyle name="SAPBEXHLevel1X 3 6 2 3" xfId="45982"/>
    <cellStyle name="SAPBEXHLevel1X 3 6 2 4" xfId="45983"/>
    <cellStyle name="SAPBEXHLevel1X 3 6 3" xfId="45984"/>
    <cellStyle name="SAPBEXHLevel1X 3 6 3 2" xfId="45985"/>
    <cellStyle name="SAPBEXHLevel1X 3 6 3 3" xfId="45986"/>
    <cellStyle name="SAPBEXHLevel1X 3 6 3 4" xfId="45987"/>
    <cellStyle name="SAPBEXHLevel1X 3 6 4" xfId="45988"/>
    <cellStyle name="SAPBEXHLevel1X 3 6 4 2" xfId="45989"/>
    <cellStyle name="SAPBEXHLevel1X 3 6 4 3" xfId="45990"/>
    <cellStyle name="SAPBEXHLevel1X 3 6 4 4" xfId="45991"/>
    <cellStyle name="SAPBEXHLevel1X 3 6 5" xfId="45992"/>
    <cellStyle name="SAPBEXHLevel1X 3 6 6" xfId="45993"/>
    <cellStyle name="SAPBEXHLevel1X 3 6 7" xfId="45994"/>
    <cellStyle name="SAPBEXHLevel1X 3 6 8" xfId="45995"/>
    <cellStyle name="SAPBEXHLevel1X 3 7" xfId="45996"/>
    <cellStyle name="SAPBEXHLevel1X 3 7 2" xfId="45997"/>
    <cellStyle name="SAPBEXHLevel1X 3 7 2 2" xfId="45998"/>
    <cellStyle name="SAPBEXHLevel1X 3 7 2 3" xfId="45999"/>
    <cellStyle name="SAPBEXHLevel1X 3 7 2 4" xfId="46000"/>
    <cellStyle name="SAPBEXHLevel1X 3 7 3" xfId="46001"/>
    <cellStyle name="SAPBEXHLevel1X 3 7 3 2" xfId="46002"/>
    <cellStyle name="SAPBEXHLevel1X 3 7 3 3" xfId="46003"/>
    <cellStyle name="SAPBEXHLevel1X 3 7 3 4" xfId="46004"/>
    <cellStyle name="SAPBEXHLevel1X 3 7 4" xfId="46005"/>
    <cellStyle name="SAPBEXHLevel1X 3 7 4 2" xfId="46006"/>
    <cellStyle name="SAPBEXHLevel1X 3 7 4 3" xfId="46007"/>
    <cellStyle name="SAPBEXHLevel1X 3 7 4 4" xfId="46008"/>
    <cellStyle name="SAPBEXHLevel1X 3 7 5" xfId="46009"/>
    <cellStyle name="SAPBEXHLevel1X 3 7 6" xfId="46010"/>
    <cellStyle name="SAPBEXHLevel1X 3 7 7" xfId="46011"/>
    <cellStyle name="SAPBEXHLevel1X 3 7 8" xfId="46012"/>
    <cellStyle name="SAPBEXHLevel1X 3 8" xfId="46013"/>
    <cellStyle name="SAPBEXHLevel1X 3 8 2" xfId="46014"/>
    <cellStyle name="SAPBEXHLevel1X 3 8 3" xfId="46015"/>
    <cellStyle name="SAPBEXHLevel1X 3 8 4" xfId="46016"/>
    <cellStyle name="SAPBEXHLevel1X 3 9" xfId="46017"/>
    <cellStyle name="SAPBEXHLevel1X 3 9 2" xfId="46018"/>
    <cellStyle name="SAPBEXHLevel1X 3 9 3" xfId="46019"/>
    <cellStyle name="SAPBEXHLevel1X 3 9 4" xfId="46020"/>
    <cellStyle name="SAPBEXHLevel1X 4" xfId="46021"/>
    <cellStyle name="SAPBEXHLevel1X 4 10" xfId="46022"/>
    <cellStyle name="SAPBEXHLevel1X 4 11" xfId="46023"/>
    <cellStyle name="SAPBEXHLevel1X 4 2" xfId="46024"/>
    <cellStyle name="SAPBEXHLevel1X 4 2 2" xfId="46025"/>
    <cellStyle name="SAPBEXHLevel1X 4 2 2 2" xfId="46026"/>
    <cellStyle name="SAPBEXHLevel1X 4 2 2 2 2" xfId="46027"/>
    <cellStyle name="SAPBEXHLevel1X 4 2 2 2 3" xfId="46028"/>
    <cellStyle name="SAPBEXHLevel1X 4 2 2 2 4" xfId="46029"/>
    <cellStyle name="SAPBEXHLevel1X 4 2 2 3" xfId="46030"/>
    <cellStyle name="SAPBEXHLevel1X 4 2 2 3 2" xfId="46031"/>
    <cellStyle name="SAPBEXHLevel1X 4 2 2 3 3" xfId="46032"/>
    <cellStyle name="SAPBEXHLevel1X 4 2 2 3 4" xfId="46033"/>
    <cellStyle name="SAPBEXHLevel1X 4 2 2 4" xfId="46034"/>
    <cellStyle name="SAPBEXHLevel1X 4 2 2 4 2" xfId="46035"/>
    <cellStyle name="SAPBEXHLevel1X 4 2 2 4 3" xfId="46036"/>
    <cellStyle name="SAPBEXHLevel1X 4 2 2 4 4" xfId="46037"/>
    <cellStyle name="SAPBEXHLevel1X 4 2 2 5" xfId="46038"/>
    <cellStyle name="SAPBEXHLevel1X 4 2 2 6" xfId="46039"/>
    <cellStyle name="SAPBEXHLevel1X 4 2 2 7" xfId="46040"/>
    <cellStyle name="SAPBEXHLevel1X 4 2 2 8" xfId="46041"/>
    <cellStyle name="SAPBEXHLevel1X 4 2 3" xfId="46042"/>
    <cellStyle name="SAPBEXHLevel1X 4 2 3 2" xfId="46043"/>
    <cellStyle name="SAPBEXHLevel1X 4 2 3 2 2" xfId="46044"/>
    <cellStyle name="SAPBEXHLevel1X 4 2 3 2 3" xfId="46045"/>
    <cellStyle name="SAPBEXHLevel1X 4 2 3 2 4" xfId="46046"/>
    <cellStyle name="SAPBEXHLevel1X 4 2 3 3" xfId="46047"/>
    <cellStyle name="SAPBEXHLevel1X 4 2 3 3 2" xfId="46048"/>
    <cellStyle name="SAPBEXHLevel1X 4 2 3 3 3" xfId="46049"/>
    <cellStyle name="SAPBEXHLevel1X 4 2 3 3 4" xfId="46050"/>
    <cellStyle name="SAPBEXHLevel1X 4 2 3 4" xfId="46051"/>
    <cellStyle name="SAPBEXHLevel1X 4 2 3 4 2" xfId="46052"/>
    <cellStyle name="SAPBEXHLevel1X 4 2 3 4 3" xfId="46053"/>
    <cellStyle name="SAPBEXHLevel1X 4 2 3 4 4" xfId="46054"/>
    <cellStyle name="SAPBEXHLevel1X 4 2 3 5" xfId="46055"/>
    <cellStyle name="SAPBEXHLevel1X 4 2 3 6" xfId="46056"/>
    <cellStyle name="SAPBEXHLevel1X 4 2 3 7" xfId="46057"/>
    <cellStyle name="SAPBEXHLevel1X 4 2 3 8" xfId="46058"/>
    <cellStyle name="SAPBEXHLevel1X 4 2 4" xfId="46059"/>
    <cellStyle name="SAPBEXHLevel1X 4 2 4 2" xfId="46060"/>
    <cellStyle name="SAPBEXHLevel1X 4 2 4 2 2" xfId="46061"/>
    <cellStyle name="SAPBEXHLevel1X 4 2 4 2 3" xfId="46062"/>
    <cellStyle name="SAPBEXHLevel1X 4 2 4 2 4" xfId="46063"/>
    <cellStyle name="SAPBEXHLevel1X 4 2 4 3" xfId="46064"/>
    <cellStyle name="SAPBEXHLevel1X 4 2 4 3 2" xfId="46065"/>
    <cellStyle name="SAPBEXHLevel1X 4 2 4 3 3" xfId="46066"/>
    <cellStyle name="SAPBEXHLevel1X 4 2 4 3 4" xfId="46067"/>
    <cellStyle name="SAPBEXHLevel1X 4 2 4 4" xfId="46068"/>
    <cellStyle name="SAPBEXHLevel1X 4 2 4 4 2" xfId="46069"/>
    <cellStyle name="SAPBEXHLevel1X 4 2 4 4 3" xfId="46070"/>
    <cellStyle name="SAPBEXHLevel1X 4 2 4 4 4" xfId="46071"/>
    <cellStyle name="SAPBEXHLevel1X 4 2 4 5" xfId="46072"/>
    <cellStyle name="SAPBEXHLevel1X 4 2 4 6" xfId="46073"/>
    <cellStyle name="SAPBEXHLevel1X 4 2 4 7" xfId="46074"/>
    <cellStyle name="SAPBEXHLevel1X 4 2 4 8" xfId="46075"/>
    <cellStyle name="SAPBEXHLevel1X 4 2 5" xfId="46076"/>
    <cellStyle name="SAPBEXHLevel1X 4 2 5 2" xfId="46077"/>
    <cellStyle name="SAPBEXHLevel1X 4 2 5 2 2" xfId="46078"/>
    <cellStyle name="SAPBEXHLevel1X 4 2 5 2 3" xfId="46079"/>
    <cellStyle name="SAPBEXHLevel1X 4 2 5 2 4" xfId="46080"/>
    <cellStyle name="SAPBEXHLevel1X 4 2 5 3" xfId="46081"/>
    <cellStyle name="SAPBEXHLevel1X 4 2 5 3 2" xfId="46082"/>
    <cellStyle name="SAPBEXHLevel1X 4 2 5 3 3" xfId="46083"/>
    <cellStyle name="SAPBEXHLevel1X 4 2 5 3 4" xfId="46084"/>
    <cellStyle name="SAPBEXHLevel1X 4 2 5 4" xfId="46085"/>
    <cellStyle name="SAPBEXHLevel1X 4 2 5 4 2" xfId="46086"/>
    <cellStyle name="SAPBEXHLevel1X 4 2 5 4 3" xfId="46087"/>
    <cellStyle name="SAPBEXHLevel1X 4 2 5 4 4" xfId="46088"/>
    <cellStyle name="SAPBEXHLevel1X 4 2 5 5" xfId="46089"/>
    <cellStyle name="SAPBEXHLevel1X 4 2 5 6" xfId="46090"/>
    <cellStyle name="SAPBEXHLevel1X 4 2 5 7" xfId="46091"/>
    <cellStyle name="SAPBEXHLevel1X 4 2 5 8" xfId="46092"/>
    <cellStyle name="SAPBEXHLevel1X 4 2 6" xfId="46093"/>
    <cellStyle name="SAPBEXHLevel1X 4 2 6 2" xfId="46094"/>
    <cellStyle name="SAPBEXHLevel1X 4 2 6 3" xfId="46095"/>
    <cellStyle name="SAPBEXHLevel1X 4 2 6 4" xfId="46096"/>
    <cellStyle name="SAPBEXHLevel1X 4 2 7" xfId="46097"/>
    <cellStyle name="SAPBEXHLevel1X 4 2 7 2" xfId="46098"/>
    <cellStyle name="SAPBEXHLevel1X 4 2 7 3" xfId="46099"/>
    <cellStyle name="SAPBEXHLevel1X 4 2 7 4" xfId="46100"/>
    <cellStyle name="SAPBEXHLevel1X 4 2 8" xfId="46101"/>
    <cellStyle name="SAPBEXHLevel1X 4 2 9" xfId="46102"/>
    <cellStyle name="SAPBEXHLevel1X 4 3" xfId="46103"/>
    <cellStyle name="SAPBEXHLevel1X 4 3 2" xfId="46104"/>
    <cellStyle name="SAPBEXHLevel1X 4 3 2 2" xfId="46105"/>
    <cellStyle name="SAPBEXHLevel1X 4 3 2 3" xfId="46106"/>
    <cellStyle name="SAPBEXHLevel1X 4 3 2 4" xfId="46107"/>
    <cellStyle name="SAPBEXHLevel1X 4 3 3" xfId="46108"/>
    <cellStyle name="SAPBEXHLevel1X 4 3 3 2" xfId="46109"/>
    <cellStyle name="SAPBEXHLevel1X 4 3 3 3" xfId="46110"/>
    <cellStyle name="SAPBEXHLevel1X 4 3 3 4" xfId="46111"/>
    <cellStyle name="SAPBEXHLevel1X 4 3 4" xfId="46112"/>
    <cellStyle name="SAPBEXHLevel1X 4 3 4 2" xfId="46113"/>
    <cellStyle name="SAPBEXHLevel1X 4 3 4 3" xfId="46114"/>
    <cellStyle name="SAPBEXHLevel1X 4 3 4 4" xfId="46115"/>
    <cellStyle name="SAPBEXHLevel1X 4 3 5" xfId="46116"/>
    <cellStyle name="SAPBEXHLevel1X 4 3 6" xfId="46117"/>
    <cellStyle name="SAPBEXHLevel1X 4 3 7" xfId="46118"/>
    <cellStyle name="SAPBEXHLevel1X 4 3 8" xfId="46119"/>
    <cellStyle name="SAPBEXHLevel1X 4 4" xfId="46120"/>
    <cellStyle name="SAPBEXHLevel1X 4 4 2" xfId="46121"/>
    <cellStyle name="SAPBEXHLevel1X 4 4 2 2" xfId="46122"/>
    <cellStyle name="SAPBEXHLevel1X 4 4 2 3" xfId="46123"/>
    <cellStyle name="SAPBEXHLevel1X 4 4 2 4" xfId="46124"/>
    <cellStyle name="SAPBEXHLevel1X 4 4 3" xfId="46125"/>
    <cellStyle name="SAPBEXHLevel1X 4 4 3 2" xfId="46126"/>
    <cellStyle name="SAPBEXHLevel1X 4 4 3 3" xfId="46127"/>
    <cellStyle name="SAPBEXHLevel1X 4 4 3 4" xfId="46128"/>
    <cellStyle name="SAPBEXHLevel1X 4 4 4" xfId="46129"/>
    <cellStyle name="SAPBEXHLevel1X 4 4 4 2" xfId="46130"/>
    <cellStyle name="SAPBEXHLevel1X 4 4 4 3" xfId="46131"/>
    <cellStyle name="SAPBEXHLevel1X 4 4 4 4" xfId="46132"/>
    <cellStyle name="SAPBEXHLevel1X 4 4 5" xfId="46133"/>
    <cellStyle name="SAPBEXHLevel1X 4 4 6" xfId="46134"/>
    <cellStyle name="SAPBEXHLevel1X 4 4 7" xfId="46135"/>
    <cellStyle name="SAPBEXHLevel1X 4 4 8" xfId="46136"/>
    <cellStyle name="SAPBEXHLevel1X 4 5" xfId="46137"/>
    <cellStyle name="SAPBEXHLevel1X 4 5 2" xfId="46138"/>
    <cellStyle name="SAPBEXHLevel1X 4 5 2 2" xfId="46139"/>
    <cellStyle name="SAPBEXHLevel1X 4 5 2 3" xfId="46140"/>
    <cellStyle name="SAPBEXHLevel1X 4 5 2 4" xfId="46141"/>
    <cellStyle name="SAPBEXHLevel1X 4 5 3" xfId="46142"/>
    <cellStyle name="SAPBEXHLevel1X 4 5 3 2" xfId="46143"/>
    <cellStyle name="SAPBEXHLevel1X 4 5 3 3" xfId="46144"/>
    <cellStyle name="SAPBEXHLevel1X 4 5 3 4" xfId="46145"/>
    <cellStyle name="SAPBEXHLevel1X 4 5 4" xfId="46146"/>
    <cellStyle name="SAPBEXHLevel1X 4 5 4 2" xfId="46147"/>
    <cellStyle name="SAPBEXHLevel1X 4 5 4 3" xfId="46148"/>
    <cellStyle name="SAPBEXHLevel1X 4 5 4 4" xfId="46149"/>
    <cellStyle name="SAPBEXHLevel1X 4 5 5" xfId="46150"/>
    <cellStyle name="SAPBEXHLevel1X 4 5 6" xfId="46151"/>
    <cellStyle name="SAPBEXHLevel1X 4 5 7" xfId="46152"/>
    <cellStyle name="SAPBEXHLevel1X 4 5 8" xfId="46153"/>
    <cellStyle name="SAPBEXHLevel1X 4 6" xfId="46154"/>
    <cellStyle name="SAPBEXHLevel1X 4 6 2" xfId="46155"/>
    <cellStyle name="SAPBEXHLevel1X 4 6 2 2" xfId="46156"/>
    <cellStyle name="SAPBEXHLevel1X 4 6 2 3" xfId="46157"/>
    <cellStyle name="SAPBEXHLevel1X 4 6 2 4" xfId="46158"/>
    <cellStyle name="SAPBEXHLevel1X 4 6 3" xfId="46159"/>
    <cellStyle name="SAPBEXHLevel1X 4 6 3 2" xfId="46160"/>
    <cellStyle name="SAPBEXHLevel1X 4 6 3 3" xfId="46161"/>
    <cellStyle name="SAPBEXHLevel1X 4 6 3 4" xfId="46162"/>
    <cellStyle name="SAPBEXHLevel1X 4 6 4" xfId="46163"/>
    <cellStyle name="SAPBEXHLevel1X 4 6 4 2" xfId="46164"/>
    <cellStyle name="SAPBEXHLevel1X 4 6 4 3" xfId="46165"/>
    <cellStyle name="SAPBEXHLevel1X 4 6 4 4" xfId="46166"/>
    <cellStyle name="SAPBEXHLevel1X 4 6 5" xfId="46167"/>
    <cellStyle name="SAPBEXHLevel1X 4 6 6" xfId="46168"/>
    <cellStyle name="SAPBEXHLevel1X 4 6 7" xfId="46169"/>
    <cellStyle name="SAPBEXHLevel1X 4 6 8" xfId="46170"/>
    <cellStyle name="SAPBEXHLevel1X 4 7" xfId="46171"/>
    <cellStyle name="SAPBEXHLevel1X 4 7 2" xfId="46172"/>
    <cellStyle name="SAPBEXHLevel1X 4 7 2 2" xfId="46173"/>
    <cellStyle name="SAPBEXHLevel1X 4 7 2 3" xfId="46174"/>
    <cellStyle name="SAPBEXHLevel1X 4 7 2 4" xfId="46175"/>
    <cellStyle name="SAPBEXHLevel1X 4 7 3" xfId="46176"/>
    <cellStyle name="SAPBEXHLevel1X 4 7 3 2" xfId="46177"/>
    <cellStyle name="SAPBEXHLevel1X 4 7 3 3" xfId="46178"/>
    <cellStyle name="SAPBEXHLevel1X 4 7 3 4" xfId="46179"/>
    <cellStyle name="SAPBEXHLevel1X 4 7 4" xfId="46180"/>
    <cellStyle name="SAPBEXHLevel1X 4 7 4 2" xfId="46181"/>
    <cellStyle name="SAPBEXHLevel1X 4 7 4 3" xfId="46182"/>
    <cellStyle name="SAPBEXHLevel1X 4 7 4 4" xfId="46183"/>
    <cellStyle name="SAPBEXHLevel1X 4 7 5" xfId="46184"/>
    <cellStyle name="SAPBEXHLevel1X 4 7 6" xfId="46185"/>
    <cellStyle name="SAPBEXHLevel1X 4 7 7" xfId="46186"/>
    <cellStyle name="SAPBEXHLevel1X 4 7 8" xfId="46187"/>
    <cellStyle name="SAPBEXHLevel1X 4 8" xfId="46188"/>
    <cellStyle name="SAPBEXHLevel1X 4 8 2" xfId="46189"/>
    <cellStyle name="SAPBEXHLevel1X 4 8 3" xfId="46190"/>
    <cellStyle name="SAPBEXHLevel1X 4 8 4" xfId="46191"/>
    <cellStyle name="SAPBEXHLevel1X 4 9" xfId="46192"/>
    <cellStyle name="SAPBEXHLevel1X 4 9 2" xfId="46193"/>
    <cellStyle name="SAPBEXHLevel1X 4 9 3" xfId="46194"/>
    <cellStyle name="SAPBEXHLevel1X 4 9 4" xfId="46195"/>
    <cellStyle name="SAPBEXHLevel1X 5" xfId="46196"/>
    <cellStyle name="SAPBEXHLevel1X 5 2" xfId="46197"/>
    <cellStyle name="SAPBEXHLevel1X 5 2 2" xfId="46198"/>
    <cellStyle name="SAPBEXHLevel1X 5 2 2 2" xfId="46199"/>
    <cellStyle name="SAPBEXHLevel1X 5 2 2 3" xfId="46200"/>
    <cellStyle name="SAPBEXHLevel1X 5 2 2 4" xfId="46201"/>
    <cellStyle name="SAPBEXHLevel1X 5 2 3" xfId="46202"/>
    <cellStyle name="SAPBEXHLevel1X 5 2 3 2" xfId="46203"/>
    <cellStyle name="SAPBEXHLevel1X 5 2 3 3" xfId="46204"/>
    <cellStyle name="SAPBEXHLevel1X 5 2 3 4" xfId="46205"/>
    <cellStyle name="SAPBEXHLevel1X 5 2 4" xfId="46206"/>
    <cellStyle name="SAPBEXHLevel1X 5 2 4 2" xfId="46207"/>
    <cellStyle name="SAPBEXHLevel1X 5 2 4 3" xfId="46208"/>
    <cellStyle name="SAPBEXHLevel1X 5 2 4 4" xfId="46209"/>
    <cellStyle name="SAPBEXHLevel1X 5 2 5" xfId="46210"/>
    <cellStyle name="SAPBEXHLevel1X 5 2 6" xfId="46211"/>
    <cellStyle name="SAPBEXHLevel1X 5 2 7" xfId="46212"/>
    <cellStyle name="SAPBEXHLevel1X 5 2 8" xfId="46213"/>
    <cellStyle name="SAPBEXHLevel1X 5 3" xfId="46214"/>
    <cellStyle name="SAPBEXHLevel1X 5 3 2" xfId="46215"/>
    <cellStyle name="SAPBEXHLevel1X 5 3 2 2" xfId="46216"/>
    <cellStyle name="SAPBEXHLevel1X 5 3 2 3" xfId="46217"/>
    <cellStyle name="SAPBEXHLevel1X 5 3 2 4" xfId="46218"/>
    <cellStyle name="SAPBEXHLevel1X 5 3 3" xfId="46219"/>
    <cellStyle name="SAPBEXHLevel1X 5 3 3 2" xfId="46220"/>
    <cellStyle name="SAPBEXHLevel1X 5 3 3 3" xfId="46221"/>
    <cellStyle name="SAPBEXHLevel1X 5 3 3 4" xfId="46222"/>
    <cellStyle name="SAPBEXHLevel1X 5 3 4" xfId="46223"/>
    <cellStyle name="SAPBEXHLevel1X 5 3 4 2" xfId="46224"/>
    <cellStyle name="SAPBEXHLevel1X 5 3 4 3" xfId="46225"/>
    <cellStyle name="SAPBEXHLevel1X 5 3 4 4" xfId="46226"/>
    <cellStyle name="SAPBEXHLevel1X 5 3 5" xfId="46227"/>
    <cellStyle name="SAPBEXHLevel1X 5 3 6" xfId="46228"/>
    <cellStyle name="SAPBEXHLevel1X 5 3 7" xfId="46229"/>
    <cellStyle name="SAPBEXHLevel1X 5 3 8" xfId="46230"/>
    <cellStyle name="SAPBEXHLevel1X 5 4" xfId="46231"/>
    <cellStyle name="SAPBEXHLevel1X 5 4 2" xfId="46232"/>
    <cellStyle name="SAPBEXHLevel1X 5 4 2 2" xfId="46233"/>
    <cellStyle name="SAPBEXHLevel1X 5 4 2 3" xfId="46234"/>
    <cellStyle name="SAPBEXHLevel1X 5 4 2 4" xfId="46235"/>
    <cellStyle name="SAPBEXHLevel1X 5 4 3" xfId="46236"/>
    <cellStyle name="SAPBEXHLevel1X 5 4 3 2" xfId="46237"/>
    <cellStyle name="SAPBEXHLevel1X 5 4 3 3" xfId="46238"/>
    <cellStyle name="SAPBEXHLevel1X 5 4 3 4" xfId="46239"/>
    <cellStyle name="SAPBEXHLevel1X 5 4 4" xfId="46240"/>
    <cellStyle name="SAPBEXHLevel1X 5 4 4 2" xfId="46241"/>
    <cellStyle name="SAPBEXHLevel1X 5 4 4 3" xfId="46242"/>
    <cellStyle name="SAPBEXHLevel1X 5 4 4 4" xfId="46243"/>
    <cellStyle name="SAPBEXHLevel1X 5 4 5" xfId="46244"/>
    <cellStyle name="SAPBEXHLevel1X 5 4 6" xfId="46245"/>
    <cellStyle name="SAPBEXHLevel1X 5 4 7" xfId="46246"/>
    <cellStyle name="SAPBEXHLevel1X 5 4 8" xfId="46247"/>
    <cellStyle name="SAPBEXHLevel1X 5 5" xfId="46248"/>
    <cellStyle name="SAPBEXHLevel1X 5 5 2" xfId="46249"/>
    <cellStyle name="SAPBEXHLevel1X 5 5 2 2" xfId="46250"/>
    <cellStyle name="SAPBEXHLevel1X 5 5 2 3" xfId="46251"/>
    <cellStyle name="SAPBEXHLevel1X 5 5 2 4" xfId="46252"/>
    <cellStyle name="SAPBEXHLevel1X 5 5 3" xfId="46253"/>
    <cellStyle name="SAPBEXHLevel1X 5 5 3 2" xfId="46254"/>
    <cellStyle name="SAPBEXHLevel1X 5 5 3 3" xfId="46255"/>
    <cellStyle name="SAPBEXHLevel1X 5 5 3 4" xfId="46256"/>
    <cellStyle name="SAPBEXHLevel1X 5 5 4" xfId="46257"/>
    <cellStyle name="SAPBEXHLevel1X 5 5 4 2" xfId="46258"/>
    <cellStyle name="SAPBEXHLevel1X 5 5 4 3" xfId="46259"/>
    <cellStyle name="SAPBEXHLevel1X 5 5 4 4" xfId="46260"/>
    <cellStyle name="SAPBEXHLevel1X 5 5 5" xfId="46261"/>
    <cellStyle name="SAPBEXHLevel1X 5 5 6" xfId="46262"/>
    <cellStyle name="SAPBEXHLevel1X 5 5 7" xfId="46263"/>
    <cellStyle name="SAPBEXHLevel1X 5 5 8" xfId="46264"/>
    <cellStyle name="SAPBEXHLevel1X 5 6" xfId="46265"/>
    <cellStyle name="SAPBEXHLevel1X 5 6 2" xfId="46266"/>
    <cellStyle name="SAPBEXHLevel1X 5 6 3" xfId="46267"/>
    <cellStyle name="SAPBEXHLevel1X 5 6 4" xfId="46268"/>
    <cellStyle name="SAPBEXHLevel1X 5 7" xfId="46269"/>
    <cellStyle name="SAPBEXHLevel1X 5 7 2" xfId="46270"/>
    <cellStyle name="SAPBEXHLevel1X 5 7 3" xfId="46271"/>
    <cellStyle name="SAPBEXHLevel1X 5 7 4" xfId="46272"/>
    <cellStyle name="SAPBEXHLevel1X 5 8" xfId="46273"/>
    <cellStyle name="SAPBEXHLevel1X 5 9" xfId="46274"/>
    <cellStyle name="SAPBEXHLevel1X 6" xfId="46275"/>
    <cellStyle name="SAPBEXHLevel1X 6 2" xfId="46276"/>
    <cellStyle name="SAPBEXHLevel1X 6 2 2" xfId="46277"/>
    <cellStyle name="SAPBEXHLevel1X 6 2 3" xfId="46278"/>
    <cellStyle name="SAPBEXHLevel1X 6 2 4" xfId="46279"/>
    <cellStyle name="SAPBEXHLevel1X 6 3" xfId="46280"/>
    <cellStyle name="SAPBEXHLevel1X 6 3 2" xfId="46281"/>
    <cellStyle name="SAPBEXHLevel1X 6 3 3" xfId="46282"/>
    <cellStyle name="SAPBEXHLevel1X 6 3 4" xfId="46283"/>
    <cellStyle name="SAPBEXHLevel1X 6 4" xfId="46284"/>
    <cellStyle name="SAPBEXHLevel1X 6 4 2" xfId="46285"/>
    <cellStyle name="SAPBEXHLevel1X 6 4 3" xfId="46286"/>
    <cellStyle name="SAPBEXHLevel1X 6 4 4" xfId="46287"/>
    <cellStyle name="SAPBEXHLevel1X 6 5" xfId="46288"/>
    <cellStyle name="SAPBEXHLevel1X 6 6" xfId="46289"/>
    <cellStyle name="SAPBEXHLevel1X 6 7" xfId="46290"/>
    <cellStyle name="SAPBEXHLevel1X 6 8" xfId="46291"/>
    <cellStyle name="SAPBEXHLevel1X 7" xfId="46292"/>
    <cellStyle name="SAPBEXHLevel1X 7 2" xfId="46293"/>
    <cellStyle name="SAPBEXHLevel1X 7 2 2" xfId="46294"/>
    <cellStyle name="SAPBEXHLevel1X 7 2 3" xfId="46295"/>
    <cellStyle name="SAPBEXHLevel1X 7 2 4" xfId="46296"/>
    <cellStyle name="SAPBEXHLevel1X 7 3" xfId="46297"/>
    <cellStyle name="SAPBEXHLevel1X 7 3 2" xfId="46298"/>
    <cellStyle name="SAPBEXHLevel1X 7 3 3" xfId="46299"/>
    <cellStyle name="SAPBEXHLevel1X 7 3 4" xfId="46300"/>
    <cellStyle name="SAPBEXHLevel1X 7 4" xfId="46301"/>
    <cellStyle name="SAPBEXHLevel1X 7 4 2" xfId="46302"/>
    <cellStyle name="SAPBEXHLevel1X 7 4 3" xfId="46303"/>
    <cellStyle name="SAPBEXHLevel1X 7 4 4" xfId="46304"/>
    <cellStyle name="SAPBEXHLevel1X 7 5" xfId="46305"/>
    <cellStyle name="SAPBEXHLevel1X 7 6" xfId="46306"/>
    <cellStyle name="SAPBEXHLevel1X 7 7" xfId="46307"/>
    <cellStyle name="SAPBEXHLevel1X 7 8" xfId="46308"/>
    <cellStyle name="SAPBEXHLevel1X 8" xfId="46309"/>
    <cellStyle name="SAPBEXHLevel1X 8 2" xfId="46310"/>
    <cellStyle name="SAPBEXHLevel1X 8 2 2" xfId="46311"/>
    <cellStyle name="SAPBEXHLevel1X 8 2 3" xfId="46312"/>
    <cellStyle name="SAPBEXHLevel1X 8 2 4" xfId="46313"/>
    <cellStyle name="SAPBEXHLevel1X 8 3" xfId="46314"/>
    <cellStyle name="SAPBEXHLevel1X 8 3 2" xfId="46315"/>
    <cellStyle name="SAPBEXHLevel1X 8 3 3" xfId="46316"/>
    <cellStyle name="SAPBEXHLevel1X 8 3 4" xfId="46317"/>
    <cellStyle name="SAPBEXHLevel1X 8 4" xfId="46318"/>
    <cellStyle name="SAPBEXHLevel1X 8 4 2" xfId="46319"/>
    <cellStyle name="SAPBEXHLevel1X 8 4 3" xfId="46320"/>
    <cellStyle name="SAPBEXHLevel1X 8 4 4" xfId="46321"/>
    <cellStyle name="SAPBEXHLevel1X 8 5" xfId="46322"/>
    <cellStyle name="SAPBEXHLevel1X 8 6" xfId="46323"/>
    <cellStyle name="SAPBEXHLevel1X 8 7" xfId="46324"/>
    <cellStyle name="SAPBEXHLevel1X 8 8" xfId="46325"/>
    <cellStyle name="SAPBEXHLevel1X 9" xfId="46326"/>
    <cellStyle name="SAPBEXHLevel1X 9 2" xfId="46327"/>
    <cellStyle name="SAPBEXHLevel1X 9 2 2" xfId="46328"/>
    <cellStyle name="SAPBEXHLevel1X 9 2 3" xfId="46329"/>
    <cellStyle name="SAPBEXHLevel1X 9 2 4" xfId="46330"/>
    <cellStyle name="SAPBEXHLevel1X 9 3" xfId="46331"/>
    <cellStyle name="SAPBEXHLevel1X 9 3 2" xfId="46332"/>
    <cellStyle name="SAPBEXHLevel1X 9 3 3" xfId="46333"/>
    <cellStyle name="SAPBEXHLevel1X 9 3 4" xfId="46334"/>
    <cellStyle name="SAPBEXHLevel1X 9 4" xfId="46335"/>
    <cellStyle name="SAPBEXHLevel1X 9 4 2" xfId="46336"/>
    <cellStyle name="SAPBEXHLevel1X 9 4 3" xfId="46337"/>
    <cellStyle name="SAPBEXHLevel1X 9 4 4" xfId="46338"/>
    <cellStyle name="SAPBEXHLevel1X 9 5" xfId="46339"/>
    <cellStyle name="SAPBEXHLevel1X 9 6" xfId="46340"/>
    <cellStyle name="SAPBEXHLevel1X 9 7" xfId="46341"/>
    <cellStyle name="SAPBEXHLevel1X 9 8" xfId="46342"/>
    <cellStyle name="SAPBEXHLevel2" xfId="46343"/>
    <cellStyle name="SAPBEXHLevel2 10" xfId="46344"/>
    <cellStyle name="SAPBEXHLevel2 10 2" xfId="46345"/>
    <cellStyle name="SAPBEXHLevel2 10 2 2" xfId="46346"/>
    <cellStyle name="SAPBEXHLevel2 10 2 3" xfId="46347"/>
    <cellStyle name="SAPBEXHLevel2 10 2 4" xfId="46348"/>
    <cellStyle name="SAPBEXHLevel2 10 3" xfId="46349"/>
    <cellStyle name="SAPBEXHLevel2 10 3 2" xfId="46350"/>
    <cellStyle name="SAPBEXHLevel2 10 3 3" xfId="46351"/>
    <cellStyle name="SAPBEXHLevel2 10 3 4" xfId="46352"/>
    <cellStyle name="SAPBEXHLevel2 10 4" xfId="46353"/>
    <cellStyle name="SAPBEXHLevel2 10 4 2" xfId="46354"/>
    <cellStyle name="SAPBEXHLevel2 10 4 3" xfId="46355"/>
    <cellStyle name="SAPBEXHLevel2 10 4 4" xfId="46356"/>
    <cellStyle name="SAPBEXHLevel2 10 5" xfId="46357"/>
    <cellStyle name="SAPBEXHLevel2 10 6" xfId="46358"/>
    <cellStyle name="SAPBEXHLevel2 10 7" xfId="46359"/>
    <cellStyle name="SAPBEXHLevel2 10 8" xfId="46360"/>
    <cellStyle name="SAPBEXHLevel2 11" xfId="46361"/>
    <cellStyle name="SAPBEXHLevel2 11 2" xfId="46362"/>
    <cellStyle name="SAPBEXHLevel2 11 3" xfId="46363"/>
    <cellStyle name="SAPBEXHLevel2 11 4" xfId="46364"/>
    <cellStyle name="SAPBEXHLevel2 12" xfId="46365"/>
    <cellStyle name="SAPBEXHLevel2 12 2" xfId="46366"/>
    <cellStyle name="SAPBEXHLevel2 12 3" xfId="46367"/>
    <cellStyle name="SAPBEXHLevel2 12 4" xfId="46368"/>
    <cellStyle name="SAPBEXHLevel2 13" xfId="46369"/>
    <cellStyle name="SAPBEXHLevel2 14" xfId="46370"/>
    <cellStyle name="SAPBEXHLevel2 2" xfId="46371"/>
    <cellStyle name="SAPBEXHLevel2 2 10" xfId="46372"/>
    <cellStyle name="SAPBEXHLevel2 2 10 2" xfId="46373"/>
    <cellStyle name="SAPBEXHLevel2 2 10 3" xfId="46374"/>
    <cellStyle name="SAPBEXHLevel2 2 10 4" xfId="46375"/>
    <cellStyle name="SAPBEXHLevel2 2 11" xfId="46376"/>
    <cellStyle name="SAPBEXHLevel2 2 11 2" xfId="46377"/>
    <cellStyle name="SAPBEXHLevel2 2 11 3" xfId="46378"/>
    <cellStyle name="SAPBEXHLevel2 2 11 4" xfId="46379"/>
    <cellStyle name="SAPBEXHLevel2 2 12" xfId="46380"/>
    <cellStyle name="SAPBEXHLevel2 2 13" xfId="46381"/>
    <cellStyle name="SAPBEXHLevel2 2 2" xfId="46382"/>
    <cellStyle name="SAPBEXHLevel2 2 2 10" xfId="46383"/>
    <cellStyle name="SAPBEXHLevel2 2 2 11" xfId="46384"/>
    <cellStyle name="SAPBEXHLevel2 2 2 2" xfId="46385"/>
    <cellStyle name="SAPBEXHLevel2 2 2 2 2" xfId="46386"/>
    <cellStyle name="SAPBEXHLevel2 2 2 2 2 2" xfId="46387"/>
    <cellStyle name="SAPBEXHLevel2 2 2 2 2 2 2" xfId="46388"/>
    <cellStyle name="SAPBEXHLevel2 2 2 2 2 2 3" xfId="46389"/>
    <cellStyle name="SAPBEXHLevel2 2 2 2 2 2 4" xfId="46390"/>
    <cellStyle name="SAPBEXHLevel2 2 2 2 2 3" xfId="46391"/>
    <cellStyle name="SAPBEXHLevel2 2 2 2 2 3 2" xfId="46392"/>
    <cellStyle name="SAPBEXHLevel2 2 2 2 2 3 3" xfId="46393"/>
    <cellStyle name="SAPBEXHLevel2 2 2 2 2 3 4" xfId="46394"/>
    <cellStyle name="SAPBEXHLevel2 2 2 2 2 4" xfId="46395"/>
    <cellStyle name="SAPBEXHLevel2 2 2 2 2 4 2" xfId="46396"/>
    <cellStyle name="SAPBEXHLevel2 2 2 2 2 4 3" xfId="46397"/>
    <cellStyle name="SAPBEXHLevel2 2 2 2 2 4 4" xfId="46398"/>
    <cellStyle name="SAPBEXHLevel2 2 2 2 2 5" xfId="46399"/>
    <cellStyle name="SAPBEXHLevel2 2 2 2 2 6" xfId="46400"/>
    <cellStyle name="SAPBEXHLevel2 2 2 2 2 7" xfId="46401"/>
    <cellStyle name="SAPBEXHLevel2 2 2 2 2 8" xfId="46402"/>
    <cellStyle name="SAPBEXHLevel2 2 2 2 3" xfId="46403"/>
    <cellStyle name="SAPBEXHLevel2 2 2 2 3 2" xfId="46404"/>
    <cellStyle name="SAPBEXHLevel2 2 2 2 3 2 2" xfId="46405"/>
    <cellStyle name="SAPBEXHLevel2 2 2 2 3 2 3" xfId="46406"/>
    <cellStyle name="SAPBEXHLevel2 2 2 2 3 2 4" xfId="46407"/>
    <cellStyle name="SAPBEXHLevel2 2 2 2 3 3" xfId="46408"/>
    <cellStyle name="SAPBEXHLevel2 2 2 2 3 3 2" xfId="46409"/>
    <cellStyle name="SAPBEXHLevel2 2 2 2 3 3 3" xfId="46410"/>
    <cellStyle name="SAPBEXHLevel2 2 2 2 3 3 4" xfId="46411"/>
    <cellStyle name="SAPBEXHLevel2 2 2 2 3 4" xfId="46412"/>
    <cellStyle name="SAPBEXHLevel2 2 2 2 3 4 2" xfId="46413"/>
    <cellStyle name="SAPBEXHLevel2 2 2 2 3 4 3" xfId="46414"/>
    <cellStyle name="SAPBEXHLevel2 2 2 2 3 4 4" xfId="46415"/>
    <cellStyle name="SAPBEXHLevel2 2 2 2 3 5" xfId="46416"/>
    <cellStyle name="SAPBEXHLevel2 2 2 2 3 6" xfId="46417"/>
    <cellStyle name="SAPBEXHLevel2 2 2 2 3 7" xfId="46418"/>
    <cellStyle name="SAPBEXHLevel2 2 2 2 3 8" xfId="46419"/>
    <cellStyle name="SAPBEXHLevel2 2 2 2 4" xfId="46420"/>
    <cellStyle name="SAPBEXHLevel2 2 2 2 4 2" xfId="46421"/>
    <cellStyle name="SAPBEXHLevel2 2 2 2 4 2 2" xfId="46422"/>
    <cellStyle name="SAPBEXHLevel2 2 2 2 4 2 3" xfId="46423"/>
    <cellStyle name="SAPBEXHLevel2 2 2 2 4 2 4" xfId="46424"/>
    <cellStyle name="SAPBEXHLevel2 2 2 2 4 3" xfId="46425"/>
    <cellStyle name="SAPBEXHLevel2 2 2 2 4 3 2" xfId="46426"/>
    <cellStyle name="SAPBEXHLevel2 2 2 2 4 3 3" xfId="46427"/>
    <cellStyle name="SAPBEXHLevel2 2 2 2 4 3 4" xfId="46428"/>
    <cellStyle name="SAPBEXHLevel2 2 2 2 4 4" xfId="46429"/>
    <cellStyle name="SAPBEXHLevel2 2 2 2 4 4 2" xfId="46430"/>
    <cellStyle name="SAPBEXHLevel2 2 2 2 4 4 3" xfId="46431"/>
    <cellStyle name="SAPBEXHLevel2 2 2 2 4 4 4" xfId="46432"/>
    <cellStyle name="SAPBEXHLevel2 2 2 2 4 5" xfId="46433"/>
    <cellStyle name="SAPBEXHLevel2 2 2 2 4 6" xfId="46434"/>
    <cellStyle name="SAPBEXHLevel2 2 2 2 4 7" xfId="46435"/>
    <cellStyle name="SAPBEXHLevel2 2 2 2 4 8" xfId="46436"/>
    <cellStyle name="SAPBEXHLevel2 2 2 2 5" xfId="46437"/>
    <cellStyle name="SAPBEXHLevel2 2 2 2 5 2" xfId="46438"/>
    <cellStyle name="SAPBEXHLevel2 2 2 2 5 2 2" xfId="46439"/>
    <cellStyle name="SAPBEXHLevel2 2 2 2 5 2 3" xfId="46440"/>
    <cellStyle name="SAPBEXHLevel2 2 2 2 5 2 4" xfId="46441"/>
    <cellStyle name="SAPBEXHLevel2 2 2 2 5 3" xfId="46442"/>
    <cellStyle name="SAPBEXHLevel2 2 2 2 5 3 2" xfId="46443"/>
    <cellStyle name="SAPBEXHLevel2 2 2 2 5 3 3" xfId="46444"/>
    <cellStyle name="SAPBEXHLevel2 2 2 2 5 3 4" xfId="46445"/>
    <cellStyle name="SAPBEXHLevel2 2 2 2 5 4" xfId="46446"/>
    <cellStyle name="SAPBEXHLevel2 2 2 2 5 4 2" xfId="46447"/>
    <cellStyle name="SAPBEXHLevel2 2 2 2 5 4 3" xfId="46448"/>
    <cellStyle name="SAPBEXHLevel2 2 2 2 5 4 4" xfId="46449"/>
    <cellStyle name="SAPBEXHLevel2 2 2 2 5 5" xfId="46450"/>
    <cellStyle name="SAPBEXHLevel2 2 2 2 5 6" xfId="46451"/>
    <cellStyle name="SAPBEXHLevel2 2 2 2 5 7" xfId="46452"/>
    <cellStyle name="SAPBEXHLevel2 2 2 2 5 8" xfId="46453"/>
    <cellStyle name="SAPBEXHLevel2 2 2 2 6" xfId="46454"/>
    <cellStyle name="SAPBEXHLevel2 2 2 2 6 2" xfId="46455"/>
    <cellStyle name="SAPBEXHLevel2 2 2 2 6 3" xfId="46456"/>
    <cellStyle name="SAPBEXHLevel2 2 2 2 6 4" xfId="46457"/>
    <cellStyle name="SAPBEXHLevel2 2 2 2 7" xfId="46458"/>
    <cellStyle name="SAPBEXHLevel2 2 2 2 7 2" xfId="46459"/>
    <cellStyle name="SAPBEXHLevel2 2 2 2 7 3" xfId="46460"/>
    <cellStyle name="SAPBEXHLevel2 2 2 2 7 4" xfId="46461"/>
    <cellStyle name="SAPBEXHLevel2 2 2 2 8" xfId="46462"/>
    <cellStyle name="SAPBEXHLevel2 2 2 2 9" xfId="46463"/>
    <cellStyle name="SAPBEXHLevel2 2 2 3" xfId="46464"/>
    <cellStyle name="SAPBEXHLevel2 2 2 3 2" xfId="46465"/>
    <cellStyle name="SAPBEXHLevel2 2 2 3 2 2" xfId="46466"/>
    <cellStyle name="SAPBEXHLevel2 2 2 3 2 3" xfId="46467"/>
    <cellStyle name="SAPBEXHLevel2 2 2 3 2 4" xfId="46468"/>
    <cellStyle name="SAPBEXHLevel2 2 2 3 3" xfId="46469"/>
    <cellStyle name="SAPBEXHLevel2 2 2 3 3 2" xfId="46470"/>
    <cellStyle name="SAPBEXHLevel2 2 2 3 3 3" xfId="46471"/>
    <cellStyle name="SAPBEXHLevel2 2 2 3 3 4" xfId="46472"/>
    <cellStyle name="SAPBEXHLevel2 2 2 3 4" xfId="46473"/>
    <cellStyle name="SAPBEXHLevel2 2 2 3 4 2" xfId="46474"/>
    <cellStyle name="SAPBEXHLevel2 2 2 3 4 3" xfId="46475"/>
    <cellStyle name="SAPBEXHLevel2 2 2 3 4 4" xfId="46476"/>
    <cellStyle name="SAPBEXHLevel2 2 2 3 5" xfId="46477"/>
    <cellStyle name="SAPBEXHLevel2 2 2 3 6" xfId="46478"/>
    <cellStyle name="SAPBEXHLevel2 2 2 3 7" xfId="46479"/>
    <cellStyle name="SAPBEXHLevel2 2 2 3 8" xfId="46480"/>
    <cellStyle name="SAPBEXHLevel2 2 2 4" xfId="46481"/>
    <cellStyle name="SAPBEXHLevel2 2 2 4 2" xfId="46482"/>
    <cellStyle name="SAPBEXHLevel2 2 2 4 2 2" xfId="46483"/>
    <cellStyle name="SAPBEXHLevel2 2 2 4 2 3" xfId="46484"/>
    <cellStyle name="SAPBEXHLevel2 2 2 4 2 4" xfId="46485"/>
    <cellStyle name="SAPBEXHLevel2 2 2 4 3" xfId="46486"/>
    <cellStyle name="SAPBEXHLevel2 2 2 4 3 2" xfId="46487"/>
    <cellStyle name="SAPBEXHLevel2 2 2 4 3 3" xfId="46488"/>
    <cellStyle name="SAPBEXHLevel2 2 2 4 3 4" xfId="46489"/>
    <cellStyle name="SAPBEXHLevel2 2 2 4 4" xfId="46490"/>
    <cellStyle name="SAPBEXHLevel2 2 2 4 4 2" xfId="46491"/>
    <cellStyle name="SAPBEXHLevel2 2 2 4 4 3" xfId="46492"/>
    <cellStyle name="SAPBEXHLevel2 2 2 4 4 4" xfId="46493"/>
    <cellStyle name="SAPBEXHLevel2 2 2 4 5" xfId="46494"/>
    <cellStyle name="SAPBEXHLevel2 2 2 4 6" xfId="46495"/>
    <cellStyle name="SAPBEXHLevel2 2 2 4 7" xfId="46496"/>
    <cellStyle name="SAPBEXHLevel2 2 2 4 8" xfId="46497"/>
    <cellStyle name="SAPBEXHLevel2 2 2 5" xfId="46498"/>
    <cellStyle name="SAPBEXHLevel2 2 2 5 2" xfId="46499"/>
    <cellStyle name="SAPBEXHLevel2 2 2 5 2 2" xfId="46500"/>
    <cellStyle name="SAPBEXHLevel2 2 2 5 2 3" xfId="46501"/>
    <cellStyle name="SAPBEXHLevel2 2 2 5 2 4" xfId="46502"/>
    <cellStyle name="SAPBEXHLevel2 2 2 5 3" xfId="46503"/>
    <cellStyle name="SAPBEXHLevel2 2 2 5 3 2" xfId="46504"/>
    <cellStyle name="SAPBEXHLevel2 2 2 5 3 3" xfId="46505"/>
    <cellStyle name="SAPBEXHLevel2 2 2 5 3 4" xfId="46506"/>
    <cellStyle name="SAPBEXHLevel2 2 2 5 4" xfId="46507"/>
    <cellStyle name="SAPBEXHLevel2 2 2 5 4 2" xfId="46508"/>
    <cellStyle name="SAPBEXHLevel2 2 2 5 4 3" xfId="46509"/>
    <cellStyle name="SAPBEXHLevel2 2 2 5 4 4" xfId="46510"/>
    <cellStyle name="SAPBEXHLevel2 2 2 5 5" xfId="46511"/>
    <cellStyle name="SAPBEXHLevel2 2 2 5 6" xfId="46512"/>
    <cellStyle name="SAPBEXHLevel2 2 2 5 7" xfId="46513"/>
    <cellStyle name="SAPBEXHLevel2 2 2 5 8" xfId="46514"/>
    <cellStyle name="SAPBEXHLevel2 2 2 6" xfId="46515"/>
    <cellStyle name="SAPBEXHLevel2 2 2 6 2" xfId="46516"/>
    <cellStyle name="SAPBEXHLevel2 2 2 6 2 2" xfId="46517"/>
    <cellStyle name="SAPBEXHLevel2 2 2 6 2 3" xfId="46518"/>
    <cellStyle name="SAPBEXHLevel2 2 2 6 2 4" xfId="46519"/>
    <cellStyle name="SAPBEXHLevel2 2 2 6 3" xfId="46520"/>
    <cellStyle name="SAPBEXHLevel2 2 2 6 3 2" xfId="46521"/>
    <cellStyle name="SAPBEXHLevel2 2 2 6 3 3" xfId="46522"/>
    <cellStyle name="SAPBEXHLevel2 2 2 6 3 4" xfId="46523"/>
    <cellStyle name="SAPBEXHLevel2 2 2 6 4" xfId="46524"/>
    <cellStyle name="SAPBEXHLevel2 2 2 6 4 2" xfId="46525"/>
    <cellStyle name="SAPBEXHLevel2 2 2 6 4 3" xfId="46526"/>
    <cellStyle name="SAPBEXHLevel2 2 2 6 4 4" xfId="46527"/>
    <cellStyle name="SAPBEXHLevel2 2 2 6 5" xfId="46528"/>
    <cellStyle name="SAPBEXHLevel2 2 2 6 6" xfId="46529"/>
    <cellStyle name="SAPBEXHLevel2 2 2 6 7" xfId="46530"/>
    <cellStyle name="SAPBEXHLevel2 2 2 6 8" xfId="46531"/>
    <cellStyle name="SAPBEXHLevel2 2 2 7" xfId="46532"/>
    <cellStyle name="SAPBEXHLevel2 2 2 7 2" xfId="46533"/>
    <cellStyle name="SAPBEXHLevel2 2 2 7 2 2" xfId="46534"/>
    <cellStyle name="SAPBEXHLevel2 2 2 7 2 3" xfId="46535"/>
    <cellStyle name="SAPBEXHLevel2 2 2 7 2 4" xfId="46536"/>
    <cellStyle name="SAPBEXHLevel2 2 2 7 3" xfId="46537"/>
    <cellStyle name="SAPBEXHLevel2 2 2 7 3 2" xfId="46538"/>
    <cellStyle name="SAPBEXHLevel2 2 2 7 3 3" xfId="46539"/>
    <cellStyle name="SAPBEXHLevel2 2 2 7 3 4" xfId="46540"/>
    <cellStyle name="SAPBEXHLevel2 2 2 7 4" xfId="46541"/>
    <cellStyle name="SAPBEXHLevel2 2 2 7 4 2" xfId="46542"/>
    <cellStyle name="SAPBEXHLevel2 2 2 7 4 3" xfId="46543"/>
    <cellStyle name="SAPBEXHLevel2 2 2 7 4 4" xfId="46544"/>
    <cellStyle name="SAPBEXHLevel2 2 2 7 5" xfId="46545"/>
    <cellStyle name="SAPBEXHLevel2 2 2 7 6" xfId="46546"/>
    <cellStyle name="SAPBEXHLevel2 2 2 7 7" xfId="46547"/>
    <cellStyle name="SAPBEXHLevel2 2 2 7 8" xfId="46548"/>
    <cellStyle name="SAPBEXHLevel2 2 2 8" xfId="46549"/>
    <cellStyle name="SAPBEXHLevel2 2 2 8 2" xfId="46550"/>
    <cellStyle name="SAPBEXHLevel2 2 2 8 3" xfId="46551"/>
    <cellStyle name="SAPBEXHLevel2 2 2 8 4" xfId="46552"/>
    <cellStyle name="SAPBEXHLevel2 2 2 9" xfId="46553"/>
    <cellStyle name="SAPBEXHLevel2 2 2 9 2" xfId="46554"/>
    <cellStyle name="SAPBEXHLevel2 2 2 9 3" xfId="46555"/>
    <cellStyle name="SAPBEXHLevel2 2 2 9 4" xfId="46556"/>
    <cellStyle name="SAPBEXHLevel2 2 3" xfId="46557"/>
    <cellStyle name="SAPBEXHLevel2 2 3 10" xfId="46558"/>
    <cellStyle name="SAPBEXHLevel2 2 3 11" xfId="46559"/>
    <cellStyle name="SAPBEXHLevel2 2 3 2" xfId="46560"/>
    <cellStyle name="SAPBEXHLevel2 2 3 2 2" xfId="46561"/>
    <cellStyle name="SAPBEXHLevel2 2 3 2 2 2" xfId="46562"/>
    <cellStyle name="SAPBEXHLevel2 2 3 2 2 2 2" xfId="46563"/>
    <cellStyle name="SAPBEXHLevel2 2 3 2 2 2 3" xfId="46564"/>
    <cellStyle name="SAPBEXHLevel2 2 3 2 2 2 4" xfId="46565"/>
    <cellStyle name="SAPBEXHLevel2 2 3 2 2 3" xfId="46566"/>
    <cellStyle name="SAPBEXHLevel2 2 3 2 2 3 2" xfId="46567"/>
    <cellStyle name="SAPBEXHLevel2 2 3 2 2 3 3" xfId="46568"/>
    <cellStyle name="SAPBEXHLevel2 2 3 2 2 3 4" xfId="46569"/>
    <cellStyle name="SAPBEXHLevel2 2 3 2 2 4" xfId="46570"/>
    <cellStyle name="SAPBEXHLevel2 2 3 2 2 4 2" xfId="46571"/>
    <cellStyle name="SAPBEXHLevel2 2 3 2 2 4 3" xfId="46572"/>
    <cellStyle name="SAPBEXHLevel2 2 3 2 2 4 4" xfId="46573"/>
    <cellStyle name="SAPBEXHLevel2 2 3 2 2 5" xfId="46574"/>
    <cellStyle name="SAPBEXHLevel2 2 3 2 2 6" xfId="46575"/>
    <cellStyle name="SAPBEXHLevel2 2 3 2 2 7" xfId="46576"/>
    <cellStyle name="SAPBEXHLevel2 2 3 2 2 8" xfId="46577"/>
    <cellStyle name="SAPBEXHLevel2 2 3 2 3" xfId="46578"/>
    <cellStyle name="SAPBEXHLevel2 2 3 2 3 2" xfId="46579"/>
    <cellStyle name="SAPBEXHLevel2 2 3 2 3 2 2" xfId="46580"/>
    <cellStyle name="SAPBEXHLevel2 2 3 2 3 2 3" xfId="46581"/>
    <cellStyle name="SAPBEXHLevel2 2 3 2 3 2 4" xfId="46582"/>
    <cellStyle name="SAPBEXHLevel2 2 3 2 3 3" xfId="46583"/>
    <cellStyle name="SAPBEXHLevel2 2 3 2 3 3 2" xfId="46584"/>
    <cellStyle name="SAPBEXHLevel2 2 3 2 3 3 3" xfId="46585"/>
    <cellStyle name="SAPBEXHLevel2 2 3 2 3 3 4" xfId="46586"/>
    <cellStyle name="SAPBEXHLevel2 2 3 2 3 4" xfId="46587"/>
    <cellStyle name="SAPBEXHLevel2 2 3 2 3 4 2" xfId="46588"/>
    <cellStyle name="SAPBEXHLevel2 2 3 2 3 4 3" xfId="46589"/>
    <cellStyle name="SAPBEXHLevel2 2 3 2 3 4 4" xfId="46590"/>
    <cellStyle name="SAPBEXHLevel2 2 3 2 3 5" xfId="46591"/>
    <cellStyle name="SAPBEXHLevel2 2 3 2 3 6" xfId="46592"/>
    <cellStyle name="SAPBEXHLevel2 2 3 2 3 7" xfId="46593"/>
    <cellStyle name="SAPBEXHLevel2 2 3 2 3 8" xfId="46594"/>
    <cellStyle name="SAPBEXHLevel2 2 3 2 4" xfId="46595"/>
    <cellStyle name="SAPBEXHLevel2 2 3 2 4 2" xfId="46596"/>
    <cellStyle name="SAPBEXHLevel2 2 3 2 4 2 2" xfId="46597"/>
    <cellStyle name="SAPBEXHLevel2 2 3 2 4 2 3" xfId="46598"/>
    <cellStyle name="SAPBEXHLevel2 2 3 2 4 2 4" xfId="46599"/>
    <cellStyle name="SAPBEXHLevel2 2 3 2 4 3" xfId="46600"/>
    <cellStyle name="SAPBEXHLevel2 2 3 2 4 3 2" xfId="46601"/>
    <cellStyle name="SAPBEXHLevel2 2 3 2 4 3 3" xfId="46602"/>
    <cellStyle name="SAPBEXHLevel2 2 3 2 4 3 4" xfId="46603"/>
    <cellStyle name="SAPBEXHLevel2 2 3 2 4 4" xfId="46604"/>
    <cellStyle name="SAPBEXHLevel2 2 3 2 4 4 2" xfId="46605"/>
    <cellStyle name="SAPBEXHLevel2 2 3 2 4 4 3" xfId="46606"/>
    <cellStyle name="SAPBEXHLevel2 2 3 2 4 4 4" xfId="46607"/>
    <cellStyle name="SAPBEXHLevel2 2 3 2 4 5" xfId="46608"/>
    <cellStyle name="SAPBEXHLevel2 2 3 2 4 6" xfId="46609"/>
    <cellStyle name="SAPBEXHLevel2 2 3 2 4 7" xfId="46610"/>
    <cellStyle name="SAPBEXHLevel2 2 3 2 4 8" xfId="46611"/>
    <cellStyle name="SAPBEXHLevel2 2 3 2 5" xfId="46612"/>
    <cellStyle name="SAPBEXHLevel2 2 3 2 5 2" xfId="46613"/>
    <cellStyle name="SAPBEXHLevel2 2 3 2 5 2 2" xfId="46614"/>
    <cellStyle name="SAPBEXHLevel2 2 3 2 5 2 3" xfId="46615"/>
    <cellStyle name="SAPBEXHLevel2 2 3 2 5 2 4" xfId="46616"/>
    <cellStyle name="SAPBEXHLevel2 2 3 2 5 3" xfId="46617"/>
    <cellStyle name="SAPBEXHLevel2 2 3 2 5 3 2" xfId="46618"/>
    <cellStyle name="SAPBEXHLevel2 2 3 2 5 3 3" xfId="46619"/>
    <cellStyle name="SAPBEXHLevel2 2 3 2 5 3 4" xfId="46620"/>
    <cellStyle name="SAPBEXHLevel2 2 3 2 5 4" xfId="46621"/>
    <cellStyle name="SAPBEXHLevel2 2 3 2 5 4 2" xfId="46622"/>
    <cellStyle name="SAPBEXHLevel2 2 3 2 5 4 3" xfId="46623"/>
    <cellStyle name="SAPBEXHLevel2 2 3 2 5 4 4" xfId="46624"/>
    <cellStyle name="SAPBEXHLevel2 2 3 2 5 5" xfId="46625"/>
    <cellStyle name="SAPBEXHLevel2 2 3 2 5 6" xfId="46626"/>
    <cellStyle name="SAPBEXHLevel2 2 3 2 5 7" xfId="46627"/>
    <cellStyle name="SAPBEXHLevel2 2 3 2 5 8" xfId="46628"/>
    <cellStyle name="SAPBEXHLevel2 2 3 2 6" xfId="46629"/>
    <cellStyle name="SAPBEXHLevel2 2 3 2 6 2" xfId="46630"/>
    <cellStyle name="SAPBEXHLevel2 2 3 2 6 3" xfId="46631"/>
    <cellStyle name="SAPBEXHLevel2 2 3 2 6 4" xfId="46632"/>
    <cellStyle name="SAPBEXHLevel2 2 3 2 7" xfId="46633"/>
    <cellStyle name="SAPBEXHLevel2 2 3 2 7 2" xfId="46634"/>
    <cellStyle name="SAPBEXHLevel2 2 3 2 7 3" xfId="46635"/>
    <cellStyle name="SAPBEXHLevel2 2 3 2 7 4" xfId="46636"/>
    <cellStyle name="SAPBEXHLevel2 2 3 2 8" xfId="46637"/>
    <cellStyle name="SAPBEXHLevel2 2 3 2 9" xfId="46638"/>
    <cellStyle name="SAPBEXHLevel2 2 3 3" xfId="46639"/>
    <cellStyle name="SAPBEXHLevel2 2 3 3 2" xfId="46640"/>
    <cellStyle name="SAPBEXHLevel2 2 3 3 2 2" xfId="46641"/>
    <cellStyle name="SAPBEXHLevel2 2 3 3 2 3" xfId="46642"/>
    <cellStyle name="SAPBEXHLevel2 2 3 3 2 4" xfId="46643"/>
    <cellStyle name="SAPBEXHLevel2 2 3 3 3" xfId="46644"/>
    <cellStyle name="SAPBEXHLevel2 2 3 3 3 2" xfId="46645"/>
    <cellStyle name="SAPBEXHLevel2 2 3 3 3 3" xfId="46646"/>
    <cellStyle name="SAPBEXHLevel2 2 3 3 3 4" xfId="46647"/>
    <cellStyle name="SAPBEXHLevel2 2 3 3 4" xfId="46648"/>
    <cellStyle name="SAPBEXHLevel2 2 3 3 4 2" xfId="46649"/>
    <cellStyle name="SAPBEXHLevel2 2 3 3 4 3" xfId="46650"/>
    <cellStyle name="SAPBEXHLevel2 2 3 3 4 4" xfId="46651"/>
    <cellStyle name="SAPBEXHLevel2 2 3 3 5" xfId="46652"/>
    <cellStyle name="SAPBEXHLevel2 2 3 3 6" xfId="46653"/>
    <cellStyle name="SAPBEXHLevel2 2 3 3 7" xfId="46654"/>
    <cellStyle name="SAPBEXHLevel2 2 3 3 8" xfId="46655"/>
    <cellStyle name="SAPBEXHLevel2 2 3 4" xfId="46656"/>
    <cellStyle name="SAPBEXHLevel2 2 3 4 2" xfId="46657"/>
    <cellStyle name="SAPBEXHLevel2 2 3 4 2 2" xfId="46658"/>
    <cellStyle name="SAPBEXHLevel2 2 3 4 2 3" xfId="46659"/>
    <cellStyle name="SAPBEXHLevel2 2 3 4 2 4" xfId="46660"/>
    <cellStyle name="SAPBEXHLevel2 2 3 4 3" xfId="46661"/>
    <cellStyle name="SAPBEXHLevel2 2 3 4 3 2" xfId="46662"/>
    <cellStyle name="SAPBEXHLevel2 2 3 4 3 3" xfId="46663"/>
    <cellStyle name="SAPBEXHLevel2 2 3 4 3 4" xfId="46664"/>
    <cellStyle name="SAPBEXHLevel2 2 3 4 4" xfId="46665"/>
    <cellStyle name="SAPBEXHLevel2 2 3 4 4 2" xfId="46666"/>
    <cellStyle name="SAPBEXHLevel2 2 3 4 4 3" xfId="46667"/>
    <cellStyle name="SAPBEXHLevel2 2 3 4 4 4" xfId="46668"/>
    <cellStyle name="SAPBEXHLevel2 2 3 4 5" xfId="46669"/>
    <cellStyle name="SAPBEXHLevel2 2 3 4 6" xfId="46670"/>
    <cellStyle name="SAPBEXHLevel2 2 3 4 7" xfId="46671"/>
    <cellStyle name="SAPBEXHLevel2 2 3 4 8" xfId="46672"/>
    <cellStyle name="SAPBEXHLevel2 2 3 5" xfId="46673"/>
    <cellStyle name="SAPBEXHLevel2 2 3 5 2" xfId="46674"/>
    <cellStyle name="SAPBEXHLevel2 2 3 5 2 2" xfId="46675"/>
    <cellStyle name="SAPBEXHLevel2 2 3 5 2 3" xfId="46676"/>
    <cellStyle name="SAPBEXHLevel2 2 3 5 2 4" xfId="46677"/>
    <cellStyle name="SAPBEXHLevel2 2 3 5 3" xfId="46678"/>
    <cellStyle name="SAPBEXHLevel2 2 3 5 3 2" xfId="46679"/>
    <cellStyle name="SAPBEXHLevel2 2 3 5 3 3" xfId="46680"/>
    <cellStyle name="SAPBEXHLevel2 2 3 5 3 4" xfId="46681"/>
    <cellStyle name="SAPBEXHLevel2 2 3 5 4" xfId="46682"/>
    <cellStyle name="SAPBEXHLevel2 2 3 5 4 2" xfId="46683"/>
    <cellStyle name="SAPBEXHLevel2 2 3 5 4 3" xfId="46684"/>
    <cellStyle name="SAPBEXHLevel2 2 3 5 4 4" xfId="46685"/>
    <cellStyle name="SAPBEXHLevel2 2 3 5 5" xfId="46686"/>
    <cellStyle name="SAPBEXHLevel2 2 3 5 6" xfId="46687"/>
    <cellStyle name="SAPBEXHLevel2 2 3 5 7" xfId="46688"/>
    <cellStyle name="SAPBEXHLevel2 2 3 5 8" xfId="46689"/>
    <cellStyle name="SAPBEXHLevel2 2 3 6" xfId="46690"/>
    <cellStyle name="SAPBEXHLevel2 2 3 6 2" xfId="46691"/>
    <cellStyle name="SAPBEXHLevel2 2 3 6 2 2" xfId="46692"/>
    <cellStyle name="SAPBEXHLevel2 2 3 6 2 3" xfId="46693"/>
    <cellStyle name="SAPBEXHLevel2 2 3 6 2 4" xfId="46694"/>
    <cellStyle name="SAPBEXHLevel2 2 3 6 3" xfId="46695"/>
    <cellStyle name="SAPBEXHLevel2 2 3 6 3 2" xfId="46696"/>
    <cellStyle name="SAPBEXHLevel2 2 3 6 3 3" xfId="46697"/>
    <cellStyle name="SAPBEXHLevel2 2 3 6 3 4" xfId="46698"/>
    <cellStyle name="SAPBEXHLevel2 2 3 6 4" xfId="46699"/>
    <cellStyle name="SAPBEXHLevel2 2 3 6 4 2" xfId="46700"/>
    <cellStyle name="SAPBEXHLevel2 2 3 6 4 3" xfId="46701"/>
    <cellStyle name="SAPBEXHLevel2 2 3 6 4 4" xfId="46702"/>
    <cellStyle name="SAPBEXHLevel2 2 3 6 5" xfId="46703"/>
    <cellStyle name="SAPBEXHLevel2 2 3 6 6" xfId="46704"/>
    <cellStyle name="SAPBEXHLevel2 2 3 6 7" xfId="46705"/>
    <cellStyle name="SAPBEXHLevel2 2 3 6 8" xfId="46706"/>
    <cellStyle name="SAPBEXHLevel2 2 3 7" xfId="46707"/>
    <cellStyle name="SAPBEXHLevel2 2 3 7 2" xfId="46708"/>
    <cellStyle name="SAPBEXHLevel2 2 3 7 2 2" xfId="46709"/>
    <cellStyle name="SAPBEXHLevel2 2 3 7 2 3" xfId="46710"/>
    <cellStyle name="SAPBEXHLevel2 2 3 7 2 4" xfId="46711"/>
    <cellStyle name="SAPBEXHLevel2 2 3 7 3" xfId="46712"/>
    <cellStyle name="SAPBEXHLevel2 2 3 7 3 2" xfId="46713"/>
    <cellStyle name="SAPBEXHLevel2 2 3 7 3 3" xfId="46714"/>
    <cellStyle name="SAPBEXHLevel2 2 3 7 3 4" xfId="46715"/>
    <cellStyle name="SAPBEXHLevel2 2 3 7 4" xfId="46716"/>
    <cellStyle name="SAPBEXHLevel2 2 3 7 4 2" xfId="46717"/>
    <cellStyle name="SAPBEXHLevel2 2 3 7 4 3" xfId="46718"/>
    <cellStyle name="SAPBEXHLevel2 2 3 7 4 4" xfId="46719"/>
    <cellStyle name="SAPBEXHLevel2 2 3 7 5" xfId="46720"/>
    <cellStyle name="SAPBEXHLevel2 2 3 7 6" xfId="46721"/>
    <cellStyle name="SAPBEXHLevel2 2 3 7 7" xfId="46722"/>
    <cellStyle name="SAPBEXHLevel2 2 3 7 8" xfId="46723"/>
    <cellStyle name="SAPBEXHLevel2 2 3 8" xfId="46724"/>
    <cellStyle name="SAPBEXHLevel2 2 3 8 2" xfId="46725"/>
    <cellStyle name="SAPBEXHLevel2 2 3 8 3" xfId="46726"/>
    <cellStyle name="SAPBEXHLevel2 2 3 8 4" xfId="46727"/>
    <cellStyle name="SAPBEXHLevel2 2 3 9" xfId="46728"/>
    <cellStyle name="SAPBEXHLevel2 2 3 9 2" xfId="46729"/>
    <cellStyle name="SAPBEXHLevel2 2 3 9 3" xfId="46730"/>
    <cellStyle name="SAPBEXHLevel2 2 3 9 4" xfId="46731"/>
    <cellStyle name="SAPBEXHLevel2 2 4" xfId="46732"/>
    <cellStyle name="SAPBEXHLevel2 2 4 2" xfId="46733"/>
    <cellStyle name="SAPBEXHLevel2 2 4 2 2" xfId="46734"/>
    <cellStyle name="SAPBEXHLevel2 2 4 2 2 2" xfId="46735"/>
    <cellStyle name="SAPBEXHLevel2 2 4 2 2 3" xfId="46736"/>
    <cellStyle name="SAPBEXHLevel2 2 4 2 2 4" xfId="46737"/>
    <cellStyle name="SAPBEXHLevel2 2 4 2 3" xfId="46738"/>
    <cellStyle name="SAPBEXHLevel2 2 4 2 3 2" xfId="46739"/>
    <cellStyle name="SAPBEXHLevel2 2 4 2 3 3" xfId="46740"/>
    <cellStyle name="SAPBEXHLevel2 2 4 2 3 4" xfId="46741"/>
    <cellStyle name="SAPBEXHLevel2 2 4 2 4" xfId="46742"/>
    <cellStyle name="SAPBEXHLevel2 2 4 2 4 2" xfId="46743"/>
    <cellStyle name="SAPBEXHLevel2 2 4 2 4 3" xfId="46744"/>
    <cellStyle name="SAPBEXHLevel2 2 4 2 4 4" xfId="46745"/>
    <cellStyle name="SAPBEXHLevel2 2 4 2 5" xfId="46746"/>
    <cellStyle name="SAPBEXHLevel2 2 4 2 6" xfId="46747"/>
    <cellStyle name="SAPBEXHLevel2 2 4 2 7" xfId="46748"/>
    <cellStyle name="SAPBEXHLevel2 2 4 2 8" xfId="46749"/>
    <cellStyle name="SAPBEXHLevel2 2 4 3" xfId="46750"/>
    <cellStyle name="SAPBEXHLevel2 2 4 3 2" xfId="46751"/>
    <cellStyle name="SAPBEXHLevel2 2 4 3 2 2" xfId="46752"/>
    <cellStyle name="SAPBEXHLevel2 2 4 3 2 3" xfId="46753"/>
    <cellStyle name="SAPBEXHLevel2 2 4 3 2 4" xfId="46754"/>
    <cellStyle name="SAPBEXHLevel2 2 4 3 3" xfId="46755"/>
    <cellStyle name="SAPBEXHLevel2 2 4 3 3 2" xfId="46756"/>
    <cellStyle name="SAPBEXHLevel2 2 4 3 3 3" xfId="46757"/>
    <cellStyle name="SAPBEXHLevel2 2 4 3 3 4" xfId="46758"/>
    <cellStyle name="SAPBEXHLevel2 2 4 3 4" xfId="46759"/>
    <cellStyle name="SAPBEXHLevel2 2 4 3 4 2" xfId="46760"/>
    <cellStyle name="SAPBEXHLevel2 2 4 3 4 3" xfId="46761"/>
    <cellStyle name="SAPBEXHLevel2 2 4 3 4 4" xfId="46762"/>
    <cellStyle name="SAPBEXHLevel2 2 4 3 5" xfId="46763"/>
    <cellStyle name="SAPBEXHLevel2 2 4 3 6" xfId="46764"/>
    <cellStyle name="SAPBEXHLevel2 2 4 3 7" xfId="46765"/>
    <cellStyle name="SAPBEXHLevel2 2 4 3 8" xfId="46766"/>
    <cellStyle name="SAPBEXHLevel2 2 4 4" xfId="46767"/>
    <cellStyle name="SAPBEXHLevel2 2 4 4 2" xfId="46768"/>
    <cellStyle name="SAPBEXHLevel2 2 4 4 2 2" xfId="46769"/>
    <cellStyle name="SAPBEXHLevel2 2 4 4 2 3" xfId="46770"/>
    <cellStyle name="SAPBEXHLevel2 2 4 4 2 4" xfId="46771"/>
    <cellStyle name="SAPBEXHLevel2 2 4 4 3" xfId="46772"/>
    <cellStyle name="SAPBEXHLevel2 2 4 4 3 2" xfId="46773"/>
    <cellStyle name="SAPBEXHLevel2 2 4 4 3 3" xfId="46774"/>
    <cellStyle name="SAPBEXHLevel2 2 4 4 3 4" xfId="46775"/>
    <cellStyle name="SAPBEXHLevel2 2 4 4 4" xfId="46776"/>
    <cellStyle name="SAPBEXHLevel2 2 4 4 4 2" xfId="46777"/>
    <cellStyle name="SAPBEXHLevel2 2 4 4 4 3" xfId="46778"/>
    <cellStyle name="SAPBEXHLevel2 2 4 4 4 4" xfId="46779"/>
    <cellStyle name="SAPBEXHLevel2 2 4 4 5" xfId="46780"/>
    <cellStyle name="SAPBEXHLevel2 2 4 4 6" xfId="46781"/>
    <cellStyle name="SAPBEXHLevel2 2 4 4 7" xfId="46782"/>
    <cellStyle name="SAPBEXHLevel2 2 4 4 8" xfId="46783"/>
    <cellStyle name="SAPBEXHLevel2 2 4 5" xfId="46784"/>
    <cellStyle name="SAPBEXHLevel2 2 4 5 2" xfId="46785"/>
    <cellStyle name="SAPBEXHLevel2 2 4 5 2 2" xfId="46786"/>
    <cellStyle name="SAPBEXHLevel2 2 4 5 2 3" xfId="46787"/>
    <cellStyle name="SAPBEXHLevel2 2 4 5 2 4" xfId="46788"/>
    <cellStyle name="SAPBEXHLevel2 2 4 5 3" xfId="46789"/>
    <cellStyle name="SAPBEXHLevel2 2 4 5 3 2" xfId="46790"/>
    <cellStyle name="SAPBEXHLevel2 2 4 5 3 3" xfId="46791"/>
    <cellStyle name="SAPBEXHLevel2 2 4 5 3 4" xfId="46792"/>
    <cellStyle name="SAPBEXHLevel2 2 4 5 4" xfId="46793"/>
    <cellStyle name="SAPBEXHLevel2 2 4 5 4 2" xfId="46794"/>
    <cellStyle name="SAPBEXHLevel2 2 4 5 4 3" xfId="46795"/>
    <cellStyle name="SAPBEXHLevel2 2 4 5 4 4" xfId="46796"/>
    <cellStyle name="SAPBEXHLevel2 2 4 5 5" xfId="46797"/>
    <cellStyle name="SAPBEXHLevel2 2 4 5 6" xfId="46798"/>
    <cellStyle name="SAPBEXHLevel2 2 4 5 7" xfId="46799"/>
    <cellStyle name="SAPBEXHLevel2 2 4 5 8" xfId="46800"/>
    <cellStyle name="SAPBEXHLevel2 2 4 6" xfId="46801"/>
    <cellStyle name="SAPBEXHLevel2 2 4 6 2" xfId="46802"/>
    <cellStyle name="SAPBEXHLevel2 2 4 6 3" xfId="46803"/>
    <cellStyle name="SAPBEXHLevel2 2 4 6 4" xfId="46804"/>
    <cellStyle name="SAPBEXHLevel2 2 4 7" xfId="46805"/>
    <cellStyle name="SAPBEXHLevel2 2 4 7 2" xfId="46806"/>
    <cellStyle name="SAPBEXHLevel2 2 4 7 3" xfId="46807"/>
    <cellStyle name="SAPBEXHLevel2 2 4 7 4" xfId="46808"/>
    <cellStyle name="SAPBEXHLevel2 2 4 8" xfId="46809"/>
    <cellStyle name="SAPBEXHLevel2 2 4 9" xfId="46810"/>
    <cellStyle name="SAPBEXHLevel2 2 5" xfId="46811"/>
    <cellStyle name="SAPBEXHLevel2 2 5 2" xfId="46812"/>
    <cellStyle name="SAPBEXHLevel2 2 5 2 2" xfId="46813"/>
    <cellStyle name="SAPBEXHLevel2 2 5 2 3" xfId="46814"/>
    <cellStyle name="SAPBEXHLevel2 2 5 2 4" xfId="46815"/>
    <cellStyle name="SAPBEXHLevel2 2 5 3" xfId="46816"/>
    <cellStyle name="SAPBEXHLevel2 2 5 3 2" xfId="46817"/>
    <cellStyle name="SAPBEXHLevel2 2 5 3 3" xfId="46818"/>
    <cellStyle name="SAPBEXHLevel2 2 5 3 4" xfId="46819"/>
    <cellStyle name="SAPBEXHLevel2 2 5 4" xfId="46820"/>
    <cellStyle name="SAPBEXHLevel2 2 5 4 2" xfId="46821"/>
    <cellStyle name="SAPBEXHLevel2 2 5 4 3" xfId="46822"/>
    <cellStyle name="SAPBEXHLevel2 2 5 4 4" xfId="46823"/>
    <cellStyle name="SAPBEXHLevel2 2 5 5" xfId="46824"/>
    <cellStyle name="SAPBEXHLevel2 2 5 6" xfId="46825"/>
    <cellStyle name="SAPBEXHLevel2 2 5 7" xfId="46826"/>
    <cellStyle name="SAPBEXHLevel2 2 5 8" xfId="46827"/>
    <cellStyle name="SAPBEXHLevel2 2 6" xfId="46828"/>
    <cellStyle name="SAPBEXHLevel2 2 6 2" xfId="46829"/>
    <cellStyle name="SAPBEXHLevel2 2 6 2 2" xfId="46830"/>
    <cellStyle name="SAPBEXHLevel2 2 6 2 3" xfId="46831"/>
    <cellStyle name="SAPBEXHLevel2 2 6 2 4" xfId="46832"/>
    <cellStyle name="SAPBEXHLevel2 2 6 3" xfId="46833"/>
    <cellStyle name="SAPBEXHLevel2 2 6 3 2" xfId="46834"/>
    <cellStyle name="SAPBEXHLevel2 2 6 3 3" xfId="46835"/>
    <cellStyle name="SAPBEXHLevel2 2 6 3 4" xfId="46836"/>
    <cellStyle name="SAPBEXHLevel2 2 6 4" xfId="46837"/>
    <cellStyle name="SAPBEXHLevel2 2 6 4 2" xfId="46838"/>
    <cellStyle name="SAPBEXHLevel2 2 6 4 3" xfId="46839"/>
    <cellStyle name="SAPBEXHLevel2 2 6 4 4" xfId="46840"/>
    <cellStyle name="SAPBEXHLevel2 2 6 5" xfId="46841"/>
    <cellStyle name="SAPBEXHLevel2 2 6 6" xfId="46842"/>
    <cellStyle name="SAPBEXHLevel2 2 6 7" xfId="46843"/>
    <cellStyle name="SAPBEXHLevel2 2 6 8" xfId="46844"/>
    <cellStyle name="SAPBEXHLevel2 2 7" xfId="46845"/>
    <cellStyle name="SAPBEXHLevel2 2 7 2" xfId="46846"/>
    <cellStyle name="SAPBEXHLevel2 2 7 2 2" xfId="46847"/>
    <cellStyle name="SAPBEXHLevel2 2 7 2 3" xfId="46848"/>
    <cellStyle name="SAPBEXHLevel2 2 7 2 4" xfId="46849"/>
    <cellStyle name="SAPBEXHLevel2 2 7 3" xfId="46850"/>
    <cellStyle name="SAPBEXHLevel2 2 7 3 2" xfId="46851"/>
    <cellStyle name="SAPBEXHLevel2 2 7 3 3" xfId="46852"/>
    <cellStyle name="SAPBEXHLevel2 2 7 3 4" xfId="46853"/>
    <cellStyle name="SAPBEXHLevel2 2 7 4" xfId="46854"/>
    <cellStyle name="SAPBEXHLevel2 2 7 4 2" xfId="46855"/>
    <cellStyle name="SAPBEXHLevel2 2 7 4 3" xfId="46856"/>
    <cellStyle name="SAPBEXHLevel2 2 7 4 4" xfId="46857"/>
    <cellStyle name="SAPBEXHLevel2 2 7 5" xfId="46858"/>
    <cellStyle name="SAPBEXHLevel2 2 7 6" xfId="46859"/>
    <cellStyle name="SAPBEXHLevel2 2 7 7" xfId="46860"/>
    <cellStyle name="SAPBEXHLevel2 2 7 8" xfId="46861"/>
    <cellStyle name="SAPBEXHLevel2 2 8" xfId="46862"/>
    <cellStyle name="SAPBEXHLevel2 2 8 2" xfId="46863"/>
    <cellStyle name="SAPBEXHLevel2 2 8 2 2" xfId="46864"/>
    <cellStyle name="SAPBEXHLevel2 2 8 2 3" xfId="46865"/>
    <cellStyle name="SAPBEXHLevel2 2 8 2 4" xfId="46866"/>
    <cellStyle name="SAPBEXHLevel2 2 8 3" xfId="46867"/>
    <cellStyle name="SAPBEXHLevel2 2 8 3 2" xfId="46868"/>
    <cellStyle name="SAPBEXHLevel2 2 8 3 3" xfId="46869"/>
    <cellStyle name="SAPBEXHLevel2 2 8 3 4" xfId="46870"/>
    <cellStyle name="SAPBEXHLevel2 2 8 4" xfId="46871"/>
    <cellStyle name="SAPBEXHLevel2 2 8 4 2" xfId="46872"/>
    <cellStyle name="SAPBEXHLevel2 2 8 4 3" xfId="46873"/>
    <cellStyle name="SAPBEXHLevel2 2 8 4 4" xfId="46874"/>
    <cellStyle name="SAPBEXHLevel2 2 8 5" xfId="46875"/>
    <cellStyle name="SAPBEXHLevel2 2 8 6" xfId="46876"/>
    <cellStyle name="SAPBEXHLevel2 2 8 7" xfId="46877"/>
    <cellStyle name="SAPBEXHLevel2 2 8 8" xfId="46878"/>
    <cellStyle name="SAPBEXHLevel2 2 9" xfId="46879"/>
    <cellStyle name="SAPBEXHLevel2 2 9 2" xfId="46880"/>
    <cellStyle name="SAPBEXHLevel2 2 9 2 2" xfId="46881"/>
    <cellStyle name="SAPBEXHLevel2 2 9 2 3" xfId="46882"/>
    <cellStyle name="SAPBEXHLevel2 2 9 2 4" xfId="46883"/>
    <cellStyle name="SAPBEXHLevel2 2 9 3" xfId="46884"/>
    <cellStyle name="SAPBEXHLevel2 2 9 3 2" xfId="46885"/>
    <cellStyle name="SAPBEXHLevel2 2 9 3 3" xfId="46886"/>
    <cellStyle name="SAPBEXHLevel2 2 9 3 4" xfId="46887"/>
    <cellStyle name="SAPBEXHLevel2 2 9 4" xfId="46888"/>
    <cellStyle name="SAPBEXHLevel2 2 9 4 2" xfId="46889"/>
    <cellStyle name="SAPBEXHLevel2 2 9 4 3" xfId="46890"/>
    <cellStyle name="SAPBEXHLevel2 2 9 4 4" xfId="46891"/>
    <cellStyle name="SAPBEXHLevel2 2 9 5" xfId="46892"/>
    <cellStyle name="SAPBEXHLevel2 2 9 6" xfId="46893"/>
    <cellStyle name="SAPBEXHLevel2 2 9 7" xfId="46894"/>
    <cellStyle name="SAPBEXHLevel2 2 9 8" xfId="46895"/>
    <cellStyle name="SAPBEXHLevel2 3" xfId="46896"/>
    <cellStyle name="SAPBEXHLevel2 3 10" xfId="46897"/>
    <cellStyle name="SAPBEXHLevel2 3 11" xfId="46898"/>
    <cellStyle name="SAPBEXHLevel2 3 2" xfId="46899"/>
    <cellStyle name="SAPBEXHLevel2 3 2 2" xfId="46900"/>
    <cellStyle name="SAPBEXHLevel2 3 2 2 2" xfId="46901"/>
    <cellStyle name="SAPBEXHLevel2 3 2 2 2 2" xfId="46902"/>
    <cellStyle name="SAPBEXHLevel2 3 2 2 2 3" xfId="46903"/>
    <cellStyle name="SAPBEXHLevel2 3 2 2 2 4" xfId="46904"/>
    <cellStyle name="SAPBEXHLevel2 3 2 2 3" xfId="46905"/>
    <cellStyle name="SAPBEXHLevel2 3 2 2 3 2" xfId="46906"/>
    <cellStyle name="SAPBEXHLevel2 3 2 2 3 3" xfId="46907"/>
    <cellStyle name="SAPBEXHLevel2 3 2 2 3 4" xfId="46908"/>
    <cellStyle name="SAPBEXHLevel2 3 2 2 4" xfId="46909"/>
    <cellStyle name="SAPBEXHLevel2 3 2 2 4 2" xfId="46910"/>
    <cellStyle name="SAPBEXHLevel2 3 2 2 4 3" xfId="46911"/>
    <cellStyle name="SAPBEXHLevel2 3 2 2 4 4" xfId="46912"/>
    <cellStyle name="SAPBEXHLevel2 3 2 2 5" xfId="46913"/>
    <cellStyle name="SAPBEXHLevel2 3 2 2 6" xfId="46914"/>
    <cellStyle name="SAPBEXHLevel2 3 2 2 7" xfId="46915"/>
    <cellStyle name="SAPBEXHLevel2 3 2 2 8" xfId="46916"/>
    <cellStyle name="SAPBEXHLevel2 3 2 3" xfId="46917"/>
    <cellStyle name="SAPBEXHLevel2 3 2 3 2" xfId="46918"/>
    <cellStyle name="SAPBEXHLevel2 3 2 3 2 2" xfId="46919"/>
    <cellStyle name="SAPBEXHLevel2 3 2 3 2 3" xfId="46920"/>
    <cellStyle name="SAPBEXHLevel2 3 2 3 2 4" xfId="46921"/>
    <cellStyle name="SAPBEXHLevel2 3 2 3 3" xfId="46922"/>
    <cellStyle name="SAPBEXHLevel2 3 2 3 3 2" xfId="46923"/>
    <cellStyle name="SAPBEXHLevel2 3 2 3 3 3" xfId="46924"/>
    <cellStyle name="SAPBEXHLevel2 3 2 3 3 4" xfId="46925"/>
    <cellStyle name="SAPBEXHLevel2 3 2 3 4" xfId="46926"/>
    <cellStyle name="SAPBEXHLevel2 3 2 3 4 2" xfId="46927"/>
    <cellStyle name="SAPBEXHLevel2 3 2 3 4 3" xfId="46928"/>
    <cellStyle name="SAPBEXHLevel2 3 2 3 4 4" xfId="46929"/>
    <cellStyle name="SAPBEXHLevel2 3 2 3 5" xfId="46930"/>
    <cellStyle name="SAPBEXHLevel2 3 2 3 6" xfId="46931"/>
    <cellStyle name="SAPBEXHLevel2 3 2 3 7" xfId="46932"/>
    <cellStyle name="SAPBEXHLevel2 3 2 3 8" xfId="46933"/>
    <cellStyle name="SAPBEXHLevel2 3 2 4" xfId="46934"/>
    <cellStyle name="SAPBEXHLevel2 3 2 4 2" xfId="46935"/>
    <cellStyle name="SAPBEXHLevel2 3 2 4 2 2" xfId="46936"/>
    <cellStyle name="SAPBEXHLevel2 3 2 4 2 3" xfId="46937"/>
    <cellStyle name="SAPBEXHLevel2 3 2 4 2 4" xfId="46938"/>
    <cellStyle name="SAPBEXHLevel2 3 2 4 3" xfId="46939"/>
    <cellStyle name="SAPBEXHLevel2 3 2 4 3 2" xfId="46940"/>
    <cellStyle name="SAPBEXHLevel2 3 2 4 3 3" xfId="46941"/>
    <cellStyle name="SAPBEXHLevel2 3 2 4 3 4" xfId="46942"/>
    <cellStyle name="SAPBEXHLevel2 3 2 4 4" xfId="46943"/>
    <cellStyle name="SAPBEXHLevel2 3 2 4 4 2" xfId="46944"/>
    <cellStyle name="SAPBEXHLevel2 3 2 4 4 3" xfId="46945"/>
    <cellStyle name="SAPBEXHLevel2 3 2 4 4 4" xfId="46946"/>
    <cellStyle name="SAPBEXHLevel2 3 2 4 5" xfId="46947"/>
    <cellStyle name="SAPBEXHLevel2 3 2 4 6" xfId="46948"/>
    <cellStyle name="SAPBEXHLevel2 3 2 4 7" xfId="46949"/>
    <cellStyle name="SAPBEXHLevel2 3 2 4 8" xfId="46950"/>
    <cellStyle name="SAPBEXHLevel2 3 2 5" xfId="46951"/>
    <cellStyle name="SAPBEXHLevel2 3 2 5 2" xfId="46952"/>
    <cellStyle name="SAPBEXHLevel2 3 2 5 2 2" xfId="46953"/>
    <cellStyle name="SAPBEXHLevel2 3 2 5 2 3" xfId="46954"/>
    <cellStyle name="SAPBEXHLevel2 3 2 5 2 4" xfId="46955"/>
    <cellStyle name="SAPBEXHLevel2 3 2 5 3" xfId="46956"/>
    <cellStyle name="SAPBEXHLevel2 3 2 5 3 2" xfId="46957"/>
    <cellStyle name="SAPBEXHLevel2 3 2 5 3 3" xfId="46958"/>
    <cellStyle name="SAPBEXHLevel2 3 2 5 3 4" xfId="46959"/>
    <cellStyle name="SAPBEXHLevel2 3 2 5 4" xfId="46960"/>
    <cellStyle name="SAPBEXHLevel2 3 2 5 4 2" xfId="46961"/>
    <cellStyle name="SAPBEXHLevel2 3 2 5 4 3" xfId="46962"/>
    <cellStyle name="SAPBEXHLevel2 3 2 5 4 4" xfId="46963"/>
    <cellStyle name="SAPBEXHLevel2 3 2 5 5" xfId="46964"/>
    <cellStyle name="SAPBEXHLevel2 3 2 5 6" xfId="46965"/>
    <cellStyle name="SAPBEXHLevel2 3 2 5 7" xfId="46966"/>
    <cellStyle name="SAPBEXHLevel2 3 2 5 8" xfId="46967"/>
    <cellStyle name="SAPBEXHLevel2 3 2 6" xfId="46968"/>
    <cellStyle name="SAPBEXHLevel2 3 2 6 2" xfId="46969"/>
    <cellStyle name="SAPBEXHLevel2 3 2 6 3" xfId="46970"/>
    <cellStyle name="SAPBEXHLevel2 3 2 6 4" xfId="46971"/>
    <cellStyle name="SAPBEXHLevel2 3 2 7" xfId="46972"/>
    <cellStyle name="SAPBEXHLevel2 3 2 7 2" xfId="46973"/>
    <cellStyle name="SAPBEXHLevel2 3 2 7 3" xfId="46974"/>
    <cellStyle name="SAPBEXHLevel2 3 2 7 4" xfId="46975"/>
    <cellStyle name="SAPBEXHLevel2 3 2 8" xfId="46976"/>
    <cellStyle name="SAPBEXHLevel2 3 2 9" xfId="46977"/>
    <cellStyle name="SAPBEXHLevel2 3 3" xfId="46978"/>
    <cellStyle name="SAPBEXHLevel2 3 3 2" xfId="46979"/>
    <cellStyle name="SAPBEXHLevel2 3 3 2 2" xfId="46980"/>
    <cellStyle name="SAPBEXHLevel2 3 3 2 3" xfId="46981"/>
    <cellStyle name="SAPBEXHLevel2 3 3 2 4" xfId="46982"/>
    <cellStyle name="SAPBEXHLevel2 3 3 3" xfId="46983"/>
    <cellStyle name="SAPBEXHLevel2 3 3 3 2" xfId="46984"/>
    <cellStyle name="SAPBEXHLevel2 3 3 3 3" xfId="46985"/>
    <cellStyle name="SAPBEXHLevel2 3 3 3 4" xfId="46986"/>
    <cellStyle name="SAPBEXHLevel2 3 3 4" xfId="46987"/>
    <cellStyle name="SAPBEXHLevel2 3 3 4 2" xfId="46988"/>
    <cellStyle name="SAPBEXHLevel2 3 3 4 3" xfId="46989"/>
    <cellStyle name="SAPBEXHLevel2 3 3 4 4" xfId="46990"/>
    <cellStyle name="SAPBEXHLevel2 3 3 5" xfId="46991"/>
    <cellStyle name="SAPBEXHLevel2 3 3 6" xfId="46992"/>
    <cellStyle name="SAPBEXHLevel2 3 3 7" xfId="46993"/>
    <cellStyle name="SAPBEXHLevel2 3 3 8" xfId="46994"/>
    <cellStyle name="SAPBEXHLevel2 3 4" xfId="46995"/>
    <cellStyle name="SAPBEXHLevel2 3 4 2" xfId="46996"/>
    <cellStyle name="SAPBEXHLevel2 3 4 2 2" xfId="46997"/>
    <cellStyle name="SAPBEXHLevel2 3 4 2 3" xfId="46998"/>
    <cellStyle name="SAPBEXHLevel2 3 4 2 4" xfId="46999"/>
    <cellStyle name="SAPBEXHLevel2 3 4 3" xfId="47000"/>
    <cellStyle name="SAPBEXHLevel2 3 4 3 2" xfId="47001"/>
    <cellStyle name="SAPBEXHLevel2 3 4 3 3" xfId="47002"/>
    <cellStyle name="SAPBEXHLevel2 3 4 3 4" xfId="47003"/>
    <cellStyle name="SAPBEXHLevel2 3 4 4" xfId="47004"/>
    <cellStyle name="SAPBEXHLevel2 3 4 4 2" xfId="47005"/>
    <cellStyle name="SAPBEXHLevel2 3 4 4 3" xfId="47006"/>
    <cellStyle name="SAPBEXHLevel2 3 4 4 4" xfId="47007"/>
    <cellStyle name="SAPBEXHLevel2 3 4 5" xfId="47008"/>
    <cellStyle name="SAPBEXHLevel2 3 4 6" xfId="47009"/>
    <cellStyle name="SAPBEXHLevel2 3 4 7" xfId="47010"/>
    <cellStyle name="SAPBEXHLevel2 3 4 8" xfId="47011"/>
    <cellStyle name="SAPBEXHLevel2 3 5" xfId="47012"/>
    <cellStyle name="SAPBEXHLevel2 3 5 2" xfId="47013"/>
    <cellStyle name="SAPBEXHLevel2 3 5 2 2" xfId="47014"/>
    <cellStyle name="SAPBEXHLevel2 3 5 2 3" xfId="47015"/>
    <cellStyle name="SAPBEXHLevel2 3 5 2 4" xfId="47016"/>
    <cellStyle name="SAPBEXHLevel2 3 5 3" xfId="47017"/>
    <cellStyle name="SAPBEXHLevel2 3 5 3 2" xfId="47018"/>
    <cellStyle name="SAPBEXHLevel2 3 5 3 3" xfId="47019"/>
    <cellStyle name="SAPBEXHLevel2 3 5 3 4" xfId="47020"/>
    <cellStyle name="SAPBEXHLevel2 3 5 4" xfId="47021"/>
    <cellStyle name="SAPBEXHLevel2 3 5 4 2" xfId="47022"/>
    <cellStyle name="SAPBEXHLevel2 3 5 4 3" xfId="47023"/>
    <cellStyle name="SAPBEXHLevel2 3 5 4 4" xfId="47024"/>
    <cellStyle name="SAPBEXHLevel2 3 5 5" xfId="47025"/>
    <cellStyle name="SAPBEXHLevel2 3 5 6" xfId="47026"/>
    <cellStyle name="SAPBEXHLevel2 3 5 7" xfId="47027"/>
    <cellStyle name="SAPBEXHLevel2 3 5 8" xfId="47028"/>
    <cellStyle name="SAPBEXHLevel2 3 6" xfId="47029"/>
    <cellStyle name="SAPBEXHLevel2 3 6 2" xfId="47030"/>
    <cellStyle name="SAPBEXHLevel2 3 6 2 2" xfId="47031"/>
    <cellStyle name="SAPBEXHLevel2 3 6 2 3" xfId="47032"/>
    <cellStyle name="SAPBEXHLevel2 3 6 2 4" xfId="47033"/>
    <cellStyle name="SAPBEXHLevel2 3 6 3" xfId="47034"/>
    <cellStyle name="SAPBEXHLevel2 3 6 3 2" xfId="47035"/>
    <cellStyle name="SAPBEXHLevel2 3 6 3 3" xfId="47036"/>
    <cellStyle name="SAPBEXHLevel2 3 6 3 4" xfId="47037"/>
    <cellStyle name="SAPBEXHLevel2 3 6 4" xfId="47038"/>
    <cellStyle name="SAPBEXHLevel2 3 6 4 2" xfId="47039"/>
    <cellStyle name="SAPBEXHLevel2 3 6 4 3" xfId="47040"/>
    <cellStyle name="SAPBEXHLevel2 3 6 4 4" xfId="47041"/>
    <cellStyle name="SAPBEXHLevel2 3 6 5" xfId="47042"/>
    <cellStyle name="SAPBEXHLevel2 3 6 6" xfId="47043"/>
    <cellStyle name="SAPBEXHLevel2 3 6 7" xfId="47044"/>
    <cellStyle name="SAPBEXHLevel2 3 6 8" xfId="47045"/>
    <cellStyle name="SAPBEXHLevel2 3 7" xfId="47046"/>
    <cellStyle name="SAPBEXHLevel2 3 7 2" xfId="47047"/>
    <cellStyle name="SAPBEXHLevel2 3 7 2 2" xfId="47048"/>
    <cellStyle name="SAPBEXHLevel2 3 7 2 3" xfId="47049"/>
    <cellStyle name="SAPBEXHLevel2 3 7 2 4" xfId="47050"/>
    <cellStyle name="SAPBEXHLevel2 3 7 3" xfId="47051"/>
    <cellStyle name="SAPBEXHLevel2 3 7 3 2" xfId="47052"/>
    <cellStyle name="SAPBEXHLevel2 3 7 3 3" xfId="47053"/>
    <cellStyle name="SAPBEXHLevel2 3 7 3 4" xfId="47054"/>
    <cellStyle name="SAPBEXHLevel2 3 7 4" xfId="47055"/>
    <cellStyle name="SAPBEXHLevel2 3 7 4 2" xfId="47056"/>
    <cellStyle name="SAPBEXHLevel2 3 7 4 3" xfId="47057"/>
    <cellStyle name="SAPBEXHLevel2 3 7 4 4" xfId="47058"/>
    <cellStyle name="SAPBEXHLevel2 3 7 5" xfId="47059"/>
    <cellStyle name="SAPBEXHLevel2 3 7 6" xfId="47060"/>
    <cellStyle name="SAPBEXHLevel2 3 7 7" xfId="47061"/>
    <cellStyle name="SAPBEXHLevel2 3 7 8" xfId="47062"/>
    <cellStyle name="SAPBEXHLevel2 3 8" xfId="47063"/>
    <cellStyle name="SAPBEXHLevel2 3 8 2" xfId="47064"/>
    <cellStyle name="SAPBEXHLevel2 3 8 3" xfId="47065"/>
    <cellStyle name="SAPBEXHLevel2 3 8 4" xfId="47066"/>
    <cellStyle name="SAPBEXHLevel2 3 9" xfId="47067"/>
    <cellStyle name="SAPBEXHLevel2 3 9 2" xfId="47068"/>
    <cellStyle name="SAPBEXHLevel2 3 9 3" xfId="47069"/>
    <cellStyle name="SAPBEXHLevel2 3 9 4" xfId="47070"/>
    <cellStyle name="SAPBEXHLevel2 4" xfId="47071"/>
    <cellStyle name="SAPBEXHLevel2 4 10" xfId="47072"/>
    <cellStyle name="SAPBEXHLevel2 4 11" xfId="47073"/>
    <cellStyle name="SAPBEXHLevel2 4 2" xfId="47074"/>
    <cellStyle name="SAPBEXHLevel2 4 2 2" xfId="47075"/>
    <cellStyle name="SAPBEXHLevel2 4 2 2 2" xfId="47076"/>
    <cellStyle name="SAPBEXHLevel2 4 2 2 2 2" xfId="47077"/>
    <cellStyle name="SAPBEXHLevel2 4 2 2 2 3" xfId="47078"/>
    <cellStyle name="SAPBEXHLevel2 4 2 2 2 4" xfId="47079"/>
    <cellStyle name="SAPBEXHLevel2 4 2 2 3" xfId="47080"/>
    <cellStyle name="SAPBEXHLevel2 4 2 2 3 2" xfId="47081"/>
    <cellStyle name="SAPBEXHLevel2 4 2 2 3 3" xfId="47082"/>
    <cellStyle name="SAPBEXHLevel2 4 2 2 3 4" xfId="47083"/>
    <cellStyle name="SAPBEXHLevel2 4 2 2 4" xfId="47084"/>
    <cellStyle name="SAPBEXHLevel2 4 2 2 4 2" xfId="47085"/>
    <cellStyle name="SAPBEXHLevel2 4 2 2 4 3" xfId="47086"/>
    <cellStyle name="SAPBEXHLevel2 4 2 2 4 4" xfId="47087"/>
    <cellStyle name="SAPBEXHLevel2 4 2 2 5" xfId="47088"/>
    <cellStyle name="SAPBEXHLevel2 4 2 2 6" xfId="47089"/>
    <cellStyle name="SAPBEXHLevel2 4 2 2 7" xfId="47090"/>
    <cellStyle name="SAPBEXHLevel2 4 2 2 8" xfId="47091"/>
    <cellStyle name="SAPBEXHLevel2 4 2 3" xfId="47092"/>
    <cellStyle name="SAPBEXHLevel2 4 2 3 2" xfId="47093"/>
    <cellStyle name="SAPBEXHLevel2 4 2 3 2 2" xfId="47094"/>
    <cellStyle name="SAPBEXHLevel2 4 2 3 2 3" xfId="47095"/>
    <cellStyle name="SAPBEXHLevel2 4 2 3 2 4" xfId="47096"/>
    <cellStyle name="SAPBEXHLevel2 4 2 3 3" xfId="47097"/>
    <cellStyle name="SAPBEXHLevel2 4 2 3 3 2" xfId="47098"/>
    <cellStyle name="SAPBEXHLevel2 4 2 3 3 3" xfId="47099"/>
    <cellStyle name="SAPBEXHLevel2 4 2 3 3 4" xfId="47100"/>
    <cellStyle name="SAPBEXHLevel2 4 2 3 4" xfId="47101"/>
    <cellStyle name="SAPBEXHLevel2 4 2 3 4 2" xfId="47102"/>
    <cellStyle name="SAPBEXHLevel2 4 2 3 4 3" xfId="47103"/>
    <cellStyle name="SAPBEXHLevel2 4 2 3 4 4" xfId="47104"/>
    <cellStyle name="SAPBEXHLevel2 4 2 3 5" xfId="47105"/>
    <cellStyle name="SAPBEXHLevel2 4 2 3 6" xfId="47106"/>
    <cellStyle name="SAPBEXHLevel2 4 2 3 7" xfId="47107"/>
    <cellStyle name="SAPBEXHLevel2 4 2 3 8" xfId="47108"/>
    <cellStyle name="SAPBEXHLevel2 4 2 4" xfId="47109"/>
    <cellStyle name="SAPBEXHLevel2 4 2 4 2" xfId="47110"/>
    <cellStyle name="SAPBEXHLevel2 4 2 4 2 2" xfId="47111"/>
    <cellStyle name="SAPBEXHLevel2 4 2 4 2 3" xfId="47112"/>
    <cellStyle name="SAPBEXHLevel2 4 2 4 2 4" xfId="47113"/>
    <cellStyle name="SAPBEXHLevel2 4 2 4 3" xfId="47114"/>
    <cellStyle name="SAPBEXHLevel2 4 2 4 3 2" xfId="47115"/>
    <cellStyle name="SAPBEXHLevel2 4 2 4 3 3" xfId="47116"/>
    <cellStyle name="SAPBEXHLevel2 4 2 4 3 4" xfId="47117"/>
    <cellStyle name="SAPBEXHLevel2 4 2 4 4" xfId="47118"/>
    <cellStyle name="SAPBEXHLevel2 4 2 4 4 2" xfId="47119"/>
    <cellStyle name="SAPBEXHLevel2 4 2 4 4 3" xfId="47120"/>
    <cellStyle name="SAPBEXHLevel2 4 2 4 4 4" xfId="47121"/>
    <cellStyle name="SAPBEXHLevel2 4 2 4 5" xfId="47122"/>
    <cellStyle name="SAPBEXHLevel2 4 2 4 6" xfId="47123"/>
    <cellStyle name="SAPBEXHLevel2 4 2 4 7" xfId="47124"/>
    <cellStyle name="SAPBEXHLevel2 4 2 4 8" xfId="47125"/>
    <cellStyle name="SAPBEXHLevel2 4 2 5" xfId="47126"/>
    <cellStyle name="SAPBEXHLevel2 4 2 5 2" xfId="47127"/>
    <cellStyle name="SAPBEXHLevel2 4 2 5 2 2" xfId="47128"/>
    <cellStyle name="SAPBEXHLevel2 4 2 5 2 3" xfId="47129"/>
    <cellStyle name="SAPBEXHLevel2 4 2 5 2 4" xfId="47130"/>
    <cellStyle name="SAPBEXHLevel2 4 2 5 3" xfId="47131"/>
    <cellStyle name="SAPBEXHLevel2 4 2 5 3 2" xfId="47132"/>
    <cellStyle name="SAPBEXHLevel2 4 2 5 3 3" xfId="47133"/>
    <cellStyle name="SAPBEXHLevel2 4 2 5 3 4" xfId="47134"/>
    <cellStyle name="SAPBEXHLevel2 4 2 5 4" xfId="47135"/>
    <cellStyle name="SAPBEXHLevel2 4 2 5 4 2" xfId="47136"/>
    <cellStyle name="SAPBEXHLevel2 4 2 5 4 3" xfId="47137"/>
    <cellStyle name="SAPBEXHLevel2 4 2 5 4 4" xfId="47138"/>
    <cellStyle name="SAPBEXHLevel2 4 2 5 5" xfId="47139"/>
    <cellStyle name="SAPBEXHLevel2 4 2 5 6" xfId="47140"/>
    <cellStyle name="SAPBEXHLevel2 4 2 5 7" xfId="47141"/>
    <cellStyle name="SAPBEXHLevel2 4 2 5 8" xfId="47142"/>
    <cellStyle name="SAPBEXHLevel2 4 2 6" xfId="47143"/>
    <cellStyle name="SAPBEXHLevel2 4 2 6 2" xfId="47144"/>
    <cellStyle name="SAPBEXHLevel2 4 2 6 3" xfId="47145"/>
    <cellStyle name="SAPBEXHLevel2 4 2 6 4" xfId="47146"/>
    <cellStyle name="SAPBEXHLevel2 4 2 7" xfId="47147"/>
    <cellStyle name="SAPBEXHLevel2 4 2 7 2" xfId="47148"/>
    <cellStyle name="SAPBEXHLevel2 4 2 7 3" xfId="47149"/>
    <cellStyle name="SAPBEXHLevel2 4 2 7 4" xfId="47150"/>
    <cellStyle name="SAPBEXHLevel2 4 2 8" xfId="47151"/>
    <cellStyle name="SAPBEXHLevel2 4 2 9" xfId="47152"/>
    <cellStyle name="SAPBEXHLevel2 4 3" xfId="47153"/>
    <cellStyle name="SAPBEXHLevel2 4 3 2" xfId="47154"/>
    <cellStyle name="SAPBEXHLevel2 4 3 2 2" xfId="47155"/>
    <cellStyle name="SAPBEXHLevel2 4 3 2 3" xfId="47156"/>
    <cellStyle name="SAPBEXHLevel2 4 3 2 4" xfId="47157"/>
    <cellStyle name="SAPBEXHLevel2 4 3 3" xfId="47158"/>
    <cellStyle name="SAPBEXHLevel2 4 3 3 2" xfId="47159"/>
    <cellStyle name="SAPBEXHLevel2 4 3 3 3" xfId="47160"/>
    <cellStyle name="SAPBEXHLevel2 4 3 3 4" xfId="47161"/>
    <cellStyle name="SAPBEXHLevel2 4 3 4" xfId="47162"/>
    <cellStyle name="SAPBEXHLevel2 4 3 4 2" xfId="47163"/>
    <cellStyle name="SAPBEXHLevel2 4 3 4 3" xfId="47164"/>
    <cellStyle name="SAPBEXHLevel2 4 3 4 4" xfId="47165"/>
    <cellStyle name="SAPBEXHLevel2 4 3 5" xfId="47166"/>
    <cellStyle name="SAPBEXHLevel2 4 3 6" xfId="47167"/>
    <cellStyle name="SAPBEXHLevel2 4 3 7" xfId="47168"/>
    <cellStyle name="SAPBEXHLevel2 4 3 8" xfId="47169"/>
    <cellStyle name="SAPBEXHLevel2 4 4" xfId="47170"/>
    <cellStyle name="SAPBEXHLevel2 4 4 2" xfId="47171"/>
    <cellStyle name="SAPBEXHLevel2 4 4 2 2" xfId="47172"/>
    <cellStyle name="SAPBEXHLevel2 4 4 2 3" xfId="47173"/>
    <cellStyle name="SAPBEXHLevel2 4 4 2 4" xfId="47174"/>
    <cellStyle name="SAPBEXHLevel2 4 4 3" xfId="47175"/>
    <cellStyle name="SAPBEXHLevel2 4 4 3 2" xfId="47176"/>
    <cellStyle name="SAPBEXHLevel2 4 4 3 3" xfId="47177"/>
    <cellStyle name="SAPBEXHLevel2 4 4 3 4" xfId="47178"/>
    <cellStyle name="SAPBEXHLevel2 4 4 4" xfId="47179"/>
    <cellStyle name="SAPBEXHLevel2 4 4 4 2" xfId="47180"/>
    <cellStyle name="SAPBEXHLevel2 4 4 4 3" xfId="47181"/>
    <cellStyle name="SAPBEXHLevel2 4 4 4 4" xfId="47182"/>
    <cellStyle name="SAPBEXHLevel2 4 4 5" xfId="47183"/>
    <cellStyle name="SAPBEXHLevel2 4 4 6" xfId="47184"/>
    <cellStyle name="SAPBEXHLevel2 4 4 7" xfId="47185"/>
    <cellStyle name="SAPBEXHLevel2 4 4 8" xfId="47186"/>
    <cellStyle name="SAPBEXHLevel2 4 5" xfId="47187"/>
    <cellStyle name="SAPBEXHLevel2 4 5 2" xfId="47188"/>
    <cellStyle name="SAPBEXHLevel2 4 5 2 2" xfId="47189"/>
    <cellStyle name="SAPBEXHLevel2 4 5 2 3" xfId="47190"/>
    <cellStyle name="SAPBEXHLevel2 4 5 2 4" xfId="47191"/>
    <cellStyle name="SAPBEXHLevel2 4 5 3" xfId="47192"/>
    <cellStyle name="SAPBEXHLevel2 4 5 3 2" xfId="47193"/>
    <cellStyle name="SAPBEXHLevel2 4 5 3 3" xfId="47194"/>
    <cellStyle name="SAPBEXHLevel2 4 5 3 4" xfId="47195"/>
    <cellStyle name="SAPBEXHLevel2 4 5 4" xfId="47196"/>
    <cellStyle name="SAPBEXHLevel2 4 5 4 2" xfId="47197"/>
    <cellStyle name="SAPBEXHLevel2 4 5 4 3" xfId="47198"/>
    <cellStyle name="SAPBEXHLevel2 4 5 4 4" xfId="47199"/>
    <cellStyle name="SAPBEXHLevel2 4 5 5" xfId="47200"/>
    <cellStyle name="SAPBEXHLevel2 4 5 6" xfId="47201"/>
    <cellStyle name="SAPBEXHLevel2 4 5 7" xfId="47202"/>
    <cellStyle name="SAPBEXHLevel2 4 5 8" xfId="47203"/>
    <cellStyle name="SAPBEXHLevel2 4 6" xfId="47204"/>
    <cellStyle name="SAPBEXHLevel2 4 6 2" xfId="47205"/>
    <cellStyle name="SAPBEXHLevel2 4 6 2 2" xfId="47206"/>
    <cellStyle name="SAPBEXHLevel2 4 6 2 3" xfId="47207"/>
    <cellStyle name="SAPBEXHLevel2 4 6 2 4" xfId="47208"/>
    <cellStyle name="SAPBEXHLevel2 4 6 3" xfId="47209"/>
    <cellStyle name="SAPBEXHLevel2 4 6 3 2" xfId="47210"/>
    <cellStyle name="SAPBEXHLevel2 4 6 3 3" xfId="47211"/>
    <cellStyle name="SAPBEXHLevel2 4 6 3 4" xfId="47212"/>
    <cellStyle name="SAPBEXHLevel2 4 6 4" xfId="47213"/>
    <cellStyle name="SAPBEXHLevel2 4 6 4 2" xfId="47214"/>
    <cellStyle name="SAPBEXHLevel2 4 6 4 3" xfId="47215"/>
    <cellStyle name="SAPBEXHLevel2 4 6 4 4" xfId="47216"/>
    <cellStyle name="SAPBEXHLevel2 4 6 5" xfId="47217"/>
    <cellStyle name="SAPBEXHLevel2 4 6 6" xfId="47218"/>
    <cellStyle name="SAPBEXHLevel2 4 6 7" xfId="47219"/>
    <cellStyle name="SAPBEXHLevel2 4 6 8" xfId="47220"/>
    <cellStyle name="SAPBEXHLevel2 4 7" xfId="47221"/>
    <cellStyle name="SAPBEXHLevel2 4 7 2" xfId="47222"/>
    <cellStyle name="SAPBEXHLevel2 4 7 2 2" xfId="47223"/>
    <cellStyle name="SAPBEXHLevel2 4 7 2 3" xfId="47224"/>
    <cellStyle name="SAPBEXHLevel2 4 7 2 4" xfId="47225"/>
    <cellStyle name="SAPBEXHLevel2 4 7 3" xfId="47226"/>
    <cellStyle name="SAPBEXHLevel2 4 7 3 2" xfId="47227"/>
    <cellStyle name="SAPBEXHLevel2 4 7 3 3" xfId="47228"/>
    <cellStyle name="SAPBEXHLevel2 4 7 3 4" xfId="47229"/>
    <cellStyle name="SAPBEXHLevel2 4 7 4" xfId="47230"/>
    <cellStyle name="SAPBEXHLevel2 4 7 4 2" xfId="47231"/>
    <cellStyle name="SAPBEXHLevel2 4 7 4 3" xfId="47232"/>
    <cellStyle name="SAPBEXHLevel2 4 7 4 4" xfId="47233"/>
    <cellStyle name="SAPBEXHLevel2 4 7 5" xfId="47234"/>
    <cellStyle name="SAPBEXHLevel2 4 7 6" xfId="47235"/>
    <cellStyle name="SAPBEXHLevel2 4 7 7" xfId="47236"/>
    <cellStyle name="SAPBEXHLevel2 4 7 8" xfId="47237"/>
    <cellStyle name="SAPBEXHLevel2 4 8" xfId="47238"/>
    <cellStyle name="SAPBEXHLevel2 4 8 2" xfId="47239"/>
    <cellStyle name="SAPBEXHLevel2 4 8 3" xfId="47240"/>
    <cellStyle name="SAPBEXHLevel2 4 8 4" xfId="47241"/>
    <cellStyle name="SAPBEXHLevel2 4 9" xfId="47242"/>
    <cellStyle name="SAPBEXHLevel2 4 9 2" xfId="47243"/>
    <cellStyle name="SAPBEXHLevel2 4 9 3" xfId="47244"/>
    <cellStyle name="SAPBEXHLevel2 4 9 4" xfId="47245"/>
    <cellStyle name="SAPBEXHLevel2 5" xfId="47246"/>
    <cellStyle name="SAPBEXHLevel2 5 2" xfId="47247"/>
    <cellStyle name="SAPBEXHLevel2 5 2 2" xfId="47248"/>
    <cellStyle name="SAPBEXHLevel2 5 2 2 2" xfId="47249"/>
    <cellStyle name="SAPBEXHLevel2 5 2 2 3" xfId="47250"/>
    <cellStyle name="SAPBEXHLevel2 5 2 2 4" xfId="47251"/>
    <cellStyle name="SAPBEXHLevel2 5 2 3" xfId="47252"/>
    <cellStyle name="SAPBEXHLevel2 5 2 3 2" xfId="47253"/>
    <cellStyle name="SAPBEXHLevel2 5 2 3 3" xfId="47254"/>
    <cellStyle name="SAPBEXHLevel2 5 2 3 4" xfId="47255"/>
    <cellStyle name="SAPBEXHLevel2 5 2 4" xfId="47256"/>
    <cellStyle name="SAPBEXHLevel2 5 2 4 2" xfId="47257"/>
    <cellStyle name="SAPBEXHLevel2 5 2 4 3" xfId="47258"/>
    <cellStyle name="SAPBEXHLevel2 5 2 4 4" xfId="47259"/>
    <cellStyle name="SAPBEXHLevel2 5 2 5" xfId="47260"/>
    <cellStyle name="SAPBEXHLevel2 5 2 6" xfId="47261"/>
    <cellStyle name="SAPBEXHLevel2 5 2 7" xfId="47262"/>
    <cellStyle name="SAPBEXHLevel2 5 2 8" xfId="47263"/>
    <cellStyle name="SAPBEXHLevel2 5 3" xfId="47264"/>
    <cellStyle name="SAPBEXHLevel2 5 3 2" xfId="47265"/>
    <cellStyle name="SAPBEXHLevel2 5 3 2 2" xfId="47266"/>
    <cellStyle name="SAPBEXHLevel2 5 3 2 3" xfId="47267"/>
    <cellStyle name="SAPBEXHLevel2 5 3 2 4" xfId="47268"/>
    <cellStyle name="SAPBEXHLevel2 5 3 3" xfId="47269"/>
    <cellStyle name="SAPBEXHLevel2 5 3 3 2" xfId="47270"/>
    <cellStyle name="SAPBEXHLevel2 5 3 3 3" xfId="47271"/>
    <cellStyle name="SAPBEXHLevel2 5 3 3 4" xfId="47272"/>
    <cellStyle name="SAPBEXHLevel2 5 3 4" xfId="47273"/>
    <cellStyle name="SAPBEXHLevel2 5 3 4 2" xfId="47274"/>
    <cellStyle name="SAPBEXHLevel2 5 3 4 3" xfId="47275"/>
    <cellStyle name="SAPBEXHLevel2 5 3 4 4" xfId="47276"/>
    <cellStyle name="SAPBEXHLevel2 5 3 5" xfId="47277"/>
    <cellStyle name="SAPBEXHLevel2 5 3 6" xfId="47278"/>
    <cellStyle name="SAPBEXHLevel2 5 3 7" xfId="47279"/>
    <cellStyle name="SAPBEXHLevel2 5 3 8" xfId="47280"/>
    <cellStyle name="SAPBEXHLevel2 5 4" xfId="47281"/>
    <cellStyle name="SAPBEXHLevel2 5 4 2" xfId="47282"/>
    <cellStyle name="SAPBEXHLevel2 5 4 2 2" xfId="47283"/>
    <cellStyle name="SAPBEXHLevel2 5 4 2 3" xfId="47284"/>
    <cellStyle name="SAPBEXHLevel2 5 4 2 4" xfId="47285"/>
    <cellStyle name="SAPBEXHLevel2 5 4 3" xfId="47286"/>
    <cellStyle name="SAPBEXHLevel2 5 4 3 2" xfId="47287"/>
    <cellStyle name="SAPBEXHLevel2 5 4 3 3" xfId="47288"/>
    <cellStyle name="SAPBEXHLevel2 5 4 3 4" xfId="47289"/>
    <cellStyle name="SAPBEXHLevel2 5 4 4" xfId="47290"/>
    <cellStyle name="SAPBEXHLevel2 5 4 4 2" xfId="47291"/>
    <cellStyle name="SAPBEXHLevel2 5 4 4 3" xfId="47292"/>
    <cellStyle name="SAPBEXHLevel2 5 4 4 4" xfId="47293"/>
    <cellStyle name="SAPBEXHLevel2 5 4 5" xfId="47294"/>
    <cellStyle name="SAPBEXHLevel2 5 4 6" xfId="47295"/>
    <cellStyle name="SAPBEXHLevel2 5 4 7" xfId="47296"/>
    <cellStyle name="SAPBEXHLevel2 5 4 8" xfId="47297"/>
    <cellStyle name="SAPBEXHLevel2 5 5" xfId="47298"/>
    <cellStyle name="SAPBEXHLevel2 5 5 2" xfId="47299"/>
    <cellStyle name="SAPBEXHLevel2 5 5 2 2" xfId="47300"/>
    <cellStyle name="SAPBEXHLevel2 5 5 2 3" xfId="47301"/>
    <cellStyle name="SAPBEXHLevel2 5 5 2 4" xfId="47302"/>
    <cellStyle name="SAPBEXHLevel2 5 5 3" xfId="47303"/>
    <cellStyle name="SAPBEXHLevel2 5 5 3 2" xfId="47304"/>
    <cellStyle name="SAPBEXHLevel2 5 5 3 3" xfId="47305"/>
    <cellStyle name="SAPBEXHLevel2 5 5 3 4" xfId="47306"/>
    <cellStyle name="SAPBEXHLevel2 5 5 4" xfId="47307"/>
    <cellStyle name="SAPBEXHLevel2 5 5 4 2" xfId="47308"/>
    <cellStyle name="SAPBEXHLevel2 5 5 4 3" xfId="47309"/>
    <cellStyle name="SAPBEXHLevel2 5 5 4 4" xfId="47310"/>
    <cellStyle name="SAPBEXHLevel2 5 5 5" xfId="47311"/>
    <cellStyle name="SAPBEXHLevel2 5 5 6" xfId="47312"/>
    <cellStyle name="SAPBEXHLevel2 5 5 7" xfId="47313"/>
    <cellStyle name="SAPBEXHLevel2 5 5 8" xfId="47314"/>
    <cellStyle name="SAPBEXHLevel2 5 6" xfId="47315"/>
    <cellStyle name="SAPBEXHLevel2 5 6 2" xfId="47316"/>
    <cellStyle name="SAPBEXHLevel2 5 6 3" xfId="47317"/>
    <cellStyle name="SAPBEXHLevel2 5 6 4" xfId="47318"/>
    <cellStyle name="SAPBEXHLevel2 5 7" xfId="47319"/>
    <cellStyle name="SAPBEXHLevel2 5 7 2" xfId="47320"/>
    <cellStyle name="SAPBEXHLevel2 5 7 3" xfId="47321"/>
    <cellStyle name="SAPBEXHLevel2 5 7 4" xfId="47322"/>
    <cellStyle name="SAPBEXHLevel2 5 8" xfId="47323"/>
    <cellStyle name="SAPBEXHLevel2 5 9" xfId="47324"/>
    <cellStyle name="SAPBEXHLevel2 6" xfId="47325"/>
    <cellStyle name="SAPBEXHLevel2 6 2" xfId="47326"/>
    <cellStyle name="SAPBEXHLevel2 6 2 2" xfId="47327"/>
    <cellStyle name="SAPBEXHLevel2 6 2 3" xfId="47328"/>
    <cellStyle name="SAPBEXHLevel2 6 2 4" xfId="47329"/>
    <cellStyle name="SAPBEXHLevel2 6 3" xfId="47330"/>
    <cellStyle name="SAPBEXHLevel2 6 3 2" xfId="47331"/>
    <cellStyle name="SAPBEXHLevel2 6 3 3" xfId="47332"/>
    <cellStyle name="SAPBEXHLevel2 6 3 4" xfId="47333"/>
    <cellStyle name="SAPBEXHLevel2 6 4" xfId="47334"/>
    <cellStyle name="SAPBEXHLevel2 6 4 2" xfId="47335"/>
    <cellStyle name="SAPBEXHLevel2 6 4 3" xfId="47336"/>
    <cellStyle name="SAPBEXHLevel2 6 4 4" xfId="47337"/>
    <cellStyle name="SAPBEXHLevel2 6 5" xfId="47338"/>
    <cellStyle name="SAPBEXHLevel2 6 6" xfId="47339"/>
    <cellStyle name="SAPBEXHLevel2 6 7" xfId="47340"/>
    <cellStyle name="SAPBEXHLevel2 6 8" xfId="47341"/>
    <cellStyle name="SAPBEXHLevel2 7" xfId="47342"/>
    <cellStyle name="SAPBEXHLevel2 7 2" xfId="47343"/>
    <cellStyle name="SAPBEXHLevel2 7 2 2" xfId="47344"/>
    <cellStyle name="SAPBEXHLevel2 7 2 3" xfId="47345"/>
    <cellStyle name="SAPBEXHLevel2 7 2 4" xfId="47346"/>
    <cellStyle name="SAPBEXHLevel2 7 3" xfId="47347"/>
    <cellStyle name="SAPBEXHLevel2 7 3 2" xfId="47348"/>
    <cellStyle name="SAPBEXHLevel2 7 3 3" xfId="47349"/>
    <cellStyle name="SAPBEXHLevel2 7 3 4" xfId="47350"/>
    <cellStyle name="SAPBEXHLevel2 7 4" xfId="47351"/>
    <cellStyle name="SAPBEXHLevel2 7 4 2" xfId="47352"/>
    <cellStyle name="SAPBEXHLevel2 7 4 3" xfId="47353"/>
    <cellStyle name="SAPBEXHLevel2 7 4 4" xfId="47354"/>
    <cellStyle name="SAPBEXHLevel2 7 5" xfId="47355"/>
    <cellStyle name="SAPBEXHLevel2 7 6" xfId="47356"/>
    <cellStyle name="SAPBEXHLevel2 7 7" xfId="47357"/>
    <cellStyle name="SAPBEXHLevel2 7 8" xfId="47358"/>
    <cellStyle name="SAPBEXHLevel2 8" xfId="47359"/>
    <cellStyle name="SAPBEXHLevel2 8 2" xfId="47360"/>
    <cellStyle name="SAPBEXHLevel2 8 2 2" xfId="47361"/>
    <cellStyle name="SAPBEXHLevel2 8 2 3" xfId="47362"/>
    <cellStyle name="SAPBEXHLevel2 8 2 4" xfId="47363"/>
    <cellStyle name="SAPBEXHLevel2 8 3" xfId="47364"/>
    <cellStyle name="SAPBEXHLevel2 8 3 2" xfId="47365"/>
    <cellStyle name="SAPBEXHLevel2 8 3 3" xfId="47366"/>
    <cellStyle name="SAPBEXHLevel2 8 3 4" xfId="47367"/>
    <cellStyle name="SAPBEXHLevel2 8 4" xfId="47368"/>
    <cellStyle name="SAPBEXHLevel2 8 4 2" xfId="47369"/>
    <cellStyle name="SAPBEXHLevel2 8 4 3" xfId="47370"/>
    <cellStyle name="SAPBEXHLevel2 8 4 4" xfId="47371"/>
    <cellStyle name="SAPBEXHLevel2 8 5" xfId="47372"/>
    <cellStyle name="SAPBEXHLevel2 8 6" xfId="47373"/>
    <cellStyle name="SAPBEXHLevel2 8 7" xfId="47374"/>
    <cellStyle name="SAPBEXHLevel2 8 8" xfId="47375"/>
    <cellStyle name="SAPBEXHLevel2 9" xfId="47376"/>
    <cellStyle name="SAPBEXHLevel2 9 2" xfId="47377"/>
    <cellStyle name="SAPBEXHLevel2 9 2 2" xfId="47378"/>
    <cellStyle name="SAPBEXHLevel2 9 2 3" xfId="47379"/>
    <cellStyle name="SAPBEXHLevel2 9 2 4" xfId="47380"/>
    <cellStyle name="SAPBEXHLevel2 9 3" xfId="47381"/>
    <cellStyle name="SAPBEXHLevel2 9 3 2" xfId="47382"/>
    <cellStyle name="SAPBEXHLevel2 9 3 3" xfId="47383"/>
    <cellStyle name="SAPBEXHLevel2 9 3 4" xfId="47384"/>
    <cellStyle name="SAPBEXHLevel2 9 4" xfId="47385"/>
    <cellStyle name="SAPBEXHLevel2 9 4 2" xfId="47386"/>
    <cellStyle name="SAPBEXHLevel2 9 4 3" xfId="47387"/>
    <cellStyle name="SAPBEXHLevel2 9 4 4" xfId="47388"/>
    <cellStyle name="SAPBEXHLevel2 9 5" xfId="47389"/>
    <cellStyle name="SAPBEXHLevel2 9 6" xfId="47390"/>
    <cellStyle name="SAPBEXHLevel2 9 7" xfId="47391"/>
    <cellStyle name="SAPBEXHLevel2 9 8" xfId="47392"/>
    <cellStyle name="SAPBEXHLevel2X" xfId="47393"/>
    <cellStyle name="SAPBEXHLevel2X 10" xfId="47394"/>
    <cellStyle name="SAPBEXHLevel2X 10 2" xfId="47395"/>
    <cellStyle name="SAPBEXHLevel2X 10 2 2" xfId="47396"/>
    <cellStyle name="SAPBEXHLevel2X 10 2 3" xfId="47397"/>
    <cellStyle name="SAPBEXHLevel2X 10 2 4" xfId="47398"/>
    <cellStyle name="SAPBEXHLevel2X 10 3" xfId="47399"/>
    <cellStyle name="SAPBEXHLevel2X 10 3 2" xfId="47400"/>
    <cellStyle name="SAPBEXHLevel2X 10 3 3" xfId="47401"/>
    <cellStyle name="SAPBEXHLevel2X 10 3 4" xfId="47402"/>
    <cellStyle name="SAPBEXHLevel2X 10 4" xfId="47403"/>
    <cellStyle name="SAPBEXHLevel2X 10 4 2" xfId="47404"/>
    <cellStyle name="SAPBEXHLevel2X 10 4 3" xfId="47405"/>
    <cellStyle name="SAPBEXHLevel2X 10 4 4" xfId="47406"/>
    <cellStyle name="SAPBEXHLevel2X 10 5" xfId="47407"/>
    <cellStyle name="SAPBEXHLevel2X 10 6" xfId="47408"/>
    <cellStyle name="SAPBEXHLevel2X 10 7" xfId="47409"/>
    <cellStyle name="SAPBEXHLevel2X 10 8" xfId="47410"/>
    <cellStyle name="SAPBEXHLevel2X 11" xfId="47411"/>
    <cellStyle name="SAPBEXHLevel2X 11 2" xfId="47412"/>
    <cellStyle name="SAPBEXHLevel2X 11 3" xfId="47413"/>
    <cellStyle name="SAPBEXHLevel2X 11 4" xfId="47414"/>
    <cellStyle name="SAPBEXHLevel2X 12" xfId="47415"/>
    <cellStyle name="SAPBEXHLevel2X 12 2" xfId="47416"/>
    <cellStyle name="SAPBEXHLevel2X 12 3" xfId="47417"/>
    <cellStyle name="SAPBEXHLevel2X 12 4" xfId="47418"/>
    <cellStyle name="SAPBEXHLevel2X 13" xfId="47419"/>
    <cellStyle name="SAPBEXHLevel2X 14" xfId="47420"/>
    <cellStyle name="SAPBEXHLevel2X 2" xfId="47421"/>
    <cellStyle name="SAPBEXHLevel2X 2 10" xfId="47422"/>
    <cellStyle name="SAPBEXHLevel2X 2 10 2" xfId="47423"/>
    <cellStyle name="SAPBEXHLevel2X 2 10 3" xfId="47424"/>
    <cellStyle name="SAPBEXHLevel2X 2 10 4" xfId="47425"/>
    <cellStyle name="SAPBEXHLevel2X 2 11" xfId="47426"/>
    <cellStyle name="SAPBEXHLevel2X 2 11 2" xfId="47427"/>
    <cellStyle name="SAPBEXHLevel2X 2 11 3" xfId="47428"/>
    <cellStyle name="SAPBEXHLevel2X 2 11 4" xfId="47429"/>
    <cellStyle name="SAPBEXHLevel2X 2 12" xfId="47430"/>
    <cellStyle name="SAPBEXHLevel2X 2 13" xfId="47431"/>
    <cellStyle name="SAPBEXHLevel2X 2 2" xfId="47432"/>
    <cellStyle name="SAPBEXHLevel2X 2 2 10" xfId="47433"/>
    <cellStyle name="SAPBEXHLevel2X 2 2 11" xfId="47434"/>
    <cellStyle name="SAPBEXHLevel2X 2 2 2" xfId="47435"/>
    <cellStyle name="SAPBEXHLevel2X 2 2 2 2" xfId="47436"/>
    <cellStyle name="SAPBEXHLevel2X 2 2 2 2 2" xfId="47437"/>
    <cellStyle name="SAPBEXHLevel2X 2 2 2 2 2 2" xfId="47438"/>
    <cellStyle name="SAPBEXHLevel2X 2 2 2 2 2 3" xfId="47439"/>
    <cellStyle name="SAPBEXHLevel2X 2 2 2 2 2 4" xfId="47440"/>
    <cellStyle name="SAPBEXHLevel2X 2 2 2 2 3" xfId="47441"/>
    <cellStyle name="SAPBEXHLevel2X 2 2 2 2 3 2" xfId="47442"/>
    <cellStyle name="SAPBEXHLevel2X 2 2 2 2 3 3" xfId="47443"/>
    <cellStyle name="SAPBEXHLevel2X 2 2 2 2 3 4" xfId="47444"/>
    <cellStyle name="SAPBEXHLevel2X 2 2 2 2 4" xfId="47445"/>
    <cellStyle name="SAPBEXHLevel2X 2 2 2 2 4 2" xfId="47446"/>
    <cellStyle name="SAPBEXHLevel2X 2 2 2 2 4 3" xfId="47447"/>
    <cellStyle name="SAPBEXHLevel2X 2 2 2 2 4 4" xfId="47448"/>
    <cellStyle name="SAPBEXHLevel2X 2 2 2 2 5" xfId="47449"/>
    <cellStyle name="SAPBEXHLevel2X 2 2 2 2 6" xfId="47450"/>
    <cellStyle name="SAPBEXHLevel2X 2 2 2 2 7" xfId="47451"/>
    <cellStyle name="SAPBEXHLevel2X 2 2 2 2 8" xfId="47452"/>
    <cellStyle name="SAPBEXHLevel2X 2 2 2 3" xfId="47453"/>
    <cellStyle name="SAPBEXHLevel2X 2 2 2 3 2" xfId="47454"/>
    <cellStyle name="SAPBEXHLevel2X 2 2 2 3 2 2" xfId="47455"/>
    <cellStyle name="SAPBEXHLevel2X 2 2 2 3 2 3" xfId="47456"/>
    <cellStyle name="SAPBEXHLevel2X 2 2 2 3 2 4" xfId="47457"/>
    <cellStyle name="SAPBEXHLevel2X 2 2 2 3 3" xfId="47458"/>
    <cellStyle name="SAPBEXHLevel2X 2 2 2 3 3 2" xfId="47459"/>
    <cellStyle name="SAPBEXHLevel2X 2 2 2 3 3 3" xfId="47460"/>
    <cellStyle name="SAPBEXHLevel2X 2 2 2 3 3 4" xfId="47461"/>
    <cellStyle name="SAPBEXHLevel2X 2 2 2 3 4" xfId="47462"/>
    <cellStyle name="SAPBEXHLevel2X 2 2 2 3 4 2" xfId="47463"/>
    <cellStyle name="SAPBEXHLevel2X 2 2 2 3 4 3" xfId="47464"/>
    <cellStyle name="SAPBEXHLevel2X 2 2 2 3 4 4" xfId="47465"/>
    <cellStyle name="SAPBEXHLevel2X 2 2 2 3 5" xfId="47466"/>
    <cellStyle name="SAPBEXHLevel2X 2 2 2 3 6" xfId="47467"/>
    <cellStyle name="SAPBEXHLevel2X 2 2 2 3 7" xfId="47468"/>
    <cellStyle name="SAPBEXHLevel2X 2 2 2 3 8" xfId="47469"/>
    <cellStyle name="SAPBEXHLevel2X 2 2 2 4" xfId="47470"/>
    <cellStyle name="SAPBEXHLevel2X 2 2 2 4 2" xfId="47471"/>
    <cellStyle name="SAPBEXHLevel2X 2 2 2 4 2 2" xfId="47472"/>
    <cellStyle name="SAPBEXHLevel2X 2 2 2 4 2 3" xfId="47473"/>
    <cellStyle name="SAPBEXHLevel2X 2 2 2 4 2 4" xfId="47474"/>
    <cellStyle name="SAPBEXHLevel2X 2 2 2 4 3" xfId="47475"/>
    <cellStyle name="SAPBEXHLevel2X 2 2 2 4 3 2" xfId="47476"/>
    <cellStyle name="SAPBEXHLevel2X 2 2 2 4 3 3" xfId="47477"/>
    <cellStyle name="SAPBEXHLevel2X 2 2 2 4 3 4" xfId="47478"/>
    <cellStyle name="SAPBEXHLevel2X 2 2 2 4 4" xfId="47479"/>
    <cellStyle name="SAPBEXHLevel2X 2 2 2 4 4 2" xfId="47480"/>
    <cellStyle name="SAPBEXHLevel2X 2 2 2 4 4 3" xfId="47481"/>
    <cellStyle name="SAPBEXHLevel2X 2 2 2 4 4 4" xfId="47482"/>
    <cellStyle name="SAPBEXHLevel2X 2 2 2 4 5" xfId="47483"/>
    <cellStyle name="SAPBEXHLevel2X 2 2 2 4 6" xfId="47484"/>
    <cellStyle name="SAPBEXHLevel2X 2 2 2 4 7" xfId="47485"/>
    <cellStyle name="SAPBEXHLevel2X 2 2 2 4 8" xfId="47486"/>
    <cellStyle name="SAPBEXHLevel2X 2 2 2 5" xfId="47487"/>
    <cellStyle name="SAPBEXHLevel2X 2 2 2 5 2" xfId="47488"/>
    <cellStyle name="SAPBEXHLevel2X 2 2 2 5 2 2" xfId="47489"/>
    <cellStyle name="SAPBEXHLevel2X 2 2 2 5 2 3" xfId="47490"/>
    <cellStyle name="SAPBEXHLevel2X 2 2 2 5 2 4" xfId="47491"/>
    <cellStyle name="SAPBEXHLevel2X 2 2 2 5 3" xfId="47492"/>
    <cellStyle name="SAPBEXHLevel2X 2 2 2 5 3 2" xfId="47493"/>
    <cellStyle name="SAPBEXHLevel2X 2 2 2 5 3 3" xfId="47494"/>
    <cellStyle name="SAPBEXHLevel2X 2 2 2 5 3 4" xfId="47495"/>
    <cellStyle name="SAPBEXHLevel2X 2 2 2 5 4" xfId="47496"/>
    <cellStyle name="SAPBEXHLevel2X 2 2 2 5 4 2" xfId="47497"/>
    <cellStyle name="SAPBEXHLevel2X 2 2 2 5 4 3" xfId="47498"/>
    <cellStyle name="SAPBEXHLevel2X 2 2 2 5 4 4" xfId="47499"/>
    <cellStyle name="SAPBEXHLevel2X 2 2 2 5 5" xfId="47500"/>
    <cellStyle name="SAPBEXHLevel2X 2 2 2 5 6" xfId="47501"/>
    <cellStyle name="SAPBEXHLevel2X 2 2 2 5 7" xfId="47502"/>
    <cellStyle name="SAPBEXHLevel2X 2 2 2 5 8" xfId="47503"/>
    <cellStyle name="SAPBEXHLevel2X 2 2 2 6" xfId="47504"/>
    <cellStyle name="SAPBEXHLevel2X 2 2 2 6 2" xfId="47505"/>
    <cellStyle name="SAPBEXHLevel2X 2 2 2 6 3" xfId="47506"/>
    <cellStyle name="SAPBEXHLevel2X 2 2 2 6 4" xfId="47507"/>
    <cellStyle name="SAPBEXHLevel2X 2 2 2 7" xfId="47508"/>
    <cellStyle name="SAPBEXHLevel2X 2 2 2 7 2" xfId="47509"/>
    <cellStyle name="SAPBEXHLevel2X 2 2 2 7 3" xfId="47510"/>
    <cellStyle name="SAPBEXHLevel2X 2 2 2 7 4" xfId="47511"/>
    <cellStyle name="SAPBEXHLevel2X 2 2 2 8" xfId="47512"/>
    <cellStyle name="SAPBEXHLevel2X 2 2 2 9" xfId="47513"/>
    <cellStyle name="SAPBEXHLevel2X 2 2 3" xfId="47514"/>
    <cellStyle name="SAPBEXHLevel2X 2 2 3 2" xfId="47515"/>
    <cellStyle name="SAPBEXHLevel2X 2 2 3 2 2" xfId="47516"/>
    <cellStyle name="SAPBEXHLevel2X 2 2 3 2 3" xfId="47517"/>
    <cellStyle name="SAPBEXHLevel2X 2 2 3 2 4" xfId="47518"/>
    <cellStyle name="SAPBEXHLevel2X 2 2 3 3" xfId="47519"/>
    <cellStyle name="SAPBEXHLevel2X 2 2 3 3 2" xfId="47520"/>
    <cellStyle name="SAPBEXHLevel2X 2 2 3 3 3" xfId="47521"/>
    <cellStyle name="SAPBEXHLevel2X 2 2 3 3 4" xfId="47522"/>
    <cellStyle name="SAPBEXHLevel2X 2 2 3 4" xfId="47523"/>
    <cellStyle name="SAPBEXHLevel2X 2 2 3 4 2" xfId="47524"/>
    <cellStyle name="SAPBEXHLevel2X 2 2 3 4 3" xfId="47525"/>
    <cellStyle name="SAPBEXHLevel2X 2 2 3 4 4" xfId="47526"/>
    <cellStyle name="SAPBEXHLevel2X 2 2 3 5" xfId="47527"/>
    <cellStyle name="SAPBEXHLevel2X 2 2 3 6" xfId="47528"/>
    <cellStyle name="SAPBEXHLevel2X 2 2 3 7" xfId="47529"/>
    <cellStyle name="SAPBEXHLevel2X 2 2 3 8" xfId="47530"/>
    <cellStyle name="SAPBEXHLevel2X 2 2 4" xfId="47531"/>
    <cellStyle name="SAPBEXHLevel2X 2 2 4 2" xfId="47532"/>
    <cellStyle name="SAPBEXHLevel2X 2 2 4 2 2" xfId="47533"/>
    <cellStyle name="SAPBEXHLevel2X 2 2 4 2 3" xfId="47534"/>
    <cellStyle name="SAPBEXHLevel2X 2 2 4 2 4" xfId="47535"/>
    <cellStyle name="SAPBEXHLevel2X 2 2 4 3" xfId="47536"/>
    <cellStyle name="SAPBEXHLevel2X 2 2 4 3 2" xfId="47537"/>
    <cellStyle name="SAPBEXHLevel2X 2 2 4 3 3" xfId="47538"/>
    <cellStyle name="SAPBEXHLevel2X 2 2 4 3 4" xfId="47539"/>
    <cellStyle name="SAPBEXHLevel2X 2 2 4 4" xfId="47540"/>
    <cellStyle name="SAPBEXHLevel2X 2 2 4 4 2" xfId="47541"/>
    <cellStyle name="SAPBEXHLevel2X 2 2 4 4 3" xfId="47542"/>
    <cellStyle name="SAPBEXHLevel2X 2 2 4 4 4" xfId="47543"/>
    <cellStyle name="SAPBEXHLevel2X 2 2 4 5" xfId="47544"/>
    <cellStyle name="SAPBEXHLevel2X 2 2 4 6" xfId="47545"/>
    <cellStyle name="SAPBEXHLevel2X 2 2 4 7" xfId="47546"/>
    <cellStyle name="SAPBEXHLevel2X 2 2 4 8" xfId="47547"/>
    <cellStyle name="SAPBEXHLevel2X 2 2 5" xfId="47548"/>
    <cellStyle name="SAPBEXHLevel2X 2 2 5 2" xfId="47549"/>
    <cellStyle name="SAPBEXHLevel2X 2 2 5 2 2" xfId="47550"/>
    <cellStyle name="SAPBEXHLevel2X 2 2 5 2 3" xfId="47551"/>
    <cellStyle name="SAPBEXHLevel2X 2 2 5 2 4" xfId="47552"/>
    <cellStyle name="SAPBEXHLevel2X 2 2 5 3" xfId="47553"/>
    <cellStyle name="SAPBEXHLevel2X 2 2 5 3 2" xfId="47554"/>
    <cellStyle name="SAPBEXHLevel2X 2 2 5 3 3" xfId="47555"/>
    <cellStyle name="SAPBEXHLevel2X 2 2 5 3 4" xfId="47556"/>
    <cellStyle name="SAPBEXHLevel2X 2 2 5 4" xfId="47557"/>
    <cellStyle name="SAPBEXHLevel2X 2 2 5 4 2" xfId="47558"/>
    <cellStyle name="SAPBEXHLevel2X 2 2 5 4 3" xfId="47559"/>
    <cellStyle name="SAPBEXHLevel2X 2 2 5 4 4" xfId="47560"/>
    <cellStyle name="SAPBEXHLevel2X 2 2 5 5" xfId="47561"/>
    <cellStyle name="SAPBEXHLevel2X 2 2 5 6" xfId="47562"/>
    <cellStyle name="SAPBEXHLevel2X 2 2 5 7" xfId="47563"/>
    <cellStyle name="SAPBEXHLevel2X 2 2 5 8" xfId="47564"/>
    <cellStyle name="SAPBEXHLevel2X 2 2 6" xfId="47565"/>
    <cellStyle name="SAPBEXHLevel2X 2 2 6 2" xfId="47566"/>
    <cellStyle name="SAPBEXHLevel2X 2 2 6 2 2" xfId="47567"/>
    <cellStyle name="SAPBEXHLevel2X 2 2 6 2 3" xfId="47568"/>
    <cellStyle name="SAPBEXHLevel2X 2 2 6 2 4" xfId="47569"/>
    <cellStyle name="SAPBEXHLevel2X 2 2 6 3" xfId="47570"/>
    <cellStyle name="SAPBEXHLevel2X 2 2 6 3 2" xfId="47571"/>
    <cellStyle name="SAPBEXHLevel2X 2 2 6 3 3" xfId="47572"/>
    <cellStyle name="SAPBEXHLevel2X 2 2 6 3 4" xfId="47573"/>
    <cellStyle name="SAPBEXHLevel2X 2 2 6 4" xfId="47574"/>
    <cellStyle name="SAPBEXHLevel2X 2 2 6 4 2" xfId="47575"/>
    <cellStyle name="SAPBEXHLevel2X 2 2 6 4 3" xfId="47576"/>
    <cellStyle name="SAPBEXHLevel2X 2 2 6 4 4" xfId="47577"/>
    <cellStyle name="SAPBEXHLevel2X 2 2 6 5" xfId="47578"/>
    <cellStyle name="SAPBEXHLevel2X 2 2 6 6" xfId="47579"/>
    <cellStyle name="SAPBEXHLevel2X 2 2 6 7" xfId="47580"/>
    <cellStyle name="SAPBEXHLevel2X 2 2 6 8" xfId="47581"/>
    <cellStyle name="SAPBEXHLevel2X 2 2 7" xfId="47582"/>
    <cellStyle name="SAPBEXHLevel2X 2 2 7 2" xfId="47583"/>
    <cellStyle name="SAPBEXHLevel2X 2 2 7 2 2" xfId="47584"/>
    <cellStyle name="SAPBEXHLevel2X 2 2 7 2 3" xfId="47585"/>
    <cellStyle name="SAPBEXHLevel2X 2 2 7 2 4" xfId="47586"/>
    <cellStyle name="SAPBEXHLevel2X 2 2 7 3" xfId="47587"/>
    <cellStyle name="SAPBEXHLevel2X 2 2 7 3 2" xfId="47588"/>
    <cellStyle name="SAPBEXHLevel2X 2 2 7 3 3" xfId="47589"/>
    <cellStyle name="SAPBEXHLevel2X 2 2 7 3 4" xfId="47590"/>
    <cellStyle name="SAPBEXHLevel2X 2 2 7 4" xfId="47591"/>
    <cellStyle name="SAPBEXHLevel2X 2 2 7 4 2" xfId="47592"/>
    <cellStyle name="SAPBEXHLevel2X 2 2 7 4 3" xfId="47593"/>
    <cellStyle name="SAPBEXHLevel2X 2 2 7 4 4" xfId="47594"/>
    <cellStyle name="SAPBEXHLevel2X 2 2 7 5" xfId="47595"/>
    <cellStyle name="SAPBEXHLevel2X 2 2 7 6" xfId="47596"/>
    <cellStyle name="SAPBEXHLevel2X 2 2 7 7" xfId="47597"/>
    <cellStyle name="SAPBEXHLevel2X 2 2 7 8" xfId="47598"/>
    <cellStyle name="SAPBEXHLevel2X 2 2 8" xfId="47599"/>
    <cellStyle name="SAPBEXHLevel2X 2 2 8 2" xfId="47600"/>
    <cellStyle name="SAPBEXHLevel2X 2 2 8 3" xfId="47601"/>
    <cellStyle name="SAPBEXHLevel2X 2 2 8 4" xfId="47602"/>
    <cellStyle name="SAPBEXHLevel2X 2 2 9" xfId="47603"/>
    <cellStyle name="SAPBEXHLevel2X 2 2 9 2" xfId="47604"/>
    <cellStyle name="SAPBEXHLevel2X 2 2 9 3" xfId="47605"/>
    <cellStyle name="SAPBEXHLevel2X 2 2 9 4" xfId="47606"/>
    <cellStyle name="SAPBEXHLevel2X 2 3" xfId="47607"/>
    <cellStyle name="SAPBEXHLevel2X 2 3 10" xfId="47608"/>
    <cellStyle name="SAPBEXHLevel2X 2 3 11" xfId="47609"/>
    <cellStyle name="SAPBEXHLevel2X 2 3 2" xfId="47610"/>
    <cellStyle name="SAPBEXHLevel2X 2 3 2 2" xfId="47611"/>
    <cellStyle name="SAPBEXHLevel2X 2 3 2 2 2" xfId="47612"/>
    <cellStyle name="SAPBEXHLevel2X 2 3 2 2 2 2" xfId="47613"/>
    <cellStyle name="SAPBEXHLevel2X 2 3 2 2 2 3" xfId="47614"/>
    <cellStyle name="SAPBEXHLevel2X 2 3 2 2 2 4" xfId="47615"/>
    <cellStyle name="SAPBEXHLevel2X 2 3 2 2 3" xfId="47616"/>
    <cellStyle name="SAPBEXHLevel2X 2 3 2 2 3 2" xfId="47617"/>
    <cellStyle name="SAPBEXHLevel2X 2 3 2 2 3 3" xfId="47618"/>
    <cellStyle name="SAPBEXHLevel2X 2 3 2 2 3 4" xfId="47619"/>
    <cellStyle name="SAPBEXHLevel2X 2 3 2 2 4" xfId="47620"/>
    <cellStyle name="SAPBEXHLevel2X 2 3 2 2 4 2" xfId="47621"/>
    <cellStyle name="SAPBEXHLevel2X 2 3 2 2 4 3" xfId="47622"/>
    <cellStyle name="SAPBEXHLevel2X 2 3 2 2 4 4" xfId="47623"/>
    <cellStyle name="SAPBEXHLevel2X 2 3 2 2 5" xfId="47624"/>
    <cellStyle name="SAPBEXHLevel2X 2 3 2 2 6" xfId="47625"/>
    <cellStyle name="SAPBEXHLevel2X 2 3 2 2 7" xfId="47626"/>
    <cellStyle name="SAPBEXHLevel2X 2 3 2 2 8" xfId="47627"/>
    <cellStyle name="SAPBEXHLevel2X 2 3 2 3" xfId="47628"/>
    <cellStyle name="SAPBEXHLevel2X 2 3 2 3 2" xfId="47629"/>
    <cellStyle name="SAPBEXHLevel2X 2 3 2 3 2 2" xfId="47630"/>
    <cellStyle name="SAPBEXHLevel2X 2 3 2 3 2 3" xfId="47631"/>
    <cellStyle name="SAPBEXHLevel2X 2 3 2 3 2 4" xfId="47632"/>
    <cellStyle name="SAPBEXHLevel2X 2 3 2 3 3" xfId="47633"/>
    <cellStyle name="SAPBEXHLevel2X 2 3 2 3 3 2" xfId="47634"/>
    <cellStyle name="SAPBEXHLevel2X 2 3 2 3 3 3" xfId="47635"/>
    <cellStyle name="SAPBEXHLevel2X 2 3 2 3 3 4" xfId="47636"/>
    <cellStyle name="SAPBEXHLevel2X 2 3 2 3 4" xfId="47637"/>
    <cellStyle name="SAPBEXHLevel2X 2 3 2 3 4 2" xfId="47638"/>
    <cellStyle name="SAPBEXHLevel2X 2 3 2 3 4 3" xfId="47639"/>
    <cellStyle name="SAPBEXHLevel2X 2 3 2 3 4 4" xfId="47640"/>
    <cellStyle name="SAPBEXHLevel2X 2 3 2 3 5" xfId="47641"/>
    <cellStyle name="SAPBEXHLevel2X 2 3 2 3 6" xfId="47642"/>
    <cellStyle name="SAPBEXHLevel2X 2 3 2 3 7" xfId="47643"/>
    <cellStyle name="SAPBEXHLevel2X 2 3 2 3 8" xfId="47644"/>
    <cellStyle name="SAPBEXHLevel2X 2 3 2 4" xfId="47645"/>
    <cellStyle name="SAPBEXHLevel2X 2 3 2 4 2" xfId="47646"/>
    <cellStyle name="SAPBEXHLevel2X 2 3 2 4 2 2" xfId="47647"/>
    <cellStyle name="SAPBEXHLevel2X 2 3 2 4 2 3" xfId="47648"/>
    <cellStyle name="SAPBEXHLevel2X 2 3 2 4 2 4" xfId="47649"/>
    <cellStyle name="SAPBEXHLevel2X 2 3 2 4 3" xfId="47650"/>
    <cellStyle name="SAPBEXHLevel2X 2 3 2 4 3 2" xfId="47651"/>
    <cellStyle name="SAPBEXHLevel2X 2 3 2 4 3 3" xfId="47652"/>
    <cellStyle name="SAPBEXHLevel2X 2 3 2 4 3 4" xfId="47653"/>
    <cellStyle name="SAPBEXHLevel2X 2 3 2 4 4" xfId="47654"/>
    <cellStyle name="SAPBEXHLevel2X 2 3 2 4 4 2" xfId="47655"/>
    <cellStyle name="SAPBEXHLevel2X 2 3 2 4 4 3" xfId="47656"/>
    <cellStyle name="SAPBEXHLevel2X 2 3 2 4 4 4" xfId="47657"/>
    <cellStyle name="SAPBEXHLevel2X 2 3 2 4 5" xfId="47658"/>
    <cellStyle name="SAPBEXHLevel2X 2 3 2 4 6" xfId="47659"/>
    <cellStyle name="SAPBEXHLevel2X 2 3 2 4 7" xfId="47660"/>
    <cellStyle name="SAPBEXHLevel2X 2 3 2 4 8" xfId="47661"/>
    <cellStyle name="SAPBEXHLevel2X 2 3 2 5" xfId="47662"/>
    <cellStyle name="SAPBEXHLevel2X 2 3 2 5 2" xfId="47663"/>
    <cellStyle name="SAPBEXHLevel2X 2 3 2 5 2 2" xfId="47664"/>
    <cellStyle name="SAPBEXHLevel2X 2 3 2 5 2 3" xfId="47665"/>
    <cellStyle name="SAPBEXHLevel2X 2 3 2 5 2 4" xfId="47666"/>
    <cellStyle name="SAPBEXHLevel2X 2 3 2 5 3" xfId="47667"/>
    <cellStyle name="SAPBEXHLevel2X 2 3 2 5 3 2" xfId="47668"/>
    <cellStyle name="SAPBEXHLevel2X 2 3 2 5 3 3" xfId="47669"/>
    <cellStyle name="SAPBEXHLevel2X 2 3 2 5 3 4" xfId="47670"/>
    <cellStyle name="SAPBEXHLevel2X 2 3 2 5 4" xfId="47671"/>
    <cellStyle name="SAPBEXHLevel2X 2 3 2 5 4 2" xfId="47672"/>
    <cellStyle name="SAPBEXHLevel2X 2 3 2 5 4 3" xfId="47673"/>
    <cellStyle name="SAPBEXHLevel2X 2 3 2 5 4 4" xfId="47674"/>
    <cellStyle name="SAPBEXHLevel2X 2 3 2 5 5" xfId="47675"/>
    <cellStyle name="SAPBEXHLevel2X 2 3 2 5 6" xfId="47676"/>
    <cellStyle name="SAPBEXHLevel2X 2 3 2 5 7" xfId="47677"/>
    <cellStyle name="SAPBEXHLevel2X 2 3 2 5 8" xfId="47678"/>
    <cellStyle name="SAPBEXHLevel2X 2 3 2 6" xfId="47679"/>
    <cellStyle name="SAPBEXHLevel2X 2 3 2 6 2" xfId="47680"/>
    <cellStyle name="SAPBEXHLevel2X 2 3 2 6 3" xfId="47681"/>
    <cellStyle name="SAPBEXHLevel2X 2 3 2 6 4" xfId="47682"/>
    <cellStyle name="SAPBEXHLevel2X 2 3 2 7" xfId="47683"/>
    <cellStyle name="SAPBEXHLevel2X 2 3 2 7 2" xfId="47684"/>
    <cellStyle name="SAPBEXHLevel2X 2 3 2 7 3" xfId="47685"/>
    <cellStyle name="SAPBEXHLevel2X 2 3 2 7 4" xfId="47686"/>
    <cellStyle name="SAPBEXHLevel2X 2 3 2 8" xfId="47687"/>
    <cellStyle name="SAPBEXHLevel2X 2 3 2 9" xfId="47688"/>
    <cellStyle name="SAPBEXHLevel2X 2 3 3" xfId="47689"/>
    <cellStyle name="SAPBEXHLevel2X 2 3 3 2" xfId="47690"/>
    <cellStyle name="SAPBEXHLevel2X 2 3 3 2 2" xfId="47691"/>
    <cellStyle name="SAPBEXHLevel2X 2 3 3 2 3" xfId="47692"/>
    <cellStyle name="SAPBEXHLevel2X 2 3 3 2 4" xfId="47693"/>
    <cellStyle name="SAPBEXHLevel2X 2 3 3 3" xfId="47694"/>
    <cellStyle name="SAPBEXHLevel2X 2 3 3 3 2" xfId="47695"/>
    <cellStyle name="SAPBEXHLevel2X 2 3 3 3 3" xfId="47696"/>
    <cellStyle name="SAPBEXHLevel2X 2 3 3 3 4" xfId="47697"/>
    <cellStyle name="SAPBEXHLevel2X 2 3 3 4" xfId="47698"/>
    <cellStyle name="SAPBEXHLevel2X 2 3 3 4 2" xfId="47699"/>
    <cellStyle name="SAPBEXHLevel2X 2 3 3 4 3" xfId="47700"/>
    <cellStyle name="SAPBEXHLevel2X 2 3 3 4 4" xfId="47701"/>
    <cellStyle name="SAPBEXHLevel2X 2 3 3 5" xfId="47702"/>
    <cellStyle name="SAPBEXHLevel2X 2 3 3 6" xfId="47703"/>
    <cellStyle name="SAPBEXHLevel2X 2 3 3 7" xfId="47704"/>
    <cellStyle name="SAPBEXHLevel2X 2 3 3 8" xfId="47705"/>
    <cellStyle name="SAPBEXHLevel2X 2 3 4" xfId="47706"/>
    <cellStyle name="SAPBEXHLevel2X 2 3 4 2" xfId="47707"/>
    <cellStyle name="SAPBEXHLevel2X 2 3 4 2 2" xfId="47708"/>
    <cellStyle name="SAPBEXHLevel2X 2 3 4 2 3" xfId="47709"/>
    <cellStyle name="SAPBEXHLevel2X 2 3 4 2 4" xfId="47710"/>
    <cellStyle name="SAPBEXHLevel2X 2 3 4 3" xfId="47711"/>
    <cellStyle name="SAPBEXHLevel2X 2 3 4 3 2" xfId="47712"/>
    <cellStyle name="SAPBEXHLevel2X 2 3 4 3 3" xfId="47713"/>
    <cellStyle name="SAPBEXHLevel2X 2 3 4 3 4" xfId="47714"/>
    <cellStyle name="SAPBEXHLevel2X 2 3 4 4" xfId="47715"/>
    <cellStyle name="SAPBEXHLevel2X 2 3 4 4 2" xfId="47716"/>
    <cellStyle name="SAPBEXHLevel2X 2 3 4 4 3" xfId="47717"/>
    <cellStyle name="SAPBEXHLevel2X 2 3 4 4 4" xfId="47718"/>
    <cellStyle name="SAPBEXHLevel2X 2 3 4 5" xfId="47719"/>
    <cellStyle name="SAPBEXHLevel2X 2 3 4 6" xfId="47720"/>
    <cellStyle name="SAPBEXHLevel2X 2 3 4 7" xfId="47721"/>
    <cellStyle name="SAPBEXHLevel2X 2 3 4 8" xfId="47722"/>
    <cellStyle name="SAPBEXHLevel2X 2 3 5" xfId="47723"/>
    <cellStyle name="SAPBEXHLevel2X 2 3 5 2" xfId="47724"/>
    <cellStyle name="SAPBEXHLevel2X 2 3 5 2 2" xfId="47725"/>
    <cellStyle name="SAPBEXHLevel2X 2 3 5 2 3" xfId="47726"/>
    <cellStyle name="SAPBEXHLevel2X 2 3 5 2 4" xfId="47727"/>
    <cellStyle name="SAPBEXHLevel2X 2 3 5 3" xfId="47728"/>
    <cellStyle name="SAPBEXHLevel2X 2 3 5 3 2" xfId="47729"/>
    <cellStyle name="SAPBEXHLevel2X 2 3 5 3 3" xfId="47730"/>
    <cellStyle name="SAPBEXHLevel2X 2 3 5 3 4" xfId="47731"/>
    <cellStyle name="SAPBEXHLevel2X 2 3 5 4" xfId="47732"/>
    <cellStyle name="SAPBEXHLevel2X 2 3 5 4 2" xfId="47733"/>
    <cellStyle name="SAPBEXHLevel2X 2 3 5 4 3" xfId="47734"/>
    <cellStyle name="SAPBEXHLevel2X 2 3 5 4 4" xfId="47735"/>
    <cellStyle name="SAPBEXHLevel2X 2 3 5 5" xfId="47736"/>
    <cellStyle name="SAPBEXHLevel2X 2 3 5 6" xfId="47737"/>
    <cellStyle name="SAPBEXHLevel2X 2 3 5 7" xfId="47738"/>
    <cellStyle name="SAPBEXHLevel2X 2 3 5 8" xfId="47739"/>
    <cellStyle name="SAPBEXHLevel2X 2 3 6" xfId="47740"/>
    <cellStyle name="SAPBEXHLevel2X 2 3 6 2" xfId="47741"/>
    <cellStyle name="SAPBEXHLevel2X 2 3 6 2 2" xfId="47742"/>
    <cellStyle name="SAPBEXHLevel2X 2 3 6 2 3" xfId="47743"/>
    <cellStyle name="SAPBEXHLevel2X 2 3 6 2 4" xfId="47744"/>
    <cellStyle name="SAPBEXHLevel2X 2 3 6 3" xfId="47745"/>
    <cellStyle name="SAPBEXHLevel2X 2 3 6 3 2" xfId="47746"/>
    <cellStyle name="SAPBEXHLevel2X 2 3 6 3 3" xfId="47747"/>
    <cellStyle name="SAPBEXHLevel2X 2 3 6 3 4" xfId="47748"/>
    <cellStyle name="SAPBEXHLevel2X 2 3 6 4" xfId="47749"/>
    <cellStyle name="SAPBEXHLevel2X 2 3 6 4 2" xfId="47750"/>
    <cellStyle name="SAPBEXHLevel2X 2 3 6 4 3" xfId="47751"/>
    <cellStyle name="SAPBEXHLevel2X 2 3 6 4 4" xfId="47752"/>
    <cellStyle name="SAPBEXHLevel2X 2 3 6 5" xfId="47753"/>
    <cellStyle name="SAPBEXHLevel2X 2 3 6 6" xfId="47754"/>
    <cellStyle name="SAPBEXHLevel2X 2 3 6 7" xfId="47755"/>
    <cellStyle name="SAPBEXHLevel2X 2 3 6 8" xfId="47756"/>
    <cellStyle name="SAPBEXHLevel2X 2 3 7" xfId="47757"/>
    <cellStyle name="SAPBEXHLevel2X 2 3 7 2" xfId="47758"/>
    <cellStyle name="SAPBEXHLevel2X 2 3 7 2 2" xfId="47759"/>
    <cellStyle name="SAPBEXHLevel2X 2 3 7 2 3" xfId="47760"/>
    <cellStyle name="SAPBEXHLevel2X 2 3 7 2 4" xfId="47761"/>
    <cellStyle name="SAPBEXHLevel2X 2 3 7 3" xfId="47762"/>
    <cellStyle name="SAPBEXHLevel2X 2 3 7 3 2" xfId="47763"/>
    <cellStyle name="SAPBEXHLevel2X 2 3 7 3 3" xfId="47764"/>
    <cellStyle name="SAPBEXHLevel2X 2 3 7 3 4" xfId="47765"/>
    <cellStyle name="SAPBEXHLevel2X 2 3 7 4" xfId="47766"/>
    <cellStyle name="SAPBEXHLevel2X 2 3 7 4 2" xfId="47767"/>
    <cellStyle name="SAPBEXHLevel2X 2 3 7 4 3" xfId="47768"/>
    <cellStyle name="SAPBEXHLevel2X 2 3 7 4 4" xfId="47769"/>
    <cellStyle name="SAPBEXHLevel2X 2 3 7 5" xfId="47770"/>
    <cellStyle name="SAPBEXHLevel2X 2 3 7 6" xfId="47771"/>
    <cellStyle name="SAPBEXHLevel2X 2 3 7 7" xfId="47772"/>
    <cellStyle name="SAPBEXHLevel2X 2 3 7 8" xfId="47773"/>
    <cellStyle name="SAPBEXHLevel2X 2 3 8" xfId="47774"/>
    <cellStyle name="SAPBEXHLevel2X 2 3 8 2" xfId="47775"/>
    <cellStyle name="SAPBEXHLevel2X 2 3 8 3" xfId="47776"/>
    <cellStyle name="SAPBEXHLevel2X 2 3 8 4" xfId="47777"/>
    <cellStyle name="SAPBEXHLevel2X 2 3 9" xfId="47778"/>
    <cellStyle name="SAPBEXHLevel2X 2 3 9 2" xfId="47779"/>
    <cellStyle name="SAPBEXHLevel2X 2 3 9 3" xfId="47780"/>
    <cellStyle name="SAPBEXHLevel2X 2 3 9 4" xfId="47781"/>
    <cellStyle name="SAPBEXHLevel2X 2 4" xfId="47782"/>
    <cellStyle name="SAPBEXHLevel2X 2 4 2" xfId="47783"/>
    <cellStyle name="SAPBEXHLevel2X 2 4 2 2" xfId="47784"/>
    <cellStyle name="SAPBEXHLevel2X 2 4 2 2 2" xfId="47785"/>
    <cellStyle name="SAPBEXHLevel2X 2 4 2 2 3" xfId="47786"/>
    <cellStyle name="SAPBEXHLevel2X 2 4 2 2 4" xfId="47787"/>
    <cellStyle name="SAPBEXHLevel2X 2 4 2 3" xfId="47788"/>
    <cellStyle name="SAPBEXHLevel2X 2 4 2 3 2" xfId="47789"/>
    <cellStyle name="SAPBEXHLevel2X 2 4 2 3 3" xfId="47790"/>
    <cellStyle name="SAPBEXHLevel2X 2 4 2 3 4" xfId="47791"/>
    <cellStyle name="SAPBEXHLevel2X 2 4 2 4" xfId="47792"/>
    <cellStyle name="SAPBEXHLevel2X 2 4 2 4 2" xfId="47793"/>
    <cellStyle name="SAPBEXHLevel2X 2 4 2 4 3" xfId="47794"/>
    <cellStyle name="SAPBEXHLevel2X 2 4 2 4 4" xfId="47795"/>
    <cellStyle name="SAPBEXHLevel2X 2 4 2 5" xfId="47796"/>
    <cellStyle name="SAPBEXHLevel2X 2 4 2 6" xfId="47797"/>
    <cellStyle name="SAPBEXHLevel2X 2 4 2 7" xfId="47798"/>
    <cellStyle name="SAPBEXHLevel2X 2 4 2 8" xfId="47799"/>
    <cellStyle name="SAPBEXHLevel2X 2 4 3" xfId="47800"/>
    <cellStyle name="SAPBEXHLevel2X 2 4 3 2" xfId="47801"/>
    <cellStyle name="SAPBEXHLevel2X 2 4 3 2 2" xfId="47802"/>
    <cellStyle name="SAPBEXHLevel2X 2 4 3 2 3" xfId="47803"/>
    <cellStyle name="SAPBEXHLevel2X 2 4 3 2 4" xfId="47804"/>
    <cellStyle name="SAPBEXHLevel2X 2 4 3 3" xfId="47805"/>
    <cellStyle name="SAPBEXHLevel2X 2 4 3 3 2" xfId="47806"/>
    <cellStyle name="SAPBEXHLevel2X 2 4 3 3 3" xfId="47807"/>
    <cellStyle name="SAPBEXHLevel2X 2 4 3 3 4" xfId="47808"/>
    <cellStyle name="SAPBEXHLevel2X 2 4 3 4" xfId="47809"/>
    <cellStyle name="SAPBEXHLevel2X 2 4 3 4 2" xfId="47810"/>
    <cellStyle name="SAPBEXHLevel2X 2 4 3 4 3" xfId="47811"/>
    <cellStyle name="SAPBEXHLevel2X 2 4 3 4 4" xfId="47812"/>
    <cellStyle name="SAPBEXHLevel2X 2 4 3 5" xfId="47813"/>
    <cellStyle name="SAPBEXHLevel2X 2 4 3 6" xfId="47814"/>
    <cellStyle name="SAPBEXHLevel2X 2 4 3 7" xfId="47815"/>
    <cellStyle name="SAPBEXHLevel2X 2 4 3 8" xfId="47816"/>
    <cellStyle name="SAPBEXHLevel2X 2 4 4" xfId="47817"/>
    <cellStyle name="SAPBEXHLevel2X 2 4 4 2" xfId="47818"/>
    <cellStyle name="SAPBEXHLevel2X 2 4 4 2 2" xfId="47819"/>
    <cellStyle name="SAPBEXHLevel2X 2 4 4 2 3" xfId="47820"/>
    <cellStyle name="SAPBEXHLevel2X 2 4 4 2 4" xfId="47821"/>
    <cellStyle name="SAPBEXHLevel2X 2 4 4 3" xfId="47822"/>
    <cellStyle name="SAPBEXHLevel2X 2 4 4 3 2" xfId="47823"/>
    <cellStyle name="SAPBEXHLevel2X 2 4 4 3 3" xfId="47824"/>
    <cellStyle name="SAPBEXHLevel2X 2 4 4 3 4" xfId="47825"/>
    <cellStyle name="SAPBEXHLevel2X 2 4 4 4" xfId="47826"/>
    <cellStyle name="SAPBEXHLevel2X 2 4 4 4 2" xfId="47827"/>
    <cellStyle name="SAPBEXHLevel2X 2 4 4 4 3" xfId="47828"/>
    <cellStyle name="SAPBEXHLevel2X 2 4 4 4 4" xfId="47829"/>
    <cellStyle name="SAPBEXHLevel2X 2 4 4 5" xfId="47830"/>
    <cellStyle name="SAPBEXHLevel2X 2 4 4 6" xfId="47831"/>
    <cellStyle name="SAPBEXHLevel2X 2 4 4 7" xfId="47832"/>
    <cellStyle name="SAPBEXHLevel2X 2 4 4 8" xfId="47833"/>
    <cellStyle name="SAPBEXHLevel2X 2 4 5" xfId="47834"/>
    <cellStyle name="SAPBEXHLevel2X 2 4 5 2" xfId="47835"/>
    <cellStyle name="SAPBEXHLevel2X 2 4 5 2 2" xfId="47836"/>
    <cellStyle name="SAPBEXHLevel2X 2 4 5 2 3" xfId="47837"/>
    <cellStyle name="SAPBEXHLevel2X 2 4 5 2 4" xfId="47838"/>
    <cellStyle name="SAPBEXHLevel2X 2 4 5 3" xfId="47839"/>
    <cellStyle name="SAPBEXHLevel2X 2 4 5 3 2" xfId="47840"/>
    <cellStyle name="SAPBEXHLevel2X 2 4 5 3 3" xfId="47841"/>
    <cellStyle name="SAPBEXHLevel2X 2 4 5 3 4" xfId="47842"/>
    <cellStyle name="SAPBEXHLevel2X 2 4 5 4" xfId="47843"/>
    <cellStyle name="SAPBEXHLevel2X 2 4 5 4 2" xfId="47844"/>
    <cellStyle name="SAPBEXHLevel2X 2 4 5 4 3" xfId="47845"/>
    <cellStyle name="SAPBEXHLevel2X 2 4 5 4 4" xfId="47846"/>
    <cellStyle name="SAPBEXHLevel2X 2 4 5 5" xfId="47847"/>
    <cellStyle name="SAPBEXHLevel2X 2 4 5 6" xfId="47848"/>
    <cellStyle name="SAPBEXHLevel2X 2 4 5 7" xfId="47849"/>
    <cellStyle name="SAPBEXHLevel2X 2 4 5 8" xfId="47850"/>
    <cellStyle name="SAPBEXHLevel2X 2 4 6" xfId="47851"/>
    <cellStyle name="SAPBEXHLevel2X 2 4 6 2" xfId="47852"/>
    <cellStyle name="SAPBEXHLevel2X 2 4 6 3" xfId="47853"/>
    <cellStyle name="SAPBEXHLevel2X 2 4 6 4" xfId="47854"/>
    <cellStyle name="SAPBEXHLevel2X 2 4 7" xfId="47855"/>
    <cellStyle name="SAPBEXHLevel2X 2 4 7 2" xfId="47856"/>
    <cellStyle name="SAPBEXHLevel2X 2 4 7 3" xfId="47857"/>
    <cellStyle name="SAPBEXHLevel2X 2 4 7 4" xfId="47858"/>
    <cellStyle name="SAPBEXHLevel2X 2 4 8" xfId="47859"/>
    <cellStyle name="SAPBEXHLevel2X 2 4 9" xfId="47860"/>
    <cellStyle name="SAPBEXHLevel2X 2 5" xfId="47861"/>
    <cellStyle name="SAPBEXHLevel2X 2 5 2" xfId="47862"/>
    <cellStyle name="SAPBEXHLevel2X 2 5 2 2" xfId="47863"/>
    <cellStyle name="SAPBEXHLevel2X 2 5 2 3" xfId="47864"/>
    <cellStyle name="SAPBEXHLevel2X 2 5 2 4" xfId="47865"/>
    <cellStyle name="SAPBEXHLevel2X 2 5 3" xfId="47866"/>
    <cellStyle name="SAPBEXHLevel2X 2 5 3 2" xfId="47867"/>
    <cellStyle name="SAPBEXHLevel2X 2 5 3 3" xfId="47868"/>
    <cellStyle name="SAPBEXHLevel2X 2 5 3 4" xfId="47869"/>
    <cellStyle name="SAPBEXHLevel2X 2 5 4" xfId="47870"/>
    <cellStyle name="SAPBEXHLevel2X 2 5 4 2" xfId="47871"/>
    <cellStyle name="SAPBEXHLevel2X 2 5 4 3" xfId="47872"/>
    <cellStyle name="SAPBEXHLevel2X 2 5 4 4" xfId="47873"/>
    <cellStyle name="SAPBEXHLevel2X 2 5 5" xfId="47874"/>
    <cellStyle name="SAPBEXHLevel2X 2 5 6" xfId="47875"/>
    <cellStyle name="SAPBEXHLevel2X 2 5 7" xfId="47876"/>
    <cellStyle name="SAPBEXHLevel2X 2 5 8" xfId="47877"/>
    <cellStyle name="SAPBEXHLevel2X 2 6" xfId="47878"/>
    <cellStyle name="SAPBEXHLevel2X 2 6 2" xfId="47879"/>
    <cellStyle name="SAPBEXHLevel2X 2 6 2 2" xfId="47880"/>
    <cellStyle name="SAPBEXHLevel2X 2 6 2 3" xfId="47881"/>
    <cellStyle name="SAPBEXHLevel2X 2 6 2 4" xfId="47882"/>
    <cellStyle name="SAPBEXHLevel2X 2 6 3" xfId="47883"/>
    <cellStyle name="SAPBEXHLevel2X 2 6 3 2" xfId="47884"/>
    <cellStyle name="SAPBEXHLevel2X 2 6 3 3" xfId="47885"/>
    <cellStyle name="SAPBEXHLevel2X 2 6 3 4" xfId="47886"/>
    <cellStyle name="SAPBEXHLevel2X 2 6 4" xfId="47887"/>
    <cellStyle name="SAPBEXHLevel2X 2 6 4 2" xfId="47888"/>
    <cellStyle name="SAPBEXHLevel2X 2 6 4 3" xfId="47889"/>
    <cellStyle name="SAPBEXHLevel2X 2 6 4 4" xfId="47890"/>
    <cellStyle name="SAPBEXHLevel2X 2 6 5" xfId="47891"/>
    <cellStyle name="SAPBEXHLevel2X 2 6 6" xfId="47892"/>
    <cellStyle name="SAPBEXHLevel2X 2 6 7" xfId="47893"/>
    <cellStyle name="SAPBEXHLevel2X 2 6 8" xfId="47894"/>
    <cellStyle name="SAPBEXHLevel2X 2 7" xfId="47895"/>
    <cellStyle name="SAPBEXHLevel2X 2 7 2" xfId="47896"/>
    <cellStyle name="SAPBEXHLevel2X 2 7 2 2" xfId="47897"/>
    <cellStyle name="SAPBEXHLevel2X 2 7 2 3" xfId="47898"/>
    <cellStyle name="SAPBEXHLevel2X 2 7 2 4" xfId="47899"/>
    <cellStyle name="SAPBEXHLevel2X 2 7 3" xfId="47900"/>
    <cellStyle name="SAPBEXHLevel2X 2 7 3 2" xfId="47901"/>
    <cellStyle name="SAPBEXHLevel2X 2 7 3 3" xfId="47902"/>
    <cellStyle name="SAPBEXHLevel2X 2 7 3 4" xfId="47903"/>
    <cellStyle name="SAPBEXHLevel2X 2 7 4" xfId="47904"/>
    <cellStyle name="SAPBEXHLevel2X 2 7 4 2" xfId="47905"/>
    <cellStyle name="SAPBEXHLevel2X 2 7 4 3" xfId="47906"/>
    <cellStyle name="SAPBEXHLevel2X 2 7 4 4" xfId="47907"/>
    <cellStyle name="SAPBEXHLevel2X 2 7 5" xfId="47908"/>
    <cellStyle name="SAPBEXHLevel2X 2 7 6" xfId="47909"/>
    <cellStyle name="SAPBEXHLevel2X 2 7 7" xfId="47910"/>
    <cellStyle name="SAPBEXHLevel2X 2 7 8" xfId="47911"/>
    <cellStyle name="SAPBEXHLevel2X 2 8" xfId="47912"/>
    <cellStyle name="SAPBEXHLevel2X 2 8 2" xfId="47913"/>
    <cellStyle name="SAPBEXHLevel2X 2 8 2 2" xfId="47914"/>
    <cellStyle name="SAPBEXHLevel2X 2 8 2 3" xfId="47915"/>
    <cellStyle name="SAPBEXHLevel2X 2 8 2 4" xfId="47916"/>
    <cellStyle name="SAPBEXHLevel2X 2 8 3" xfId="47917"/>
    <cellStyle name="SAPBEXHLevel2X 2 8 3 2" xfId="47918"/>
    <cellStyle name="SAPBEXHLevel2X 2 8 3 3" xfId="47919"/>
    <cellStyle name="SAPBEXHLevel2X 2 8 3 4" xfId="47920"/>
    <cellStyle name="SAPBEXHLevel2X 2 8 4" xfId="47921"/>
    <cellStyle name="SAPBEXHLevel2X 2 8 4 2" xfId="47922"/>
    <cellStyle name="SAPBEXHLevel2X 2 8 4 3" xfId="47923"/>
    <cellStyle name="SAPBEXHLevel2X 2 8 4 4" xfId="47924"/>
    <cellStyle name="SAPBEXHLevel2X 2 8 5" xfId="47925"/>
    <cellStyle name="SAPBEXHLevel2X 2 8 6" xfId="47926"/>
    <cellStyle name="SAPBEXHLevel2X 2 8 7" xfId="47927"/>
    <cellStyle name="SAPBEXHLevel2X 2 8 8" xfId="47928"/>
    <cellStyle name="SAPBEXHLevel2X 2 9" xfId="47929"/>
    <cellStyle name="SAPBEXHLevel2X 2 9 2" xfId="47930"/>
    <cellStyle name="SAPBEXHLevel2X 2 9 2 2" xfId="47931"/>
    <cellStyle name="SAPBEXHLevel2X 2 9 2 3" xfId="47932"/>
    <cellStyle name="SAPBEXHLevel2X 2 9 2 4" xfId="47933"/>
    <cellStyle name="SAPBEXHLevel2X 2 9 3" xfId="47934"/>
    <cellStyle name="SAPBEXHLevel2X 2 9 3 2" xfId="47935"/>
    <cellStyle name="SAPBEXHLevel2X 2 9 3 3" xfId="47936"/>
    <cellStyle name="SAPBEXHLevel2X 2 9 3 4" xfId="47937"/>
    <cellStyle name="SAPBEXHLevel2X 2 9 4" xfId="47938"/>
    <cellStyle name="SAPBEXHLevel2X 2 9 4 2" xfId="47939"/>
    <cellStyle name="SAPBEXHLevel2X 2 9 4 3" xfId="47940"/>
    <cellStyle name="SAPBEXHLevel2X 2 9 4 4" xfId="47941"/>
    <cellStyle name="SAPBEXHLevel2X 2 9 5" xfId="47942"/>
    <cellStyle name="SAPBEXHLevel2X 2 9 6" xfId="47943"/>
    <cellStyle name="SAPBEXHLevel2X 2 9 7" xfId="47944"/>
    <cellStyle name="SAPBEXHLevel2X 2 9 8" xfId="47945"/>
    <cellStyle name="SAPBEXHLevel2X 3" xfId="47946"/>
    <cellStyle name="SAPBEXHLevel2X 3 10" xfId="47947"/>
    <cellStyle name="SAPBEXHLevel2X 3 11" xfId="47948"/>
    <cellStyle name="SAPBEXHLevel2X 3 2" xfId="47949"/>
    <cellStyle name="SAPBEXHLevel2X 3 2 2" xfId="47950"/>
    <cellStyle name="SAPBEXHLevel2X 3 2 2 2" xfId="47951"/>
    <cellStyle name="SAPBEXHLevel2X 3 2 2 2 2" xfId="47952"/>
    <cellStyle name="SAPBEXHLevel2X 3 2 2 2 3" xfId="47953"/>
    <cellStyle name="SAPBEXHLevel2X 3 2 2 2 4" xfId="47954"/>
    <cellStyle name="SAPBEXHLevel2X 3 2 2 3" xfId="47955"/>
    <cellStyle name="SAPBEXHLevel2X 3 2 2 3 2" xfId="47956"/>
    <cellStyle name="SAPBEXHLevel2X 3 2 2 3 3" xfId="47957"/>
    <cellStyle name="SAPBEXHLevel2X 3 2 2 3 4" xfId="47958"/>
    <cellStyle name="SAPBEXHLevel2X 3 2 2 4" xfId="47959"/>
    <cellStyle name="SAPBEXHLevel2X 3 2 2 4 2" xfId="47960"/>
    <cellStyle name="SAPBEXHLevel2X 3 2 2 4 3" xfId="47961"/>
    <cellStyle name="SAPBEXHLevel2X 3 2 2 4 4" xfId="47962"/>
    <cellStyle name="SAPBEXHLevel2X 3 2 2 5" xfId="47963"/>
    <cellStyle name="SAPBEXHLevel2X 3 2 2 6" xfId="47964"/>
    <cellStyle name="SAPBEXHLevel2X 3 2 2 7" xfId="47965"/>
    <cellStyle name="SAPBEXHLevel2X 3 2 2 8" xfId="47966"/>
    <cellStyle name="SAPBEXHLevel2X 3 2 3" xfId="47967"/>
    <cellStyle name="SAPBEXHLevel2X 3 2 3 2" xfId="47968"/>
    <cellStyle name="SAPBEXHLevel2X 3 2 3 2 2" xfId="47969"/>
    <cellStyle name="SAPBEXHLevel2X 3 2 3 2 3" xfId="47970"/>
    <cellStyle name="SAPBEXHLevel2X 3 2 3 2 4" xfId="47971"/>
    <cellStyle name="SAPBEXHLevel2X 3 2 3 3" xfId="47972"/>
    <cellStyle name="SAPBEXHLevel2X 3 2 3 3 2" xfId="47973"/>
    <cellStyle name="SAPBEXHLevel2X 3 2 3 3 3" xfId="47974"/>
    <cellStyle name="SAPBEXHLevel2X 3 2 3 3 4" xfId="47975"/>
    <cellStyle name="SAPBEXHLevel2X 3 2 3 4" xfId="47976"/>
    <cellStyle name="SAPBEXHLevel2X 3 2 3 4 2" xfId="47977"/>
    <cellStyle name="SAPBEXHLevel2X 3 2 3 4 3" xfId="47978"/>
    <cellStyle name="SAPBEXHLevel2X 3 2 3 4 4" xfId="47979"/>
    <cellStyle name="SAPBEXHLevel2X 3 2 3 5" xfId="47980"/>
    <cellStyle name="SAPBEXHLevel2X 3 2 3 6" xfId="47981"/>
    <cellStyle name="SAPBEXHLevel2X 3 2 3 7" xfId="47982"/>
    <cellStyle name="SAPBEXHLevel2X 3 2 3 8" xfId="47983"/>
    <cellStyle name="SAPBEXHLevel2X 3 2 4" xfId="47984"/>
    <cellStyle name="SAPBEXHLevel2X 3 2 4 2" xfId="47985"/>
    <cellStyle name="SAPBEXHLevel2X 3 2 4 2 2" xfId="47986"/>
    <cellStyle name="SAPBEXHLevel2X 3 2 4 2 3" xfId="47987"/>
    <cellStyle name="SAPBEXHLevel2X 3 2 4 2 4" xfId="47988"/>
    <cellStyle name="SAPBEXHLevel2X 3 2 4 3" xfId="47989"/>
    <cellStyle name="SAPBEXHLevel2X 3 2 4 3 2" xfId="47990"/>
    <cellStyle name="SAPBEXHLevel2X 3 2 4 3 3" xfId="47991"/>
    <cellStyle name="SAPBEXHLevel2X 3 2 4 3 4" xfId="47992"/>
    <cellStyle name="SAPBEXHLevel2X 3 2 4 4" xfId="47993"/>
    <cellStyle name="SAPBEXHLevel2X 3 2 4 4 2" xfId="47994"/>
    <cellStyle name="SAPBEXHLevel2X 3 2 4 4 3" xfId="47995"/>
    <cellStyle name="SAPBEXHLevel2X 3 2 4 4 4" xfId="47996"/>
    <cellStyle name="SAPBEXHLevel2X 3 2 4 5" xfId="47997"/>
    <cellStyle name="SAPBEXHLevel2X 3 2 4 6" xfId="47998"/>
    <cellStyle name="SAPBEXHLevel2X 3 2 4 7" xfId="47999"/>
    <cellStyle name="SAPBEXHLevel2X 3 2 4 8" xfId="48000"/>
    <cellStyle name="SAPBEXHLevel2X 3 2 5" xfId="48001"/>
    <cellStyle name="SAPBEXHLevel2X 3 2 5 2" xfId="48002"/>
    <cellStyle name="SAPBEXHLevel2X 3 2 5 2 2" xfId="48003"/>
    <cellStyle name="SAPBEXHLevel2X 3 2 5 2 3" xfId="48004"/>
    <cellStyle name="SAPBEXHLevel2X 3 2 5 2 4" xfId="48005"/>
    <cellStyle name="SAPBEXHLevel2X 3 2 5 3" xfId="48006"/>
    <cellStyle name="SAPBEXHLevel2X 3 2 5 3 2" xfId="48007"/>
    <cellStyle name="SAPBEXHLevel2X 3 2 5 3 3" xfId="48008"/>
    <cellStyle name="SAPBEXHLevel2X 3 2 5 3 4" xfId="48009"/>
    <cellStyle name="SAPBEXHLevel2X 3 2 5 4" xfId="48010"/>
    <cellStyle name="SAPBEXHLevel2X 3 2 5 4 2" xfId="48011"/>
    <cellStyle name="SAPBEXHLevel2X 3 2 5 4 3" xfId="48012"/>
    <cellStyle name="SAPBEXHLevel2X 3 2 5 4 4" xfId="48013"/>
    <cellStyle name="SAPBEXHLevel2X 3 2 5 5" xfId="48014"/>
    <cellStyle name="SAPBEXHLevel2X 3 2 5 6" xfId="48015"/>
    <cellStyle name="SAPBEXHLevel2X 3 2 5 7" xfId="48016"/>
    <cellStyle name="SAPBEXHLevel2X 3 2 5 8" xfId="48017"/>
    <cellStyle name="SAPBEXHLevel2X 3 2 6" xfId="48018"/>
    <cellStyle name="SAPBEXHLevel2X 3 2 6 2" xfId="48019"/>
    <cellStyle name="SAPBEXHLevel2X 3 2 6 3" xfId="48020"/>
    <cellStyle name="SAPBEXHLevel2X 3 2 6 4" xfId="48021"/>
    <cellStyle name="SAPBEXHLevel2X 3 2 7" xfId="48022"/>
    <cellStyle name="SAPBEXHLevel2X 3 2 7 2" xfId="48023"/>
    <cellStyle name="SAPBEXHLevel2X 3 2 7 3" xfId="48024"/>
    <cellStyle name="SAPBEXHLevel2X 3 2 7 4" xfId="48025"/>
    <cellStyle name="SAPBEXHLevel2X 3 2 8" xfId="48026"/>
    <cellStyle name="SAPBEXHLevel2X 3 2 9" xfId="48027"/>
    <cellStyle name="SAPBEXHLevel2X 3 3" xfId="48028"/>
    <cellStyle name="SAPBEXHLevel2X 3 3 2" xfId="48029"/>
    <cellStyle name="SAPBEXHLevel2X 3 3 2 2" xfId="48030"/>
    <cellStyle name="SAPBEXHLevel2X 3 3 2 3" xfId="48031"/>
    <cellStyle name="SAPBEXHLevel2X 3 3 2 4" xfId="48032"/>
    <cellStyle name="SAPBEXHLevel2X 3 3 3" xfId="48033"/>
    <cellStyle name="SAPBEXHLevel2X 3 3 3 2" xfId="48034"/>
    <cellStyle name="SAPBEXHLevel2X 3 3 3 3" xfId="48035"/>
    <cellStyle name="SAPBEXHLevel2X 3 3 3 4" xfId="48036"/>
    <cellStyle name="SAPBEXHLevel2X 3 3 4" xfId="48037"/>
    <cellStyle name="SAPBEXHLevel2X 3 3 4 2" xfId="48038"/>
    <cellStyle name="SAPBEXHLevel2X 3 3 4 3" xfId="48039"/>
    <cellStyle name="SAPBEXHLevel2X 3 3 4 4" xfId="48040"/>
    <cellStyle name="SAPBEXHLevel2X 3 3 5" xfId="48041"/>
    <cellStyle name="SAPBEXHLevel2X 3 3 6" xfId="48042"/>
    <cellStyle name="SAPBEXHLevel2X 3 3 7" xfId="48043"/>
    <cellStyle name="SAPBEXHLevel2X 3 3 8" xfId="48044"/>
    <cellStyle name="SAPBEXHLevel2X 3 4" xfId="48045"/>
    <cellStyle name="SAPBEXHLevel2X 3 4 2" xfId="48046"/>
    <cellStyle name="SAPBEXHLevel2X 3 4 2 2" xfId="48047"/>
    <cellStyle name="SAPBEXHLevel2X 3 4 2 3" xfId="48048"/>
    <cellStyle name="SAPBEXHLevel2X 3 4 2 4" xfId="48049"/>
    <cellStyle name="SAPBEXHLevel2X 3 4 3" xfId="48050"/>
    <cellStyle name="SAPBEXHLevel2X 3 4 3 2" xfId="48051"/>
    <cellStyle name="SAPBEXHLevel2X 3 4 3 3" xfId="48052"/>
    <cellStyle name="SAPBEXHLevel2X 3 4 3 4" xfId="48053"/>
    <cellStyle name="SAPBEXHLevel2X 3 4 4" xfId="48054"/>
    <cellStyle name="SAPBEXHLevel2X 3 4 4 2" xfId="48055"/>
    <cellStyle name="SAPBEXHLevel2X 3 4 4 3" xfId="48056"/>
    <cellStyle name="SAPBEXHLevel2X 3 4 4 4" xfId="48057"/>
    <cellStyle name="SAPBEXHLevel2X 3 4 5" xfId="48058"/>
    <cellStyle name="SAPBEXHLevel2X 3 4 6" xfId="48059"/>
    <cellStyle name="SAPBEXHLevel2X 3 4 7" xfId="48060"/>
    <cellStyle name="SAPBEXHLevel2X 3 4 8" xfId="48061"/>
    <cellStyle name="SAPBEXHLevel2X 3 5" xfId="48062"/>
    <cellStyle name="SAPBEXHLevel2X 3 5 2" xfId="48063"/>
    <cellStyle name="SAPBEXHLevel2X 3 5 2 2" xfId="48064"/>
    <cellStyle name="SAPBEXHLevel2X 3 5 2 3" xfId="48065"/>
    <cellStyle name="SAPBEXHLevel2X 3 5 2 4" xfId="48066"/>
    <cellStyle name="SAPBEXHLevel2X 3 5 3" xfId="48067"/>
    <cellStyle name="SAPBEXHLevel2X 3 5 3 2" xfId="48068"/>
    <cellStyle name="SAPBEXHLevel2X 3 5 3 3" xfId="48069"/>
    <cellStyle name="SAPBEXHLevel2X 3 5 3 4" xfId="48070"/>
    <cellStyle name="SAPBEXHLevel2X 3 5 4" xfId="48071"/>
    <cellStyle name="SAPBEXHLevel2X 3 5 4 2" xfId="48072"/>
    <cellStyle name="SAPBEXHLevel2X 3 5 4 3" xfId="48073"/>
    <cellStyle name="SAPBEXHLevel2X 3 5 4 4" xfId="48074"/>
    <cellStyle name="SAPBEXHLevel2X 3 5 5" xfId="48075"/>
    <cellStyle name="SAPBEXHLevel2X 3 5 6" xfId="48076"/>
    <cellStyle name="SAPBEXHLevel2X 3 5 7" xfId="48077"/>
    <cellStyle name="SAPBEXHLevel2X 3 5 8" xfId="48078"/>
    <cellStyle name="SAPBEXHLevel2X 3 6" xfId="48079"/>
    <cellStyle name="SAPBEXHLevel2X 3 6 2" xfId="48080"/>
    <cellStyle name="SAPBEXHLevel2X 3 6 2 2" xfId="48081"/>
    <cellStyle name="SAPBEXHLevel2X 3 6 2 3" xfId="48082"/>
    <cellStyle name="SAPBEXHLevel2X 3 6 2 4" xfId="48083"/>
    <cellStyle name="SAPBEXHLevel2X 3 6 3" xfId="48084"/>
    <cellStyle name="SAPBEXHLevel2X 3 6 3 2" xfId="48085"/>
    <cellStyle name="SAPBEXHLevel2X 3 6 3 3" xfId="48086"/>
    <cellStyle name="SAPBEXHLevel2X 3 6 3 4" xfId="48087"/>
    <cellStyle name="SAPBEXHLevel2X 3 6 4" xfId="48088"/>
    <cellStyle name="SAPBEXHLevel2X 3 6 4 2" xfId="48089"/>
    <cellStyle name="SAPBEXHLevel2X 3 6 4 3" xfId="48090"/>
    <cellStyle name="SAPBEXHLevel2X 3 6 4 4" xfId="48091"/>
    <cellStyle name="SAPBEXHLevel2X 3 6 5" xfId="48092"/>
    <cellStyle name="SAPBEXHLevel2X 3 6 6" xfId="48093"/>
    <cellStyle name="SAPBEXHLevel2X 3 6 7" xfId="48094"/>
    <cellStyle name="SAPBEXHLevel2X 3 6 8" xfId="48095"/>
    <cellStyle name="SAPBEXHLevel2X 3 7" xfId="48096"/>
    <cellStyle name="SAPBEXHLevel2X 3 7 2" xfId="48097"/>
    <cellStyle name="SAPBEXHLevel2X 3 7 2 2" xfId="48098"/>
    <cellStyle name="SAPBEXHLevel2X 3 7 2 3" xfId="48099"/>
    <cellStyle name="SAPBEXHLevel2X 3 7 2 4" xfId="48100"/>
    <cellStyle name="SAPBEXHLevel2X 3 7 3" xfId="48101"/>
    <cellStyle name="SAPBEXHLevel2X 3 7 3 2" xfId="48102"/>
    <cellStyle name="SAPBEXHLevel2X 3 7 3 3" xfId="48103"/>
    <cellStyle name="SAPBEXHLevel2X 3 7 3 4" xfId="48104"/>
    <cellStyle name="SAPBEXHLevel2X 3 7 4" xfId="48105"/>
    <cellStyle name="SAPBEXHLevel2X 3 7 4 2" xfId="48106"/>
    <cellStyle name="SAPBEXHLevel2X 3 7 4 3" xfId="48107"/>
    <cellStyle name="SAPBEXHLevel2X 3 7 4 4" xfId="48108"/>
    <cellStyle name="SAPBEXHLevel2X 3 7 5" xfId="48109"/>
    <cellStyle name="SAPBEXHLevel2X 3 7 6" xfId="48110"/>
    <cellStyle name="SAPBEXHLevel2X 3 7 7" xfId="48111"/>
    <cellStyle name="SAPBEXHLevel2X 3 7 8" xfId="48112"/>
    <cellStyle name="SAPBEXHLevel2X 3 8" xfId="48113"/>
    <cellStyle name="SAPBEXHLevel2X 3 8 2" xfId="48114"/>
    <cellStyle name="SAPBEXHLevel2X 3 8 3" xfId="48115"/>
    <cellStyle name="SAPBEXHLevel2X 3 8 4" xfId="48116"/>
    <cellStyle name="SAPBEXHLevel2X 3 9" xfId="48117"/>
    <cellStyle name="SAPBEXHLevel2X 3 9 2" xfId="48118"/>
    <cellStyle name="SAPBEXHLevel2X 3 9 3" xfId="48119"/>
    <cellStyle name="SAPBEXHLevel2X 3 9 4" xfId="48120"/>
    <cellStyle name="SAPBEXHLevel2X 4" xfId="48121"/>
    <cellStyle name="SAPBEXHLevel2X 4 10" xfId="48122"/>
    <cellStyle name="SAPBEXHLevel2X 4 11" xfId="48123"/>
    <cellStyle name="SAPBEXHLevel2X 4 2" xfId="48124"/>
    <cellStyle name="SAPBEXHLevel2X 4 2 2" xfId="48125"/>
    <cellStyle name="SAPBEXHLevel2X 4 2 2 2" xfId="48126"/>
    <cellStyle name="SAPBEXHLevel2X 4 2 2 2 2" xfId="48127"/>
    <cellStyle name="SAPBEXHLevel2X 4 2 2 2 3" xfId="48128"/>
    <cellStyle name="SAPBEXHLevel2X 4 2 2 2 4" xfId="48129"/>
    <cellStyle name="SAPBEXHLevel2X 4 2 2 3" xfId="48130"/>
    <cellStyle name="SAPBEXHLevel2X 4 2 2 3 2" xfId="48131"/>
    <cellStyle name="SAPBEXHLevel2X 4 2 2 3 3" xfId="48132"/>
    <cellStyle name="SAPBEXHLevel2X 4 2 2 3 4" xfId="48133"/>
    <cellStyle name="SAPBEXHLevel2X 4 2 2 4" xfId="48134"/>
    <cellStyle name="SAPBEXHLevel2X 4 2 2 4 2" xfId="48135"/>
    <cellStyle name="SAPBEXHLevel2X 4 2 2 4 3" xfId="48136"/>
    <cellStyle name="SAPBEXHLevel2X 4 2 2 4 4" xfId="48137"/>
    <cellStyle name="SAPBEXHLevel2X 4 2 2 5" xfId="48138"/>
    <cellStyle name="SAPBEXHLevel2X 4 2 2 6" xfId="48139"/>
    <cellStyle name="SAPBEXHLevel2X 4 2 2 7" xfId="48140"/>
    <cellStyle name="SAPBEXHLevel2X 4 2 2 8" xfId="48141"/>
    <cellStyle name="SAPBEXHLevel2X 4 2 3" xfId="48142"/>
    <cellStyle name="SAPBEXHLevel2X 4 2 3 2" xfId="48143"/>
    <cellStyle name="SAPBEXHLevel2X 4 2 3 2 2" xfId="48144"/>
    <cellStyle name="SAPBEXHLevel2X 4 2 3 2 3" xfId="48145"/>
    <cellStyle name="SAPBEXHLevel2X 4 2 3 2 4" xfId="48146"/>
    <cellStyle name="SAPBEXHLevel2X 4 2 3 3" xfId="48147"/>
    <cellStyle name="SAPBEXHLevel2X 4 2 3 3 2" xfId="48148"/>
    <cellStyle name="SAPBEXHLevel2X 4 2 3 3 3" xfId="48149"/>
    <cellStyle name="SAPBEXHLevel2X 4 2 3 3 4" xfId="48150"/>
    <cellStyle name="SAPBEXHLevel2X 4 2 3 4" xfId="48151"/>
    <cellStyle name="SAPBEXHLevel2X 4 2 3 4 2" xfId="48152"/>
    <cellStyle name="SAPBEXHLevel2X 4 2 3 4 3" xfId="48153"/>
    <cellStyle name="SAPBEXHLevel2X 4 2 3 4 4" xfId="48154"/>
    <cellStyle name="SAPBEXHLevel2X 4 2 3 5" xfId="48155"/>
    <cellStyle name="SAPBEXHLevel2X 4 2 3 6" xfId="48156"/>
    <cellStyle name="SAPBEXHLevel2X 4 2 3 7" xfId="48157"/>
    <cellStyle name="SAPBEXHLevel2X 4 2 3 8" xfId="48158"/>
    <cellStyle name="SAPBEXHLevel2X 4 2 4" xfId="48159"/>
    <cellStyle name="SAPBEXHLevel2X 4 2 4 2" xfId="48160"/>
    <cellStyle name="SAPBEXHLevel2X 4 2 4 2 2" xfId="48161"/>
    <cellStyle name="SAPBEXHLevel2X 4 2 4 2 3" xfId="48162"/>
    <cellStyle name="SAPBEXHLevel2X 4 2 4 2 4" xfId="48163"/>
    <cellStyle name="SAPBEXHLevel2X 4 2 4 3" xfId="48164"/>
    <cellStyle name="SAPBEXHLevel2X 4 2 4 3 2" xfId="48165"/>
    <cellStyle name="SAPBEXHLevel2X 4 2 4 3 3" xfId="48166"/>
    <cellStyle name="SAPBEXHLevel2X 4 2 4 3 4" xfId="48167"/>
    <cellStyle name="SAPBEXHLevel2X 4 2 4 4" xfId="48168"/>
    <cellStyle name="SAPBEXHLevel2X 4 2 4 4 2" xfId="48169"/>
    <cellStyle name="SAPBEXHLevel2X 4 2 4 4 3" xfId="48170"/>
    <cellStyle name="SAPBEXHLevel2X 4 2 4 4 4" xfId="48171"/>
    <cellStyle name="SAPBEXHLevel2X 4 2 4 5" xfId="48172"/>
    <cellStyle name="SAPBEXHLevel2X 4 2 4 6" xfId="48173"/>
    <cellStyle name="SAPBEXHLevel2X 4 2 4 7" xfId="48174"/>
    <cellStyle name="SAPBEXHLevel2X 4 2 4 8" xfId="48175"/>
    <cellStyle name="SAPBEXHLevel2X 4 2 5" xfId="48176"/>
    <cellStyle name="SAPBEXHLevel2X 4 2 5 2" xfId="48177"/>
    <cellStyle name="SAPBEXHLevel2X 4 2 5 2 2" xfId="48178"/>
    <cellStyle name="SAPBEXHLevel2X 4 2 5 2 3" xfId="48179"/>
    <cellStyle name="SAPBEXHLevel2X 4 2 5 2 4" xfId="48180"/>
    <cellStyle name="SAPBEXHLevel2X 4 2 5 3" xfId="48181"/>
    <cellStyle name="SAPBEXHLevel2X 4 2 5 3 2" xfId="48182"/>
    <cellStyle name="SAPBEXHLevel2X 4 2 5 3 3" xfId="48183"/>
    <cellStyle name="SAPBEXHLevel2X 4 2 5 3 4" xfId="48184"/>
    <cellStyle name="SAPBEXHLevel2X 4 2 5 4" xfId="48185"/>
    <cellStyle name="SAPBEXHLevel2X 4 2 5 4 2" xfId="48186"/>
    <cellStyle name="SAPBEXHLevel2X 4 2 5 4 3" xfId="48187"/>
    <cellStyle name="SAPBEXHLevel2X 4 2 5 4 4" xfId="48188"/>
    <cellStyle name="SAPBEXHLevel2X 4 2 5 5" xfId="48189"/>
    <cellStyle name="SAPBEXHLevel2X 4 2 5 6" xfId="48190"/>
    <cellStyle name="SAPBEXHLevel2X 4 2 5 7" xfId="48191"/>
    <cellStyle name="SAPBEXHLevel2X 4 2 5 8" xfId="48192"/>
    <cellStyle name="SAPBEXHLevel2X 4 2 6" xfId="48193"/>
    <cellStyle name="SAPBEXHLevel2X 4 2 6 2" xfId="48194"/>
    <cellStyle name="SAPBEXHLevel2X 4 2 6 3" xfId="48195"/>
    <cellStyle name="SAPBEXHLevel2X 4 2 6 4" xfId="48196"/>
    <cellStyle name="SAPBEXHLevel2X 4 2 7" xfId="48197"/>
    <cellStyle name="SAPBEXHLevel2X 4 2 7 2" xfId="48198"/>
    <cellStyle name="SAPBEXHLevel2X 4 2 7 3" xfId="48199"/>
    <cellStyle name="SAPBEXHLevel2X 4 2 7 4" xfId="48200"/>
    <cellStyle name="SAPBEXHLevel2X 4 2 8" xfId="48201"/>
    <cellStyle name="SAPBEXHLevel2X 4 2 9" xfId="48202"/>
    <cellStyle name="SAPBEXHLevel2X 4 3" xfId="48203"/>
    <cellStyle name="SAPBEXHLevel2X 4 3 2" xfId="48204"/>
    <cellStyle name="SAPBEXHLevel2X 4 3 2 2" xfId="48205"/>
    <cellStyle name="SAPBEXHLevel2X 4 3 2 3" xfId="48206"/>
    <cellStyle name="SAPBEXHLevel2X 4 3 2 4" xfId="48207"/>
    <cellStyle name="SAPBEXHLevel2X 4 3 3" xfId="48208"/>
    <cellStyle name="SAPBEXHLevel2X 4 3 3 2" xfId="48209"/>
    <cellStyle name="SAPBEXHLevel2X 4 3 3 3" xfId="48210"/>
    <cellStyle name="SAPBEXHLevel2X 4 3 3 4" xfId="48211"/>
    <cellStyle name="SAPBEXHLevel2X 4 3 4" xfId="48212"/>
    <cellStyle name="SAPBEXHLevel2X 4 3 4 2" xfId="48213"/>
    <cellStyle name="SAPBEXHLevel2X 4 3 4 3" xfId="48214"/>
    <cellStyle name="SAPBEXHLevel2X 4 3 4 4" xfId="48215"/>
    <cellStyle name="SAPBEXHLevel2X 4 3 5" xfId="48216"/>
    <cellStyle name="SAPBEXHLevel2X 4 3 6" xfId="48217"/>
    <cellStyle name="SAPBEXHLevel2X 4 3 7" xfId="48218"/>
    <cellStyle name="SAPBEXHLevel2X 4 3 8" xfId="48219"/>
    <cellStyle name="SAPBEXHLevel2X 4 4" xfId="48220"/>
    <cellStyle name="SAPBEXHLevel2X 4 4 2" xfId="48221"/>
    <cellStyle name="SAPBEXHLevel2X 4 4 2 2" xfId="48222"/>
    <cellStyle name="SAPBEXHLevel2X 4 4 2 3" xfId="48223"/>
    <cellStyle name="SAPBEXHLevel2X 4 4 2 4" xfId="48224"/>
    <cellStyle name="SAPBEXHLevel2X 4 4 3" xfId="48225"/>
    <cellStyle name="SAPBEXHLevel2X 4 4 3 2" xfId="48226"/>
    <cellStyle name="SAPBEXHLevel2X 4 4 3 3" xfId="48227"/>
    <cellStyle name="SAPBEXHLevel2X 4 4 3 4" xfId="48228"/>
    <cellStyle name="SAPBEXHLevel2X 4 4 4" xfId="48229"/>
    <cellStyle name="SAPBEXHLevel2X 4 4 4 2" xfId="48230"/>
    <cellStyle name="SAPBEXHLevel2X 4 4 4 3" xfId="48231"/>
    <cellStyle name="SAPBEXHLevel2X 4 4 4 4" xfId="48232"/>
    <cellStyle name="SAPBEXHLevel2X 4 4 5" xfId="48233"/>
    <cellStyle name="SAPBEXHLevel2X 4 4 6" xfId="48234"/>
    <cellStyle name="SAPBEXHLevel2X 4 4 7" xfId="48235"/>
    <cellStyle name="SAPBEXHLevel2X 4 4 8" xfId="48236"/>
    <cellStyle name="SAPBEXHLevel2X 4 5" xfId="48237"/>
    <cellStyle name="SAPBEXHLevel2X 4 5 2" xfId="48238"/>
    <cellStyle name="SAPBEXHLevel2X 4 5 2 2" xfId="48239"/>
    <cellStyle name="SAPBEXHLevel2X 4 5 2 3" xfId="48240"/>
    <cellStyle name="SAPBEXHLevel2X 4 5 2 4" xfId="48241"/>
    <cellStyle name="SAPBEXHLevel2X 4 5 3" xfId="48242"/>
    <cellStyle name="SAPBEXHLevel2X 4 5 3 2" xfId="48243"/>
    <cellStyle name="SAPBEXHLevel2X 4 5 3 3" xfId="48244"/>
    <cellStyle name="SAPBEXHLevel2X 4 5 3 4" xfId="48245"/>
    <cellStyle name="SAPBEXHLevel2X 4 5 4" xfId="48246"/>
    <cellStyle name="SAPBEXHLevel2X 4 5 4 2" xfId="48247"/>
    <cellStyle name="SAPBEXHLevel2X 4 5 4 3" xfId="48248"/>
    <cellStyle name="SAPBEXHLevel2X 4 5 4 4" xfId="48249"/>
    <cellStyle name="SAPBEXHLevel2X 4 5 5" xfId="48250"/>
    <cellStyle name="SAPBEXHLevel2X 4 5 6" xfId="48251"/>
    <cellStyle name="SAPBEXHLevel2X 4 5 7" xfId="48252"/>
    <cellStyle name="SAPBEXHLevel2X 4 5 8" xfId="48253"/>
    <cellStyle name="SAPBEXHLevel2X 4 6" xfId="48254"/>
    <cellStyle name="SAPBEXHLevel2X 4 6 2" xfId="48255"/>
    <cellStyle name="SAPBEXHLevel2X 4 6 2 2" xfId="48256"/>
    <cellStyle name="SAPBEXHLevel2X 4 6 2 3" xfId="48257"/>
    <cellStyle name="SAPBEXHLevel2X 4 6 2 4" xfId="48258"/>
    <cellStyle name="SAPBEXHLevel2X 4 6 3" xfId="48259"/>
    <cellStyle name="SAPBEXHLevel2X 4 6 3 2" xfId="48260"/>
    <cellStyle name="SAPBEXHLevel2X 4 6 3 3" xfId="48261"/>
    <cellStyle name="SAPBEXHLevel2X 4 6 3 4" xfId="48262"/>
    <cellStyle name="SAPBEXHLevel2X 4 6 4" xfId="48263"/>
    <cellStyle name="SAPBEXHLevel2X 4 6 4 2" xfId="48264"/>
    <cellStyle name="SAPBEXHLevel2X 4 6 4 3" xfId="48265"/>
    <cellStyle name="SAPBEXHLevel2X 4 6 4 4" xfId="48266"/>
    <cellStyle name="SAPBEXHLevel2X 4 6 5" xfId="48267"/>
    <cellStyle name="SAPBEXHLevel2X 4 6 6" xfId="48268"/>
    <cellStyle name="SAPBEXHLevel2X 4 6 7" xfId="48269"/>
    <cellStyle name="SAPBEXHLevel2X 4 6 8" xfId="48270"/>
    <cellStyle name="SAPBEXHLevel2X 4 7" xfId="48271"/>
    <cellStyle name="SAPBEXHLevel2X 4 7 2" xfId="48272"/>
    <cellStyle name="SAPBEXHLevel2X 4 7 2 2" xfId="48273"/>
    <cellStyle name="SAPBEXHLevel2X 4 7 2 3" xfId="48274"/>
    <cellStyle name="SAPBEXHLevel2X 4 7 2 4" xfId="48275"/>
    <cellStyle name="SAPBEXHLevel2X 4 7 3" xfId="48276"/>
    <cellStyle name="SAPBEXHLevel2X 4 7 3 2" xfId="48277"/>
    <cellStyle name="SAPBEXHLevel2X 4 7 3 3" xfId="48278"/>
    <cellStyle name="SAPBEXHLevel2X 4 7 3 4" xfId="48279"/>
    <cellStyle name="SAPBEXHLevel2X 4 7 4" xfId="48280"/>
    <cellStyle name="SAPBEXHLevel2X 4 7 4 2" xfId="48281"/>
    <cellStyle name="SAPBEXHLevel2X 4 7 4 3" xfId="48282"/>
    <cellStyle name="SAPBEXHLevel2X 4 7 4 4" xfId="48283"/>
    <cellStyle name="SAPBEXHLevel2X 4 7 5" xfId="48284"/>
    <cellStyle name="SAPBEXHLevel2X 4 7 6" xfId="48285"/>
    <cellStyle name="SAPBEXHLevel2X 4 7 7" xfId="48286"/>
    <cellStyle name="SAPBEXHLevel2X 4 7 8" xfId="48287"/>
    <cellStyle name="SAPBEXHLevel2X 4 8" xfId="48288"/>
    <cellStyle name="SAPBEXHLevel2X 4 8 2" xfId="48289"/>
    <cellStyle name="SAPBEXHLevel2X 4 8 3" xfId="48290"/>
    <cellStyle name="SAPBEXHLevel2X 4 8 4" xfId="48291"/>
    <cellStyle name="SAPBEXHLevel2X 4 9" xfId="48292"/>
    <cellStyle name="SAPBEXHLevel2X 4 9 2" xfId="48293"/>
    <cellStyle name="SAPBEXHLevel2X 4 9 3" xfId="48294"/>
    <cellStyle name="SAPBEXHLevel2X 4 9 4" xfId="48295"/>
    <cellStyle name="SAPBEXHLevel2X 5" xfId="48296"/>
    <cellStyle name="SAPBEXHLevel2X 5 2" xfId="48297"/>
    <cellStyle name="SAPBEXHLevel2X 5 2 2" xfId="48298"/>
    <cellStyle name="SAPBEXHLevel2X 5 2 2 2" xfId="48299"/>
    <cellStyle name="SAPBEXHLevel2X 5 2 2 3" xfId="48300"/>
    <cellStyle name="SAPBEXHLevel2X 5 2 2 4" xfId="48301"/>
    <cellStyle name="SAPBEXHLevel2X 5 2 3" xfId="48302"/>
    <cellStyle name="SAPBEXHLevel2X 5 2 3 2" xfId="48303"/>
    <cellStyle name="SAPBEXHLevel2X 5 2 3 3" xfId="48304"/>
    <cellStyle name="SAPBEXHLevel2X 5 2 3 4" xfId="48305"/>
    <cellStyle name="SAPBEXHLevel2X 5 2 4" xfId="48306"/>
    <cellStyle name="SAPBEXHLevel2X 5 2 4 2" xfId="48307"/>
    <cellStyle name="SAPBEXHLevel2X 5 2 4 3" xfId="48308"/>
    <cellStyle name="SAPBEXHLevel2X 5 2 4 4" xfId="48309"/>
    <cellStyle name="SAPBEXHLevel2X 5 2 5" xfId="48310"/>
    <cellStyle name="SAPBEXHLevel2X 5 2 6" xfId="48311"/>
    <cellStyle name="SAPBEXHLevel2X 5 2 7" xfId="48312"/>
    <cellStyle name="SAPBEXHLevel2X 5 2 8" xfId="48313"/>
    <cellStyle name="SAPBEXHLevel2X 5 3" xfId="48314"/>
    <cellStyle name="SAPBEXHLevel2X 5 3 2" xfId="48315"/>
    <cellStyle name="SAPBEXHLevel2X 5 3 2 2" xfId="48316"/>
    <cellStyle name="SAPBEXHLevel2X 5 3 2 3" xfId="48317"/>
    <cellStyle name="SAPBEXHLevel2X 5 3 2 4" xfId="48318"/>
    <cellStyle name="SAPBEXHLevel2X 5 3 3" xfId="48319"/>
    <cellStyle name="SAPBEXHLevel2X 5 3 3 2" xfId="48320"/>
    <cellStyle name="SAPBEXHLevel2X 5 3 3 3" xfId="48321"/>
    <cellStyle name="SAPBEXHLevel2X 5 3 3 4" xfId="48322"/>
    <cellStyle name="SAPBEXHLevel2X 5 3 4" xfId="48323"/>
    <cellStyle name="SAPBEXHLevel2X 5 3 4 2" xfId="48324"/>
    <cellStyle name="SAPBEXHLevel2X 5 3 4 3" xfId="48325"/>
    <cellStyle name="SAPBEXHLevel2X 5 3 4 4" xfId="48326"/>
    <cellStyle name="SAPBEXHLevel2X 5 3 5" xfId="48327"/>
    <cellStyle name="SAPBEXHLevel2X 5 3 6" xfId="48328"/>
    <cellStyle name="SAPBEXHLevel2X 5 3 7" xfId="48329"/>
    <cellStyle name="SAPBEXHLevel2X 5 3 8" xfId="48330"/>
    <cellStyle name="SAPBEXHLevel2X 5 4" xfId="48331"/>
    <cellStyle name="SAPBEXHLevel2X 5 4 2" xfId="48332"/>
    <cellStyle name="SAPBEXHLevel2X 5 4 2 2" xfId="48333"/>
    <cellStyle name="SAPBEXHLevel2X 5 4 2 3" xfId="48334"/>
    <cellStyle name="SAPBEXHLevel2X 5 4 2 4" xfId="48335"/>
    <cellStyle name="SAPBEXHLevel2X 5 4 3" xfId="48336"/>
    <cellStyle name="SAPBEXHLevel2X 5 4 3 2" xfId="48337"/>
    <cellStyle name="SAPBEXHLevel2X 5 4 3 3" xfId="48338"/>
    <cellStyle name="SAPBEXHLevel2X 5 4 3 4" xfId="48339"/>
    <cellStyle name="SAPBEXHLevel2X 5 4 4" xfId="48340"/>
    <cellStyle name="SAPBEXHLevel2X 5 4 4 2" xfId="48341"/>
    <cellStyle name="SAPBEXHLevel2X 5 4 4 3" xfId="48342"/>
    <cellStyle name="SAPBEXHLevel2X 5 4 4 4" xfId="48343"/>
    <cellStyle name="SAPBEXHLevel2X 5 4 5" xfId="48344"/>
    <cellStyle name="SAPBEXHLevel2X 5 4 6" xfId="48345"/>
    <cellStyle name="SAPBEXHLevel2X 5 4 7" xfId="48346"/>
    <cellStyle name="SAPBEXHLevel2X 5 4 8" xfId="48347"/>
    <cellStyle name="SAPBEXHLevel2X 5 5" xfId="48348"/>
    <cellStyle name="SAPBEXHLevel2X 5 5 2" xfId="48349"/>
    <cellStyle name="SAPBEXHLevel2X 5 5 2 2" xfId="48350"/>
    <cellStyle name="SAPBEXHLevel2X 5 5 2 3" xfId="48351"/>
    <cellStyle name="SAPBEXHLevel2X 5 5 2 4" xfId="48352"/>
    <cellStyle name="SAPBEXHLevel2X 5 5 3" xfId="48353"/>
    <cellStyle name="SAPBEXHLevel2X 5 5 3 2" xfId="48354"/>
    <cellStyle name="SAPBEXHLevel2X 5 5 3 3" xfId="48355"/>
    <cellStyle name="SAPBEXHLevel2X 5 5 3 4" xfId="48356"/>
    <cellStyle name="SAPBEXHLevel2X 5 5 4" xfId="48357"/>
    <cellStyle name="SAPBEXHLevel2X 5 5 4 2" xfId="48358"/>
    <cellStyle name="SAPBEXHLevel2X 5 5 4 3" xfId="48359"/>
    <cellStyle name="SAPBEXHLevel2X 5 5 4 4" xfId="48360"/>
    <cellStyle name="SAPBEXHLevel2X 5 5 5" xfId="48361"/>
    <cellStyle name="SAPBEXHLevel2X 5 5 6" xfId="48362"/>
    <cellStyle name="SAPBEXHLevel2X 5 5 7" xfId="48363"/>
    <cellStyle name="SAPBEXHLevel2X 5 5 8" xfId="48364"/>
    <cellStyle name="SAPBEXHLevel2X 5 6" xfId="48365"/>
    <cellStyle name="SAPBEXHLevel2X 5 6 2" xfId="48366"/>
    <cellStyle name="SAPBEXHLevel2X 5 6 3" xfId="48367"/>
    <cellStyle name="SAPBEXHLevel2X 5 6 4" xfId="48368"/>
    <cellStyle name="SAPBEXHLevel2X 5 7" xfId="48369"/>
    <cellStyle name="SAPBEXHLevel2X 5 7 2" xfId="48370"/>
    <cellStyle name="SAPBEXHLevel2X 5 7 3" xfId="48371"/>
    <cellStyle name="SAPBEXHLevel2X 5 7 4" xfId="48372"/>
    <cellStyle name="SAPBEXHLevel2X 5 8" xfId="48373"/>
    <cellStyle name="SAPBEXHLevel2X 5 9" xfId="48374"/>
    <cellStyle name="SAPBEXHLevel2X 6" xfId="48375"/>
    <cellStyle name="SAPBEXHLevel2X 6 2" xfId="48376"/>
    <cellStyle name="SAPBEXHLevel2X 6 2 2" xfId="48377"/>
    <cellStyle name="SAPBEXHLevel2X 6 2 3" xfId="48378"/>
    <cellStyle name="SAPBEXHLevel2X 6 2 4" xfId="48379"/>
    <cellStyle name="SAPBEXHLevel2X 6 3" xfId="48380"/>
    <cellStyle name="SAPBEXHLevel2X 6 3 2" xfId="48381"/>
    <cellStyle name="SAPBEXHLevel2X 6 3 3" xfId="48382"/>
    <cellStyle name="SAPBEXHLevel2X 6 3 4" xfId="48383"/>
    <cellStyle name="SAPBEXHLevel2X 6 4" xfId="48384"/>
    <cellStyle name="SAPBEXHLevel2X 6 4 2" xfId="48385"/>
    <cellStyle name="SAPBEXHLevel2X 6 4 3" xfId="48386"/>
    <cellStyle name="SAPBEXHLevel2X 6 4 4" xfId="48387"/>
    <cellStyle name="SAPBEXHLevel2X 6 5" xfId="48388"/>
    <cellStyle name="SAPBEXHLevel2X 6 6" xfId="48389"/>
    <cellStyle name="SAPBEXHLevel2X 6 7" xfId="48390"/>
    <cellStyle name="SAPBEXHLevel2X 6 8" xfId="48391"/>
    <cellStyle name="SAPBEXHLevel2X 7" xfId="48392"/>
    <cellStyle name="SAPBEXHLevel2X 7 2" xfId="48393"/>
    <cellStyle name="SAPBEXHLevel2X 7 2 2" xfId="48394"/>
    <cellStyle name="SAPBEXHLevel2X 7 2 3" xfId="48395"/>
    <cellStyle name="SAPBEXHLevel2X 7 2 4" xfId="48396"/>
    <cellStyle name="SAPBEXHLevel2X 7 3" xfId="48397"/>
    <cellStyle name="SAPBEXHLevel2X 7 3 2" xfId="48398"/>
    <cellStyle name="SAPBEXHLevel2X 7 3 3" xfId="48399"/>
    <cellStyle name="SAPBEXHLevel2X 7 3 4" xfId="48400"/>
    <cellStyle name="SAPBEXHLevel2X 7 4" xfId="48401"/>
    <cellStyle name="SAPBEXHLevel2X 7 4 2" xfId="48402"/>
    <cellStyle name="SAPBEXHLevel2X 7 4 3" xfId="48403"/>
    <cellStyle name="SAPBEXHLevel2X 7 4 4" xfId="48404"/>
    <cellStyle name="SAPBEXHLevel2X 7 5" xfId="48405"/>
    <cellStyle name="SAPBEXHLevel2X 7 6" xfId="48406"/>
    <cellStyle name="SAPBEXHLevel2X 7 7" xfId="48407"/>
    <cellStyle name="SAPBEXHLevel2X 7 8" xfId="48408"/>
    <cellStyle name="SAPBEXHLevel2X 8" xfId="48409"/>
    <cellStyle name="SAPBEXHLevel2X 8 2" xfId="48410"/>
    <cellStyle name="SAPBEXHLevel2X 8 2 2" xfId="48411"/>
    <cellStyle name="SAPBEXHLevel2X 8 2 3" xfId="48412"/>
    <cellStyle name="SAPBEXHLevel2X 8 2 4" xfId="48413"/>
    <cellStyle name="SAPBEXHLevel2X 8 3" xfId="48414"/>
    <cellStyle name="SAPBEXHLevel2X 8 3 2" xfId="48415"/>
    <cellStyle name="SAPBEXHLevel2X 8 3 3" xfId="48416"/>
    <cellStyle name="SAPBEXHLevel2X 8 3 4" xfId="48417"/>
    <cellStyle name="SAPBEXHLevel2X 8 4" xfId="48418"/>
    <cellStyle name="SAPBEXHLevel2X 8 4 2" xfId="48419"/>
    <cellStyle name="SAPBEXHLevel2X 8 4 3" xfId="48420"/>
    <cellStyle name="SAPBEXHLevel2X 8 4 4" xfId="48421"/>
    <cellStyle name="SAPBEXHLevel2X 8 5" xfId="48422"/>
    <cellStyle name="SAPBEXHLevel2X 8 6" xfId="48423"/>
    <cellStyle name="SAPBEXHLevel2X 8 7" xfId="48424"/>
    <cellStyle name="SAPBEXHLevel2X 8 8" xfId="48425"/>
    <cellStyle name="SAPBEXHLevel2X 9" xfId="48426"/>
    <cellStyle name="SAPBEXHLevel2X 9 2" xfId="48427"/>
    <cellStyle name="SAPBEXHLevel2X 9 2 2" xfId="48428"/>
    <cellStyle name="SAPBEXHLevel2X 9 2 3" xfId="48429"/>
    <cellStyle name="SAPBEXHLevel2X 9 2 4" xfId="48430"/>
    <cellStyle name="SAPBEXHLevel2X 9 3" xfId="48431"/>
    <cellStyle name="SAPBEXHLevel2X 9 3 2" xfId="48432"/>
    <cellStyle name="SAPBEXHLevel2X 9 3 3" xfId="48433"/>
    <cellStyle name="SAPBEXHLevel2X 9 3 4" xfId="48434"/>
    <cellStyle name="SAPBEXHLevel2X 9 4" xfId="48435"/>
    <cellStyle name="SAPBEXHLevel2X 9 4 2" xfId="48436"/>
    <cellStyle name="SAPBEXHLevel2X 9 4 3" xfId="48437"/>
    <cellStyle name="SAPBEXHLevel2X 9 4 4" xfId="48438"/>
    <cellStyle name="SAPBEXHLevel2X 9 5" xfId="48439"/>
    <cellStyle name="SAPBEXHLevel2X 9 6" xfId="48440"/>
    <cellStyle name="SAPBEXHLevel2X 9 7" xfId="48441"/>
    <cellStyle name="SAPBEXHLevel2X 9 8" xfId="48442"/>
    <cellStyle name="SAPBEXHLevel3" xfId="48443"/>
    <cellStyle name="SAPBEXHLevel3 10" xfId="48444"/>
    <cellStyle name="SAPBEXHLevel3 10 2" xfId="48445"/>
    <cellStyle name="SAPBEXHLevel3 10 2 2" xfId="48446"/>
    <cellStyle name="SAPBEXHLevel3 10 2 3" xfId="48447"/>
    <cellStyle name="SAPBEXHLevel3 10 2 4" xfId="48448"/>
    <cellStyle name="SAPBEXHLevel3 10 3" xfId="48449"/>
    <cellStyle name="SAPBEXHLevel3 10 3 2" xfId="48450"/>
    <cellStyle name="SAPBEXHLevel3 10 3 3" xfId="48451"/>
    <cellStyle name="SAPBEXHLevel3 10 3 4" xfId="48452"/>
    <cellStyle name="SAPBEXHLevel3 10 4" xfId="48453"/>
    <cellStyle name="SAPBEXHLevel3 10 4 2" xfId="48454"/>
    <cellStyle name="SAPBEXHLevel3 10 4 3" xfId="48455"/>
    <cellStyle name="SAPBEXHLevel3 10 4 4" xfId="48456"/>
    <cellStyle name="SAPBEXHLevel3 10 5" xfId="48457"/>
    <cellStyle name="SAPBEXHLevel3 10 6" xfId="48458"/>
    <cellStyle name="SAPBEXHLevel3 10 7" xfId="48459"/>
    <cellStyle name="SAPBEXHLevel3 10 8" xfId="48460"/>
    <cellStyle name="SAPBEXHLevel3 11" xfId="48461"/>
    <cellStyle name="SAPBEXHLevel3 11 2" xfId="48462"/>
    <cellStyle name="SAPBEXHLevel3 11 3" xfId="48463"/>
    <cellStyle name="SAPBEXHLevel3 11 4" xfId="48464"/>
    <cellStyle name="SAPBEXHLevel3 12" xfId="48465"/>
    <cellStyle name="SAPBEXHLevel3 12 2" xfId="48466"/>
    <cellStyle name="SAPBEXHLevel3 12 3" xfId="48467"/>
    <cellStyle name="SAPBEXHLevel3 12 4" xfId="48468"/>
    <cellStyle name="SAPBEXHLevel3 13" xfId="48469"/>
    <cellStyle name="SAPBEXHLevel3 14" xfId="48470"/>
    <cellStyle name="SAPBEXHLevel3 2" xfId="48471"/>
    <cellStyle name="SAPBEXHLevel3 2 10" xfId="48472"/>
    <cellStyle name="SAPBEXHLevel3 2 10 2" xfId="48473"/>
    <cellStyle name="SAPBEXHLevel3 2 10 3" xfId="48474"/>
    <cellStyle name="SAPBEXHLevel3 2 10 4" xfId="48475"/>
    <cellStyle name="SAPBEXHLevel3 2 11" xfId="48476"/>
    <cellStyle name="SAPBEXHLevel3 2 11 2" xfId="48477"/>
    <cellStyle name="SAPBEXHLevel3 2 11 3" xfId="48478"/>
    <cellStyle name="SAPBEXHLevel3 2 11 4" xfId="48479"/>
    <cellStyle name="SAPBEXHLevel3 2 12" xfId="48480"/>
    <cellStyle name="SAPBEXHLevel3 2 13" xfId="48481"/>
    <cellStyle name="SAPBEXHLevel3 2 2" xfId="48482"/>
    <cellStyle name="SAPBEXHLevel3 2 2 10" xfId="48483"/>
    <cellStyle name="SAPBEXHLevel3 2 2 11" xfId="48484"/>
    <cellStyle name="SAPBEXHLevel3 2 2 2" xfId="48485"/>
    <cellStyle name="SAPBEXHLevel3 2 2 2 2" xfId="48486"/>
    <cellStyle name="SAPBEXHLevel3 2 2 2 2 2" xfId="48487"/>
    <cellStyle name="SAPBEXHLevel3 2 2 2 2 2 2" xfId="48488"/>
    <cellStyle name="SAPBEXHLevel3 2 2 2 2 2 3" xfId="48489"/>
    <cellStyle name="SAPBEXHLevel3 2 2 2 2 2 4" xfId="48490"/>
    <cellStyle name="SAPBEXHLevel3 2 2 2 2 3" xfId="48491"/>
    <cellStyle name="SAPBEXHLevel3 2 2 2 2 3 2" xfId="48492"/>
    <cellStyle name="SAPBEXHLevel3 2 2 2 2 3 3" xfId="48493"/>
    <cellStyle name="SAPBEXHLevel3 2 2 2 2 3 4" xfId="48494"/>
    <cellStyle name="SAPBEXHLevel3 2 2 2 2 4" xfId="48495"/>
    <cellStyle name="SAPBEXHLevel3 2 2 2 2 4 2" xfId="48496"/>
    <cellStyle name="SAPBEXHLevel3 2 2 2 2 4 3" xfId="48497"/>
    <cellStyle name="SAPBEXHLevel3 2 2 2 2 4 4" xfId="48498"/>
    <cellStyle name="SAPBEXHLevel3 2 2 2 2 5" xfId="48499"/>
    <cellStyle name="SAPBEXHLevel3 2 2 2 2 6" xfId="48500"/>
    <cellStyle name="SAPBEXHLevel3 2 2 2 2 7" xfId="48501"/>
    <cellStyle name="SAPBEXHLevel3 2 2 2 2 8" xfId="48502"/>
    <cellStyle name="SAPBEXHLevel3 2 2 2 3" xfId="48503"/>
    <cellStyle name="SAPBEXHLevel3 2 2 2 3 2" xfId="48504"/>
    <cellStyle name="SAPBEXHLevel3 2 2 2 3 2 2" xfId="48505"/>
    <cellStyle name="SAPBEXHLevel3 2 2 2 3 2 3" xfId="48506"/>
    <cellStyle name="SAPBEXHLevel3 2 2 2 3 2 4" xfId="48507"/>
    <cellStyle name="SAPBEXHLevel3 2 2 2 3 3" xfId="48508"/>
    <cellStyle name="SAPBEXHLevel3 2 2 2 3 3 2" xfId="48509"/>
    <cellStyle name="SAPBEXHLevel3 2 2 2 3 3 3" xfId="48510"/>
    <cellStyle name="SAPBEXHLevel3 2 2 2 3 3 4" xfId="48511"/>
    <cellStyle name="SAPBEXHLevel3 2 2 2 3 4" xfId="48512"/>
    <cellStyle name="SAPBEXHLevel3 2 2 2 3 4 2" xfId="48513"/>
    <cellStyle name="SAPBEXHLevel3 2 2 2 3 4 3" xfId="48514"/>
    <cellStyle name="SAPBEXHLevel3 2 2 2 3 4 4" xfId="48515"/>
    <cellStyle name="SAPBEXHLevel3 2 2 2 3 5" xfId="48516"/>
    <cellStyle name="SAPBEXHLevel3 2 2 2 3 6" xfId="48517"/>
    <cellStyle name="SAPBEXHLevel3 2 2 2 3 7" xfId="48518"/>
    <cellStyle name="SAPBEXHLevel3 2 2 2 3 8" xfId="48519"/>
    <cellStyle name="SAPBEXHLevel3 2 2 2 4" xfId="48520"/>
    <cellStyle name="SAPBEXHLevel3 2 2 2 4 2" xfId="48521"/>
    <cellStyle name="SAPBEXHLevel3 2 2 2 4 2 2" xfId="48522"/>
    <cellStyle name="SAPBEXHLevel3 2 2 2 4 2 3" xfId="48523"/>
    <cellStyle name="SAPBEXHLevel3 2 2 2 4 2 4" xfId="48524"/>
    <cellStyle name="SAPBEXHLevel3 2 2 2 4 3" xfId="48525"/>
    <cellStyle name="SAPBEXHLevel3 2 2 2 4 3 2" xfId="48526"/>
    <cellStyle name="SAPBEXHLevel3 2 2 2 4 3 3" xfId="48527"/>
    <cellStyle name="SAPBEXHLevel3 2 2 2 4 3 4" xfId="48528"/>
    <cellStyle name="SAPBEXHLevel3 2 2 2 4 4" xfId="48529"/>
    <cellStyle name="SAPBEXHLevel3 2 2 2 4 4 2" xfId="48530"/>
    <cellStyle name="SAPBEXHLevel3 2 2 2 4 4 3" xfId="48531"/>
    <cellStyle name="SAPBEXHLevel3 2 2 2 4 4 4" xfId="48532"/>
    <cellStyle name="SAPBEXHLevel3 2 2 2 4 5" xfId="48533"/>
    <cellStyle name="SAPBEXHLevel3 2 2 2 4 6" xfId="48534"/>
    <cellStyle name="SAPBEXHLevel3 2 2 2 4 7" xfId="48535"/>
    <cellStyle name="SAPBEXHLevel3 2 2 2 4 8" xfId="48536"/>
    <cellStyle name="SAPBEXHLevel3 2 2 2 5" xfId="48537"/>
    <cellStyle name="SAPBEXHLevel3 2 2 2 5 2" xfId="48538"/>
    <cellStyle name="SAPBEXHLevel3 2 2 2 5 2 2" xfId="48539"/>
    <cellStyle name="SAPBEXHLevel3 2 2 2 5 2 3" xfId="48540"/>
    <cellStyle name="SAPBEXHLevel3 2 2 2 5 2 4" xfId="48541"/>
    <cellStyle name="SAPBEXHLevel3 2 2 2 5 3" xfId="48542"/>
    <cellStyle name="SAPBEXHLevel3 2 2 2 5 3 2" xfId="48543"/>
    <cellStyle name="SAPBEXHLevel3 2 2 2 5 3 3" xfId="48544"/>
    <cellStyle name="SAPBEXHLevel3 2 2 2 5 3 4" xfId="48545"/>
    <cellStyle name="SAPBEXHLevel3 2 2 2 5 4" xfId="48546"/>
    <cellStyle name="SAPBEXHLevel3 2 2 2 5 4 2" xfId="48547"/>
    <cellStyle name="SAPBEXHLevel3 2 2 2 5 4 3" xfId="48548"/>
    <cellStyle name="SAPBEXHLevel3 2 2 2 5 4 4" xfId="48549"/>
    <cellStyle name="SAPBEXHLevel3 2 2 2 5 5" xfId="48550"/>
    <cellStyle name="SAPBEXHLevel3 2 2 2 5 6" xfId="48551"/>
    <cellStyle name="SAPBEXHLevel3 2 2 2 5 7" xfId="48552"/>
    <cellStyle name="SAPBEXHLevel3 2 2 2 5 8" xfId="48553"/>
    <cellStyle name="SAPBEXHLevel3 2 2 2 6" xfId="48554"/>
    <cellStyle name="SAPBEXHLevel3 2 2 2 6 2" xfId="48555"/>
    <cellStyle name="SAPBEXHLevel3 2 2 2 6 3" xfId="48556"/>
    <cellStyle name="SAPBEXHLevel3 2 2 2 6 4" xfId="48557"/>
    <cellStyle name="SAPBEXHLevel3 2 2 2 7" xfId="48558"/>
    <cellStyle name="SAPBEXHLevel3 2 2 2 7 2" xfId="48559"/>
    <cellStyle name="SAPBEXHLevel3 2 2 2 7 3" xfId="48560"/>
    <cellStyle name="SAPBEXHLevel3 2 2 2 7 4" xfId="48561"/>
    <cellStyle name="SAPBEXHLevel3 2 2 2 8" xfId="48562"/>
    <cellStyle name="SAPBEXHLevel3 2 2 2 9" xfId="48563"/>
    <cellStyle name="SAPBEXHLevel3 2 2 3" xfId="48564"/>
    <cellStyle name="SAPBEXHLevel3 2 2 3 2" xfId="48565"/>
    <cellStyle name="SAPBEXHLevel3 2 2 3 2 2" xfId="48566"/>
    <cellStyle name="SAPBEXHLevel3 2 2 3 2 3" xfId="48567"/>
    <cellStyle name="SAPBEXHLevel3 2 2 3 2 4" xfId="48568"/>
    <cellStyle name="SAPBEXHLevel3 2 2 3 3" xfId="48569"/>
    <cellStyle name="SAPBEXHLevel3 2 2 3 3 2" xfId="48570"/>
    <cellStyle name="SAPBEXHLevel3 2 2 3 3 3" xfId="48571"/>
    <cellStyle name="SAPBEXHLevel3 2 2 3 3 4" xfId="48572"/>
    <cellStyle name="SAPBEXHLevel3 2 2 3 4" xfId="48573"/>
    <cellStyle name="SAPBEXHLevel3 2 2 3 4 2" xfId="48574"/>
    <cellStyle name="SAPBEXHLevel3 2 2 3 4 3" xfId="48575"/>
    <cellStyle name="SAPBEXHLevel3 2 2 3 4 4" xfId="48576"/>
    <cellStyle name="SAPBEXHLevel3 2 2 3 5" xfId="48577"/>
    <cellStyle name="SAPBEXHLevel3 2 2 3 6" xfId="48578"/>
    <cellStyle name="SAPBEXHLevel3 2 2 3 7" xfId="48579"/>
    <cellStyle name="SAPBEXHLevel3 2 2 3 8" xfId="48580"/>
    <cellStyle name="SAPBEXHLevel3 2 2 4" xfId="48581"/>
    <cellStyle name="SAPBEXHLevel3 2 2 4 2" xfId="48582"/>
    <cellStyle name="SAPBEXHLevel3 2 2 4 2 2" xfId="48583"/>
    <cellStyle name="SAPBEXHLevel3 2 2 4 2 3" xfId="48584"/>
    <cellStyle name="SAPBEXHLevel3 2 2 4 2 4" xfId="48585"/>
    <cellStyle name="SAPBEXHLevel3 2 2 4 3" xfId="48586"/>
    <cellStyle name="SAPBEXHLevel3 2 2 4 3 2" xfId="48587"/>
    <cellStyle name="SAPBEXHLevel3 2 2 4 3 3" xfId="48588"/>
    <cellStyle name="SAPBEXHLevel3 2 2 4 3 4" xfId="48589"/>
    <cellStyle name="SAPBEXHLevel3 2 2 4 4" xfId="48590"/>
    <cellStyle name="SAPBEXHLevel3 2 2 4 4 2" xfId="48591"/>
    <cellStyle name="SAPBEXHLevel3 2 2 4 4 3" xfId="48592"/>
    <cellStyle name="SAPBEXHLevel3 2 2 4 4 4" xfId="48593"/>
    <cellStyle name="SAPBEXHLevel3 2 2 4 5" xfId="48594"/>
    <cellStyle name="SAPBEXHLevel3 2 2 4 6" xfId="48595"/>
    <cellStyle name="SAPBEXHLevel3 2 2 4 7" xfId="48596"/>
    <cellStyle name="SAPBEXHLevel3 2 2 4 8" xfId="48597"/>
    <cellStyle name="SAPBEXHLevel3 2 2 5" xfId="48598"/>
    <cellStyle name="SAPBEXHLevel3 2 2 5 2" xfId="48599"/>
    <cellStyle name="SAPBEXHLevel3 2 2 5 2 2" xfId="48600"/>
    <cellStyle name="SAPBEXHLevel3 2 2 5 2 3" xfId="48601"/>
    <cellStyle name="SAPBEXHLevel3 2 2 5 2 4" xfId="48602"/>
    <cellStyle name="SAPBEXHLevel3 2 2 5 3" xfId="48603"/>
    <cellStyle name="SAPBEXHLevel3 2 2 5 3 2" xfId="48604"/>
    <cellStyle name="SAPBEXHLevel3 2 2 5 3 3" xfId="48605"/>
    <cellStyle name="SAPBEXHLevel3 2 2 5 3 4" xfId="48606"/>
    <cellStyle name="SAPBEXHLevel3 2 2 5 4" xfId="48607"/>
    <cellStyle name="SAPBEXHLevel3 2 2 5 4 2" xfId="48608"/>
    <cellStyle name="SAPBEXHLevel3 2 2 5 4 3" xfId="48609"/>
    <cellStyle name="SAPBEXHLevel3 2 2 5 4 4" xfId="48610"/>
    <cellStyle name="SAPBEXHLevel3 2 2 5 5" xfId="48611"/>
    <cellStyle name="SAPBEXHLevel3 2 2 5 6" xfId="48612"/>
    <cellStyle name="SAPBEXHLevel3 2 2 5 7" xfId="48613"/>
    <cellStyle name="SAPBEXHLevel3 2 2 5 8" xfId="48614"/>
    <cellStyle name="SAPBEXHLevel3 2 2 6" xfId="48615"/>
    <cellStyle name="SAPBEXHLevel3 2 2 6 2" xfId="48616"/>
    <cellStyle name="SAPBEXHLevel3 2 2 6 2 2" xfId="48617"/>
    <cellStyle name="SAPBEXHLevel3 2 2 6 2 3" xfId="48618"/>
    <cellStyle name="SAPBEXHLevel3 2 2 6 2 4" xfId="48619"/>
    <cellStyle name="SAPBEXHLevel3 2 2 6 3" xfId="48620"/>
    <cellStyle name="SAPBEXHLevel3 2 2 6 3 2" xfId="48621"/>
    <cellStyle name="SAPBEXHLevel3 2 2 6 3 3" xfId="48622"/>
    <cellStyle name="SAPBEXHLevel3 2 2 6 3 4" xfId="48623"/>
    <cellStyle name="SAPBEXHLevel3 2 2 6 4" xfId="48624"/>
    <cellStyle name="SAPBEXHLevel3 2 2 6 4 2" xfId="48625"/>
    <cellStyle name="SAPBEXHLevel3 2 2 6 4 3" xfId="48626"/>
    <cellStyle name="SAPBEXHLevel3 2 2 6 4 4" xfId="48627"/>
    <cellStyle name="SAPBEXHLevel3 2 2 6 5" xfId="48628"/>
    <cellStyle name="SAPBEXHLevel3 2 2 6 6" xfId="48629"/>
    <cellStyle name="SAPBEXHLevel3 2 2 6 7" xfId="48630"/>
    <cellStyle name="SAPBEXHLevel3 2 2 6 8" xfId="48631"/>
    <cellStyle name="SAPBEXHLevel3 2 2 7" xfId="48632"/>
    <cellStyle name="SAPBEXHLevel3 2 2 7 2" xfId="48633"/>
    <cellStyle name="SAPBEXHLevel3 2 2 7 2 2" xfId="48634"/>
    <cellStyle name="SAPBEXHLevel3 2 2 7 2 3" xfId="48635"/>
    <cellStyle name="SAPBEXHLevel3 2 2 7 2 4" xfId="48636"/>
    <cellStyle name="SAPBEXHLevel3 2 2 7 3" xfId="48637"/>
    <cellStyle name="SAPBEXHLevel3 2 2 7 3 2" xfId="48638"/>
    <cellStyle name="SAPBEXHLevel3 2 2 7 3 3" xfId="48639"/>
    <cellStyle name="SAPBEXHLevel3 2 2 7 3 4" xfId="48640"/>
    <cellStyle name="SAPBEXHLevel3 2 2 7 4" xfId="48641"/>
    <cellStyle name="SAPBEXHLevel3 2 2 7 4 2" xfId="48642"/>
    <cellStyle name="SAPBEXHLevel3 2 2 7 4 3" xfId="48643"/>
    <cellStyle name="SAPBEXHLevel3 2 2 7 4 4" xfId="48644"/>
    <cellStyle name="SAPBEXHLevel3 2 2 7 5" xfId="48645"/>
    <cellStyle name="SAPBEXHLevel3 2 2 7 6" xfId="48646"/>
    <cellStyle name="SAPBEXHLevel3 2 2 7 7" xfId="48647"/>
    <cellStyle name="SAPBEXHLevel3 2 2 7 8" xfId="48648"/>
    <cellStyle name="SAPBEXHLevel3 2 2 8" xfId="48649"/>
    <cellStyle name="SAPBEXHLevel3 2 2 8 2" xfId="48650"/>
    <cellStyle name="SAPBEXHLevel3 2 2 8 3" xfId="48651"/>
    <cellStyle name="SAPBEXHLevel3 2 2 8 4" xfId="48652"/>
    <cellStyle name="SAPBEXHLevel3 2 2 9" xfId="48653"/>
    <cellStyle name="SAPBEXHLevel3 2 2 9 2" xfId="48654"/>
    <cellStyle name="SAPBEXHLevel3 2 2 9 3" xfId="48655"/>
    <cellStyle name="SAPBEXHLevel3 2 2 9 4" xfId="48656"/>
    <cellStyle name="SAPBEXHLevel3 2 3" xfId="48657"/>
    <cellStyle name="SAPBEXHLevel3 2 3 10" xfId="48658"/>
    <cellStyle name="SAPBEXHLevel3 2 3 11" xfId="48659"/>
    <cellStyle name="SAPBEXHLevel3 2 3 2" xfId="48660"/>
    <cellStyle name="SAPBEXHLevel3 2 3 2 2" xfId="48661"/>
    <cellStyle name="SAPBEXHLevel3 2 3 2 2 2" xfId="48662"/>
    <cellStyle name="SAPBEXHLevel3 2 3 2 2 2 2" xfId="48663"/>
    <cellStyle name="SAPBEXHLevel3 2 3 2 2 2 3" xfId="48664"/>
    <cellStyle name="SAPBEXHLevel3 2 3 2 2 2 4" xfId="48665"/>
    <cellStyle name="SAPBEXHLevel3 2 3 2 2 3" xfId="48666"/>
    <cellStyle name="SAPBEXHLevel3 2 3 2 2 3 2" xfId="48667"/>
    <cellStyle name="SAPBEXHLevel3 2 3 2 2 3 3" xfId="48668"/>
    <cellStyle name="SAPBEXHLevel3 2 3 2 2 3 4" xfId="48669"/>
    <cellStyle name="SAPBEXHLevel3 2 3 2 2 4" xfId="48670"/>
    <cellStyle name="SAPBEXHLevel3 2 3 2 2 4 2" xfId="48671"/>
    <cellStyle name="SAPBEXHLevel3 2 3 2 2 4 3" xfId="48672"/>
    <cellStyle name="SAPBEXHLevel3 2 3 2 2 4 4" xfId="48673"/>
    <cellStyle name="SAPBEXHLevel3 2 3 2 2 5" xfId="48674"/>
    <cellStyle name="SAPBEXHLevel3 2 3 2 2 6" xfId="48675"/>
    <cellStyle name="SAPBEXHLevel3 2 3 2 2 7" xfId="48676"/>
    <cellStyle name="SAPBEXHLevel3 2 3 2 2 8" xfId="48677"/>
    <cellStyle name="SAPBEXHLevel3 2 3 2 3" xfId="48678"/>
    <cellStyle name="SAPBEXHLevel3 2 3 2 3 2" xfId="48679"/>
    <cellStyle name="SAPBEXHLevel3 2 3 2 3 2 2" xfId="48680"/>
    <cellStyle name="SAPBEXHLevel3 2 3 2 3 2 3" xfId="48681"/>
    <cellStyle name="SAPBEXHLevel3 2 3 2 3 2 4" xfId="48682"/>
    <cellStyle name="SAPBEXHLevel3 2 3 2 3 3" xfId="48683"/>
    <cellStyle name="SAPBEXHLevel3 2 3 2 3 3 2" xfId="48684"/>
    <cellStyle name="SAPBEXHLevel3 2 3 2 3 3 3" xfId="48685"/>
    <cellStyle name="SAPBEXHLevel3 2 3 2 3 3 4" xfId="48686"/>
    <cellStyle name="SAPBEXHLevel3 2 3 2 3 4" xfId="48687"/>
    <cellStyle name="SAPBEXHLevel3 2 3 2 3 4 2" xfId="48688"/>
    <cellStyle name="SAPBEXHLevel3 2 3 2 3 4 3" xfId="48689"/>
    <cellStyle name="SAPBEXHLevel3 2 3 2 3 4 4" xfId="48690"/>
    <cellStyle name="SAPBEXHLevel3 2 3 2 3 5" xfId="48691"/>
    <cellStyle name="SAPBEXHLevel3 2 3 2 3 6" xfId="48692"/>
    <cellStyle name="SAPBEXHLevel3 2 3 2 3 7" xfId="48693"/>
    <cellStyle name="SAPBEXHLevel3 2 3 2 3 8" xfId="48694"/>
    <cellStyle name="SAPBEXHLevel3 2 3 2 4" xfId="48695"/>
    <cellStyle name="SAPBEXHLevel3 2 3 2 4 2" xfId="48696"/>
    <cellStyle name="SAPBEXHLevel3 2 3 2 4 2 2" xfId="48697"/>
    <cellStyle name="SAPBEXHLevel3 2 3 2 4 2 3" xfId="48698"/>
    <cellStyle name="SAPBEXHLevel3 2 3 2 4 2 4" xfId="48699"/>
    <cellStyle name="SAPBEXHLevel3 2 3 2 4 3" xfId="48700"/>
    <cellStyle name="SAPBEXHLevel3 2 3 2 4 3 2" xfId="48701"/>
    <cellStyle name="SAPBEXHLevel3 2 3 2 4 3 3" xfId="48702"/>
    <cellStyle name="SAPBEXHLevel3 2 3 2 4 3 4" xfId="48703"/>
    <cellStyle name="SAPBEXHLevel3 2 3 2 4 4" xfId="48704"/>
    <cellStyle name="SAPBEXHLevel3 2 3 2 4 4 2" xfId="48705"/>
    <cellStyle name="SAPBEXHLevel3 2 3 2 4 4 3" xfId="48706"/>
    <cellStyle name="SAPBEXHLevel3 2 3 2 4 4 4" xfId="48707"/>
    <cellStyle name="SAPBEXHLevel3 2 3 2 4 5" xfId="48708"/>
    <cellStyle name="SAPBEXHLevel3 2 3 2 4 6" xfId="48709"/>
    <cellStyle name="SAPBEXHLevel3 2 3 2 4 7" xfId="48710"/>
    <cellStyle name="SAPBEXHLevel3 2 3 2 4 8" xfId="48711"/>
    <cellStyle name="SAPBEXHLevel3 2 3 2 5" xfId="48712"/>
    <cellStyle name="SAPBEXHLevel3 2 3 2 5 2" xfId="48713"/>
    <cellStyle name="SAPBEXHLevel3 2 3 2 5 2 2" xfId="48714"/>
    <cellStyle name="SAPBEXHLevel3 2 3 2 5 2 3" xfId="48715"/>
    <cellStyle name="SAPBEXHLevel3 2 3 2 5 2 4" xfId="48716"/>
    <cellStyle name="SAPBEXHLevel3 2 3 2 5 3" xfId="48717"/>
    <cellStyle name="SAPBEXHLevel3 2 3 2 5 3 2" xfId="48718"/>
    <cellStyle name="SAPBEXHLevel3 2 3 2 5 3 3" xfId="48719"/>
    <cellStyle name="SAPBEXHLevel3 2 3 2 5 3 4" xfId="48720"/>
    <cellStyle name="SAPBEXHLevel3 2 3 2 5 4" xfId="48721"/>
    <cellStyle name="SAPBEXHLevel3 2 3 2 5 4 2" xfId="48722"/>
    <cellStyle name="SAPBEXHLevel3 2 3 2 5 4 3" xfId="48723"/>
    <cellStyle name="SAPBEXHLevel3 2 3 2 5 4 4" xfId="48724"/>
    <cellStyle name="SAPBEXHLevel3 2 3 2 5 5" xfId="48725"/>
    <cellStyle name="SAPBEXHLevel3 2 3 2 5 6" xfId="48726"/>
    <cellStyle name="SAPBEXHLevel3 2 3 2 5 7" xfId="48727"/>
    <cellStyle name="SAPBEXHLevel3 2 3 2 5 8" xfId="48728"/>
    <cellStyle name="SAPBEXHLevel3 2 3 2 6" xfId="48729"/>
    <cellStyle name="SAPBEXHLevel3 2 3 2 6 2" xfId="48730"/>
    <cellStyle name="SAPBEXHLevel3 2 3 2 6 3" xfId="48731"/>
    <cellStyle name="SAPBEXHLevel3 2 3 2 6 4" xfId="48732"/>
    <cellStyle name="SAPBEXHLevel3 2 3 2 7" xfId="48733"/>
    <cellStyle name="SAPBEXHLevel3 2 3 2 7 2" xfId="48734"/>
    <cellStyle name="SAPBEXHLevel3 2 3 2 7 3" xfId="48735"/>
    <cellStyle name="SAPBEXHLevel3 2 3 2 7 4" xfId="48736"/>
    <cellStyle name="SAPBEXHLevel3 2 3 2 8" xfId="48737"/>
    <cellStyle name="SAPBEXHLevel3 2 3 2 9" xfId="48738"/>
    <cellStyle name="SAPBEXHLevel3 2 3 3" xfId="48739"/>
    <cellStyle name="SAPBEXHLevel3 2 3 3 2" xfId="48740"/>
    <cellStyle name="SAPBEXHLevel3 2 3 3 2 2" xfId="48741"/>
    <cellStyle name="SAPBEXHLevel3 2 3 3 2 3" xfId="48742"/>
    <cellStyle name="SAPBEXHLevel3 2 3 3 2 4" xfId="48743"/>
    <cellStyle name="SAPBEXHLevel3 2 3 3 3" xfId="48744"/>
    <cellStyle name="SAPBEXHLevel3 2 3 3 3 2" xfId="48745"/>
    <cellStyle name="SAPBEXHLevel3 2 3 3 3 3" xfId="48746"/>
    <cellStyle name="SAPBEXHLevel3 2 3 3 3 4" xfId="48747"/>
    <cellStyle name="SAPBEXHLevel3 2 3 3 4" xfId="48748"/>
    <cellStyle name="SAPBEXHLevel3 2 3 3 4 2" xfId="48749"/>
    <cellStyle name="SAPBEXHLevel3 2 3 3 4 3" xfId="48750"/>
    <cellStyle name="SAPBEXHLevel3 2 3 3 4 4" xfId="48751"/>
    <cellStyle name="SAPBEXHLevel3 2 3 3 5" xfId="48752"/>
    <cellStyle name="SAPBEXHLevel3 2 3 3 6" xfId="48753"/>
    <cellStyle name="SAPBEXHLevel3 2 3 3 7" xfId="48754"/>
    <cellStyle name="SAPBEXHLevel3 2 3 3 8" xfId="48755"/>
    <cellStyle name="SAPBEXHLevel3 2 3 4" xfId="48756"/>
    <cellStyle name="SAPBEXHLevel3 2 3 4 2" xfId="48757"/>
    <cellStyle name="SAPBEXHLevel3 2 3 4 2 2" xfId="48758"/>
    <cellStyle name="SAPBEXHLevel3 2 3 4 2 3" xfId="48759"/>
    <cellStyle name="SAPBEXHLevel3 2 3 4 2 4" xfId="48760"/>
    <cellStyle name="SAPBEXHLevel3 2 3 4 3" xfId="48761"/>
    <cellStyle name="SAPBEXHLevel3 2 3 4 3 2" xfId="48762"/>
    <cellStyle name="SAPBEXHLevel3 2 3 4 3 3" xfId="48763"/>
    <cellStyle name="SAPBEXHLevel3 2 3 4 3 4" xfId="48764"/>
    <cellStyle name="SAPBEXHLevel3 2 3 4 4" xfId="48765"/>
    <cellStyle name="SAPBEXHLevel3 2 3 4 4 2" xfId="48766"/>
    <cellStyle name="SAPBEXHLevel3 2 3 4 4 3" xfId="48767"/>
    <cellStyle name="SAPBEXHLevel3 2 3 4 4 4" xfId="48768"/>
    <cellStyle name="SAPBEXHLevel3 2 3 4 5" xfId="48769"/>
    <cellStyle name="SAPBEXHLevel3 2 3 4 6" xfId="48770"/>
    <cellStyle name="SAPBEXHLevel3 2 3 4 7" xfId="48771"/>
    <cellStyle name="SAPBEXHLevel3 2 3 4 8" xfId="48772"/>
    <cellStyle name="SAPBEXHLevel3 2 3 5" xfId="48773"/>
    <cellStyle name="SAPBEXHLevel3 2 3 5 2" xfId="48774"/>
    <cellStyle name="SAPBEXHLevel3 2 3 5 2 2" xfId="48775"/>
    <cellStyle name="SAPBEXHLevel3 2 3 5 2 3" xfId="48776"/>
    <cellStyle name="SAPBEXHLevel3 2 3 5 2 4" xfId="48777"/>
    <cellStyle name="SAPBEXHLevel3 2 3 5 3" xfId="48778"/>
    <cellStyle name="SAPBEXHLevel3 2 3 5 3 2" xfId="48779"/>
    <cellStyle name="SAPBEXHLevel3 2 3 5 3 3" xfId="48780"/>
    <cellStyle name="SAPBEXHLevel3 2 3 5 3 4" xfId="48781"/>
    <cellStyle name="SAPBEXHLevel3 2 3 5 4" xfId="48782"/>
    <cellStyle name="SAPBEXHLevel3 2 3 5 4 2" xfId="48783"/>
    <cellStyle name="SAPBEXHLevel3 2 3 5 4 3" xfId="48784"/>
    <cellStyle name="SAPBEXHLevel3 2 3 5 4 4" xfId="48785"/>
    <cellStyle name="SAPBEXHLevel3 2 3 5 5" xfId="48786"/>
    <cellStyle name="SAPBEXHLevel3 2 3 5 6" xfId="48787"/>
    <cellStyle name="SAPBEXHLevel3 2 3 5 7" xfId="48788"/>
    <cellStyle name="SAPBEXHLevel3 2 3 5 8" xfId="48789"/>
    <cellStyle name="SAPBEXHLevel3 2 3 6" xfId="48790"/>
    <cellStyle name="SAPBEXHLevel3 2 3 6 2" xfId="48791"/>
    <cellStyle name="SAPBEXHLevel3 2 3 6 2 2" xfId="48792"/>
    <cellStyle name="SAPBEXHLevel3 2 3 6 2 3" xfId="48793"/>
    <cellStyle name="SAPBEXHLevel3 2 3 6 2 4" xfId="48794"/>
    <cellStyle name="SAPBEXHLevel3 2 3 6 3" xfId="48795"/>
    <cellStyle name="SAPBEXHLevel3 2 3 6 3 2" xfId="48796"/>
    <cellStyle name="SAPBEXHLevel3 2 3 6 3 3" xfId="48797"/>
    <cellStyle name="SAPBEXHLevel3 2 3 6 3 4" xfId="48798"/>
    <cellStyle name="SAPBEXHLevel3 2 3 6 4" xfId="48799"/>
    <cellStyle name="SAPBEXHLevel3 2 3 6 4 2" xfId="48800"/>
    <cellStyle name="SAPBEXHLevel3 2 3 6 4 3" xfId="48801"/>
    <cellStyle name="SAPBEXHLevel3 2 3 6 4 4" xfId="48802"/>
    <cellStyle name="SAPBEXHLevel3 2 3 6 5" xfId="48803"/>
    <cellStyle name="SAPBEXHLevel3 2 3 6 6" xfId="48804"/>
    <cellStyle name="SAPBEXHLevel3 2 3 6 7" xfId="48805"/>
    <cellStyle name="SAPBEXHLevel3 2 3 6 8" xfId="48806"/>
    <cellStyle name="SAPBEXHLevel3 2 3 7" xfId="48807"/>
    <cellStyle name="SAPBEXHLevel3 2 3 7 2" xfId="48808"/>
    <cellStyle name="SAPBEXHLevel3 2 3 7 2 2" xfId="48809"/>
    <cellStyle name="SAPBEXHLevel3 2 3 7 2 3" xfId="48810"/>
    <cellStyle name="SAPBEXHLevel3 2 3 7 2 4" xfId="48811"/>
    <cellStyle name="SAPBEXHLevel3 2 3 7 3" xfId="48812"/>
    <cellStyle name="SAPBEXHLevel3 2 3 7 3 2" xfId="48813"/>
    <cellStyle name="SAPBEXHLevel3 2 3 7 3 3" xfId="48814"/>
    <cellStyle name="SAPBEXHLevel3 2 3 7 3 4" xfId="48815"/>
    <cellStyle name="SAPBEXHLevel3 2 3 7 4" xfId="48816"/>
    <cellStyle name="SAPBEXHLevel3 2 3 7 4 2" xfId="48817"/>
    <cellStyle name="SAPBEXHLevel3 2 3 7 4 3" xfId="48818"/>
    <cellStyle name="SAPBEXHLevel3 2 3 7 4 4" xfId="48819"/>
    <cellStyle name="SAPBEXHLevel3 2 3 7 5" xfId="48820"/>
    <cellStyle name="SAPBEXHLevel3 2 3 7 6" xfId="48821"/>
    <cellStyle name="SAPBEXHLevel3 2 3 7 7" xfId="48822"/>
    <cellStyle name="SAPBEXHLevel3 2 3 7 8" xfId="48823"/>
    <cellStyle name="SAPBEXHLevel3 2 3 8" xfId="48824"/>
    <cellStyle name="SAPBEXHLevel3 2 3 8 2" xfId="48825"/>
    <cellStyle name="SAPBEXHLevel3 2 3 8 3" xfId="48826"/>
    <cellStyle name="SAPBEXHLevel3 2 3 8 4" xfId="48827"/>
    <cellStyle name="SAPBEXHLevel3 2 3 9" xfId="48828"/>
    <cellStyle name="SAPBEXHLevel3 2 3 9 2" xfId="48829"/>
    <cellStyle name="SAPBEXHLevel3 2 3 9 3" xfId="48830"/>
    <cellStyle name="SAPBEXHLevel3 2 3 9 4" xfId="48831"/>
    <cellStyle name="SAPBEXHLevel3 2 4" xfId="48832"/>
    <cellStyle name="SAPBEXHLevel3 2 4 2" xfId="48833"/>
    <cellStyle name="SAPBEXHLevel3 2 4 2 2" xfId="48834"/>
    <cellStyle name="SAPBEXHLevel3 2 4 2 2 2" xfId="48835"/>
    <cellStyle name="SAPBEXHLevel3 2 4 2 2 3" xfId="48836"/>
    <cellStyle name="SAPBEXHLevel3 2 4 2 2 4" xfId="48837"/>
    <cellStyle name="SAPBEXHLevel3 2 4 2 3" xfId="48838"/>
    <cellStyle name="SAPBEXHLevel3 2 4 2 3 2" xfId="48839"/>
    <cellStyle name="SAPBEXHLevel3 2 4 2 3 3" xfId="48840"/>
    <cellStyle name="SAPBEXHLevel3 2 4 2 3 4" xfId="48841"/>
    <cellStyle name="SAPBEXHLevel3 2 4 2 4" xfId="48842"/>
    <cellStyle name="SAPBEXHLevel3 2 4 2 4 2" xfId="48843"/>
    <cellStyle name="SAPBEXHLevel3 2 4 2 4 3" xfId="48844"/>
    <cellStyle name="SAPBEXHLevel3 2 4 2 4 4" xfId="48845"/>
    <cellStyle name="SAPBEXHLevel3 2 4 2 5" xfId="48846"/>
    <cellStyle name="SAPBEXHLevel3 2 4 2 6" xfId="48847"/>
    <cellStyle name="SAPBEXHLevel3 2 4 2 7" xfId="48848"/>
    <cellStyle name="SAPBEXHLevel3 2 4 2 8" xfId="48849"/>
    <cellStyle name="SAPBEXHLevel3 2 4 3" xfId="48850"/>
    <cellStyle name="SAPBEXHLevel3 2 4 3 2" xfId="48851"/>
    <cellStyle name="SAPBEXHLevel3 2 4 3 2 2" xfId="48852"/>
    <cellStyle name="SAPBEXHLevel3 2 4 3 2 3" xfId="48853"/>
    <cellStyle name="SAPBEXHLevel3 2 4 3 2 4" xfId="48854"/>
    <cellStyle name="SAPBEXHLevel3 2 4 3 3" xfId="48855"/>
    <cellStyle name="SAPBEXHLevel3 2 4 3 3 2" xfId="48856"/>
    <cellStyle name="SAPBEXHLevel3 2 4 3 3 3" xfId="48857"/>
    <cellStyle name="SAPBEXHLevel3 2 4 3 3 4" xfId="48858"/>
    <cellStyle name="SAPBEXHLevel3 2 4 3 4" xfId="48859"/>
    <cellStyle name="SAPBEXHLevel3 2 4 3 4 2" xfId="48860"/>
    <cellStyle name="SAPBEXHLevel3 2 4 3 4 3" xfId="48861"/>
    <cellStyle name="SAPBEXHLevel3 2 4 3 4 4" xfId="48862"/>
    <cellStyle name="SAPBEXHLevel3 2 4 3 5" xfId="48863"/>
    <cellStyle name="SAPBEXHLevel3 2 4 3 6" xfId="48864"/>
    <cellStyle name="SAPBEXHLevel3 2 4 3 7" xfId="48865"/>
    <cellStyle name="SAPBEXHLevel3 2 4 3 8" xfId="48866"/>
    <cellStyle name="SAPBEXHLevel3 2 4 4" xfId="48867"/>
    <cellStyle name="SAPBEXHLevel3 2 4 4 2" xfId="48868"/>
    <cellStyle name="SAPBEXHLevel3 2 4 4 2 2" xfId="48869"/>
    <cellStyle name="SAPBEXHLevel3 2 4 4 2 3" xfId="48870"/>
    <cellStyle name="SAPBEXHLevel3 2 4 4 2 4" xfId="48871"/>
    <cellStyle name="SAPBEXHLevel3 2 4 4 3" xfId="48872"/>
    <cellStyle name="SAPBEXHLevel3 2 4 4 3 2" xfId="48873"/>
    <cellStyle name="SAPBEXHLevel3 2 4 4 3 3" xfId="48874"/>
    <cellStyle name="SAPBEXHLevel3 2 4 4 3 4" xfId="48875"/>
    <cellStyle name="SAPBEXHLevel3 2 4 4 4" xfId="48876"/>
    <cellStyle name="SAPBEXHLevel3 2 4 4 4 2" xfId="48877"/>
    <cellStyle name="SAPBEXHLevel3 2 4 4 4 3" xfId="48878"/>
    <cellStyle name="SAPBEXHLevel3 2 4 4 4 4" xfId="48879"/>
    <cellStyle name="SAPBEXHLevel3 2 4 4 5" xfId="48880"/>
    <cellStyle name="SAPBEXHLevel3 2 4 4 6" xfId="48881"/>
    <cellStyle name="SAPBEXHLevel3 2 4 4 7" xfId="48882"/>
    <cellStyle name="SAPBEXHLevel3 2 4 4 8" xfId="48883"/>
    <cellStyle name="SAPBEXHLevel3 2 4 5" xfId="48884"/>
    <cellStyle name="SAPBEXHLevel3 2 4 5 2" xfId="48885"/>
    <cellStyle name="SAPBEXHLevel3 2 4 5 2 2" xfId="48886"/>
    <cellStyle name="SAPBEXHLevel3 2 4 5 2 3" xfId="48887"/>
    <cellStyle name="SAPBEXHLevel3 2 4 5 2 4" xfId="48888"/>
    <cellStyle name="SAPBEXHLevel3 2 4 5 3" xfId="48889"/>
    <cellStyle name="SAPBEXHLevel3 2 4 5 3 2" xfId="48890"/>
    <cellStyle name="SAPBEXHLevel3 2 4 5 3 3" xfId="48891"/>
    <cellStyle name="SAPBEXHLevel3 2 4 5 3 4" xfId="48892"/>
    <cellStyle name="SAPBEXHLevel3 2 4 5 4" xfId="48893"/>
    <cellStyle name="SAPBEXHLevel3 2 4 5 4 2" xfId="48894"/>
    <cellStyle name="SAPBEXHLevel3 2 4 5 4 3" xfId="48895"/>
    <cellStyle name="SAPBEXHLevel3 2 4 5 4 4" xfId="48896"/>
    <cellStyle name="SAPBEXHLevel3 2 4 5 5" xfId="48897"/>
    <cellStyle name="SAPBEXHLevel3 2 4 5 6" xfId="48898"/>
    <cellStyle name="SAPBEXHLevel3 2 4 5 7" xfId="48899"/>
    <cellStyle name="SAPBEXHLevel3 2 4 5 8" xfId="48900"/>
    <cellStyle name="SAPBEXHLevel3 2 4 6" xfId="48901"/>
    <cellStyle name="SAPBEXHLevel3 2 4 6 2" xfId="48902"/>
    <cellStyle name="SAPBEXHLevel3 2 4 6 3" xfId="48903"/>
    <cellStyle name="SAPBEXHLevel3 2 4 6 4" xfId="48904"/>
    <cellStyle name="SAPBEXHLevel3 2 4 7" xfId="48905"/>
    <cellStyle name="SAPBEXHLevel3 2 4 7 2" xfId="48906"/>
    <cellStyle name="SAPBEXHLevel3 2 4 7 3" xfId="48907"/>
    <cellStyle name="SAPBEXHLevel3 2 4 7 4" xfId="48908"/>
    <cellStyle name="SAPBEXHLevel3 2 4 8" xfId="48909"/>
    <cellStyle name="SAPBEXHLevel3 2 4 9" xfId="48910"/>
    <cellStyle name="SAPBEXHLevel3 2 5" xfId="48911"/>
    <cellStyle name="SAPBEXHLevel3 2 5 2" xfId="48912"/>
    <cellStyle name="SAPBEXHLevel3 2 5 2 2" xfId="48913"/>
    <cellStyle name="SAPBEXHLevel3 2 5 2 3" xfId="48914"/>
    <cellStyle name="SAPBEXHLevel3 2 5 2 4" xfId="48915"/>
    <cellStyle name="SAPBEXHLevel3 2 5 3" xfId="48916"/>
    <cellStyle name="SAPBEXHLevel3 2 5 3 2" xfId="48917"/>
    <cellStyle name="SAPBEXHLevel3 2 5 3 3" xfId="48918"/>
    <cellStyle name="SAPBEXHLevel3 2 5 3 4" xfId="48919"/>
    <cellStyle name="SAPBEXHLevel3 2 5 4" xfId="48920"/>
    <cellStyle name="SAPBEXHLevel3 2 5 4 2" xfId="48921"/>
    <cellStyle name="SAPBEXHLevel3 2 5 4 3" xfId="48922"/>
    <cellStyle name="SAPBEXHLevel3 2 5 4 4" xfId="48923"/>
    <cellStyle name="SAPBEXHLevel3 2 5 5" xfId="48924"/>
    <cellStyle name="SAPBEXHLevel3 2 5 6" xfId="48925"/>
    <cellStyle name="SAPBEXHLevel3 2 5 7" xfId="48926"/>
    <cellStyle name="SAPBEXHLevel3 2 5 8" xfId="48927"/>
    <cellStyle name="SAPBEXHLevel3 2 6" xfId="48928"/>
    <cellStyle name="SAPBEXHLevel3 2 6 2" xfId="48929"/>
    <cellStyle name="SAPBEXHLevel3 2 6 2 2" xfId="48930"/>
    <cellStyle name="SAPBEXHLevel3 2 6 2 3" xfId="48931"/>
    <cellStyle name="SAPBEXHLevel3 2 6 2 4" xfId="48932"/>
    <cellStyle name="SAPBEXHLevel3 2 6 3" xfId="48933"/>
    <cellStyle name="SAPBEXHLevel3 2 6 3 2" xfId="48934"/>
    <cellStyle name="SAPBEXHLevel3 2 6 3 3" xfId="48935"/>
    <cellStyle name="SAPBEXHLevel3 2 6 3 4" xfId="48936"/>
    <cellStyle name="SAPBEXHLevel3 2 6 4" xfId="48937"/>
    <cellStyle name="SAPBEXHLevel3 2 6 4 2" xfId="48938"/>
    <cellStyle name="SAPBEXHLevel3 2 6 4 3" xfId="48939"/>
    <cellStyle name="SAPBEXHLevel3 2 6 4 4" xfId="48940"/>
    <cellStyle name="SAPBEXHLevel3 2 6 5" xfId="48941"/>
    <cellStyle name="SAPBEXHLevel3 2 6 6" xfId="48942"/>
    <cellStyle name="SAPBEXHLevel3 2 6 7" xfId="48943"/>
    <cellStyle name="SAPBEXHLevel3 2 6 8" xfId="48944"/>
    <cellStyle name="SAPBEXHLevel3 2 7" xfId="48945"/>
    <cellStyle name="SAPBEXHLevel3 2 7 2" xfId="48946"/>
    <cellStyle name="SAPBEXHLevel3 2 7 2 2" xfId="48947"/>
    <cellStyle name="SAPBEXHLevel3 2 7 2 3" xfId="48948"/>
    <cellStyle name="SAPBEXHLevel3 2 7 2 4" xfId="48949"/>
    <cellStyle name="SAPBEXHLevel3 2 7 3" xfId="48950"/>
    <cellStyle name="SAPBEXHLevel3 2 7 3 2" xfId="48951"/>
    <cellStyle name="SAPBEXHLevel3 2 7 3 3" xfId="48952"/>
    <cellStyle name="SAPBEXHLevel3 2 7 3 4" xfId="48953"/>
    <cellStyle name="SAPBEXHLevel3 2 7 4" xfId="48954"/>
    <cellStyle name="SAPBEXHLevel3 2 7 4 2" xfId="48955"/>
    <cellStyle name="SAPBEXHLevel3 2 7 4 3" xfId="48956"/>
    <cellStyle name="SAPBEXHLevel3 2 7 4 4" xfId="48957"/>
    <cellStyle name="SAPBEXHLevel3 2 7 5" xfId="48958"/>
    <cellStyle name="SAPBEXHLevel3 2 7 6" xfId="48959"/>
    <cellStyle name="SAPBEXHLevel3 2 7 7" xfId="48960"/>
    <cellStyle name="SAPBEXHLevel3 2 7 8" xfId="48961"/>
    <cellStyle name="SAPBEXHLevel3 2 8" xfId="48962"/>
    <cellStyle name="SAPBEXHLevel3 2 8 2" xfId="48963"/>
    <cellStyle name="SAPBEXHLevel3 2 8 2 2" xfId="48964"/>
    <cellStyle name="SAPBEXHLevel3 2 8 2 3" xfId="48965"/>
    <cellStyle name="SAPBEXHLevel3 2 8 2 4" xfId="48966"/>
    <cellStyle name="SAPBEXHLevel3 2 8 3" xfId="48967"/>
    <cellStyle name="SAPBEXHLevel3 2 8 3 2" xfId="48968"/>
    <cellStyle name="SAPBEXHLevel3 2 8 3 3" xfId="48969"/>
    <cellStyle name="SAPBEXHLevel3 2 8 3 4" xfId="48970"/>
    <cellStyle name="SAPBEXHLevel3 2 8 4" xfId="48971"/>
    <cellStyle name="SAPBEXHLevel3 2 8 4 2" xfId="48972"/>
    <cellStyle name="SAPBEXHLevel3 2 8 4 3" xfId="48973"/>
    <cellStyle name="SAPBEXHLevel3 2 8 4 4" xfId="48974"/>
    <cellStyle name="SAPBEXHLevel3 2 8 5" xfId="48975"/>
    <cellStyle name="SAPBEXHLevel3 2 8 6" xfId="48976"/>
    <cellStyle name="SAPBEXHLevel3 2 8 7" xfId="48977"/>
    <cellStyle name="SAPBEXHLevel3 2 8 8" xfId="48978"/>
    <cellStyle name="SAPBEXHLevel3 2 9" xfId="48979"/>
    <cellStyle name="SAPBEXHLevel3 2 9 2" xfId="48980"/>
    <cellStyle name="SAPBEXHLevel3 2 9 2 2" xfId="48981"/>
    <cellStyle name="SAPBEXHLevel3 2 9 2 3" xfId="48982"/>
    <cellStyle name="SAPBEXHLevel3 2 9 2 4" xfId="48983"/>
    <cellStyle name="SAPBEXHLevel3 2 9 3" xfId="48984"/>
    <cellStyle name="SAPBEXHLevel3 2 9 3 2" xfId="48985"/>
    <cellStyle name="SAPBEXHLevel3 2 9 3 3" xfId="48986"/>
    <cellStyle name="SAPBEXHLevel3 2 9 3 4" xfId="48987"/>
    <cellStyle name="SAPBEXHLevel3 2 9 4" xfId="48988"/>
    <cellStyle name="SAPBEXHLevel3 2 9 4 2" xfId="48989"/>
    <cellStyle name="SAPBEXHLevel3 2 9 4 3" xfId="48990"/>
    <cellStyle name="SAPBEXHLevel3 2 9 4 4" xfId="48991"/>
    <cellStyle name="SAPBEXHLevel3 2 9 5" xfId="48992"/>
    <cellStyle name="SAPBEXHLevel3 2 9 6" xfId="48993"/>
    <cellStyle name="SAPBEXHLevel3 2 9 7" xfId="48994"/>
    <cellStyle name="SAPBEXHLevel3 2 9 8" xfId="48995"/>
    <cellStyle name="SAPBEXHLevel3 3" xfId="48996"/>
    <cellStyle name="SAPBEXHLevel3 3 10" xfId="48997"/>
    <cellStyle name="SAPBEXHLevel3 3 11" xfId="48998"/>
    <cellStyle name="SAPBEXHLevel3 3 2" xfId="48999"/>
    <cellStyle name="SAPBEXHLevel3 3 2 2" xfId="49000"/>
    <cellStyle name="SAPBEXHLevel3 3 2 2 2" xfId="49001"/>
    <cellStyle name="SAPBEXHLevel3 3 2 2 2 2" xfId="49002"/>
    <cellStyle name="SAPBEXHLevel3 3 2 2 2 3" xfId="49003"/>
    <cellStyle name="SAPBEXHLevel3 3 2 2 2 4" xfId="49004"/>
    <cellStyle name="SAPBEXHLevel3 3 2 2 3" xfId="49005"/>
    <cellStyle name="SAPBEXHLevel3 3 2 2 3 2" xfId="49006"/>
    <cellStyle name="SAPBEXHLevel3 3 2 2 3 3" xfId="49007"/>
    <cellStyle name="SAPBEXHLevel3 3 2 2 3 4" xfId="49008"/>
    <cellStyle name="SAPBEXHLevel3 3 2 2 4" xfId="49009"/>
    <cellStyle name="SAPBEXHLevel3 3 2 2 4 2" xfId="49010"/>
    <cellStyle name="SAPBEXHLevel3 3 2 2 4 3" xfId="49011"/>
    <cellStyle name="SAPBEXHLevel3 3 2 2 4 4" xfId="49012"/>
    <cellStyle name="SAPBEXHLevel3 3 2 2 5" xfId="49013"/>
    <cellStyle name="SAPBEXHLevel3 3 2 2 6" xfId="49014"/>
    <cellStyle name="SAPBEXHLevel3 3 2 2 7" xfId="49015"/>
    <cellStyle name="SAPBEXHLevel3 3 2 2 8" xfId="49016"/>
    <cellStyle name="SAPBEXHLevel3 3 2 3" xfId="49017"/>
    <cellStyle name="SAPBEXHLevel3 3 2 3 2" xfId="49018"/>
    <cellStyle name="SAPBEXHLevel3 3 2 3 2 2" xfId="49019"/>
    <cellStyle name="SAPBEXHLevel3 3 2 3 2 3" xfId="49020"/>
    <cellStyle name="SAPBEXHLevel3 3 2 3 2 4" xfId="49021"/>
    <cellStyle name="SAPBEXHLevel3 3 2 3 3" xfId="49022"/>
    <cellStyle name="SAPBEXHLevel3 3 2 3 3 2" xfId="49023"/>
    <cellStyle name="SAPBEXHLevel3 3 2 3 3 3" xfId="49024"/>
    <cellStyle name="SAPBEXHLevel3 3 2 3 3 4" xfId="49025"/>
    <cellStyle name="SAPBEXHLevel3 3 2 3 4" xfId="49026"/>
    <cellStyle name="SAPBEXHLevel3 3 2 3 4 2" xfId="49027"/>
    <cellStyle name="SAPBEXHLevel3 3 2 3 4 3" xfId="49028"/>
    <cellStyle name="SAPBEXHLevel3 3 2 3 4 4" xfId="49029"/>
    <cellStyle name="SAPBEXHLevel3 3 2 3 5" xfId="49030"/>
    <cellStyle name="SAPBEXHLevel3 3 2 3 6" xfId="49031"/>
    <cellStyle name="SAPBEXHLevel3 3 2 3 7" xfId="49032"/>
    <cellStyle name="SAPBEXHLevel3 3 2 3 8" xfId="49033"/>
    <cellStyle name="SAPBEXHLevel3 3 2 4" xfId="49034"/>
    <cellStyle name="SAPBEXHLevel3 3 2 4 2" xfId="49035"/>
    <cellStyle name="SAPBEXHLevel3 3 2 4 2 2" xfId="49036"/>
    <cellStyle name="SAPBEXHLevel3 3 2 4 2 3" xfId="49037"/>
    <cellStyle name="SAPBEXHLevel3 3 2 4 2 4" xfId="49038"/>
    <cellStyle name="SAPBEXHLevel3 3 2 4 3" xfId="49039"/>
    <cellStyle name="SAPBEXHLevel3 3 2 4 3 2" xfId="49040"/>
    <cellStyle name="SAPBEXHLevel3 3 2 4 3 3" xfId="49041"/>
    <cellStyle name="SAPBEXHLevel3 3 2 4 3 4" xfId="49042"/>
    <cellStyle name="SAPBEXHLevel3 3 2 4 4" xfId="49043"/>
    <cellStyle name="SAPBEXHLevel3 3 2 4 4 2" xfId="49044"/>
    <cellStyle name="SAPBEXHLevel3 3 2 4 4 3" xfId="49045"/>
    <cellStyle name="SAPBEXHLevel3 3 2 4 4 4" xfId="49046"/>
    <cellStyle name="SAPBEXHLevel3 3 2 4 5" xfId="49047"/>
    <cellStyle name="SAPBEXHLevel3 3 2 4 6" xfId="49048"/>
    <cellStyle name="SAPBEXHLevel3 3 2 4 7" xfId="49049"/>
    <cellStyle name="SAPBEXHLevel3 3 2 4 8" xfId="49050"/>
    <cellStyle name="SAPBEXHLevel3 3 2 5" xfId="49051"/>
    <cellStyle name="SAPBEXHLevel3 3 2 5 2" xfId="49052"/>
    <cellStyle name="SAPBEXHLevel3 3 2 5 2 2" xfId="49053"/>
    <cellStyle name="SAPBEXHLevel3 3 2 5 2 3" xfId="49054"/>
    <cellStyle name="SAPBEXHLevel3 3 2 5 2 4" xfId="49055"/>
    <cellStyle name="SAPBEXHLevel3 3 2 5 3" xfId="49056"/>
    <cellStyle name="SAPBEXHLevel3 3 2 5 3 2" xfId="49057"/>
    <cellStyle name="SAPBEXHLevel3 3 2 5 3 3" xfId="49058"/>
    <cellStyle name="SAPBEXHLevel3 3 2 5 3 4" xfId="49059"/>
    <cellStyle name="SAPBEXHLevel3 3 2 5 4" xfId="49060"/>
    <cellStyle name="SAPBEXHLevel3 3 2 5 4 2" xfId="49061"/>
    <cellStyle name="SAPBEXHLevel3 3 2 5 4 3" xfId="49062"/>
    <cellStyle name="SAPBEXHLevel3 3 2 5 4 4" xfId="49063"/>
    <cellStyle name="SAPBEXHLevel3 3 2 5 5" xfId="49064"/>
    <cellStyle name="SAPBEXHLevel3 3 2 5 6" xfId="49065"/>
    <cellStyle name="SAPBEXHLevel3 3 2 5 7" xfId="49066"/>
    <cellStyle name="SAPBEXHLevel3 3 2 5 8" xfId="49067"/>
    <cellStyle name="SAPBEXHLevel3 3 2 6" xfId="49068"/>
    <cellStyle name="SAPBEXHLevel3 3 2 6 2" xfId="49069"/>
    <cellStyle name="SAPBEXHLevel3 3 2 6 3" xfId="49070"/>
    <cellStyle name="SAPBEXHLevel3 3 2 6 4" xfId="49071"/>
    <cellStyle name="SAPBEXHLevel3 3 2 7" xfId="49072"/>
    <cellStyle name="SAPBEXHLevel3 3 2 7 2" xfId="49073"/>
    <cellStyle name="SAPBEXHLevel3 3 2 7 3" xfId="49074"/>
    <cellStyle name="SAPBEXHLevel3 3 2 7 4" xfId="49075"/>
    <cellStyle name="SAPBEXHLevel3 3 2 8" xfId="49076"/>
    <cellStyle name="SAPBEXHLevel3 3 2 9" xfId="49077"/>
    <cellStyle name="SAPBEXHLevel3 3 3" xfId="49078"/>
    <cellStyle name="SAPBEXHLevel3 3 3 2" xfId="49079"/>
    <cellStyle name="SAPBEXHLevel3 3 3 2 2" xfId="49080"/>
    <cellStyle name="SAPBEXHLevel3 3 3 2 3" xfId="49081"/>
    <cellStyle name="SAPBEXHLevel3 3 3 2 4" xfId="49082"/>
    <cellStyle name="SAPBEXHLevel3 3 3 3" xfId="49083"/>
    <cellStyle name="SAPBEXHLevel3 3 3 3 2" xfId="49084"/>
    <cellStyle name="SAPBEXHLevel3 3 3 3 3" xfId="49085"/>
    <cellStyle name="SAPBEXHLevel3 3 3 3 4" xfId="49086"/>
    <cellStyle name="SAPBEXHLevel3 3 3 4" xfId="49087"/>
    <cellStyle name="SAPBEXHLevel3 3 3 4 2" xfId="49088"/>
    <cellStyle name="SAPBEXHLevel3 3 3 4 3" xfId="49089"/>
    <cellStyle name="SAPBEXHLevel3 3 3 4 4" xfId="49090"/>
    <cellStyle name="SAPBEXHLevel3 3 3 5" xfId="49091"/>
    <cellStyle name="SAPBEXHLevel3 3 3 6" xfId="49092"/>
    <cellStyle name="SAPBEXHLevel3 3 3 7" xfId="49093"/>
    <cellStyle name="SAPBEXHLevel3 3 3 8" xfId="49094"/>
    <cellStyle name="SAPBEXHLevel3 3 4" xfId="49095"/>
    <cellStyle name="SAPBEXHLevel3 3 4 2" xfId="49096"/>
    <cellStyle name="SAPBEXHLevel3 3 4 2 2" xfId="49097"/>
    <cellStyle name="SAPBEXHLevel3 3 4 2 3" xfId="49098"/>
    <cellStyle name="SAPBEXHLevel3 3 4 2 4" xfId="49099"/>
    <cellStyle name="SAPBEXHLevel3 3 4 3" xfId="49100"/>
    <cellStyle name="SAPBEXHLevel3 3 4 3 2" xfId="49101"/>
    <cellStyle name="SAPBEXHLevel3 3 4 3 3" xfId="49102"/>
    <cellStyle name="SAPBEXHLevel3 3 4 3 4" xfId="49103"/>
    <cellStyle name="SAPBEXHLevel3 3 4 4" xfId="49104"/>
    <cellStyle name="SAPBEXHLevel3 3 4 4 2" xfId="49105"/>
    <cellStyle name="SAPBEXHLevel3 3 4 4 3" xfId="49106"/>
    <cellStyle name="SAPBEXHLevel3 3 4 4 4" xfId="49107"/>
    <cellStyle name="SAPBEXHLevel3 3 4 5" xfId="49108"/>
    <cellStyle name="SAPBEXHLevel3 3 4 6" xfId="49109"/>
    <cellStyle name="SAPBEXHLevel3 3 4 7" xfId="49110"/>
    <cellStyle name="SAPBEXHLevel3 3 4 8" xfId="49111"/>
    <cellStyle name="SAPBEXHLevel3 3 5" xfId="49112"/>
    <cellStyle name="SAPBEXHLevel3 3 5 2" xfId="49113"/>
    <cellStyle name="SAPBEXHLevel3 3 5 2 2" xfId="49114"/>
    <cellStyle name="SAPBEXHLevel3 3 5 2 3" xfId="49115"/>
    <cellStyle name="SAPBEXHLevel3 3 5 2 4" xfId="49116"/>
    <cellStyle name="SAPBEXHLevel3 3 5 3" xfId="49117"/>
    <cellStyle name="SAPBEXHLevel3 3 5 3 2" xfId="49118"/>
    <cellStyle name="SAPBEXHLevel3 3 5 3 3" xfId="49119"/>
    <cellStyle name="SAPBEXHLevel3 3 5 3 4" xfId="49120"/>
    <cellStyle name="SAPBEXHLevel3 3 5 4" xfId="49121"/>
    <cellStyle name="SAPBEXHLevel3 3 5 4 2" xfId="49122"/>
    <cellStyle name="SAPBEXHLevel3 3 5 4 3" xfId="49123"/>
    <cellStyle name="SAPBEXHLevel3 3 5 4 4" xfId="49124"/>
    <cellStyle name="SAPBEXHLevel3 3 5 5" xfId="49125"/>
    <cellStyle name="SAPBEXHLevel3 3 5 6" xfId="49126"/>
    <cellStyle name="SAPBEXHLevel3 3 5 7" xfId="49127"/>
    <cellStyle name="SAPBEXHLevel3 3 5 8" xfId="49128"/>
    <cellStyle name="SAPBEXHLevel3 3 6" xfId="49129"/>
    <cellStyle name="SAPBEXHLevel3 3 6 2" xfId="49130"/>
    <cellStyle name="SAPBEXHLevel3 3 6 2 2" xfId="49131"/>
    <cellStyle name="SAPBEXHLevel3 3 6 2 3" xfId="49132"/>
    <cellStyle name="SAPBEXHLevel3 3 6 2 4" xfId="49133"/>
    <cellStyle name="SAPBEXHLevel3 3 6 3" xfId="49134"/>
    <cellStyle name="SAPBEXHLevel3 3 6 3 2" xfId="49135"/>
    <cellStyle name="SAPBEXHLevel3 3 6 3 3" xfId="49136"/>
    <cellStyle name="SAPBEXHLevel3 3 6 3 4" xfId="49137"/>
    <cellStyle name="SAPBEXHLevel3 3 6 4" xfId="49138"/>
    <cellStyle name="SAPBEXHLevel3 3 6 4 2" xfId="49139"/>
    <cellStyle name="SAPBEXHLevel3 3 6 4 3" xfId="49140"/>
    <cellStyle name="SAPBEXHLevel3 3 6 4 4" xfId="49141"/>
    <cellStyle name="SAPBEXHLevel3 3 6 5" xfId="49142"/>
    <cellStyle name="SAPBEXHLevel3 3 6 6" xfId="49143"/>
    <cellStyle name="SAPBEXHLevel3 3 6 7" xfId="49144"/>
    <cellStyle name="SAPBEXHLevel3 3 6 8" xfId="49145"/>
    <cellStyle name="SAPBEXHLevel3 3 7" xfId="49146"/>
    <cellStyle name="SAPBEXHLevel3 3 7 2" xfId="49147"/>
    <cellStyle name="SAPBEXHLevel3 3 7 2 2" xfId="49148"/>
    <cellStyle name="SAPBEXHLevel3 3 7 2 3" xfId="49149"/>
    <cellStyle name="SAPBEXHLevel3 3 7 2 4" xfId="49150"/>
    <cellStyle name="SAPBEXHLevel3 3 7 3" xfId="49151"/>
    <cellStyle name="SAPBEXHLevel3 3 7 3 2" xfId="49152"/>
    <cellStyle name="SAPBEXHLevel3 3 7 3 3" xfId="49153"/>
    <cellStyle name="SAPBEXHLevel3 3 7 3 4" xfId="49154"/>
    <cellStyle name="SAPBEXHLevel3 3 7 4" xfId="49155"/>
    <cellStyle name="SAPBEXHLevel3 3 7 4 2" xfId="49156"/>
    <cellStyle name="SAPBEXHLevel3 3 7 4 3" xfId="49157"/>
    <cellStyle name="SAPBEXHLevel3 3 7 4 4" xfId="49158"/>
    <cellStyle name="SAPBEXHLevel3 3 7 5" xfId="49159"/>
    <cellStyle name="SAPBEXHLevel3 3 7 6" xfId="49160"/>
    <cellStyle name="SAPBEXHLevel3 3 7 7" xfId="49161"/>
    <cellStyle name="SAPBEXHLevel3 3 7 8" xfId="49162"/>
    <cellStyle name="SAPBEXHLevel3 3 8" xfId="49163"/>
    <cellStyle name="SAPBEXHLevel3 3 8 2" xfId="49164"/>
    <cellStyle name="SAPBEXHLevel3 3 8 3" xfId="49165"/>
    <cellStyle name="SAPBEXHLevel3 3 8 4" xfId="49166"/>
    <cellStyle name="SAPBEXHLevel3 3 9" xfId="49167"/>
    <cellStyle name="SAPBEXHLevel3 3 9 2" xfId="49168"/>
    <cellStyle name="SAPBEXHLevel3 3 9 3" xfId="49169"/>
    <cellStyle name="SAPBEXHLevel3 3 9 4" xfId="49170"/>
    <cellStyle name="SAPBEXHLevel3 4" xfId="49171"/>
    <cellStyle name="SAPBEXHLevel3 4 10" xfId="49172"/>
    <cellStyle name="SAPBEXHLevel3 4 11" xfId="49173"/>
    <cellStyle name="SAPBEXHLevel3 4 2" xfId="49174"/>
    <cellStyle name="SAPBEXHLevel3 4 2 2" xfId="49175"/>
    <cellStyle name="SAPBEXHLevel3 4 2 2 2" xfId="49176"/>
    <cellStyle name="SAPBEXHLevel3 4 2 2 2 2" xfId="49177"/>
    <cellStyle name="SAPBEXHLevel3 4 2 2 2 3" xfId="49178"/>
    <cellStyle name="SAPBEXHLevel3 4 2 2 2 4" xfId="49179"/>
    <cellStyle name="SAPBEXHLevel3 4 2 2 3" xfId="49180"/>
    <cellStyle name="SAPBEXHLevel3 4 2 2 3 2" xfId="49181"/>
    <cellStyle name="SAPBEXHLevel3 4 2 2 3 3" xfId="49182"/>
    <cellStyle name="SAPBEXHLevel3 4 2 2 3 4" xfId="49183"/>
    <cellStyle name="SAPBEXHLevel3 4 2 2 4" xfId="49184"/>
    <cellStyle name="SAPBEXHLevel3 4 2 2 4 2" xfId="49185"/>
    <cellStyle name="SAPBEXHLevel3 4 2 2 4 3" xfId="49186"/>
    <cellStyle name="SAPBEXHLevel3 4 2 2 4 4" xfId="49187"/>
    <cellStyle name="SAPBEXHLevel3 4 2 2 5" xfId="49188"/>
    <cellStyle name="SAPBEXHLevel3 4 2 2 6" xfId="49189"/>
    <cellStyle name="SAPBEXHLevel3 4 2 2 7" xfId="49190"/>
    <cellStyle name="SAPBEXHLevel3 4 2 2 8" xfId="49191"/>
    <cellStyle name="SAPBEXHLevel3 4 2 3" xfId="49192"/>
    <cellStyle name="SAPBEXHLevel3 4 2 3 2" xfId="49193"/>
    <cellStyle name="SAPBEXHLevel3 4 2 3 2 2" xfId="49194"/>
    <cellStyle name="SAPBEXHLevel3 4 2 3 2 3" xfId="49195"/>
    <cellStyle name="SAPBEXHLevel3 4 2 3 2 4" xfId="49196"/>
    <cellStyle name="SAPBEXHLevel3 4 2 3 3" xfId="49197"/>
    <cellStyle name="SAPBEXHLevel3 4 2 3 3 2" xfId="49198"/>
    <cellStyle name="SAPBEXHLevel3 4 2 3 3 3" xfId="49199"/>
    <cellStyle name="SAPBEXHLevel3 4 2 3 3 4" xfId="49200"/>
    <cellStyle name="SAPBEXHLevel3 4 2 3 4" xfId="49201"/>
    <cellStyle name="SAPBEXHLevel3 4 2 3 4 2" xfId="49202"/>
    <cellStyle name="SAPBEXHLevel3 4 2 3 4 3" xfId="49203"/>
    <cellStyle name="SAPBEXHLevel3 4 2 3 4 4" xfId="49204"/>
    <cellStyle name="SAPBEXHLevel3 4 2 3 5" xfId="49205"/>
    <cellStyle name="SAPBEXHLevel3 4 2 3 6" xfId="49206"/>
    <cellStyle name="SAPBEXHLevel3 4 2 3 7" xfId="49207"/>
    <cellStyle name="SAPBEXHLevel3 4 2 3 8" xfId="49208"/>
    <cellStyle name="SAPBEXHLevel3 4 2 4" xfId="49209"/>
    <cellStyle name="SAPBEXHLevel3 4 2 4 2" xfId="49210"/>
    <cellStyle name="SAPBEXHLevel3 4 2 4 2 2" xfId="49211"/>
    <cellStyle name="SAPBEXHLevel3 4 2 4 2 3" xfId="49212"/>
    <cellStyle name="SAPBEXHLevel3 4 2 4 2 4" xfId="49213"/>
    <cellStyle name="SAPBEXHLevel3 4 2 4 3" xfId="49214"/>
    <cellStyle name="SAPBEXHLevel3 4 2 4 3 2" xfId="49215"/>
    <cellStyle name="SAPBEXHLevel3 4 2 4 3 3" xfId="49216"/>
    <cellStyle name="SAPBEXHLevel3 4 2 4 3 4" xfId="49217"/>
    <cellStyle name="SAPBEXHLevel3 4 2 4 4" xfId="49218"/>
    <cellStyle name="SAPBEXHLevel3 4 2 4 4 2" xfId="49219"/>
    <cellStyle name="SAPBEXHLevel3 4 2 4 4 3" xfId="49220"/>
    <cellStyle name="SAPBEXHLevel3 4 2 4 4 4" xfId="49221"/>
    <cellStyle name="SAPBEXHLevel3 4 2 4 5" xfId="49222"/>
    <cellStyle name="SAPBEXHLevel3 4 2 4 6" xfId="49223"/>
    <cellStyle name="SAPBEXHLevel3 4 2 4 7" xfId="49224"/>
    <cellStyle name="SAPBEXHLevel3 4 2 4 8" xfId="49225"/>
    <cellStyle name="SAPBEXHLevel3 4 2 5" xfId="49226"/>
    <cellStyle name="SAPBEXHLevel3 4 2 5 2" xfId="49227"/>
    <cellStyle name="SAPBEXHLevel3 4 2 5 2 2" xfId="49228"/>
    <cellStyle name="SAPBEXHLevel3 4 2 5 2 3" xfId="49229"/>
    <cellStyle name="SAPBEXHLevel3 4 2 5 2 4" xfId="49230"/>
    <cellStyle name="SAPBEXHLevel3 4 2 5 3" xfId="49231"/>
    <cellStyle name="SAPBEXHLevel3 4 2 5 3 2" xfId="49232"/>
    <cellStyle name="SAPBEXHLevel3 4 2 5 3 3" xfId="49233"/>
    <cellStyle name="SAPBEXHLevel3 4 2 5 3 4" xfId="49234"/>
    <cellStyle name="SAPBEXHLevel3 4 2 5 4" xfId="49235"/>
    <cellStyle name="SAPBEXHLevel3 4 2 5 4 2" xfId="49236"/>
    <cellStyle name="SAPBEXHLevel3 4 2 5 4 3" xfId="49237"/>
    <cellStyle name="SAPBEXHLevel3 4 2 5 4 4" xfId="49238"/>
    <cellStyle name="SAPBEXHLevel3 4 2 5 5" xfId="49239"/>
    <cellStyle name="SAPBEXHLevel3 4 2 5 6" xfId="49240"/>
    <cellStyle name="SAPBEXHLevel3 4 2 5 7" xfId="49241"/>
    <cellStyle name="SAPBEXHLevel3 4 2 5 8" xfId="49242"/>
    <cellStyle name="SAPBEXHLevel3 4 2 6" xfId="49243"/>
    <cellStyle name="SAPBEXHLevel3 4 2 6 2" xfId="49244"/>
    <cellStyle name="SAPBEXHLevel3 4 2 6 3" xfId="49245"/>
    <cellStyle name="SAPBEXHLevel3 4 2 6 4" xfId="49246"/>
    <cellStyle name="SAPBEXHLevel3 4 2 7" xfId="49247"/>
    <cellStyle name="SAPBEXHLevel3 4 2 7 2" xfId="49248"/>
    <cellStyle name="SAPBEXHLevel3 4 2 7 3" xfId="49249"/>
    <cellStyle name="SAPBEXHLevel3 4 2 7 4" xfId="49250"/>
    <cellStyle name="SAPBEXHLevel3 4 2 8" xfId="49251"/>
    <cellStyle name="SAPBEXHLevel3 4 2 9" xfId="49252"/>
    <cellStyle name="SAPBEXHLevel3 4 3" xfId="49253"/>
    <cellStyle name="SAPBEXHLevel3 4 3 2" xfId="49254"/>
    <cellStyle name="SAPBEXHLevel3 4 3 2 2" xfId="49255"/>
    <cellStyle name="SAPBEXHLevel3 4 3 2 3" xfId="49256"/>
    <cellStyle name="SAPBEXHLevel3 4 3 2 4" xfId="49257"/>
    <cellStyle name="SAPBEXHLevel3 4 3 3" xfId="49258"/>
    <cellStyle name="SAPBEXHLevel3 4 3 3 2" xfId="49259"/>
    <cellStyle name="SAPBEXHLevel3 4 3 3 3" xfId="49260"/>
    <cellStyle name="SAPBEXHLevel3 4 3 3 4" xfId="49261"/>
    <cellStyle name="SAPBEXHLevel3 4 3 4" xfId="49262"/>
    <cellStyle name="SAPBEXHLevel3 4 3 4 2" xfId="49263"/>
    <cellStyle name="SAPBEXHLevel3 4 3 4 3" xfId="49264"/>
    <cellStyle name="SAPBEXHLevel3 4 3 4 4" xfId="49265"/>
    <cellStyle name="SAPBEXHLevel3 4 3 5" xfId="49266"/>
    <cellStyle name="SAPBEXHLevel3 4 3 6" xfId="49267"/>
    <cellStyle name="SAPBEXHLevel3 4 3 7" xfId="49268"/>
    <cellStyle name="SAPBEXHLevel3 4 3 8" xfId="49269"/>
    <cellStyle name="SAPBEXHLevel3 4 4" xfId="49270"/>
    <cellStyle name="SAPBEXHLevel3 4 4 2" xfId="49271"/>
    <cellStyle name="SAPBEXHLevel3 4 4 2 2" xfId="49272"/>
    <cellStyle name="SAPBEXHLevel3 4 4 2 3" xfId="49273"/>
    <cellStyle name="SAPBEXHLevel3 4 4 2 4" xfId="49274"/>
    <cellStyle name="SAPBEXHLevel3 4 4 3" xfId="49275"/>
    <cellStyle name="SAPBEXHLevel3 4 4 3 2" xfId="49276"/>
    <cellStyle name="SAPBEXHLevel3 4 4 3 3" xfId="49277"/>
    <cellStyle name="SAPBEXHLevel3 4 4 3 4" xfId="49278"/>
    <cellStyle name="SAPBEXHLevel3 4 4 4" xfId="49279"/>
    <cellStyle name="SAPBEXHLevel3 4 4 4 2" xfId="49280"/>
    <cellStyle name="SAPBEXHLevel3 4 4 4 3" xfId="49281"/>
    <cellStyle name="SAPBEXHLevel3 4 4 4 4" xfId="49282"/>
    <cellStyle name="SAPBEXHLevel3 4 4 5" xfId="49283"/>
    <cellStyle name="SAPBEXHLevel3 4 4 6" xfId="49284"/>
    <cellStyle name="SAPBEXHLevel3 4 4 7" xfId="49285"/>
    <cellStyle name="SAPBEXHLevel3 4 4 8" xfId="49286"/>
    <cellStyle name="SAPBEXHLevel3 4 5" xfId="49287"/>
    <cellStyle name="SAPBEXHLevel3 4 5 2" xfId="49288"/>
    <cellStyle name="SAPBEXHLevel3 4 5 2 2" xfId="49289"/>
    <cellStyle name="SAPBEXHLevel3 4 5 2 3" xfId="49290"/>
    <cellStyle name="SAPBEXHLevel3 4 5 2 4" xfId="49291"/>
    <cellStyle name="SAPBEXHLevel3 4 5 3" xfId="49292"/>
    <cellStyle name="SAPBEXHLevel3 4 5 3 2" xfId="49293"/>
    <cellStyle name="SAPBEXHLevel3 4 5 3 3" xfId="49294"/>
    <cellStyle name="SAPBEXHLevel3 4 5 3 4" xfId="49295"/>
    <cellStyle name="SAPBEXHLevel3 4 5 4" xfId="49296"/>
    <cellStyle name="SAPBEXHLevel3 4 5 4 2" xfId="49297"/>
    <cellStyle name="SAPBEXHLevel3 4 5 4 3" xfId="49298"/>
    <cellStyle name="SAPBEXHLevel3 4 5 4 4" xfId="49299"/>
    <cellStyle name="SAPBEXHLevel3 4 5 5" xfId="49300"/>
    <cellStyle name="SAPBEXHLevel3 4 5 6" xfId="49301"/>
    <cellStyle name="SAPBEXHLevel3 4 5 7" xfId="49302"/>
    <cellStyle name="SAPBEXHLevel3 4 5 8" xfId="49303"/>
    <cellStyle name="SAPBEXHLevel3 4 6" xfId="49304"/>
    <cellStyle name="SAPBEXHLevel3 4 6 2" xfId="49305"/>
    <cellStyle name="SAPBEXHLevel3 4 6 2 2" xfId="49306"/>
    <cellStyle name="SAPBEXHLevel3 4 6 2 3" xfId="49307"/>
    <cellStyle name="SAPBEXHLevel3 4 6 2 4" xfId="49308"/>
    <cellStyle name="SAPBEXHLevel3 4 6 3" xfId="49309"/>
    <cellStyle name="SAPBEXHLevel3 4 6 3 2" xfId="49310"/>
    <cellStyle name="SAPBEXHLevel3 4 6 3 3" xfId="49311"/>
    <cellStyle name="SAPBEXHLevel3 4 6 3 4" xfId="49312"/>
    <cellStyle name="SAPBEXHLevel3 4 6 4" xfId="49313"/>
    <cellStyle name="SAPBEXHLevel3 4 6 4 2" xfId="49314"/>
    <cellStyle name="SAPBEXHLevel3 4 6 4 3" xfId="49315"/>
    <cellStyle name="SAPBEXHLevel3 4 6 4 4" xfId="49316"/>
    <cellStyle name="SAPBEXHLevel3 4 6 5" xfId="49317"/>
    <cellStyle name="SAPBEXHLevel3 4 6 6" xfId="49318"/>
    <cellStyle name="SAPBEXHLevel3 4 6 7" xfId="49319"/>
    <cellStyle name="SAPBEXHLevel3 4 6 8" xfId="49320"/>
    <cellStyle name="SAPBEXHLevel3 4 7" xfId="49321"/>
    <cellStyle name="SAPBEXHLevel3 4 7 2" xfId="49322"/>
    <cellStyle name="SAPBEXHLevel3 4 7 2 2" xfId="49323"/>
    <cellStyle name="SAPBEXHLevel3 4 7 2 3" xfId="49324"/>
    <cellStyle name="SAPBEXHLevel3 4 7 2 4" xfId="49325"/>
    <cellStyle name="SAPBEXHLevel3 4 7 3" xfId="49326"/>
    <cellStyle name="SAPBEXHLevel3 4 7 3 2" xfId="49327"/>
    <cellStyle name="SAPBEXHLevel3 4 7 3 3" xfId="49328"/>
    <cellStyle name="SAPBEXHLevel3 4 7 3 4" xfId="49329"/>
    <cellStyle name="SAPBEXHLevel3 4 7 4" xfId="49330"/>
    <cellStyle name="SAPBEXHLevel3 4 7 4 2" xfId="49331"/>
    <cellStyle name="SAPBEXHLevel3 4 7 4 3" xfId="49332"/>
    <cellStyle name="SAPBEXHLevel3 4 7 4 4" xfId="49333"/>
    <cellStyle name="SAPBEXHLevel3 4 7 5" xfId="49334"/>
    <cellStyle name="SAPBEXHLevel3 4 7 6" xfId="49335"/>
    <cellStyle name="SAPBEXHLevel3 4 7 7" xfId="49336"/>
    <cellStyle name="SAPBEXHLevel3 4 7 8" xfId="49337"/>
    <cellStyle name="SAPBEXHLevel3 4 8" xfId="49338"/>
    <cellStyle name="SAPBEXHLevel3 4 8 2" xfId="49339"/>
    <cellStyle name="SAPBEXHLevel3 4 8 3" xfId="49340"/>
    <cellStyle name="SAPBEXHLevel3 4 8 4" xfId="49341"/>
    <cellStyle name="SAPBEXHLevel3 4 9" xfId="49342"/>
    <cellStyle name="SAPBEXHLevel3 4 9 2" xfId="49343"/>
    <cellStyle name="SAPBEXHLevel3 4 9 3" xfId="49344"/>
    <cellStyle name="SAPBEXHLevel3 4 9 4" xfId="49345"/>
    <cellStyle name="SAPBEXHLevel3 5" xfId="49346"/>
    <cellStyle name="SAPBEXHLevel3 5 2" xfId="49347"/>
    <cellStyle name="SAPBEXHLevel3 5 2 2" xfId="49348"/>
    <cellStyle name="SAPBEXHLevel3 5 2 2 2" xfId="49349"/>
    <cellStyle name="SAPBEXHLevel3 5 2 2 3" xfId="49350"/>
    <cellStyle name="SAPBEXHLevel3 5 2 2 4" xfId="49351"/>
    <cellStyle name="SAPBEXHLevel3 5 2 3" xfId="49352"/>
    <cellStyle name="SAPBEXHLevel3 5 2 3 2" xfId="49353"/>
    <cellStyle name="SAPBEXHLevel3 5 2 3 3" xfId="49354"/>
    <cellStyle name="SAPBEXHLevel3 5 2 3 4" xfId="49355"/>
    <cellStyle name="SAPBEXHLevel3 5 2 4" xfId="49356"/>
    <cellStyle name="SAPBEXHLevel3 5 2 4 2" xfId="49357"/>
    <cellStyle name="SAPBEXHLevel3 5 2 4 3" xfId="49358"/>
    <cellStyle name="SAPBEXHLevel3 5 2 4 4" xfId="49359"/>
    <cellStyle name="SAPBEXHLevel3 5 2 5" xfId="49360"/>
    <cellStyle name="SAPBEXHLevel3 5 2 6" xfId="49361"/>
    <cellStyle name="SAPBEXHLevel3 5 2 7" xfId="49362"/>
    <cellStyle name="SAPBEXHLevel3 5 2 8" xfId="49363"/>
    <cellStyle name="SAPBEXHLevel3 5 3" xfId="49364"/>
    <cellStyle name="SAPBEXHLevel3 5 3 2" xfId="49365"/>
    <cellStyle name="SAPBEXHLevel3 5 3 2 2" xfId="49366"/>
    <cellStyle name="SAPBEXHLevel3 5 3 2 3" xfId="49367"/>
    <cellStyle name="SAPBEXHLevel3 5 3 2 4" xfId="49368"/>
    <cellStyle name="SAPBEXHLevel3 5 3 3" xfId="49369"/>
    <cellStyle name="SAPBEXHLevel3 5 3 3 2" xfId="49370"/>
    <cellStyle name="SAPBEXHLevel3 5 3 3 3" xfId="49371"/>
    <cellStyle name="SAPBEXHLevel3 5 3 3 4" xfId="49372"/>
    <cellStyle name="SAPBEXHLevel3 5 3 4" xfId="49373"/>
    <cellStyle name="SAPBEXHLevel3 5 3 4 2" xfId="49374"/>
    <cellStyle name="SAPBEXHLevel3 5 3 4 3" xfId="49375"/>
    <cellStyle name="SAPBEXHLevel3 5 3 4 4" xfId="49376"/>
    <cellStyle name="SAPBEXHLevel3 5 3 5" xfId="49377"/>
    <cellStyle name="SAPBEXHLevel3 5 3 6" xfId="49378"/>
    <cellStyle name="SAPBEXHLevel3 5 3 7" xfId="49379"/>
    <cellStyle name="SAPBEXHLevel3 5 3 8" xfId="49380"/>
    <cellStyle name="SAPBEXHLevel3 5 4" xfId="49381"/>
    <cellStyle name="SAPBEXHLevel3 5 4 2" xfId="49382"/>
    <cellStyle name="SAPBEXHLevel3 5 4 2 2" xfId="49383"/>
    <cellStyle name="SAPBEXHLevel3 5 4 2 3" xfId="49384"/>
    <cellStyle name="SAPBEXHLevel3 5 4 2 4" xfId="49385"/>
    <cellStyle name="SAPBEXHLevel3 5 4 3" xfId="49386"/>
    <cellStyle name="SAPBEXHLevel3 5 4 3 2" xfId="49387"/>
    <cellStyle name="SAPBEXHLevel3 5 4 3 3" xfId="49388"/>
    <cellStyle name="SAPBEXHLevel3 5 4 3 4" xfId="49389"/>
    <cellStyle name="SAPBEXHLevel3 5 4 4" xfId="49390"/>
    <cellStyle name="SAPBEXHLevel3 5 4 4 2" xfId="49391"/>
    <cellStyle name="SAPBEXHLevel3 5 4 4 3" xfId="49392"/>
    <cellStyle name="SAPBEXHLevel3 5 4 4 4" xfId="49393"/>
    <cellStyle name="SAPBEXHLevel3 5 4 5" xfId="49394"/>
    <cellStyle name="SAPBEXHLevel3 5 4 6" xfId="49395"/>
    <cellStyle name="SAPBEXHLevel3 5 4 7" xfId="49396"/>
    <cellStyle name="SAPBEXHLevel3 5 4 8" xfId="49397"/>
    <cellStyle name="SAPBEXHLevel3 5 5" xfId="49398"/>
    <cellStyle name="SAPBEXHLevel3 5 5 2" xfId="49399"/>
    <cellStyle name="SAPBEXHLevel3 5 5 2 2" xfId="49400"/>
    <cellStyle name="SAPBEXHLevel3 5 5 2 3" xfId="49401"/>
    <cellStyle name="SAPBEXHLevel3 5 5 2 4" xfId="49402"/>
    <cellStyle name="SAPBEXHLevel3 5 5 3" xfId="49403"/>
    <cellStyle name="SAPBEXHLevel3 5 5 3 2" xfId="49404"/>
    <cellStyle name="SAPBEXHLevel3 5 5 3 3" xfId="49405"/>
    <cellStyle name="SAPBEXHLevel3 5 5 3 4" xfId="49406"/>
    <cellStyle name="SAPBEXHLevel3 5 5 4" xfId="49407"/>
    <cellStyle name="SAPBEXHLevel3 5 5 4 2" xfId="49408"/>
    <cellStyle name="SAPBEXHLevel3 5 5 4 3" xfId="49409"/>
    <cellStyle name="SAPBEXHLevel3 5 5 4 4" xfId="49410"/>
    <cellStyle name="SAPBEXHLevel3 5 5 5" xfId="49411"/>
    <cellStyle name="SAPBEXHLevel3 5 5 6" xfId="49412"/>
    <cellStyle name="SAPBEXHLevel3 5 5 7" xfId="49413"/>
    <cellStyle name="SAPBEXHLevel3 5 5 8" xfId="49414"/>
    <cellStyle name="SAPBEXHLevel3 5 6" xfId="49415"/>
    <cellStyle name="SAPBEXHLevel3 5 6 2" xfId="49416"/>
    <cellStyle name="SAPBEXHLevel3 5 6 3" xfId="49417"/>
    <cellStyle name="SAPBEXHLevel3 5 6 4" xfId="49418"/>
    <cellStyle name="SAPBEXHLevel3 5 7" xfId="49419"/>
    <cellStyle name="SAPBEXHLevel3 5 7 2" xfId="49420"/>
    <cellStyle name="SAPBEXHLevel3 5 7 3" xfId="49421"/>
    <cellStyle name="SAPBEXHLevel3 5 7 4" xfId="49422"/>
    <cellStyle name="SAPBEXHLevel3 5 8" xfId="49423"/>
    <cellStyle name="SAPBEXHLevel3 5 9" xfId="49424"/>
    <cellStyle name="SAPBEXHLevel3 6" xfId="49425"/>
    <cellStyle name="SAPBEXHLevel3 6 2" xfId="49426"/>
    <cellStyle name="SAPBEXHLevel3 6 2 2" xfId="49427"/>
    <cellStyle name="SAPBEXHLevel3 6 2 3" xfId="49428"/>
    <cellStyle name="SAPBEXHLevel3 6 2 4" xfId="49429"/>
    <cellStyle name="SAPBEXHLevel3 6 3" xfId="49430"/>
    <cellStyle name="SAPBEXHLevel3 6 3 2" xfId="49431"/>
    <cellStyle name="SAPBEXHLevel3 6 3 3" xfId="49432"/>
    <cellStyle name="SAPBEXHLevel3 6 3 4" xfId="49433"/>
    <cellStyle name="SAPBEXHLevel3 6 4" xfId="49434"/>
    <cellStyle name="SAPBEXHLevel3 6 4 2" xfId="49435"/>
    <cellStyle name="SAPBEXHLevel3 6 4 3" xfId="49436"/>
    <cellStyle name="SAPBEXHLevel3 6 4 4" xfId="49437"/>
    <cellStyle name="SAPBEXHLevel3 6 5" xfId="49438"/>
    <cellStyle name="SAPBEXHLevel3 6 6" xfId="49439"/>
    <cellStyle name="SAPBEXHLevel3 6 7" xfId="49440"/>
    <cellStyle name="SAPBEXHLevel3 6 8" xfId="49441"/>
    <cellStyle name="SAPBEXHLevel3 7" xfId="49442"/>
    <cellStyle name="SAPBEXHLevel3 7 2" xfId="49443"/>
    <cellStyle name="SAPBEXHLevel3 7 2 2" xfId="49444"/>
    <cellStyle name="SAPBEXHLevel3 7 2 3" xfId="49445"/>
    <cellStyle name="SAPBEXHLevel3 7 2 4" xfId="49446"/>
    <cellStyle name="SAPBEXHLevel3 7 3" xfId="49447"/>
    <cellStyle name="SAPBEXHLevel3 7 3 2" xfId="49448"/>
    <cellStyle name="SAPBEXHLevel3 7 3 3" xfId="49449"/>
    <cellStyle name="SAPBEXHLevel3 7 3 4" xfId="49450"/>
    <cellStyle name="SAPBEXHLevel3 7 4" xfId="49451"/>
    <cellStyle name="SAPBEXHLevel3 7 4 2" xfId="49452"/>
    <cellStyle name="SAPBEXHLevel3 7 4 3" xfId="49453"/>
    <cellStyle name="SAPBEXHLevel3 7 4 4" xfId="49454"/>
    <cellStyle name="SAPBEXHLevel3 7 5" xfId="49455"/>
    <cellStyle name="SAPBEXHLevel3 7 6" xfId="49456"/>
    <cellStyle name="SAPBEXHLevel3 7 7" xfId="49457"/>
    <cellStyle name="SAPBEXHLevel3 7 8" xfId="49458"/>
    <cellStyle name="SAPBEXHLevel3 8" xfId="49459"/>
    <cellStyle name="SAPBEXHLevel3 8 2" xfId="49460"/>
    <cellStyle name="SAPBEXHLevel3 8 2 2" xfId="49461"/>
    <cellStyle name="SAPBEXHLevel3 8 2 3" xfId="49462"/>
    <cellStyle name="SAPBEXHLevel3 8 2 4" xfId="49463"/>
    <cellStyle name="SAPBEXHLevel3 8 3" xfId="49464"/>
    <cellStyle name="SAPBEXHLevel3 8 3 2" xfId="49465"/>
    <cellStyle name="SAPBEXHLevel3 8 3 3" xfId="49466"/>
    <cellStyle name="SAPBEXHLevel3 8 3 4" xfId="49467"/>
    <cellStyle name="SAPBEXHLevel3 8 4" xfId="49468"/>
    <cellStyle name="SAPBEXHLevel3 8 4 2" xfId="49469"/>
    <cellStyle name="SAPBEXHLevel3 8 4 3" xfId="49470"/>
    <cellStyle name="SAPBEXHLevel3 8 4 4" xfId="49471"/>
    <cellStyle name="SAPBEXHLevel3 8 5" xfId="49472"/>
    <cellStyle name="SAPBEXHLevel3 8 6" xfId="49473"/>
    <cellStyle name="SAPBEXHLevel3 8 7" xfId="49474"/>
    <cellStyle name="SAPBEXHLevel3 8 8" xfId="49475"/>
    <cellStyle name="SAPBEXHLevel3 9" xfId="49476"/>
    <cellStyle name="SAPBEXHLevel3 9 2" xfId="49477"/>
    <cellStyle name="SAPBEXHLevel3 9 2 2" xfId="49478"/>
    <cellStyle name="SAPBEXHLevel3 9 2 3" xfId="49479"/>
    <cellStyle name="SAPBEXHLevel3 9 2 4" xfId="49480"/>
    <cellStyle name="SAPBEXHLevel3 9 3" xfId="49481"/>
    <cellStyle name="SAPBEXHLevel3 9 3 2" xfId="49482"/>
    <cellStyle name="SAPBEXHLevel3 9 3 3" xfId="49483"/>
    <cellStyle name="SAPBEXHLevel3 9 3 4" xfId="49484"/>
    <cellStyle name="SAPBEXHLevel3 9 4" xfId="49485"/>
    <cellStyle name="SAPBEXHLevel3 9 4 2" xfId="49486"/>
    <cellStyle name="SAPBEXHLevel3 9 4 3" xfId="49487"/>
    <cellStyle name="SAPBEXHLevel3 9 4 4" xfId="49488"/>
    <cellStyle name="SAPBEXHLevel3 9 5" xfId="49489"/>
    <cellStyle name="SAPBEXHLevel3 9 6" xfId="49490"/>
    <cellStyle name="SAPBEXHLevel3 9 7" xfId="49491"/>
    <cellStyle name="SAPBEXHLevel3 9 8" xfId="49492"/>
    <cellStyle name="SAPBEXHLevel3X" xfId="49493"/>
    <cellStyle name="SAPBEXHLevel3X 10" xfId="49494"/>
    <cellStyle name="SAPBEXHLevel3X 10 2" xfId="49495"/>
    <cellStyle name="SAPBEXHLevel3X 10 2 2" xfId="49496"/>
    <cellStyle name="SAPBEXHLevel3X 10 2 3" xfId="49497"/>
    <cellStyle name="SAPBEXHLevel3X 10 2 4" xfId="49498"/>
    <cellStyle name="SAPBEXHLevel3X 10 3" xfId="49499"/>
    <cellStyle name="SAPBEXHLevel3X 10 3 2" xfId="49500"/>
    <cellStyle name="SAPBEXHLevel3X 10 3 3" xfId="49501"/>
    <cellStyle name="SAPBEXHLevel3X 10 3 4" xfId="49502"/>
    <cellStyle name="SAPBEXHLevel3X 10 4" xfId="49503"/>
    <cellStyle name="SAPBEXHLevel3X 10 4 2" xfId="49504"/>
    <cellStyle name="SAPBEXHLevel3X 10 4 3" xfId="49505"/>
    <cellStyle name="SAPBEXHLevel3X 10 4 4" xfId="49506"/>
    <cellStyle name="SAPBEXHLevel3X 10 5" xfId="49507"/>
    <cellStyle name="SAPBEXHLevel3X 10 6" xfId="49508"/>
    <cellStyle name="SAPBEXHLevel3X 10 7" xfId="49509"/>
    <cellStyle name="SAPBEXHLevel3X 10 8" xfId="49510"/>
    <cellStyle name="SAPBEXHLevel3X 11" xfId="49511"/>
    <cellStyle name="SAPBEXHLevel3X 11 2" xfId="49512"/>
    <cellStyle name="SAPBEXHLevel3X 11 3" xfId="49513"/>
    <cellStyle name="SAPBEXHLevel3X 11 4" xfId="49514"/>
    <cellStyle name="SAPBEXHLevel3X 12" xfId="49515"/>
    <cellStyle name="SAPBEXHLevel3X 12 2" xfId="49516"/>
    <cellStyle name="SAPBEXHLevel3X 12 3" xfId="49517"/>
    <cellStyle name="SAPBEXHLevel3X 12 4" xfId="49518"/>
    <cellStyle name="SAPBEXHLevel3X 13" xfId="49519"/>
    <cellStyle name="SAPBEXHLevel3X 14" xfId="49520"/>
    <cellStyle name="SAPBEXHLevel3X 2" xfId="49521"/>
    <cellStyle name="SAPBEXHLevel3X 2 10" xfId="49522"/>
    <cellStyle name="SAPBEXHLevel3X 2 10 2" xfId="49523"/>
    <cellStyle name="SAPBEXHLevel3X 2 10 3" xfId="49524"/>
    <cellStyle name="SAPBEXHLevel3X 2 10 4" xfId="49525"/>
    <cellStyle name="SAPBEXHLevel3X 2 11" xfId="49526"/>
    <cellStyle name="SAPBEXHLevel3X 2 11 2" xfId="49527"/>
    <cellStyle name="SAPBEXHLevel3X 2 11 3" xfId="49528"/>
    <cellStyle name="SAPBEXHLevel3X 2 11 4" xfId="49529"/>
    <cellStyle name="SAPBEXHLevel3X 2 12" xfId="49530"/>
    <cellStyle name="SAPBEXHLevel3X 2 13" xfId="49531"/>
    <cellStyle name="SAPBEXHLevel3X 2 2" xfId="49532"/>
    <cellStyle name="SAPBEXHLevel3X 2 2 10" xfId="49533"/>
    <cellStyle name="SAPBEXHLevel3X 2 2 11" xfId="49534"/>
    <cellStyle name="SAPBEXHLevel3X 2 2 2" xfId="49535"/>
    <cellStyle name="SAPBEXHLevel3X 2 2 2 2" xfId="49536"/>
    <cellStyle name="SAPBEXHLevel3X 2 2 2 2 2" xfId="49537"/>
    <cellStyle name="SAPBEXHLevel3X 2 2 2 2 2 2" xfId="49538"/>
    <cellStyle name="SAPBEXHLevel3X 2 2 2 2 2 3" xfId="49539"/>
    <cellStyle name="SAPBEXHLevel3X 2 2 2 2 2 4" xfId="49540"/>
    <cellStyle name="SAPBEXHLevel3X 2 2 2 2 3" xfId="49541"/>
    <cellStyle name="SAPBEXHLevel3X 2 2 2 2 3 2" xfId="49542"/>
    <cellStyle name="SAPBEXHLevel3X 2 2 2 2 3 3" xfId="49543"/>
    <cellStyle name="SAPBEXHLevel3X 2 2 2 2 3 4" xfId="49544"/>
    <cellStyle name="SAPBEXHLevel3X 2 2 2 2 4" xfId="49545"/>
    <cellStyle name="SAPBEXHLevel3X 2 2 2 2 4 2" xfId="49546"/>
    <cellStyle name="SAPBEXHLevel3X 2 2 2 2 4 3" xfId="49547"/>
    <cellStyle name="SAPBEXHLevel3X 2 2 2 2 4 4" xfId="49548"/>
    <cellStyle name="SAPBEXHLevel3X 2 2 2 2 5" xfId="49549"/>
    <cellStyle name="SAPBEXHLevel3X 2 2 2 2 6" xfId="49550"/>
    <cellStyle name="SAPBEXHLevel3X 2 2 2 2 7" xfId="49551"/>
    <cellStyle name="SAPBEXHLevel3X 2 2 2 2 8" xfId="49552"/>
    <cellStyle name="SAPBEXHLevel3X 2 2 2 3" xfId="49553"/>
    <cellStyle name="SAPBEXHLevel3X 2 2 2 3 2" xfId="49554"/>
    <cellStyle name="SAPBEXHLevel3X 2 2 2 3 2 2" xfId="49555"/>
    <cellStyle name="SAPBEXHLevel3X 2 2 2 3 2 3" xfId="49556"/>
    <cellStyle name="SAPBEXHLevel3X 2 2 2 3 2 4" xfId="49557"/>
    <cellStyle name="SAPBEXHLevel3X 2 2 2 3 3" xfId="49558"/>
    <cellStyle name="SAPBEXHLevel3X 2 2 2 3 3 2" xfId="49559"/>
    <cellStyle name="SAPBEXHLevel3X 2 2 2 3 3 3" xfId="49560"/>
    <cellStyle name="SAPBEXHLevel3X 2 2 2 3 3 4" xfId="49561"/>
    <cellStyle name="SAPBEXHLevel3X 2 2 2 3 4" xfId="49562"/>
    <cellStyle name="SAPBEXHLevel3X 2 2 2 3 4 2" xfId="49563"/>
    <cellStyle name="SAPBEXHLevel3X 2 2 2 3 4 3" xfId="49564"/>
    <cellStyle name="SAPBEXHLevel3X 2 2 2 3 4 4" xfId="49565"/>
    <cellStyle name="SAPBEXHLevel3X 2 2 2 3 5" xfId="49566"/>
    <cellStyle name="SAPBEXHLevel3X 2 2 2 3 6" xfId="49567"/>
    <cellStyle name="SAPBEXHLevel3X 2 2 2 3 7" xfId="49568"/>
    <cellStyle name="SAPBEXHLevel3X 2 2 2 3 8" xfId="49569"/>
    <cellStyle name="SAPBEXHLevel3X 2 2 2 4" xfId="49570"/>
    <cellStyle name="SAPBEXHLevel3X 2 2 2 4 2" xfId="49571"/>
    <cellStyle name="SAPBEXHLevel3X 2 2 2 4 2 2" xfId="49572"/>
    <cellStyle name="SAPBEXHLevel3X 2 2 2 4 2 3" xfId="49573"/>
    <cellStyle name="SAPBEXHLevel3X 2 2 2 4 2 4" xfId="49574"/>
    <cellStyle name="SAPBEXHLevel3X 2 2 2 4 3" xfId="49575"/>
    <cellStyle name="SAPBEXHLevel3X 2 2 2 4 3 2" xfId="49576"/>
    <cellStyle name="SAPBEXHLevel3X 2 2 2 4 3 3" xfId="49577"/>
    <cellStyle name="SAPBEXHLevel3X 2 2 2 4 3 4" xfId="49578"/>
    <cellStyle name="SAPBEXHLevel3X 2 2 2 4 4" xfId="49579"/>
    <cellStyle name="SAPBEXHLevel3X 2 2 2 4 4 2" xfId="49580"/>
    <cellStyle name="SAPBEXHLevel3X 2 2 2 4 4 3" xfId="49581"/>
    <cellStyle name="SAPBEXHLevel3X 2 2 2 4 4 4" xfId="49582"/>
    <cellStyle name="SAPBEXHLevel3X 2 2 2 4 5" xfId="49583"/>
    <cellStyle name="SAPBEXHLevel3X 2 2 2 4 6" xfId="49584"/>
    <cellStyle name="SAPBEXHLevel3X 2 2 2 4 7" xfId="49585"/>
    <cellStyle name="SAPBEXHLevel3X 2 2 2 4 8" xfId="49586"/>
    <cellStyle name="SAPBEXHLevel3X 2 2 2 5" xfId="49587"/>
    <cellStyle name="SAPBEXHLevel3X 2 2 2 5 2" xfId="49588"/>
    <cellStyle name="SAPBEXHLevel3X 2 2 2 5 2 2" xfId="49589"/>
    <cellStyle name="SAPBEXHLevel3X 2 2 2 5 2 3" xfId="49590"/>
    <cellStyle name="SAPBEXHLevel3X 2 2 2 5 2 4" xfId="49591"/>
    <cellStyle name="SAPBEXHLevel3X 2 2 2 5 3" xfId="49592"/>
    <cellStyle name="SAPBEXHLevel3X 2 2 2 5 3 2" xfId="49593"/>
    <cellStyle name="SAPBEXHLevel3X 2 2 2 5 3 3" xfId="49594"/>
    <cellStyle name="SAPBEXHLevel3X 2 2 2 5 3 4" xfId="49595"/>
    <cellStyle name="SAPBEXHLevel3X 2 2 2 5 4" xfId="49596"/>
    <cellStyle name="SAPBEXHLevel3X 2 2 2 5 4 2" xfId="49597"/>
    <cellStyle name="SAPBEXHLevel3X 2 2 2 5 4 3" xfId="49598"/>
    <cellStyle name="SAPBEXHLevel3X 2 2 2 5 4 4" xfId="49599"/>
    <cellStyle name="SAPBEXHLevel3X 2 2 2 5 5" xfId="49600"/>
    <cellStyle name="SAPBEXHLevel3X 2 2 2 5 6" xfId="49601"/>
    <cellStyle name="SAPBEXHLevel3X 2 2 2 5 7" xfId="49602"/>
    <cellStyle name="SAPBEXHLevel3X 2 2 2 5 8" xfId="49603"/>
    <cellStyle name="SAPBEXHLevel3X 2 2 2 6" xfId="49604"/>
    <cellStyle name="SAPBEXHLevel3X 2 2 2 6 2" xfId="49605"/>
    <cellStyle name="SAPBEXHLevel3X 2 2 2 6 3" xfId="49606"/>
    <cellStyle name="SAPBEXHLevel3X 2 2 2 6 4" xfId="49607"/>
    <cellStyle name="SAPBEXHLevel3X 2 2 2 7" xfId="49608"/>
    <cellStyle name="SAPBEXHLevel3X 2 2 2 7 2" xfId="49609"/>
    <cellStyle name="SAPBEXHLevel3X 2 2 2 7 3" xfId="49610"/>
    <cellStyle name="SAPBEXHLevel3X 2 2 2 7 4" xfId="49611"/>
    <cellStyle name="SAPBEXHLevel3X 2 2 2 8" xfId="49612"/>
    <cellStyle name="SAPBEXHLevel3X 2 2 2 9" xfId="49613"/>
    <cellStyle name="SAPBEXHLevel3X 2 2 3" xfId="49614"/>
    <cellStyle name="SAPBEXHLevel3X 2 2 3 2" xfId="49615"/>
    <cellStyle name="SAPBEXHLevel3X 2 2 3 2 2" xfId="49616"/>
    <cellStyle name="SAPBEXHLevel3X 2 2 3 2 3" xfId="49617"/>
    <cellStyle name="SAPBEXHLevel3X 2 2 3 2 4" xfId="49618"/>
    <cellStyle name="SAPBEXHLevel3X 2 2 3 3" xfId="49619"/>
    <cellStyle name="SAPBEXHLevel3X 2 2 3 3 2" xfId="49620"/>
    <cellStyle name="SAPBEXHLevel3X 2 2 3 3 3" xfId="49621"/>
    <cellStyle name="SAPBEXHLevel3X 2 2 3 3 4" xfId="49622"/>
    <cellStyle name="SAPBEXHLevel3X 2 2 3 4" xfId="49623"/>
    <cellStyle name="SAPBEXHLevel3X 2 2 3 4 2" xfId="49624"/>
    <cellStyle name="SAPBEXHLevel3X 2 2 3 4 3" xfId="49625"/>
    <cellStyle name="SAPBEXHLevel3X 2 2 3 4 4" xfId="49626"/>
    <cellStyle name="SAPBEXHLevel3X 2 2 3 5" xfId="49627"/>
    <cellStyle name="SAPBEXHLevel3X 2 2 3 6" xfId="49628"/>
    <cellStyle name="SAPBEXHLevel3X 2 2 3 7" xfId="49629"/>
    <cellStyle name="SAPBEXHLevel3X 2 2 3 8" xfId="49630"/>
    <cellStyle name="SAPBEXHLevel3X 2 2 4" xfId="49631"/>
    <cellStyle name="SAPBEXHLevel3X 2 2 4 2" xfId="49632"/>
    <cellStyle name="SAPBEXHLevel3X 2 2 4 2 2" xfId="49633"/>
    <cellStyle name="SAPBEXHLevel3X 2 2 4 2 3" xfId="49634"/>
    <cellStyle name="SAPBEXHLevel3X 2 2 4 2 4" xfId="49635"/>
    <cellStyle name="SAPBEXHLevel3X 2 2 4 3" xfId="49636"/>
    <cellStyle name="SAPBEXHLevel3X 2 2 4 3 2" xfId="49637"/>
    <cellStyle name="SAPBEXHLevel3X 2 2 4 3 3" xfId="49638"/>
    <cellStyle name="SAPBEXHLevel3X 2 2 4 3 4" xfId="49639"/>
    <cellStyle name="SAPBEXHLevel3X 2 2 4 4" xfId="49640"/>
    <cellStyle name="SAPBEXHLevel3X 2 2 4 4 2" xfId="49641"/>
    <cellStyle name="SAPBEXHLevel3X 2 2 4 4 3" xfId="49642"/>
    <cellStyle name="SAPBEXHLevel3X 2 2 4 4 4" xfId="49643"/>
    <cellStyle name="SAPBEXHLevel3X 2 2 4 5" xfId="49644"/>
    <cellStyle name="SAPBEXHLevel3X 2 2 4 6" xfId="49645"/>
    <cellStyle name="SAPBEXHLevel3X 2 2 4 7" xfId="49646"/>
    <cellStyle name="SAPBEXHLevel3X 2 2 4 8" xfId="49647"/>
    <cellStyle name="SAPBEXHLevel3X 2 2 5" xfId="49648"/>
    <cellStyle name="SAPBEXHLevel3X 2 2 5 2" xfId="49649"/>
    <cellStyle name="SAPBEXHLevel3X 2 2 5 2 2" xfId="49650"/>
    <cellStyle name="SAPBEXHLevel3X 2 2 5 2 3" xfId="49651"/>
    <cellStyle name="SAPBEXHLevel3X 2 2 5 2 4" xfId="49652"/>
    <cellStyle name="SAPBEXHLevel3X 2 2 5 3" xfId="49653"/>
    <cellStyle name="SAPBEXHLevel3X 2 2 5 3 2" xfId="49654"/>
    <cellStyle name="SAPBEXHLevel3X 2 2 5 3 3" xfId="49655"/>
    <cellStyle name="SAPBEXHLevel3X 2 2 5 3 4" xfId="49656"/>
    <cellStyle name="SAPBEXHLevel3X 2 2 5 4" xfId="49657"/>
    <cellStyle name="SAPBEXHLevel3X 2 2 5 4 2" xfId="49658"/>
    <cellStyle name="SAPBEXHLevel3X 2 2 5 4 3" xfId="49659"/>
    <cellStyle name="SAPBEXHLevel3X 2 2 5 4 4" xfId="49660"/>
    <cellStyle name="SAPBEXHLevel3X 2 2 5 5" xfId="49661"/>
    <cellStyle name="SAPBEXHLevel3X 2 2 5 6" xfId="49662"/>
    <cellStyle name="SAPBEXHLevel3X 2 2 5 7" xfId="49663"/>
    <cellStyle name="SAPBEXHLevel3X 2 2 5 8" xfId="49664"/>
    <cellStyle name="SAPBEXHLevel3X 2 2 6" xfId="49665"/>
    <cellStyle name="SAPBEXHLevel3X 2 2 6 2" xfId="49666"/>
    <cellStyle name="SAPBEXHLevel3X 2 2 6 2 2" xfId="49667"/>
    <cellStyle name="SAPBEXHLevel3X 2 2 6 2 3" xfId="49668"/>
    <cellStyle name="SAPBEXHLevel3X 2 2 6 2 4" xfId="49669"/>
    <cellStyle name="SAPBEXHLevel3X 2 2 6 3" xfId="49670"/>
    <cellStyle name="SAPBEXHLevel3X 2 2 6 3 2" xfId="49671"/>
    <cellStyle name="SAPBEXHLevel3X 2 2 6 3 3" xfId="49672"/>
    <cellStyle name="SAPBEXHLevel3X 2 2 6 3 4" xfId="49673"/>
    <cellStyle name="SAPBEXHLevel3X 2 2 6 4" xfId="49674"/>
    <cellStyle name="SAPBEXHLevel3X 2 2 6 4 2" xfId="49675"/>
    <cellStyle name="SAPBEXHLevel3X 2 2 6 4 3" xfId="49676"/>
    <cellStyle name="SAPBEXHLevel3X 2 2 6 4 4" xfId="49677"/>
    <cellStyle name="SAPBEXHLevel3X 2 2 6 5" xfId="49678"/>
    <cellStyle name="SAPBEXHLevel3X 2 2 6 6" xfId="49679"/>
    <cellStyle name="SAPBEXHLevel3X 2 2 6 7" xfId="49680"/>
    <cellStyle name="SAPBEXHLevel3X 2 2 6 8" xfId="49681"/>
    <cellStyle name="SAPBEXHLevel3X 2 2 7" xfId="49682"/>
    <cellStyle name="SAPBEXHLevel3X 2 2 7 2" xfId="49683"/>
    <cellStyle name="SAPBEXHLevel3X 2 2 7 2 2" xfId="49684"/>
    <cellStyle name="SAPBEXHLevel3X 2 2 7 2 3" xfId="49685"/>
    <cellStyle name="SAPBEXHLevel3X 2 2 7 2 4" xfId="49686"/>
    <cellStyle name="SAPBEXHLevel3X 2 2 7 3" xfId="49687"/>
    <cellStyle name="SAPBEXHLevel3X 2 2 7 3 2" xfId="49688"/>
    <cellStyle name="SAPBEXHLevel3X 2 2 7 3 3" xfId="49689"/>
    <cellStyle name="SAPBEXHLevel3X 2 2 7 3 4" xfId="49690"/>
    <cellStyle name="SAPBEXHLevel3X 2 2 7 4" xfId="49691"/>
    <cellStyle name="SAPBEXHLevel3X 2 2 7 4 2" xfId="49692"/>
    <cellStyle name="SAPBEXHLevel3X 2 2 7 4 3" xfId="49693"/>
    <cellStyle name="SAPBEXHLevel3X 2 2 7 4 4" xfId="49694"/>
    <cellStyle name="SAPBEXHLevel3X 2 2 7 5" xfId="49695"/>
    <cellStyle name="SAPBEXHLevel3X 2 2 7 6" xfId="49696"/>
    <cellStyle name="SAPBEXHLevel3X 2 2 7 7" xfId="49697"/>
    <cellStyle name="SAPBEXHLevel3X 2 2 7 8" xfId="49698"/>
    <cellStyle name="SAPBEXHLevel3X 2 2 8" xfId="49699"/>
    <cellStyle name="SAPBEXHLevel3X 2 2 8 2" xfId="49700"/>
    <cellStyle name="SAPBEXHLevel3X 2 2 8 3" xfId="49701"/>
    <cellStyle name="SAPBEXHLevel3X 2 2 8 4" xfId="49702"/>
    <cellStyle name="SAPBEXHLevel3X 2 2 9" xfId="49703"/>
    <cellStyle name="SAPBEXHLevel3X 2 2 9 2" xfId="49704"/>
    <cellStyle name="SAPBEXHLevel3X 2 2 9 3" xfId="49705"/>
    <cellStyle name="SAPBEXHLevel3X 2 2 9 4" xfId="49706"/>
    <cellStyle name="SAPBEXHLevel3X 2 3" xfId="49707"/>
    <cellStyle name="SAPBEXHLevel3X 2 3 10" xfId="49708"/>
    <cellStyle name="SAPBEXHLevel3X 2 3 11" xfId="49709"/>
    <cellStyle name="SAPBEXHLevel3X 2 3 2" xfId="49710"/>
    <cellStyle name="SAPBEXHLevel3X 2 3 2 2" xfId="49711"/>
    <cellStyle name="SAPBEXHLevel3X 2 3 2 2 2" xfId="49712"/>
    <cellStyle name="SAPBEXHLevel3X 2 3 2 2 2 2" xfId="49713"/>
    <cellStyle name="SAPBEXHLevel3X 2 3 2 2 2 3" xfId="49714"/>
    <cellStyle name="SAPBEXHLevel3X 2 3 2 2 2 4" xfId="49715"/>
    <cellStyle name="SAPBEXHLevel3X 2 3 2 2 3" xfId="49716"/>
    <cellStyle name="SAPBEXHLevel3X 2 3 2 2 3 2" xfId="49717"/>
    <cellStyle name="SAPBEXHLevel3X 2 3 2 2 3 3" xfId="49718"/>
    <cellStyle name="SAPBEXHLevel3X 2 3 2 2 3 4" xfId="49719"/>
    <cellStyle name="SAPBEXHLevel3X 2 3 2 2 4" xfId="49720"/>
    <cellStyle name="SAPBEXHLevel3X 2 3 2 2 4 2" xfId="49721"/>
    <cellStyle name="SAPBEXHLevel3X 2 3 2 2 4 3" xfId="49722"/>
    <cellStyle name="SAPBEXHLevel3X 2 3 2 2 4 4" xfId="49723"/>
    <cellStyle name="SAPBEXHLevel3X 2 3 2 2 5" xfId="49724"/>
    <cellStyle name="SAPBEXHLevel3X 2 3 2 2 6" xfId="49725"/>
    <cellStyle name="SAPBEXHLevel3X 2 3 2 2 7" xfId="49726"/>
    <cellStyle name="SAPBEXHLevel3X 2 3 2 2 8" xfId="49727"/>
    <cellStyle name="SAPBEXHLevel3X 2 3 2 3" xfId="49728"/>
    <cellStyle name="SAPBEXHLevel3X 2 3 2 3 2" xfId="49729"/>
    <cellStyle name="SAPBEXHLevel3X 2 3 2 3 2 2" xfId="49730"/>
    <cellStyle name="SAPBEXHLevel3X 2 3 2 3 2 3" xfId="49731"/>
    <cellStyle name="SAPBEXHLevel3X 2 3 2 3 2 4" xfId="49732"/>
    <cellStyle name="SAPBEXHLevel3X 2 3 2 3 3" xfId="49733"/>
    <cellStyle name="SAPBEXHLevel3X 2 3 2 3 3 2" xfId="49734"/>
    <cellStyle name="SAPBEXHLevel3X 2 3 2 3 3 3" xfId="49735"/>
    <cellStyle name="SAPBEXHLevel3X 2 3 2 3 3 4" xfId="49736"/>
    <cellStyle name="SAPBEXHLevel3X 2 3 2 3 4" xfId="49737"/>
    <cellStyle name="SAPBEXHLevel3X 2 3 2 3 4 2" xfId="49738"/>
    <cellStyle name="SAPBEXHLevel3X 2 3 2 3 4 3" xfId="49739"/>
    <cellStyle name="SAPBEXHLevel3X 2 3 2 3 4 4" xfId="49740"/>
    <cellStyle name="SAPBEXHLevel3X 2 3 2 3 5" xfId="49741"/>
    <cellStyle name="SAPBEXHLevel3X 2 3 2 3 6" xfId="49742"/>
    <cellStyle name="SAPBEXHLevel3X 2 3 2 3 7" xfId="49743"/>
    <cellStyle name="SAPBEXHLevel3X 2 3 2 3 8" xfId="49744"/>
    <cellStyle name="SAPBEXHLevel3X 2 3 2 4" xfId="49745"/>
    <cellStyle name="SAPBEXHLevel3X 2 3 2 4 2" xfId="49746"/>
    <cellStyle name="SAPBEXHLevel3X 2 3 2 4 2 2" xfId="49747"/>
    <cellStyle name="SAPBEXHLevel3X 2 3 2 4 2 3" xfId="49748"/>
    <cellStyle name="SAPBEXHLevel3X 2 3 2 4 2 4" xfId="49749"/>
    <cellStyle name="SAPBEXHLevel3X 2 3 2 4 3" xfId="49750"/>
    <cellStyle name="SAPBEXHLevel3X 2 3 2 4 3 2" xfId="49751"/>
    <cellStyle name="SAPBEXHLevel3X 2 3 2 4 3 3" xfId="49752"/>
    <cellStyle name="SAPBEXHLevel3X 2 3 2 4 3 4" xfId="49753"/>
    <cellStyle name="SAPBEXHLevel3X 2 3 2 4 4" xfId="49754"/>
    <cellStyle name="SAPBEXHLevel3X 2 3 2 4 4 2" xfId="49755"/>
    <cellStyle name="SAPBEXHLevel3X 2 3 2 4 4 3" xfId="49756"/>
    <cellStyle name="SAPBEXHLevel3X 2 3 2 4 4 4" xfId="49757"/>
    <cellStyle name="SAPBEXHLevel3X 2 3 2 4 5" xfId="49758"/>
    <cellStyle name="SAPBEXHLevel3X 2 3 2 4 6" xfId="49759"/>
    <cellStyle name="SAPBEXHLevel3X 2 3 2 4 7" xfId="49760"/>
    <cellStyle name="SAPBEXHLevel3X 2 3 2 4 8" xfId="49761"/>
    <cellStyle name="SAPBEXHLevel3X 2 3 2 5" xfId="49762"/>
    <cellStyle name="SAPBEXHLevel3X 2 3 2 5 2" xfId="49763"/>
    <cellStyle name="SAPBEXHLevel3X 2 3 2 5 2 2" xfId="49764"/>
    <cellStyle name="SAPBEXHLevel3X 2 3 2 5 2 3" xfId="49765"/>
    <cellStyle name="SAPBEXHLevel3X 2 3 2 5 2 4" xfId="49766"/>
    <cellStyle name="SAPBEXHLevel3X 2 3 2 5 3" xfId="49767"/>
    <cellStyle name="SAPBEXHLevel3X 2 3 2 5 3 2" xfId="49768"/>
    <cellStyle name="SAPBEXHLevel3X 2 3 2 5 3 3" xfId="49769"/>
    <cellStyle name="SAPBEXHLevel3X 2 3 2 5 3 4" xfId="49770"/>
    <cellStyle name="SAPBEXHLevel3X 2 3 2 5 4" xfId="49771"/>
    <cellStyle name="SAPBEXHLevel3X 2 3 2 5 4 2" xfId="49772"/>
    <cellStyle name="SAPBEXHLevel3X 2 3 2 5 4 3" xfId="49773"/>
    <cellStyle name="SAPBEXHLevel3X 2 3 2 5 4 4" xfId="49774"/>
    <cellStyle name="SAPBEXHLevel3X 2 3 2 5 5" xfId="49775"/>
    <cellStyle name="SAPBEXHLevel3X 2 3 2 5 6" xfId="49776"/>
    <cellStyle name="SAPBEXHLevel3X 2 3 2 5 7" xfId="49777"/>
    <cellStyle name="SAPBEXHLevel3X 2 3 2 5 8" xfId="49778"/>
    <cellStyle name="SAPBEXHLevel3X 2 3 2 6" xfId="49779"/>
    <cellStyle name="SAPBEXHLevel3X 2 3 2 6 2" xfId="49780"/>
    <cellStyle name="SAPBEXHLevel3X 2 3 2 6 3" xfId="49781"/>
    <cellStyle name="SAPBEXHLevel3X 2 3 2 6 4" xfId="49782"/>
    <cellStyle name="SAPBEXHLevel3X 2 3 2 7" xfId="49783"/>
    <cellStyle name="SAPBEXHLevel3X 2 3 2 7 2" xfId="49784"/>
    <cellStyle name="SAPBEXHLevel3X 2 3 2 7 3" xfId="49785"/>
    <cellStyle name="SAPBEXHLevel3X 2 3 2 7 4" xfId="49786"/>
    <cellStyle name="SAPBEXHLevel3X 2 3 2 8" xfId="49787"/>
    <cellStyle name="SAPBEXHLevel3X 2 3 2 9" xfId="49788"/>
    <cellStyle name="SAPBEXHLevel3X 2 3 3" xfId="49789"/>
    <cellStyle name="SAPBEXHLevel3X 2 3 3 2" xfId="49790"/>
    <cellStyle name="SAPBEXHLevel3X 2 3 3 2 2" xfId="49791"/>
    <cellStyle name="SAPBEXHLevel3X 2 3 3 2 3" xfId="49792"/>
    <cellStyle name="SAPBEXHLevel3X 2 3 3 2 4" xfId="49793"/>
    <cellStyle name="SAPBEXHLevel3X 2 3 3 3" xfId="49794"/>
    <cellStyle name="SAPBEXHLevel3X 2 3 3 3 2" xfId="49795"/>
    <cellStyle name="SAPBEXHLevel3X 2 3 3 3 3" xfId="49796"/>
    <cellStyle name="SAPBEXHLevel3X 2 3 3 3 4" xfId="49797"/>
    <cellStyle name="SAPBEXHLevel3X 2 3 3 4" xfId="49798"/>
    <cellStyle name="SAPBEXHLevel3X 2 3 3 4 2" xfId="49799"/>
    <cellStyle name="SAPBEXHLevel3X 2 3 3 4 3" xfId="49800"/>
    <cellStyle name="SAPBEXHLevel3X 2 3 3 4 4" xfId="49801"/>
    <cellStyle name="SAPBEXHLevel3X 2 3 3 5" xfId="49802"/>
    <cellStyle name="SAPBEXHLevel3X 2 3 3 6" xfId="49803"/>
    <cellStyle name="SAPBEXHLevel3X 2 3 3 7" xfId="49804"/>
    <cellStyle name="SAPBEXHLevel3X 2 3 3 8" xfId="49805"/>
    <cellStyle name="SAPBEXHLevel3X 2 3 4" xfId="49806"/>
    <cellStyle name="SAPBEXHLevel3X 2 3 4 2" xfId="49807"/>
    <cellStyle name="SAPBEXHLevel3X 2 3 4 2 2" xfId="49808"/>
    <cellStyle name="SAPBEXHLevel3X 2 3 4 2 3" xfId="49809"/>
    <cellStyle name="SAPBEXHLevel3X 2 3 4 2 4" xfId="49810"/>
    <cellStyle name="SAPBEXHLevel3X 2 3 4 3" xfId="49811"/>
    <cellStyle name="SAPBEXHLevel3X 2 3 4 3 2" xfId="49812"/>
    <cellStyle name="SAPBEXHLevel3X 2 3 4 3 3" xfId="49813"/>
    <cellStyle name="SAPBEXHLevel3X 2 3 4 3 4" xfId="49814"/>
    <cellStyle name="SAPBEXHLevel3X 2 3 4 4" xfId="49815"/>
    <cellStyle name="SAPBEXHLevel3X 2 3 4 4 2" xfId="49816"/>
    <cellStyle name="SAPBEXHLevel3X 2 3 4 4 3" xfId="49817"/>
    <cellStyle name="SAPBEXHLevel3X 2 3 4 4 4" xfId="49818"/>
    <cellStyle name="SAPBEXHLevel3X 2 3 4 5" xfId="49819"/>
    <cellStyle name="SAPBEXHLevel3X 2 3 4 6" xfId="49820"/>
    <cellStyle name="SAPBEXHLevel3X 2 3 4 7" xfId="49821"/>
    <cellStyle name="SAPBEXHLevel3X 2 3 4 8" xfId="49822"/>
    <cellStyle name="SAPBEXHLevel3X 2 3 5" xfId="49823"/>
    <cellStyle name="SAPBEXHLevel3X 2 3 5 2" xfId="49824"/>
    <cellStyle name="SAPBEXHLevel3X 2 3 5 2 2" xfId="49825"/>
    <cellStyle name="SAPBEXHLevel3X 2 3 5 2 3" xfId="49826"/>
    <cellStyle name="SAPBEXHLevel3X 2 3 5 2 4" xfId="49827"/>
    <cellStyle name="SAPBEXHLevel3X 2 3 5 3" xfId="49828"/>
    <cellStyle name="SAPBEXHLevel3X 2 3 5 3 2" xfId="49829"/>
    <cellStyle name="SAPBEXHLevel3X 2 3 5 3 3" xfId="49830"/>
    <cellStyle name="SAPBEXHLevel3X 2 3 5 3 4" xfId="49831"/>
    <cellStyle name="SAPBEXHLevel3X 2 3 5 4" xfId="49832"/>
    <cellStyle name="SAPBEXHLevel3X 2 3 5 4 2" xfId="49833"/>
    <cellStyle name="SAPBEXHLevel3X 2 3 5 4 3" xfId="49834"/>
    <cellStyle name="SAPBEXHLevel3X 2 3 5 4 4" xfId="49835"/>
    <cellStyle name="SAPBEXHLevel3X 2 3 5 5" xfId="49836"/>
    <cellStyle name="SAPBEXHLevel3X 2 3 5 6" xfId="49837"/>
    <cellStyle name="SAPBEXHLevel3X 2 3 5 7" xfId="49838"/>
    <cellStyle name="SAPBEXHLevel3X 2 3 5 8" xfId="49839"/>
    <cellStyle name="SAPBEXHLevel3X 2 3 6" xfId="49840"/>
    <cellStyle name="SAPBEXHLevel3X 2 3 6 2" xfId="49841"/>
    <cellStyle name="SAPBEXHLevel3X 2 3 6 2 2" xfId="49842"/>
    <cellStyle name="SAPBEXHLevel3X 2 3 6 2 3" xfId="49843"/>
    <cellStyle name="SAPBEXHLevel3X 2 3 6 2 4" xfId="49844"/>
    <cellStyle name="SAPBEXHLevel3X 2 3 6 3" xfId="49845"/>
    <cellStyle name="SAPBEXHLevel3X 2 3 6 3 2" xfId="49846"/>
    <cellStyle name="SAPBEXHLevel3X 2 3 6 3 3" xfId="49847"/>
    <cellStyle name="SAPBEXHLevel3X 2 3 6 3 4" xfId="49848"/>
    <cellStyle name="SAPBEXHLevel3X 2 3 6 4" xfId="49849"/>
    <cellStyle name="SAPBEXHLevel3X 2 3 6 4 2" xfId="49850"/>
    <cellStyle name="SAPBEXHLevel3X 2 3 6 4 3" xfId="49851"/>
    <cellStyle name="SAPBEXHLevel3X 2 3 6 4 4" xfId="49852"/>
    <cellStyle name="SAPBEXHLevel3X 2 3 6 5" xfId="49853"/>
    <cellStyle name="SAPBEXHLevel3X 2 3 6 6" xfId="49854"/>
    <cellStyle name="SAPBEXHLevel3X 2 3 6 7" xfId="49855"/>
    <cellStyle name="SAPBEXHLevel3X 2 3 6 8" xfId="49856"/>
    <cellStyle name="SAPBEXHLevel3X 2 3 7" xfId="49857"/>
    <cellStyle name="SAPBEXHLevel3X 2 3 7 2" xfId="49858"/>
    <cellStyle name="SAPBEXHLevel3X 2 3 7 2 2" xfId="49859"/>
    <cellStyle name="SAPBEXHLevel3X 2 3 7 2 3" xfId="49860"/>
    <cellStyle name="SAPBEXHLevel3X 2 3 7 2 4" xfId="49861"/>
    <cellStyle name="SAPBEXHLevel3X 2 3 7 3" xfId="49862"/>
    <cellStyle name="SAPBEXHLevel3X 2 3 7 3 2" xfId="49863"/>
    <cellStyle name="SAPBEXHLevel3X 2 3 7 3 3" xfId="49864"/>
    <cellStyle name="SAPBEXHLevel3X 2 3 7 3 4" xfId="49865"/>
    <cellStyle name="SAPBEXHLevel3X 2 3 7 4" xfId="49866"/>
    <cellStyle name="SAPBEXHLevel3X 2 3 7 4 2" xfId="49867"/>
    <cellStyle name="SAPBEXHLevel3X 2 3 7 4 3" xfId="49868"/>
    <cellStyle name="SAPBEXHLevel3X 2 3 7 4 4" xfId="49869"/>
    <cellStyle name="SAPBEXHLevel3X 2 3 7 5" xfId="49870"/>
    <cellStyle name="SAPBEXHLevel3X 2 3 7 6" xfId="49871"/>
    <cellStyle name="SAPBEXHLevel3X 2 3 7 7" xfId="49872"/>
    <cellStyle name="SAPBEXHLevel3X 2 3 7 8" xfId="49873"/>
    <cellStyle name="SAPBEXHLevel3X 2 3 8" xfId="49874"/>
    <cellStyle name="SAPBEXHLevel3X 2 3 8 2" xfId="49875"/>
    <cellStyle name="SAPBEXHLevel3X 2 3 8 3" xfId="49876"/>
    <cellStyle name="SAPBEXHLevel3X 2 3 8 4" xfId="49877"/>
    <cellStyle name="SAPBEXHLevel3X 2 3 9" xfId="49878"/>
    <cellStyle name="SAPBEXHLevel3X 2 3 9 2" xfId="49879"/>
    <cellStyle name="SAPBEXHLevel3X 2 3 9 3" xfId="49880"/>
    <cellStyle name="SAPBEXHLevel3X 2 3 9 4" xfId="49881"/>
    <cellStyle name="SAPBEXHLevel3X 2 4" xfId="49882"/>
    <cellStyle name="SAPBEXHLevel3X 2 4 2" xfId="49883"/>
    <cellStyle name="SAPBEXHLevel3X 2 4 2 2" xfId="49884"/>
    <cellStyle name="SAPBEXHLevel3X 2 4 2 2 2" xfId="49885"/>
    <cellStyle name="SAPBEXHLevel3X 2 4 2 2 3" xfId="49886"/>
    <cellStyle name="SAPBEXHLevel3X 2 4 2 2 4" xfId="49887"/>
    <cellStyle name="SAPBEXHLevel3X 2 4 2 3" xfId="49888"/>
    <cellStyle name="SAPBEXHLevel3X 2 4 2 3 2" xfId="49889"/>
    <cellStyle name="SAPBEXHLevel3X 2 4 2 3 3" xfId="49890"/>
    <cellStyle name="SAPBEXHLevel3X 2 4 2 3 4" xfId="49891"/>
    <cellStyle name="SAPBEXHLevel3X 2 4 2 4" xfId="49892"/>
    <cellStyle name="SAPBEXHLevel3X 2 4 2 4 2" xfId="49893"/>
    <cellStyle name="SAPBEXHLevel3X 2 4 2 4 3" xfId="49894"/>
    <cellStyle name="SAPBEXHLevel3X 2 4 2 4 4" xfId="49895"/>
    <cellStyle name="SAPBEXHLevel3X 2 4 2 5" xfId="49896"/>
    <cellStyle name="SAPBEXHLevel3X 2 4 2 6" xfId="49897"/>
    <cellStyle name="SAPBEXHLevel3X 2 4 2 7" xfId="49898"/>
    <cellStyle name="SAPBEXHLevel3X 2 4 2 8" xfId="49899"/>
    <cellStyle name="SAPBEXHLevel3X 2 4 3" xfId="49900"/>
    <cellStyle name="SAPBEXHLevel3X 2 4 3 2" xfId="49901"/>
    <cellStyle name="SAPBEXHLevel3X 2 4 3 2 2" xfId="49902"/>
    <cellStyle name="SAPBEXHLevel3X 2 4 3 2 3" xfId="49903"/>
    <cellStyle name="SAPBEXHLevel3X 2 4 3 2 4" xfId="49904"/>
    <cellStyle name="SAPBEXHLevel3X 2 4 3 3" xfId="49905"/>
    <cellStyle name="SAPBEXHLevel3X 2 4 3 3 2" xfId="49906"/>
    <cellStyle name="SAPBEXHLevel3X 2 4 3 3 3" xfId="49907"/>
    <cellStyle name="SAPBEXHLevel3X 2 4 3 3 4" xfId="49908"/>
    <cellStyle name="SAPBEXHLevel3X 2 4 3 4" xfId="49909"/>
    <cellStyle name="SAPBEXHLevel3X 2 4 3 4 2" xfId="49910"/>
    <cellStyle name="SAPBEXHLevel3X 2 4 3 4 3" xfId="49911"/>
    <cellStyle name="SAPBEXHLevel3X 2 4 3 4 4" xfId="49912"/>
    <cellStyle name="SAPBEXHLevel3X 2 4 3 5" xfId="49913"/>
    <cellStyle name="SAPBEXHLevel3X 2 4 3 6" xfId="49914"/>
    <cellStyle name="SAPBEXHLevel3X 2 4 3 7" xfId="49915"/>
    <cellStyle name="SAPBEXHLevel3X 2 4 3 8" xfId="49916"/>
    <cellStyle name="SAPBEXHLevel3X 2 4 4" xfId="49917"/>
    <cellStyle name="SAPBEXHLevel3X 2 4 4 2" xfId="49918"/>
    <cellStyle name="SAPBEXHLevel3X 2 4 4 2 2" xfId="49919"/>
    <cellStyle name="SAPBEXHLevel3X 2 4 4 2 3" xfId="49920"/>
    <cellStyle name="SAPBEXHLevel3X 2 4 4 2 4" xfId="49921"/>
    <cellStyle name="SAPBEXHLevel3X 2 4 4 3" xfId="49922"/>
    <cellStyle name="SAPBEXHLevel3X 2 4 4 3 2" xfId="49923"/>
    <cellStyle name="SAPBEXHLevel3X 2 4 4 3 3" xfId="49924"/>
    <cellStyle name="SAPBEXHLevel3X 2 4 4 3 4" xfId="49925"/>
    <cellStyle name="SAPBEXHLevel3X 2 4 4 4" xfId="49926"/>
    <cellStyle name="SAPBEXHLevel3X 2 4 4 4 2" xfId="49927"/>
    <cellStyle name="SAPBEXHLevel3X 2 4 4 4 3" xfId="49928"/>
    <cellStyle name="SAPBEXHLevel3X 2 4 4 4 4" xfId="49929"/>
    <cellStyle name="SAPBEXHLevel3X 2 4 4 5" xfId="49930"/>
    <cellStyle name="SAPBEXHLevel3X 2 4 4 6" xfId="49931"/>
    <cellStyle name="SAPBEXHLevel3X 2 4 4 7" xfId="49932"/>
    <cellStyle name="SAPBEXHLevel3X 2 4 4 8" xfId="49933"/>
    <cellStyle name="SAPBEXHLevel3X 2 4 5" xfId="49934"/>
    <cellStyle name="SAPBEXHLevel3X 2 4 5 2" xfId="49935"/>
    <cellStyle name="SAPBEXHLevel3X 2 4 5 2 2" xfId="49936"/>
    <cellStyle name="SAPBEXHLevel3X 2 4 5 2 3" xfId="49937"/>
    <cellStyle name="SAPBEXHLevel3X 2 4 5 2 4" xfId="49938"/>
    <cellStyle name="SAPBEXHLevel3X 2 4 5 3" xfId="49939"/>
    <cellStyle name="SAPBEXHLevel3X 2 4 5 3 2" xfId="49940"/>
    <cellStyle name="SAPBEXHLevel3X 2 4 5 3 3" xfId="49941"/>
    <cellStyle name="SAPBEXHLevel3X 2 4 5 3 4" xfId="49942"/>
    <cellStyle name="SAPBEXHLevel3X 2 4 5 4" xfId="49943"/>
    <cellStyle name="SAPBEXHLevel3X 2 4 5 4 2" xfId="49944"/>
    <cellStyle name="SAPBEXHLevel3X 2 4 5 4 3" xfId="49945"/>
    <cellStyle name="SAPBEXHLevel3X 2 4 5 4 4" xfId="49946"/>
    <cellStyle name="SAPBEXHLevel3X 2 4 5 5" xfId="49947"/>
    <cellStyle name="SAPBEXHLevel3X 2 4 5 6" xfId="49948"/>
    <cellStyle name="SAPBEXHLevel3X 2 4 5 7" xfId="49949"/>
    <cellStyle name="SAPBEXHLevel3X 2 4 5 8" xfId="49950"/>
    <cellStyle name="SAPBEXHLevel3X 2 4 6" xfId="49951"/>
    <cellStyle name="SAPBEXHLevel3X 2 4 6 2" xfId="49952"/>
    <cellStyle name="SAPBEXHLevel3X 2 4 6 3" xfId="49953"/>
    <cellStyle name="SAPBEXHLevel3X 2 4 6 4" xfId="49954"/>
    <cellStyle name="SAPBEXHLevel3X 2 4 7" xfId="49955"/>
    <cellStyle name="SAPBEXHLevel3X 2 4 7 2" xfId="49956"/>
    <cellStyle name="SAPBEXHLevel3X 2 4 7 3" xfId="49957"/>
    <cellStyle name="SAPBEXHLevel3X 2 4 7 4" xfId="49958"/>
    <cellStyle name="SAPBEXHLevel3X 2 4 8" xfId="49959"/>
    <cellStyle name="SAPBEXHLevel3X 2 4 9" xfId="49960"/>
    <cellStyle name="SAPBEXHLevel3X 2 5" xfId="49961"/>
    <cellStyle name="SAPBEXHLevel3X 2 5 2" xfId="49962"/>
    <cellStyle name="SAPBEXHLevel3X 2 5 2 2" xfId="49963"/>
    <cellStyle name="SAPBEXHLevel3X 2 5 2 3" xfId="49964"/>
    <cellStyle name="SAPBEXHLevel3X 2 5 2 4" xfId="49965"/>
    <cellStyle name="SAPBEXHLevel3X 2 5 3" xfId="49966"/>
    <cellStyle name="SAPBEXHLevel3X 2 5 3 2" xfId="49967"/>
    <cellStyle name="SAPBEXHLevel3X 2 5 3 3" xfId="49968"/>
    <cellStyle name="SAPBEXHLevel3X 2 5 3 4" xfId="49969"/>
    <cellStyle name="SAPBEXHLevel3X 2 5 4" xfId="49970"/>
    <cellStyle name="SAPBEXHLevel3X 2 5 4 2" xfId="49971"/>
    <cellStyle name="SAPBEXHLevel3X 2 5 4 3" xfId="49972"/>
    <cellStyle name="SAPBEXHLevel3X 2 5 4 4" xfId="49973"/>
    <cellStyle name="SAPBEXHLevel3X 2 5 5" xfId="49974"/>
    <cellStyle name="SAPBEXHLevel3X 2 5 6" xfId="49975"/>
    <cellStyle name="SAPBEXHLevel3X 2 5 7" xfId="49976"/>
    <cellStyle name="SAPBEXHLevel3X 2 5 8" xfId="49977"/>
    <cellStyle name="SAPBEXHLevel3X 2 6" xfId="49978"/>
    <cellStyle name="SAPBEXHLevel3X 2 6 2" xfId="49979"/>
    <cellStyle name="SAPBEXHLevel3X 2 6 2 2" xfId="49980"/>
    <cellStyle name="SAPBEXHLevel3X 2 6 2 3" xfId="49981"/>
    <cellStyle name="SAPBEXHLevel3X 2 6 2 4" xfId="49982"/>
    <cellStyle name="SAPBEXHLevel3X 2 6 3" xfId="49983"/>
    <cellStyle name="SAPBEXHLevel3X 2 6 3 2" xfId="49984"/>
    <cellStyle name="SAPBEXHLevel3X 2 6 3 3" xfId="49985"/>
    <cellStyle name="SAPBEXHLevel3X 2 6 3 4" xfId="49986"/>
    <cellStyle name="SAPBEXHLevel3X 2 6 4" xfId="49987"/>
    <cellStyle name="SAPBEXHLevel3X 2 6 4 2" xfId="49988"/>
    <cellStyle name="SAPBEXHLevel3X 2 6 4 3" xfId="49989"/>
    <cellStyle name="SAPBEXHLevel3X 2 6 4 4" xfId="49990"/>
    <cellStyle name="SAPBEXHLevel3X 2 6 5" xfId="49991"/>
    <cellStyle name="SAPBEXHLevel3X 2 6 6" xfId="49992"/>
    <cellStyle name="SAPBEXHLevel3X 2 6 7" xfId="49993"/>
    <cellStyle name="SAPBEXHLevel3X 2 6 8" xfId="49994"/>
    <cellStyle name="SAPBEXHLevel3X 2 7" xfId="49995"/>
    <cellStyle name="SAPBEXHLevel3X 2 7 2" xfId="49996"/>
    <cellStyle name="SAPBEXHLevel3X 2 7 2 2" xfId="49997"/>
    <cellStyle name="SAPBEXHLevel3X 2 7 2 3" xfId="49998"/>
    <cellStyle name="SAPBEXHLevel3X 2 7 2 4" xfId="49999"/>
    <cellStyle name="SAPBEXHLevel3X 2 7 3" xfId="50000"/>
    <cellStyle name="SAPBEXHLevel3X 2 7 3 2" xfId="50001"/>
    <cellStyle name="SAPBEXHLevel3X 2 7 3 3" xfId="50002"/>
    <cellStyle name="SAPBEXHLevel3X 2 7 3 4" xfId="50003"/>
    <cellStyle name="SAPBEXHLevel3X 2 7 4" xfId="50004"/>
    <cellStyle name="SAPBEXHLevel3X 2 7 4 2" xfId="50005"/>
    <cellStyle name="SAPBEXHLevel3X 2 7 4 3" xfId="50006"/>
    <cellStyle name="SAPBEXHLevel3X 2 7 4 4" xfId="50007"/>
    <cellStyle name="SAPBEXHLevel3X 2 7 5" xfId="50008"/>
    <cellStyle name="SAPBEXHLevel3X 2 7 6" xfId="50009"/>
    <cellStyle name="SAPBEXHLevel3X 2 7 7" xfId="50010"/>
    <cellStyle name="SAPBEXHLevel3X 2 7 8" xfId="50011"/>
    <cellStyle name="SAPBEXHLevel3X 2 8" xfId="50012"/>
    <cellStyle name="SAPBEXHLevel3X 2 8 2" xfId="50013"/>
    <cellStyle name="SAPBEXHLevel3X 2 8 2 2" xfId="50014"/>
    <cellStyle name="SAPBEXHLevel3X 2 8 2 3" xfId="50015"/>
    <cellStyle name="SAPBEXHLevel3X 2 8 2 4" xfId="50016"/>
    <cellStyle name="SAPBEXHLevel3X 2 8 3" xfId="50017"/>
    <cellStyle name="SAPBEXHLevel3X 2 8 3 2" xfId="50018"/>
    <cellStyle name="SAPBEXHLevel3X 2 8 3 3" xfId="50019"/>
    <cellStyle name="SAPBEXHLevel3X 2 8 3 4" xfId="50020"/>
    <cellStyle name="SAPBEXHLevel3X 2 8 4" xfId="50021"/>
    <cellStyle name="SAPBEXHLevel3X 2 8 4 2" xfId="50022"/>
    <cellStyle name="SAPBEXHLevel3X 2 8 4 3" xfId="50023"/>
    <cellStyle name="SAPBEXHLevel3X 2 8 4 4" xfId="50024"/>
    <cellStyle name="SAPBEXHLevel3X 2 8 5" xfId="50025"/>
    <cellStyle name="SAPBEXHLevel3X 2 8 6" xfId="50026"/>
    <cellStyle name="SAPBEXHLevel3X 2 8 7" xfId="50027"/>
    <cellStyle name="SAPBEXHLevel3X 2 8 8" xfId="50028"/>
    <cellStyle name="SAPBEXHLevel3X 2 9" xfId="50029"/>
    <cellStyle name="SAPBEXHLevel3X 2 9 2" xfId="50030"/>
    <cellStyle name="SAPBEXHLevel3X 2 9 2 2" xfId="50031"/>
    <cellStyle name="SAPBEXHLevel3X 2 9 2 3" xfId="50032"/>
    <cellStyle name="SAPBEXHLevel3X 2 9 2 4" xfId="50033"/>
    <cellStyle name="SAPBEXHLevel3X 2 9 3" xfId="50034"/>
    <cellStyle name="SAPBEXHLevel3X 2 9 3 2" xfId="50035"/>
    <cellStyle name="SAPBEXHLevel3X 2 9 3 3" xfId="50036"/>
    <cellStyle name="SAPBEXHLevel3X 2 9 3 4" xfId="50037"/>
    <cellStyle name="SAPBEXHLevel3X 2 9 4" xfId="50038"/>
    <cellStyle name="SAPBEXHLevel3X 2 9 4 2" xfId="50039"/>
    <cellStyle name="SAPBEXHLevel3X 2 9 4 3" xfId="50040"/>
    <cellStyle name="SAPBEXHLevel3X 2 9 4 4" xfId="50041"/>
    <cellStyle name="SAPBEXHLevel3X 2 9 5" xfId="50042"/>
    <cellStyle name="SAPBEXHLevel3X 2 9 6" xfId="50043"/>
    <cellStyle name="SAPBEXHLevel3X 2 9 7" xfId="50044"/>
    <cellStyle name="SAPBEXHLevel3X 2 9 8" xfId="50045"/>
    <cellStyle name="SAPBEXHLevel3X 3" xfId="50046"/>
    <cellStyle name="SAPBEXHLevel3X 3 10" xfId="50047"/>
    <cellStyle name="SAPBEXHLevel3X 3 11" xfId="50048"/>
    <cellStyle name="SAPBEXHLevel3X 3 2" xfId="50049"/>
    <cellStyle name="SAPBEXHLevel3X 3 2 2" xfId="50050"/>
    <cellStyle name="SAPBEXHLevel3X 3 2 2 2" xfId="50051"/>
    <cellStyle name="SAPBEXHLevel3X 3 2 2 2 2" xfId="50052"/>
    <cellStyle name="SAPBEXHLevel3X 3 2 2 2 3" xfId="50053"/>
    <cellStyle name="SAPBEXHLevel3X 3 2 2 2 4" xfId="50054"/>
    <cellStyle name="SAPBEXHLevel3X 3 2 2 3" xfId="50055"/>
    <cellStyle name="SAPBEXHLevel3X 3 2 2 3 2" xfId="50056"/>
    <cellStyle name="SAPBEXHLevel3X 3 2 2 3 3" xfId="50057"/>
    <cellStyle name="SAPBEXHLevel3X 3 2 2 3 4" xfId="50058"/>
    <cellStyle name="SAPBEXHLevel3X 3 2 2 4" xfId="50059"/>
    <cellStyle name="SAPBEXHLevel3X 3 2 2 4 2" xfId="50060"/>
    <cellStyle name="SAPBEXHLevel3X 3 2 2 4 3" xfId="50061"/>
    <cellStyle name="SAPBEXHLevel3X 3 2 2 4 4" xfId="50062"/>
    <cellStyle name="SAPBEXHLevel3X 3 2 2 5" xfId="50063"/>
    <cellStyle name="SAPBEXHLevel3X 3 2 2 6" xfId="50064"/>
    <cellStyle name="SAPBEXHLevel3X 3 2 2 7" xfId="50065"/>
    <cellStyle name="SAPBEXHLevel3X 3 2 2 8" xfId="50066"/>
    <cellStyle name="SAPBEXHLevel3X 3 2 3" xfId="50067"/>
    <cellStyle name="SAPBEXHLevel3X 3 2 3 2" xfId="50068"/>
    <cellStyle name="SAPBEXHLevel3X 3 2 3 2 2" xfId="50069"/>
    <cellStyle name="SAPBEXHLevel3X 3 2 3 2 3" xfId="50070"/>
    <cellStyle name="SAPBEXHLevel3X 3 2 3 2 4" xfId="50071"/>
    <cellStyle name="SAPBEXHLevel3X 3 2 3 3" xfId="50072"/>
    <cellStyle name="SAPBEXHLevel3X 3 2 3 3 2" xfId="50073"/>
    <cellStyle name="SAPBEXHLevel3X 3 2 3 3 3" xfId="50074"/>
    <cellStyle name="SAPBEXHLevel3X 3 2 3 3 4" xfId="50075"/>
    <cellStyle name="SAPBEXHLevel3X 3 2 3 4" xfId="50076"/>
    <cellStyle name="SAPBEXHLevel3X 3 2 3 4 2" xfId="50077"/>
    <cellStyle name="SAPBEXHLevel3X 3 2 3 4 3" xfId="50078"/>
    <cellStyle name="SAPBEXHLevel3X 3 2 3 4 4" xfId="50079"/>
    <cellStyle name="SAPBEXHLevel3X 3 2 3 5" xfId="50080"/>
    <cellStyle name="SAPBEXHLevel3X 3 2 3 6" xfId="50081"/>
    <cellStyle name="SAPBEXHLevel3X 3 2 3 7" xfId="50082"/>
    <cellStyle name="SAPBEXHLevel3X 3 2 3 8" xfId="50083"/>
    <cellStyle name="SAPBEXHLevel3X 3 2 4" xfId="50084"/>
    <cellStyle name="SAPBEXHLevel3X 3 2 4 2" xfId="50085"/>
    <cellStyle name="SAPBEXHLevel3X 3 2 4 2 2" xfId="50086"/>
    <cellStyle name="SAPBEXHLevel3X 3 2 4 2 3" xfId="50087"/>
    <cellStyle name="SAPBEXHLevel3X 3 2 4 2 4" xfId="50088"/>
    <cellStyle name="SAPBEXHLevel3X 3 2 4 3" xfId="50089"/>
    <cellStyle name="SAPBEXHLevel3X 3 2 4 3 2" xfId="50090"/>
    <cellStyle name="SAPBEXHLevel3X 3 2 4 3 3" xfId="50091"/>
    <cellStyle name="SAPBEXHLevel3X 3 2 4 3 4" xfId="50092"/>
    <cellStyle name="SAPBEXHLevel3X 3 2 4 4" xfId="50093"/>
    <cellStyle name="SAPBEXHLevel3X 3 2 4 4 2" xfId="50094"/>
    <cellStyle name="SAPBEXHLevel3X 3 2 4 4 3" xfId="50095"/>
    <cellStyle name="SAPBEXHLevel3X 3 2 4 4 4" xfId="50096"/>
    <cellStyle name="SAPBEXHLevel3X 3 2 4 5" xfId="50097"/>
    <cellStyle name="SAPBEXHLevel3X 3 2 4 6" xfId="50098"/>
    <cellStyle name="SAPBEXHLevel3X 3 2 4 7" xfId="50099"/>
    <cellStyle name="SAPBEXHLevel3X 3 2 4 8" xfId="50100"/>
    <cellStyle name="SAPBEXHLevel3X 3 2 5" xfId="50101"/>
    <cellStyle name="SAPBEXHLevel3X 3 2 5 2" xfId="50102"/>
    <cellStyle name="SAPBEXHLevel3X 3 2 5 2 2" xfId="50103"/>
    <cellStyle name="SAPBEXHLevel3X 3 2 5 2 3" xfId="50104"/>
    <cellStyle name="SAPBEXHLevel3X 3 2 5 2 4" xfId="50105"/>
    <cellStyle name="SAPBEXHLevel3X 3 2 5 3" xfId="50106"/>
    <cellStyle name="SAPBEXHLevel3X 3 2 5 3 2" xfId="50107"/>
    <cellStyle name="SAPBEXHLevel3X 3 2 5 3 3" xfId="50108"/>
    <cellStyle name="SAPBEXHLevel3X 3 2 5 3 4" xfId="50109"/>
    <cellStyle name="SAPBEXHLevel3X 3 2 5 4" xfId="50110"/>
    <cellStyle name="SAPBEXHLevel3X 3 2 5 4 2" xfId="50111"/>
    <cellStyle name="SAPBEXHLevel3X 3 2 5 4 3" xfId="50112"/>
    <cellStyle name="SAPBEXHLevel3X 3 2 5 4 4" xfId="50113"/>
    <cellStyle name="SAPBEXHLevel3X 3 2 5 5" xfId="50114"/>
    <cellStyle name="SAPBEXHLevel3X 3 2 5 6" xfId="50115"/>
    <cellStyle name="SAPBEXHLevel3X 3 2 5 7" xfId="50116"/>
    <cellStyle name="SAPBEXHLevel3X 3 2 5 8" xfId="50117"/>
    <cellStyle name="SAPBEXHLevel3X 3 2 6" xfId="50118"/>
    <cellStyle name="SAPBEXHLevel3X 3 2 6 2" xfId="50119"/>
    <cellStyle name="SAPBEXHLevel3X 3 2 6 3" xfId="50120"/>
    <cellStyle name="SAPBEXHLevel3X 3 2 6 4" xfId="50121"/>
    <cellStyle name="SAPBEXHLevel3X 3 2 7" xfId="50122"/>
    <cellStyle name="SAPBEXHLevel3X 3 2 7 2" xfId="50123"/>
    <cellStyle name="SAPBEXHLevel3X 3 2 7 3" xfId="50124"/>
    <cellStyle name="SAPBEXHLevel3X 3 2 7 4" xfId="50125"/>
    <cellStyle name="SAPBEXHLevel3X 3 2 8" xfId="50126"/>
    <cellStyle name="SAPBEXHLevel3X 3 2 9" xfId="50127"/>
    <cellStyle name="SAPBEXHLevel3X 3 3" xfId="50128"/>
    <cellStyle name="SAPBEXHLevel3X 3 3 2" xfId="50129"/>
    <cellStyle name="SAPBEXHLevel3X 3 3 2 2" xfId="50130"/>
    <cellStyle name="SAPBEXHLevel3X 3 3 2 3" xfId="50131"/>
    <cellStyle name="SAPBEXHLevel3X 3 3 2 4" xfId="50132"/>
    <cellStyle name="SAPBEXHLevel3X 3 3 3" xfId="50133"/>
    <cellStyle name="SAPBEXHLevel3X 3 3 3 2" xfId="50134"/>
    <cellStyle name="SAPBEXHLevel3X 3 3 3 3" xfId="50135"/>
    <cellStyle name="SAPBEXHLevel3X 3 3 3 4" xfId="50136"/>
    <cellStyle name="SAPBEXHLevel3X 3 3 4" xfId="50137"/>
    <cellStyle name="SAPBEXHLevel3X 3 3 4 2" xfId="50138"/>
    <cellStyle name="SAPBEXHLevel3X 3 3 4 3" xfId="50139"/>
    <cellStyle name="SAPBEXHLevel3X 3 3 4 4" xfId="50140"/>
    <cellStyle name="SAPBEXHLevel3X 3 3 5" xfId="50141"/>
    <cellStyle name="SAPBEXHLevel3X 3 3 6" xfId="50142"/>
    <cellStyle name="SAPBEXHLevel3X 3 3 7" xfId="50143"/>
    <cellStyle name="SAPBEXHLevel3X 3 3 8" xfId="50144"/>
    <cellStyle name="SAPBEXHLevel3X 3 4" xfId="50145"/>
    <cellStyle name="SAPBEXHLevel3X 3 4 2" xfId="50146"/>
    <cellStyle name="SAPBEXHLevel3X 3 4 2 2" xfId="50147"/>
    <cellStyle name="SAPBEXHLevel3X 3 4 2 3" xfId="50148"/>
    <cellStyle name="SAPBEXHLevel3X 3 4 2 4" xfId="50149"/>
    <cellStyle name="SAPBEXHLevel3X 3 4 3" xfId="50150"/>
    <cellStyle name="SAPBEXHLevel3X 3 4 3 2" xfId="50151"/>
    <cellStyle name="SAPBEXHLevel3X 3 4 3 3" xfId="50152"/>
    <cellStyle name="SAPBEXHLevel3X 3 4 3 4" xfId="50153"/>
    <cellStyle name="SAPBEXHLevel3X 3 4 4" xfId="50154"/>
    <cellStyle name="SAPBEXHLevel3X 3 4 4 2" xfId="50155"/>
    <cellStyle name="SAPBEXHLevel3X 3 4 4 3" xfId="50156"/>
    <cellStyle name="SAPBEXHLevel3X 3 4 4 4" xfId="50157"/>
    <cellStyle name="SAPBEXHLevel3X 3 4 5" xfId="50158"/>
    <cellStyle name="SAPBEXHLevel3X 3 4 6" xfId="50159"/>
    <cellStyle name="SAPBEXHLevel3X 3 4 7" xfId="50160"/>
    <cellStyle name="SAPBEXHLevel3X 3 4 8" xfId="50161"/>
    <cellStyle name="SAPBEXHLevel3X 3 5" xfId="50162"/>
    <cellStyle name="SAPBEXHLevel3X 3 5 2" xfId="50163"/>
    <cellStyle name="SAPBEXHLevel3X 3 5 2 2" xfId="50164"/>
    <cellStyle name="SAPBEXHLevel3X 3 5 2 3" xfId="50165"/>
    <cellStyle name="SAPBEXHLevel3X 3 5 2 4" xfId="50166"/>
    <cellStyle name="SAPBEXHLevel3X 3 5 3" xfId="50167"/>
    <cellStyle name="SAPBEXHLevel3X 3 5 3 2" xfId="50168"/>
    <cellStyle name="SAPBEXHLevel3X 3 5 3 3" xfId="50169"/>
    <cellStyle name="SAPBEXHLevel3X 3 5 3 4" xfId="50170"/>
    <cellStyle name="SAPBEXHLevel3X 3 5 4" xfId="50171"/>
    <cellStyle name="SAPBEXHLevel3X 3 5 4 2" xfId="50172"/>
    <cellStyle name="SAPBEXHLevel3X 3 5 4 3" xfId="50173"/>
    <cellStyle name="SAPBEXHLevel3X 3 5 4 4" xfId="50174"/>
    <cellStyle name="SAPBEXHLevel3X 3 5 5" xfId="50175"/>
    <cellStyle name="SAPBEXHLevel3X 3 5 6" xfId="50176"/>
    <cellStyle name="SAPBEXHLevel3X 3 5 7" xfId="50177"/>
    <cellStyle name="SAPBEXHLevel3X 3 5 8" xfId="50178"/>
    <cellStyle name="SAPBEXHLevel3X 3 6" xfId="50179"/>
    <cellStyle name="SAPBEXHLevel3X 3 6 2" xfId="50180"/>
    <cellStyle name="SAPBEXHLevel3X 3 6 2 2" xfId="50181"/>
    <cellStyle name="SAPBEXHLevel3X 3 6 2 3" xfId="50182"/>
    <cellStyle name="SAPBEXHLevel3X 3 6 2 4" xfId="50183"/>
    <cellStyle name="SAPBEXHLevel3X 3 6 3" xfId="50184"/>
    <cellStyle name="SAPBEXHLevel3X 3 6 3 2" xfId="50185"/>
    <cellStyle name="SAPBEXHLevel3X 3 6 3 3" xfId="50186"/>
    <cellStyle name="SAPBEXHLevel3X 3 6 3 4" xfId="50187"/>
    <cellStyle name="SAPBEXHLevel3X 3 6 4" xfId="50188"/>
    <cellStyle name="SAPBEXHLevel3X 3 6 4 2" xfId="50189"/>
    <cellStyle name="SAPBEXHLevel3X 3 6 4 3" xfId="50190"/>
    <cellStyle name="SAPBEXHLevel3X 3 6 4 4" xfId="50191"/>
    <cellStyle name="SAPBEXHLevel3X 3 6 5" xfId="50192"/>
    <cellStyle name="SAPBEXHLevel3X 3 6 6" xfId="50193"/>
    <cellStyle name="SAPBEXHLevel3X 3 6 7" xfId="50194"/>
    <cellStyle name="SAPBEXHLevel3X 3 6 8" xfId="50195"/>
    <cellStyle name="SAPBEXHLevel3X 3 7" xfId="50196"/>
    <cellStyle name="SAPBEXHLevel3X 3 7 2" xfId="50197"/>
    <cellStyle name="SAPBEXHLevel3X 3 7 2 2" xfId="50198"/>
    <cellStyle name="SAPBEXHLevel3X 3 7 2 3" xfId="50199"/>
    <cellStyle name="SAPBEXHLevel3X 3 7 2 4" xfId="50200"/>
    <cellStyle name="SAPBEXHLevel3X 3 7 3" xfId="50201"/>
    <cellStyle name="SAPBEXHLevel3X 3 7 3 2" xfId="50202"/>
    <cellStyle name="SAPBEXHLevel3X 3 7 3 3" xfId="50203"/>
    <cellStyle name="SAPBEXHLevel3X 3 7 3 4" xfId="50204"/>
    <cellStyle name="SAPBEXHLevel3X 3 7 4" xfId="50205"/>
    <cellStyle name="SAPBEXHLevel3X 3 7 4 2" xfId="50206"/>
    <cellStyle name="SAPBEXHLevel3X 3 7 4 3" xfId="50207"/>
    <cellStyle name="SAPBEXHLevel3X 3 7 4 4" xfId="50208"/>
    <cellStyle name="SAPBEXHLevel3X 3 7 5" xfId="50209"/>
    <cellStyle name="SAPBEXHLevel3X 3 7 6" xfId="50210"/>
    <cellStyle name="SAPBEXHLevel3X 3 7 7" xfId="50211"/>
    <cellStyle name="SAPBEXHLevel3X 3 7 8" xfId="50212"/>
    <cellStyle name="SAPBEXHLevel3X 3 8" xfId="50213"/>
    <cellStyle name="SAPBEXHLevel3X 3 8 2" xfId="50214"/>
    <cellStyle name="SAPBEXHLevel3X 3 8 3" xfId="50215"/>
    <cellStyle name="SAPBEXHLevel3X 3 8 4" xfId="50216"/>
    <cellStyle name="SAPBEXHLevel3X 3 9" xfId="50217"/>
    <cellStyle name="SAPBEXHLevel3X 3 9 2" xfId="50218"/>
    <cellStyle name="SAPBEXHLevel3X 3 9 3" xfId="50219"/>
    <cellStyle name="SAPBEXHLevel3X 3 9 4" xfId="50220"/>
    <cellStyle name="SAPBEXHLevel3X 4" xfId="50221"/>
    <cellStyle name="SAPBEXHLevel3X 4 10" xfId="50222"/>
    <cellStyle name="SAPBEXHLevel3X 4 11" xfId="50223"/>
    <cellStyle name="SAPBEXHLevel3X 4 2" xfId="50224"/>
    <cellStyle name="SAPBEXHLevel3X 4 2 2" xfId="50225"/>
    <cellStyle name="SAPBEXHLevel3X 4 2 2 2" xfId="50226"/>
    <cellStyle name="SAPBEXHLevel3X 4 2 2 2 2" xfId="50227"/>
    <cellStyle name="SAPBEXHLevel3X 4 2 2 2 3" xfId="50228"/>
    <cellStyle name="SAPBEXHLevel3X 4 2 2 2 4" xfId="50229"/>
    <cellStyle name="SAPBEXHLevel3X 4 2 2 3" xfId="50230"/>
    <cellStyle name="SAPBEXHLevel3X 4 2 2 3 2" xfId="50231"/>
    <cellStyle name="SAPBEXHLevel3X 4 2 2 3 3" xfId="50232"/>
    <cellStyle name="SAPBEXHLevel3X 4 2 2 3 4" xfId="50233"/>
    <cellStyle name="SAPBEXHLevel3X 4 2 2 4" xfId="50234"/>
    <cellStyle name="SAPBEXHLevel3X 4 2 2 4 2" xfId="50235"/>
    <cellStyle name="SAPBEXHLevel3X 4 2 2 4 3" xfId="50236"/>
    <cellStyle name="SAPBEXHLevel3X 4 2 2 4 4" xfId="50237"/>
    <cellStyle name="SAPBEXHLevel3X 4 2 2 5" xfId="50238"/>
    <cellStyle name="SAPBEXHLevel3X 4 2 2 6" xfId="50239"/>
    <cellStyle name="SAPBEXHLevel3X 4 2 2 7" xfId="50240"/>
    <cellStyle name="SAPBEXHLevel3X 4 2 2 8" xfId="50241"/>
    <cellStyle name="SAPBEXHLevel3X 4 2 3" xfId="50242"/>
    <cellStyle name="SAPBEXHLevel3X 4 2 3 2" xfId="50243"/>
    <cellStyle name="SAPBEXHLevel3X 4 2 3 2 2" xfId="50244"/>
    <cellStyle name="SAPBEXHLevel3X 4 2 3 2 3" xfId="50245"/>
    <cellStyle name="SAPBEXHLevel3X 4 2 3 2 4" xfId="50246"/>
    <cellStyle name="SAPBEXHLevel3X 4 2 3 3" xfId="50247"/>
    <cellStyle name="SAPBEXHLevel3X 4 2 3 3 2" xfId="50248"/>
    <cellStyle name="SAPBEXHLevel3X 4 2 3 3 3" xfId="50249"/>
    <cellStyle name="SAPBEXHLevel3X 4 2 3 3 4" xfId="50250"/>
    <cellStyle name="SAPBEXHLevel3X 4 2 3 4" xfId="50251"/>
    <cellStyle name="SAPBEXHLevel3X 4 2 3 4 2" xfId="50252"/>
    <cellStyle name="SAPBEXHLevel3X 4 2 3 4 3" xfId="50253"/>
    <cellStyle name="SAPBEXHLevel3X 4 2 3 4 4" xfId="50254"/>
    <cellStyle name="SAPBEXHLevel3X 4 2 3 5" xfId="50255"/>
    <cellStyle name="SAPBEXHLevel3X 4 2 3 6" xfId="50256"/>
    <cellStyle name="SAPBEXHLevel3X 4 2 3 7" xfId="50257"/>
    <cellStyle name="SAPBEXHLevel3X 4 2 3 8" xfId="50258"/>
    <cellStyle name="SAPBEXHLevel3X 4 2 4" xfId="50259"/>
    <cellStyle name="SAPBEXHLevel3X 4 2 4 2" xfId="50260"/>
    <cellStyle name="SAPBEXHLevel3X 4 2 4 2 2" xfId="50261"/>
    <cellStyle name="SAPBEXHLevel3X 4 2 4 2 3" xfId="50262"/>
    <cellStyle name="SAPBEXHLevel3X 4 2 4 2 4" xfId="50263"/>
    <cellStyle name="SAPBEXHLevel3X 4 2 4 3" xfId="50264"/>
    <cellStyle name="SAPBEXHLevel3X 4 2 4 3 2" xfId="50265"/>
    <cellStyle name="SAPBEXHLevel3X 4 2 4 3 3" xfId="50266"/>
    <cellStyle name="SAPBEXHLevel3X 4 2 4 3 4" xfId="50267"/>
    <cellStyle name="SAPBEXHLevel3X 4 2 4 4" xfId="50268"/>
    <cellStyle name="SAPBEXHLevel3X 4 2 4 4 2" xfId="50269"/>
    <cellStyle name="SAPBEXHLevel3X 4 2 4 4 3" xfId="50270"/>
    <cellStyle name="SAPBEXHLevel3X 4 2 4 4 4" xfId="50271"/>
    <cellStyle name="SAPBEXHLevel3X 4 2 4 5" xfId="50272"/>
    <cellStyle name="SAPBEXHLevel3X 4 2 4 6" xfId="50273"/>
    <cellStyle name="SAPBEXHLevel3X 4 2 4 7" xfId="50274"/>
    <cellStyle name="SAPBEXHLevel3X 4 2 4 8" xfId="50275"/>
    <cellStyle name="SAPBEXHLevel3X 4 2 5" xfId="50276"/>
    <cellStyle name="SAPBEXHLevel3X 4 2 5 2" xfId="50277"/>
    <cellStyle name="SAPBEXHLevel3X 4 2 5 2 2" xfId="50278"/>
    <cellStyle name="SAPBEXHLevel3X 4 2 5 2 3" xfId="50279"/>
    <cellStyle name="SAPBEXHLevel3X 4 2 5 2 4" xfId="50280"/>
    <cellStyle name="SAPBEXHLevel3X 4 2 5 3" xfId="50281"/>
    <cellStyle name="SAPBEXHLevel3X 4 2 5 3 2" xfId="50282"/>
    <cellStyle name="SAPBEXHLevel3X 4 2 5 3 3" xfId="50283"/>
    <cellStyle name="SAPBEXHLevel3X 4 2 5 3 4" xfId="50284"/>
    <cellStyle name="SAPBEXHLevel3X 4 2 5 4" xfId="50285"/>
    <cellStyle name="SAPBEXHLevel3X 4 2 5 4 2" xfId="50286"/>
    <cellStyle name="SAPBEXHLevel3X 4 2 5 4 3" xfId="50287"/>
    <cellStyle name="SAPBEXHLevel3X 4 2 5 4 4" xfId="50288"/>
    <cellStyle name="SAPBEXHLevel3X 4 2 5 5" xfId="50289"/>
    <cellStyle name="SAPBEXHLevel3X 4 2 5 6" xfId="50290"/>
    <cellStyle name="SAPBEXHLevel3X 4 2 5 7" xfId="50291"/>
    <cellStyle name="SAPBEXHLevel3X 4 2 5 8" xfId="50292"/>
    <cellStyle name="SAPBEXHLevel3X 4 2 6" xfId="50293"/>
    <cellStyle name="SAPBEXHLevel3X 4 2 6 2" xfId="50294"/>
    <cellStyle name="SAPBEXHLevel3X 4 2 6 3" xfId="50295"/>
    <cellStyle name="SAPBEXHLevel3X 4 2 6 4" xfId="50296"/>
    <cellStyle name="SAPBEXHLevel3X 4 2 7" xfId="50297"/>
    <cellStyle name="SAPBEXHLevel3X 4 2 7 2" xfId="50298"/>
    <cellStyle name="SAPBEXHLevel3X 4 2 7 3" xfId="50299"/>
    <cellStyle name="SAPBEXHLevel3X 4 2 7 4" xfId="50300"/>
    <cellStyle name="SAPBEXHLevel3X 4 2 8" xfId="50301"/>
    <cellStyle name="SAPBEXHLevel3X 4 2 9" xfId="50302"/>
    <cellStyle name="SAPBEXHLevel3X 4 3" xfId="50303"/>
    <cellStyle name="SAPBEXHLevel3X 4 3 2" xfId="50304"/>
    <cellStyle name="SAPBEXHLevel3X 4 3 2 2" xfId="50305"/>
    <cellStyle name="SAPBEXHLevel3X 4 3 2 3" xfId="50306"/>
    <cellStyle name="SAPBEXHLevel3X 4 3 2 4" xfId="50307"/>
    <cellStyle name="SAPBEXHLevel3X 4 3 3" xfId="50308"/>
    <cellStyle name="SAPBEXHLevel3X 4 3 3 2" xfId="50309"/>
    <cellStyle name="SAPBEXHLevel3X 4 3 3 3" xfId="50310"/>
    <cellStyle name="SAPBEXHLevel3X 4 3 3 4" xfId="50311"/>
    <cellStyle name="SAPBEXHLevel3X 4 3 4" xfId="50312"/>
    <cellStyle name="SAPBEXHLevel3X 4 3 4 2" xfId="50313"/>
    <cellStyle name="SAPBEXHLevel3X 4 3 4 3" xfId="50314"/>
    <cellStyle name="SAPBEXHLevel3X 4 3 4 4" xfId="50315"/>
    <cellStyle name="SAPBEXHLevel3X 4 3 5" xfId="50316"/>
    <cellStyle name="SAPBEXHLevel3X 4 3 6" xfId="50317"/>
    <cellStyle name="SAPBEXHLevel3X 4 3 7" xfId="50318"/>
    <cellStyle name="SAPBEXHLevel3X 4 3 8" xfId="50319"/>
    <cellStyle name="SAPBEXHLevel3X 4 4" xfId="50320"/>
    <cellStyle name="SAPBEXHLevel3X 4 4 2" xfId="50321"/>
    <cellStyle name="SAPBEXHLevel3X 4 4 2 2" xfId="50322"/>
    <cellStyle name="SAPBEXHLevel3X 4 4 2 3" xfId="50323"/>
    <cellStyle name="SAPBEXHLevel3X 4 4 2 4" xfId="50324"/>
    <cellStyle name="SAPBEXHLevel3X 4 4 3" xfId="50325"/>
    <cellStyle name="SAPBEXHLevel3X 4 4 3 2" xfId="50326"/>
    <cellStyle name="SAPBEXHLevel3X 4 4 3 3" xfId="50327"/>
    <cellStyle name="SAPBEXHLevel3X 4 4 3 4" xfId="50328"/>
    <cellStyle name="SAPBEXHLevel3X 4 4 4" xfId="50329"/>
    <cellStyle name="SAPBEXHLevel3X 4 4 4 2" xfId="50330"/>
    <cellStyle name="SAPBEXHLevel3X 4 4 4 3" xfId="50331"/>
    <cellStyle name="SAPBEXHLevel3X 4 4 4 4" xfId="50332"/>
    <cellStyle name="SAPBEXHLevel3X 4 4 5" xfId="50333"/>
    <cellStyle name="SAPBEXHLevel3X 4 4 6" xfId="50334"/>
    <cellStyle name="SAPBEXHLevel3X 4 4 7" xfId="50335"/>
    <cellStyle name="SAPBEXHLevel3X 4 4 8" xfId="50336"/>
    <cellStyle name="SAPBEXHLevel3X 4 5" xfId="50337"/>
    <cellStyle name="SAPBEXHLevel3X 4 5 2" xfId="50338"/>
    <cellStyle name="SAPBEXHLevel3X 4 5 2 2" xfId="50339"/>
    <cellStyle name="SAPBEXHLevel3X 4 5 2 3" xfId="50340"/>
    <cellStyle name="SAPBEXHLevel3X 4 5 2 4" xfId="50341"/>
    <cellStyle name="SAPBEXHLevel3X 4 5 3" xfId="50342"/>
    <cellStyle name="SAPBEXHLevel3X 4 5 3 2" xfId="50343"/>
    <cellStyle name="SAPBEXHLevel3X 4 5 3 3" xfId="50344"/>
    <cellStyle name="SAPBEXHLevel3X 4 5 3 4" xfId="50345"/>
    <cellStyle name="SAPBEXHLevel3X 4 5 4" xfId="50346"/>
    <cellStyle name="SAPBEXHLevel3X 4 5 4 2" xfId="50347"/>
    <cellStyle name="SAPBEXHLevel3X 4 5 4 3" xfId="50348"/>
    <cellStyle name="SAPBEXHLevel3X 4 5 4 4" xfId="50349"/>
    <cellStyle name="SAPBEXHLevel3X 4 5 5" xfId="50350"/>
    <cellStyle name="SAPBEXHLevel3X 4 5 6" xfId="50351"/>
    <cellStyle name="SAPBEXHLevel3X 4 5 7" xfId="50352"/>
    <cellStyle name="SAPBEXHLevel3X 4 5 8" xfId="50353"/>
    <cellStyle name="SAPBEXHLevel3X 4 6" xfId="50354"/>
    <cellStyle name="SAPBEXHLevel3X 4 6 2" xfId="50355"/>
    <cellStyle name="SAPBEXHLevel3X 4 6 2 2" xfId="50356"/>
    <cellStyle name="SAPBEXHLevel3X 4 6 2 3" xfId="50357"/>
    <cellStyle name="SAPBEXHLevel3X 4 6 2 4" xfId="50358"/>
    <cellStyle name="SAPBEXHLevel3X 4 6 3" xfId="50359"/>
    <cellStyle name="SAPBEXHLevel3X 4 6 3 2" xfId="50360"/>
    <cellStyle name="SAPBEXHLevel3X 4 6 3 3" xfId="50361"/>
    <cellStyle name="SAPBEXHLevel3X 4 6 3 4" xfId="50362"/>
    <cellStyle name="SAPBEXHLevel3X 4 6 4" xfId="50363"/>
    <cellStyle name="SAPBEXHLevel3X 4 6 4 2" xfId="50364"/>
    <cellStyle name="SAPBEXHLevel3X 4 6 4 3" xfId="50365"/>
    <cellStyle name="SAPBEXHLevel3X 4 6 4 4" xfId="50366"/>
    <cellStyle name="SAPBEXHLevel3X 4 6 5" xfId="50367"/>
    <cellStyle name="SAPBEXHLevel3X 4 6 6" xfId="50368"/>
    <cellStyle name="SAPBEXHLevel3X 4 6 7" xfId="50369"/>
    <cellStyle name="SAPBEXHLevel3X 4 6 8" xfId="50370"/>
    <cellStyle name="SAPBEXHLevel3X 4 7" xfId="50371"/>
    <cellStyle name="SAPBEXHLevel3X 4 7 2" xfId="50372"/>
    <cellStyle name="SAPBEXHLevel3X 4 7 2 2" xfId="50373"/>
    <cellStyle name="SAPBEXHLevel3X 4 7 2 3" xfId="50374"/>
    <cellStyle name="SAPBEXHLevel3X 4 7 2 4" xfId="50375"/>
    <cellStyle name="SAPBEXHLevel3X 4 7 3" xfId="50376"/>
    <cellStyle name="SAPBEXHLevel3X 4 7 3 2" xfId="50377"/>
    <cellStyle name="SAPBEXHLevel3X 4 7 3 3" xfId="50378"/>
    <cellStyle name="SAPBEXHLevel3X 4 7 3 4" xfId="50379"/>
    <cellStyle name="SAPBEXHLevel3X 4 7 4" xfId="50380"/>
    <cellStyle name="SAPBEXHLevel3X 4 7 4 2" xfId="50381"/>
    <cellStyle name="SAPBEXHLevel3X 4 7 4 3" xfId="50382"/>
    <cellStyle name="SAPBEXHLevel3X 4 7 4 4" xfId="50383"/>
    <cellStyle name="SAPBEXHLevel3X 4 7 5" xfId="50384"/>
    <cellStyle name="SAPBEXHLevel3X 4 7 6" xfId="50385"/>
    <cellStyle name="SAPBEXHLevel3X 4 7 7" xfId="50386"/>
    <cellStyle name="SAPBEXHLevel3X 4 7 8" xfId="50387"/>
    <cellStyle name="SAPBEXHLevel3X 4 8" xfId="50388"/>
    <cellStyle name="SAPBEXHLevel3X 4 8 2" xfId="50389"/>
    <cellStyle name="SAPBEXHLevel3X 4 8 3" xfId="50390"/>
    <cellStyle name="SAPBEXHLevel3X 4 8 4" xfId="50391"/>
    <cellStyle name="SAPBEXHLevel3X 4 9" xfId="50392"/>
    <cellStyle name="SAPBEXHLevel3X 4 9 2" xfId="50393"/>
    <cellStyle name="SAPBEXHLevel3X 4 9 3" xfId="50394"/>
    <cellStyle name="SAPBEXHLevel3X 4 9 4" xfId="50395"/>
    <cellStyle name="SAPBEXHLevel3X 5" xfId="50396"/>
    <cellStyle name="SAPBEXHLevel3X 5 2" xfId="50397"/>
    <cellStyle name="SAPBEXHLevel3X 5 2 2" xfId="50398"/>
    <cellStyle name="SAPBEXHLevel3X 5 2 2 2" xfId="50399"/>
    <cellStyle name="SAPBEXHLevel3X 5 2 2 3" xfId="50400"/>
    <cellStyle name="SAPBEXHLevel3X 5 2 2 4" xfId="50401"/>
    <cellStyle name="SAPBEXHLevel3X 5 2 3" xfId="50402"/>
    <cellStyle name="SAPBEXHLevel3X 5 2 3 2" xfId="50403"/>
    <cellStyle name="SAPBEXHLevel3X 5 2 3 3" xfId="50404"/>
    <cellStyle name="SAPBEXHLevel3X 5 2 3 4" xfId="50405"/>
    <cellStyle name="SAPBEXHLevel3X 5 2 4" xfId="50406"/>
    <cellStyle name="SAPBEXHLevel3X 5 2 4 2" xfId="50407"/>
    <cellStyle name="SAPBEXHLevel3X 5 2 4 3" xfId="50408"/>
    <cellStyle name="SAPBEXHLevel3X 5 2 4 4" xfId="50409"/>
    <cellStyle name="SAPBEXHLevel3X 5 2 5" xfId="50410"/>
    <cellStyle name="SAPBEXHLevel3X 5 2 6" xfId="50411"/>
    <cellStyle name="SAPBEXHLevel3X 5 2 7" xfId="50412"/>
    <cellStyle name="SAPBEXHLevel3X 5 2 8" xfId="50413"/>
    <cellStyle name="SAPBEXHLevel3X 5 3" xfId="50414"/>
    <cellStyle name="SAPBEXHLevel3X 5 3 2" xfId="50415"/>
    <cellStyle name="SAPBEXHLevel3X 5 3 2 2" xfId="50416"/>
    <cellStyle name="SAPBEXHLevel3X 5 3 2 3" xfId="50417"/>
    <cellStyle name="SAPBEXHLevel3X 5 3 2 4" xfId="50418"/>
    <cellStyle name="SAPBEXHLevel3X 5 3 3" xfId="50419"/>
    <cellStyle name="SAPBEXHLevel3X 5 3 3 2" xfId="50420"/>
    <cellStyle name="SAPBEXHLevel3X 5 3 3 3" xfId="50421"/>
    <cellStyle name="SAPBEXHLevel3X 5 3 3 4" xfId="50422"/>
    <cellStyle name="SAPBEXHLevel3X 5 3 4" xfId="50423"/>
    <cellStyle name="SAPBEXHLevel3X 5 3 4 2" xfId="50424"/>
    <cellStyle name="SAPBEXHLevel3X 5 3 4 3" xfId="50425"/>
    <cellStyle name="SAPBEXHLevel3X 5 3 4 4" xfId="50426"/>
    <cellStyle name="SAPBEXHLevel3X 5 3 5" xfId="50427"/>
    <cellStyle name="SAPBEXHLevel3X 5 3 6" xfId="50428"/>
    <cellStyle name="SAPBEXHLevel3X 5 3 7" xfId="50429"/>
    <cellStyle name="SAPBEXHLevel3X 5 3 8" xfId="50430"/>
    <cellStyle name="SAPBEXHLevel3X 5 4" xfId="50431"/>
    <cellStyle name="SAPBEXHLevel3X 5 4 2" xfId="50432"/>
    <cellStyle name="SAPBEXHLevel3X 5 4 2 2" xfId="50433"/>
    <cellStyle name="SAPBEXHLevel3X 5 4 2 3" xfId="50434"/>
    <cellStyle name="SAPBEXHLevel3X 5 4 2 4" xfId="50435"/>
    <cellStyle name="SAPBEXHLevel3X 5 4 3" xfId="50436"/>
    <cellStyle name="SAPBEXHLevel3X 5 4 3 2" xfId="50437"/>
    <cellStyle name="SAPBEXHLevel3X 5 4 3 3" xfId="50438"/>
    <cellStyle name="SAPBEXHLevel3X 5 4 3 4" xfId="50439"/>
    <cellStyle name="SAPBEXHLevel3X 5 4 4" xfId="50440"/>
    <cellStyle name="SAPBEXHLevel3X 5 4 4 2" xfId="50441"/>
    <cellStyle name="SAPBEXHLevel3X 5 4 4 3" xfId="50442"/>
    <cellStyle name="SAPBEXHLevel3X 5 4 4 4" xfId="50443"/>
    <cellStyle name="SAPBEXHLevel3X 5 4 5" xfId="50444"/>
    <cellStyle name="SAPBEXHLevel3X 5 4 6" xfId="50445"/>
    <cellStyle name="SAPBEXHLevel3X 5 4 7" xfId="50446"/>
    <cellStyle name="SAPBEXHLevel3X 5 4 8" xfId="50447"/>
    <cellStyle name="SAPBEXHLevel3X 5 5" xfId="50448"/>
    <cellStyle name="SAPBEXHLevel3X 5 5 2" xfId="50449"/>
    <cellStyle name="SAPBEXHLevel3X 5 5 2 2" xfId="50450"/>
    <cellStyle name="SAPBEXHLevel3X 5 5 2 3" xfId="50451"/>
    <cellStyle name="SAPBEXHLevel3X 5 5 2 4" xfId="50452"/>
    <cellStyle name="SAPBEXHLevel3X 5 5 3" xfId="50453"/>
    <cellStyle name="SAPBEXHLevel3X 5 5 3 2" xfId="50454"/>
    <cellStyle name="SAPBEXHLevel3X 5 5 3 3" xfId="50455"/>
    <cellStyle name="SAPBEXHLevel3X 5 5 3 4" xfId="50456"/>
    <cellStyle name="SAPBEXHLevel3X 5 5 4" xfId="50457"/>
    <cellStyle name="SAPBEXHLevel3X 5 5 4 2" xfId="50458"/>
    <cellStyle name="SAPBEXHLevel3X 5 5 4 3" xfId="50459"/>
    <cellStyle name="SAPBEXHLevel3X 5 5 4 4" xfId="50460"/>
    <cellStyle name="SAPBEXHLevel3X 5 5 5" xfId="50461"/>
    <cellStyle name="SAPBEXHLevel3X 5 5 6" xfId="50462"/>
    <cellStyle name="SAPBEXHLevel3X 5 5 7" xfId="50463"/>
    <cellStyle name="SAPBEXHLevel3X 5 5 8" xfId="50464"/>
    <cellStyle name="SAPBEXHLevel3X 5 6" xfId="50465"/>
    <cellStyle name="SAPBEXHLevel3X 5 6 2" xfId="50466"/>
    <cellStyle name="SAPBEXHLevel3X 5 6 3" xfId="50467"/>
    <cellStyle name="SAPBEXHLevel3X 5 6 4" xfId="50468"/>
    <cellStyle name="SAPBEXHLevel3X 5 7" xfId="50469"/>
    <cellStyle name="SAPBEXHLevel3X 5 7 2" xfId="50470"/>
    <cellStyle name="SAPBEXHLevel3X 5 7 3" xfId="50471"/>
    <cellStyle name="SAPBEXHLevel3X 5 7 4" xfId="50472"/>
    <cellStyle name="SAPBEXHLevel3X 5 8" xfId="50473"/>
    <cellStyle name="SAPBEXHLevel3X 5 9" xfId="50474"/>
    <cellStyle name="SAPBEXHLevel3X 6" xfId="50475"/>
    <cellStyle name="SAPBEXHLevel3X 6 2" xfId="50476"/>
    <cellStyle name="SAPBEXHLevel3X 6 2 2" xfId="50477"/>
    <cellStyle name="SAPBEXHLevel3X 6 2 3" xfId="50478"/>
    <cellStyle name="SAPBEXHLevel3X 6 2 4" xfId="50479"/>
    <cellStyle name="SAPBEXHLevel3X 6 3" xfId="50480"/>
    <cellStyle name="SAPBEXHLevel3X 6 3 2" xfId="50481"/>
    <cellStyle name="SAPBEXHLevel3X 6 3 3" xfId="50482"/>
    <cellStyle name="SAPBEXHLevel3X 6 3 4" xfId="50483"/>
    <cellStyle name="SAPBEXHLevel3X 6 4" xfId="50484"/>
    <cellStyle name="SAPBEXHLevel3X 6 4 2" xfId="50485"/>
    <cellStyle name="SAPBEXHLevel3X 6 4 3" xfId="50486"/>
    <cellStyle name="SAPBEXHLevel3X 6 4 4" xfId="50487"/>
    <cellStyle name="SAPBEXHLevel3X 6 5" xfId="50488"/>
    <cellStyle name="SAPBEXHLevel3X 6 6" xfId="50489"/>
    <cellStyle name="SAPBEXHLevel3X 6 7" xfId="50490"/>
    <cellStyle name="SAPBEXHLevel3X 6 8" xfId="50491"/>
    <cellStyle name="SAPBEXHLevel3X 7" xfId="50492"/>
    <cellStyle name="SAPBEXHLevel3X 7 2" xfId="50493"/>
    <cellStyle name="SAPBEXHLevel3X 7 2 2" xfId="50494"/>
    <cellStyle name="SAPBEXHLevel3X 7 2 3" xfId="50495"/>
    <cellStyle name="SAPBEXHLevel3X 7 2 4" xfId="50496"/>
    <cellStyle name="SAPBEXHLevel3X 7 3" xfId="50497"/>
    <cellStyle name="SAPBEXHLevel3X 7 3 2" xfId="50498"/>
    <cellStyle name="SAPBEXHLevel3X 7 3 3" xfId="50499"/>
    <cellStyle name="SAPBEXHLevel3X 7 3 4" xfId="50500"/>
    <cellStyle name="SAPBEXHLevel3X 7 4" xfId="50501"/>
    <cellStyle name="SAPBEXHLevel3X 7 4 2" xfId="50502"/>
    <cellStyle name="SAPBEXHLevel3X 7 4 3" xfId="50503"/>
    <cellStyle name="SAPBEXHLevel3X 7 4 4" xfId="50504"/>
    <cellStyle name="SAPBEXHLevel3X 7 5" xfId="50505"/>
    <cellStyle name="SAPBEXHLevel3X 7 6" xfId="50506"/>
    <cellStyle name="SAPBEXHLevel3X 7 7" xfId="50507"/>
    <cellStyle name="SAPBEXHLevel3X 7 8" xfId="50508"/>
    <cellStyle name="SAPBEXHLevel3X 8" xfId="50509"/>
    <cellStyle name="SAPBEXHLevel3X 8 2" xfId="50510"/>
    <cellStyle name="SAPBEXHLevel3X 8 2 2" xfId="50511"/>
    <cellStyle name="SAPBEXHLevel3X 8 2 3" xfId="50512"/>
    <cellStyle name="SAPBEXHLevel3X 8 2 4" xfId="50513"/>
    <cellStyle name="SAPBEXHLevel3X 8 3" xfId="50514"/>
    <cellStyle name="SAPBEXHLevel3X 8 3 2" xfId="50515"/>
    <cellStyle name="SAPBEXHLevel3X 8 3 3" xfId="50516"/>
    <cellStyle name="SAPBEXHLevel3X 8 3 4" xfId="50517"/>
    <cellStyle name="SAPBEXHLevel3X 8 4" xfId="50518"/>
    <cellStyle name="SAPBEXHLevel3X 8 4 2" xfId="50519"/>
    <cellStyle name="SAPBEXHLevel3X 8 4 3" xfId="50520"/>
    <cellStyle name="SAPBEXHLevel3X 8 4 4" xfId="50521"/>
    <cellStyle name="SAPBEXHLevel3X 8 5" xfId="50522"/>
    <cellStyle name="SAPBEXHLevel3X 8 6" xfId="50523"/>
    <cellStyle name="SAPBEXHLevel3X 8 7" xfId="50524"/>
    <cellStyle name="SAPBEXHLevel3X 8 8" xfId="50525"/>
    <cellStyle name="SAPBEXHLevel3X 9" xfId="50526"/>
    <cellStyle name="SAPBEXHLevel3X 9 2" xfId="50527"/>
    <cellStyle name="SAPBEXHLevel3X 9 2 2" xfId="50528"/>
    <cellStyle name="SAPBEXHLevel3X 9 2 3" xfId="50529"/>
    <cellStyle name="SAPBEXHLevel3X 9 2 4" xfId="50530"/>
    <cellStyle name="SAPBEXHLevel3X 9 3" xfId="50531"/>
    <cellStyle name="SAPBEXHLevel3X 9 3 2" xfId="50532"/>
    <cellStyle name="SAPBEXHLevel3X 9 3 3" xfId="50533"/>
    <cellStyle name="SAPBEXHLevel3X 9 3 4" xfId="50534"/>
    <cellStyle name="SAPBEXHLevel3X 9 4" xfId="50535"/>
    <cellStyle name="SAPBEXHLevel3X 9 4 2" xfId="50536"/>
    <cellStyle name="SAPBEXHLevel3X 9 4 3" xfId="50537"/>
    <cellStyle name="SAPBEXHLevel3X 9 4 4" xfId="50538"/>
    <cellStyle name="SAPBEXHLevel3X 9 5" xfId="50539"/>
    <cellStyle name="SAPBEXHLevel3X 9 6" xfId="50540"/>
    <cellStyle name="SAPBEXHLevel3X 9 7" xfId="50541"/>
    <cellStyle name="SAPBEXHLevel3X 9 8" xfId="50542"/>
    <cellStyle name="SAPBEXresData" xfId="50543"/>
    <cellStyle name="SAPBEXresData 10" xfId="50544"/>
    <cellStyle name="SAPBEXresData 11" xfId="50545"/>
    <cellStyle name="SAPBEXresData 2" xfId="50546"/>
    <cellStyle name="SAPBEXresData 2 2" xfId="50547"/>
    <cellStyle name="SAPBEXresData 2 2 2" xfId="50548"/>
    <cellStyle name="SAPBEXresData 2 2 2 2" xfId="50549"/>
    <cellStyle name="SAPBEXresData 2 2 2 3" xfId="50550"/>
    <cellStyle name="SAPBEXresData 2 2 2 4" xfId="50551"/>
    <cellStyle name="SAPBEXresData 2 2 3" xfId="50552"/>
    <cellStyle name="SAPBEXresData 2 2 3 2" xfId="50553"/>
    <cellStyle name="SAPBEXresData 2 2 3 3" xfId="50554"/>
    <cellStyle name="SAPBEXresData 2 2 3 4" xfId="50555"/>
    <cellStyle name="SAPBEXresData 2 2 4" xfId="50556"/>
    <cellStyle name="SAPBEXresData 2 2 4 2" xfId="50557"/>
    <cellStyle name="SAPBEXresData 2 2 4 3" xfId="50558"/>
    <cellStyle name="SAPBEXresData 2 2 4 4" xfId="50559"/>
    <cellStyle name="SAPBEXresData 2 2 5" xfId="50560"/>
    <cellStyle name="SAPBEXresData 2 2 6" xfId="50561"/>
    <cellStyle name="SAPBEXresData 2 2 7" xfId="50562"/>
    <cellStyle name="SAPBEXresData 2 2 8" xfId="50563"/>
    <cellStyle name="SAPBEXresData 2 3" xfId="50564"/>
    <cellStyle name="SAPBEXresData 2 3 2" xfId="50565"/>
    <cellStyle name="SAPBEXresData 2 3 2 2" xfId="50566"/>
    <cellStyle name="SAPBEXresData 2 3 2 3" xfId="50567"/>
    <cellStyle name="SAPBEXresData 2 3 2 4" xfId="50568"/>
    <cellStyle name="SAPBEXresData 2 3 3" xfId="50569"/>
    <cellStyle name="SAPBEXresData 2 3 3 2" xfId="50570"/>
    <cellStyle name="SAPBEXresData 2 3 3 3" xfId="50571"/>
    <cellStyle name="SAPBEXresData 2 3 3 4" xfId="50572"/>
    <cellStyle name="SAPBEXresData 2 3 4" xfId="50573"/>
    <cellStyle name="SAPBEXresData 2 3 4 2" xfId="50574"/>
    <cellStyle name="SAPBEXresData 2 3 4 3" xfId="50575"/>
    <cellStyle name="SAPBEXresData 2 3 4 4" xfId="50576"/>
    <cellStyle name="SAPBEXresData 2 3 5" xfId="50577"/>
    <cellStyle name="SAPBEXresData 2 3 6" xfId="50578"/>
    <cellStyle name="SAPBEXresData 2 3 7" xfId="50579"/>
    <cellStyle name="SAPBEXresData 2 3 8" xfId="50580"/>
    <cellStyle name="SAPBEXresData 2 4" xfId="50581"/>
    <cellStyle name="SAPBEXresData 2 4 2" xfId="50582"/>
    <cellStyle name="SAPBEXresData 2 4 2 2" xfId="50583"/>
    <cellStyle name="SAPBEXresData 2 4 2 3" xfId="50584"/>
    <cellStyle name="SAPBEXresData 2 4 2 4" xfId="50585"/>
    <cellStyle name="SAPBEXresData 2 4 3" xfId="50586"/>
    <cellStyle name="SAPBEXresData 2 4 3 2" xfId="50587"/>
    <cellStyle name="SAPBEXresData 2 4 3 3" xfId="50588"/>
    <cellStyle name="SAPBEXresData 2 4 3 4" xfId="50589"/>
    <cellStyle name="SAPBEXresData 2 4 4" xfId="50590"/>
    <cellStyle name="SAPBEXresData 2 4 4 2" xfId="50591"/>
    <cellStyle name="SAPBEXresData 2 4 4 3" xfId="50592"/>
    <cellStyle name="SAPBEXresData 2 4 4 4" xfId="50593"/>
    <cellStyle name="SAPBEXresData 2 4 5" xfId="50594"/>
    <cellStyle name="SAPBEXresData 2 4 6" xfId="50595"/>
    <cellStyle name="SAPBEXresData 2 4 7" xfId="50596"/>
    <cellStyle name="SAPBEXresData 2 4 8" xfId="50597"/>
    <cellStyle name="SAPBEXresData 2 5" xfId="50598"/>
    <cellStyle name="SAPBEXresData 2 5 2" xfId="50599"/>
    <cellStyle name="SAPBEXresData 2 5 2 2" xfId="50600"/>
    <cellStyle name="SAPBEXresData 2 5 2 3" xfId="50601"/>
    <cellStyle name="SAPBEXresData 2 5 2 4" xfId="50602"/>
    <cellStyle name="SAPBEXresData 2 5 3" xfId="50603"/>
    <cellStyle name="SAPBEXresData 2 5 3 2" xfId="50604"/>
    <cellStyle name="SAPBEXresData 2 5 3 3" xfId="50605"/>
    <cellStyle name="SAPBEXresData 2 5 3 4" xfId="50606"/>
    <cellStyle name="SAPBEXresData 2 5 4" xfId="50607"/>
    <cellStyle name="SAPBEXresData 2 5 4 2" xfId="50608"/>
    <cellStyle name="SAPBEXresData 2 5 4 3" xfId="50609"/>
    <cellStyle name="SAPBEXresData 2 5 4 4" xfId="50610"/>
    <cellStyle name="SAPBEXresData 2 5 5" xfId="50611"/>
    <cellStyle name="SAPBEXresData 2 5 6" xfId="50612"/>
    <cellStyle name="SAPBEXresData 2 5 7" xfId="50613"/>
    <cellStyle name="SAPBEXresData 2 5 8" xfId="50614"/>
    <cellStyle name="SAPBEXresData 2 6" xfId="50615"/>
    <cellStyle name="SAPBEXresData 2 6 2" xfId="50616"/>
    <cellStyle name="SAPBEXresData 2 6 3" xfId="50617"/>
    <cellStyle name="SAPBEXresData 2 6 4" xfId="50618"/>
    <cellStyle name="SAPBEXresData 2 7" xfId="50619"/>
    <cellStyle name="SAPBEXresData 2 7 2" xfId="50620"/>
    <cellStyle name="SAPBEXresData 2 7 3" xfId="50621"/>
    <cellStyle name="SAPBEXresData 2 7 4" xfId="50622"/>
    <cellStyle name="SAPBEXresData 2 8" xfId="50623"/>
    <cellStyle name="SAPBEXresData 2 9" xfId="50624"/>
    <cellStyle name="SAPBEXresData 3" xfId="50625"/>
    <cellStyle name="SAPBEXresData 3 2" xfId="50626"/>
    <cellStyle name="SAPBEXresData 3 2 2" xfId="50627"/>
    <cellStyle name="SAPBEXresData 3 2 3" xfId="50628"/>
    <cellStyle name="SAPBEXresData 3 2 4" xfId="50629"/>
    <cellStyle name="SAPBEXresData 3 3" xfId="50630"/>
    <cellStyle name="SAPBEXresData 3 3 2" xfId="50631"/>
    <cellStyle name="SAPBEXresData 3 3 3" xfId="50632"/>
    <cellStyle name="SAPBEXresData 3 3 4" xfId="50633"/>
    <cellStyle name="SAPBEXresData 3 4" xfId="50634"/>
    <cellStyle name="SAPBEXresData 3 4 2" xfId="50635"/>
    <cellStyle name="SAPBEXresData 3 4 3" xfId="50636"/>
    <cellStyle name="SAPBEXresData 3 4 4" xfId="50637"/>
    <cellStyle name="SAPBEXresData 3 5" xfId="50638"/>
    <cellStyle name="SAPBEXresData 3 6" xfId="50639"/>
    <cellStyle name="SAPBEXresData 3 7" xfId="50640"/>
    <cellStyle name="SAPBEXresData 3 8" xfId="50641"/>
    <cellStyle name="SAPBEXresData 4" xfId="50642"/>
    <cellStyle name="SAPBEXresData 4 2" xfId="50643"/>
    <cellStyle name="SAPBEXresData 4 2 2" xfId="50644"/>
    <cellStyle name="SAPBEXresData 4 2 3" xfId="50645"/>
    <cellStyle name="SAPBEXresData 4 2 4" xfId="50646"/>
    <cellStyle name="SAPBEXresData 4 3" xfId="50647"/>
    <cellStyle name="SAPBEXresData 4 3 2" xfId="50648"/>
    <cellStyle name="SAPBEXresData 4 3 3" xfId="50649"/>
    <cellStyle name="SAPBEXresData 4 3 4" xfId="50650"/>
    <cellStyle name="SAPBEXresData 4 4" xfId="50651"/>
    <cellStyle name="SAPBEXresData 4 4 2" xfId="50652"/>
    <cellStyle name="SAPBEXresData 4 4 3" xfId="50653"/>
    <cellStyle name="SAPBEXresData 4 4 4" xfId="50654"/>
    <cellStyle name="SAPBEXresData 4 5" xfId="50655"/>
    <cellStyle name="SAPBEXresData 4 6" xfId="50656"/>
    <cellStyle name="SAPBEXresData 4 7" xfId="50657"/>
    <cellStyle name="SAPBEXresData 4 8" xfId="50658"/>
    <cellStyle name="SAPBEXresData 5" xfId="50659"/>
    <cellStyle name="SAPBEXresData 5 2" xfId="50660"/>
    <cellStyle name="SAPBEXresData 5 2 2" xfId="50661"/>
    <cellStyle name="SAPBEXresData 5 2 3" xfId="50662"/>
    <cellStyle name="SAPBEXresData 5 2 4" xfId="50663"/>
    <cellStyle name="SAPBEXresData 5 3" xfId="50664"/>
    <cellStyle name="SAPBEXresData 5 3 2" xfId="50665"/>
    <cellStyle name="SAPBEXresData 5 3 3" xfId="50666"/>
    <cellStyle name="SAPBEXresData 5 3 4" xfId="50667"/>
    <cellStyle name="SAPBEXresData 5 4" xfId="50668"/>
    <cellStyle name="SAPBEXresData 5 4 2" xfId="50669"/>
    <cellStyle name="SAPBEXresData 5 4 3" xfId="50670"/>
    <cellStyle name="SAPBEXresData 5 4 4" xfId="50671"/>
    <cellStyle name="SAPBEXresData 5 5" xfId="50672"/>
    <cellStyle name="SAPBEXresData 5 6" xfId="50673"/>
    <cellStyle name="SAPBEXresData 5 7" xfId="50674"/>
    <cellStyle name="SAPBEXresData 5 8" xfId="50675"/>
    <cellStyle name="SAPBEXresData 6" xfId="50676"/>
    <cellStyle name="SAPBEXresData 6 2" xfId="50677"/>
    <cellStyle name="SAPBEXresData 6 2 2" xfId="50678"/>
    <cellStyle name="SAPBEXresData 6 2 3" xfId="50679"/>
    <cellStyle name="SAPBEXresData 6 2 4" xfId="50680"/>
    <cellStyle name="SAPBEXresData 6 3" xfId="50681"/>
    <cellStyle name="SAPBEXresData 6 3 2" xfId="50682"/>
    <cellStyle name="SAPBEXresData 6 3 3" xfId="50683"/>
    <cellStyle name="SAPBEXresData 6 3 4" xfId="50684"/>
    <cellStyle name="SAPBEXresData 6 4" xfId="50685"/>
    <cellStyle name="SAPBEXresData 6 4 2" xfId="50686"/>
    <cellStyle name="SAPBEXresData 6 4 3" xfId="50687"/>
    <cellStyle name="SAPBEXresData 6 4 4" xfId="50688"/>
    <cellStyle name="SAPBEXresData 6 5" xfId="50689"/>
    <cellStyle name="SAPBEXresData 6 6" xfId="50690"/>
    <cellStyle name="SAPBEXresData 6 7" xfId="50691"/>
    <cellStyle name="SAPBEXresData 6 8" xfId="50692"/>
    <cellStyle name="SAPBEXresData 7" xfId="50693"/>
    <cellStyle name="SAPBEXresData 7 2" xfId="50694"/>
    <cellStyle name="SAPBEXresData 7 2 2" xfId="50695"/>
    <cellStyle name="SAPBEXresData 7 2 3" xfId="50696"/>
    <cellStyle name="SAPBEXresData 7 2 4" xfId="50697"/>
    <cellStyle name="SAPBEXresData 7 3" xfId="50698"/>
    <cellStyle name="SAPBEXresData 7 3 2" xfId="50699"/>
    <cellStyle name="SAPBEXresData 7 3 3" xfId="50700"/>
    <cellStyle name="SAPBEXresData 7 3 4" xfId="50701"/>
    <cellStyle name="SAPBEXresData 7 4" xfId="50702"/>
    <cellStyle name="SAPBEXresData 7 4 2" xfId="50703"/>
    <cellStyle name="SAPBEXresData 7 4 3" xfId="50704"/>
    <cellStyle name="SAPBEXresData 7 4 4" xfId="50705"/>
    <cellStyle name="SAPBEXresData 7 5" xfId="50706"/>
    <cellStyle name="SAPBEXresData 7 6" xfId="50707"/>
    <cellStyle name="SAPBEXresData 7 7" xfId="50708"/>
    <cellStyle name="SAPBEXresData 7 8" xfId="50709"/>
    <cellStyle name="SAPBEXresData 8" xfId="50710"/>
    <cellStyle name="SAPBEXresData 8 2" xfId="50711"/>
    <cellStyle name="SAPBEXresData 8 3" xfId="50712"/>
    <cellStyle name="SAPBEXresData 8 4" xfId="50713"/>
    <cellStyle name="SAPBEXresData 9" xfId="50714"/>
    <cellStyle name="SAPBEXresData 9 2" xfId="50715"/>
    <cellStyle name="SAPBEXresData 9 3" xfId="50716"/>
    <cellStyle name="SAPBEXresData 9 4" xfId="50717"/>
    <cellStyle name="SAPBEXresDataEmph" xfId="50718"/>
    <cellStyle name="SAPBEXresDataEmph 10" xfId="50719"/>
    <cellStyle name="SAPBEXresDataEmph 11" xfId="50720"/>
    <cellStyle name="SAPBEXresDataEmph 2" xfId="50721"/>
    <cellStyle name="SAPBEXresDataEmph 2 2" xfId="50722"/>
    <cellStyle name="SAPBEXresDataEmph 2 2 2" xfId="50723"/>
    <cellStyle name="SAPBEXresDataEmph 2 2 2 2" xfId="50724"/>
    <cellStyle name="SAPBEXresDataEmph 2 2 2 3" xfId="50725"/>
    <cellStyle name="SAPBEXresDataEmph 2 2 2 4" xfId="50726"/>
    <cellStyle name="SAPBEXresDataEmph 2 2 3" xfId="50727"/>
    <cellStyle name="SAPBEXresDataEmph 2 2 3 2" xfId="50728"/>
    <cellStyle name="SAPBEXresDataEmph 2 2 3 3" xfId="50729"/>
    <cellStyle name="SAPBEXresDataEmph 2 2 3 4" xfId="50730"/>
    <cellStyle name="SAPBEXresDataEmph 2 2 4" xfId="50731"/>
    <cellStyle name="SAPBEXresDataEmph 2 2 4 2" xfId="50732"/>
    <cellStyle name="SAPBEXresDataEmph 2 2 4 3" xfId="50733"/>
    <cellStyle name="SAPBEXresDataEmph 2 2 4 4" xfId="50734"/>
    <cellStyle name="SAPBEXresDataEmph 2 2 5" xfId="50735"/>
    <cellStyle name="SAPBEXresDataEmph 2 2 6" xfId="50736"/>
    <cellStyle name="SAPBEXresDataEmph 2 2 7" xfId="50737"/>
    <cellStyle name="SAPBEXresDataEmph 2 2 8" xfId="50738"/>
    <cellStyle name="SAPBEXresDataEmph 2 3" xfId="50739"/>
    <cellStyle name="SAPBEXresDataEmph 2 3 2" xfId="50740"/>
    <cellStyle name="SAPBEXresDataEmph 2 3 2 2" xfId="50741"/>
    <cellStyle name="SAPBEXresDataEmph 2 3 2 3" xfId="50742"/>
    <cellStyle name="SAPBEXresDataEmph 2 3 2 4" xfId="50743"/>
    <cellStyle name="SAPBEXresDataEmph 2 3 3" xfId="50744"/>
    <cellStyle name="SAPBEXresDataEmph 2 3 3 2" xfId="50745"/>
    <cellStyle name="SAPBEXresDataEmph 2 3 3 3" xfId="50746"/>
    <cellStyle name="SAPBEXresDataEmph 2 3 3 4" xfId="50747"/>
    <cellStyle name="SAPBEXresDataEmph 2 3 4" xfId="50748"/>
    <cellStyle name="SAPBEXresDataEmph 2 3 4 2" xfId="50749"/>
    <cellStyle name="SAPBEXresDataEmph 2 3 4 3" xfId="50750"/>
    <cellStyle name="SAPBEXresDataEmph 2 3 4 4" xfId="50751"/>
    <cellStyle name="SAPBEXresDataEmph 2 3 5" xfId="50752"/>
    <cellStyle name="SAPBEXresDataEmph 2 3 6" xfId="50753"/>
    <cellStyle name="SAPBEXresDataEmph 2 3 7" xfId="50754"/>
    <cellStyle name="SAPBEXresDataEmph 2 3 8" xfId="50755"/>
    <cellStyle name="SAPBEXresDataEmph 2 4" xfId="50756"/>
    <cellStyle name="SAPBEXresDataEmph 2 4 2" xfId="50757"/>
    <cellStyle name="SAPBEXresDataEmph 2 4 2 2" xfId="50758"/>
    <cellStyle name="SAPBEXresDataEmph 2 4 2 3" xfId="50759"/>
    <cellStyle name="SAPBEXresDataEmph 2 4 2 4" xfId="50760"/>
    <cellStyle name="SAPBEXresDataEmph 2 4 3" xfId="50761"/>
    <cellStyle name="SAPBEXresDataEmph 2 4 3 2" xfId="50762"/>
    <cellStyle name="SAPBEXresDataEmph 2 4 3 3" xfId="50763"/>
    <cellStyle name="SAPBEXresDataEmph 2 4 3 4" xfId="50764"/>
    <cellStyle name="SAPBEXresDataEmph 2 4 4" xfId="50765"/>
    <cellStyle name="SAPBEXresDataEmph 2 4 4 2" xfId="50766"/>
    <cellStyle name="SAPBEXresDataEmph 2 4 4 3" xfId="50767"/>
    <cellStyle name="SAPBEXresDataEmph 2 4 4 4" xfId="50768"/>
    <cellStyle name="SAPBEXresDataEmph 2 4 5" xfId="50769"/>
    <cellStyle name="SAPBEXresDataEmph 2 4 6" xfId="50770"/>
    <cellStyle name="SAPBEXresDataEmph 2 4 7" xfId="50771"/>
    <cellStyle name="SAPBEXresDataEmph 2 4 8" xfId="50772"/>
    <cellStyle name="SAPBEXresDataEmph 2 5" xfId="50773"/>
    <cellStyle name="SAPBEXresDataEmph 2 5 2" xfId="50774"/>
    <cellStyle name="SAPBEXresDataEmph 2 5 2 2" xfId="50775"/>
    <cellStyle name="SAPBEXresDataEmph 2 5 2 3" xfId="50776"/>
    <cellStyle name="SAPBEXresDataEmph 2 5 2 4" xfId="50777"/>
    <cellStyle name="SAPBEXresDataEmph 2 5 3" xfId="50778"/>
    <cellStyle name="SAPBEXresDataEmph 2 5 3 2" xfId="50779"/>
    <cellStyle name="SAPBEXresDataEmph 2 5 3 3" xfId="50780"/>
    <cellStyle name="SAPBEXresDataEmph 2 5 3 4" xfId="50781"/>
    <cellStyle name="SAPBEXresDataEmph 2 5 4" xfId="50782"/>
    <cellStyle name="SAPBEXresDataEmph 2 5 4 2" xfId="50783"/>
    <cellStyle name="SAPBEXresDataEmph 2 5 4 3" xfId="50784"/>
    <cellStyle name="SAPBEXresDataEmph 2 5 4 4" xfId="50785"/>
    <cellStyle name="SAPBEXresDataEmph 2 5 5" xfId="50786"/>
    <cellStyle name="SAPBEXresDataEmph 2 5 6" xfId="50787"/>
    <cellStyle name="SAPBEXresDataEmph 2 5 7" xfId="50788"/>
    <cellStyle name="SAPBEXresDataEmph 2 5 8" xfId="50789"/>
    <cellStyle name="SAPBEXresDataEmph 2 6" xfId="50790"/>
    <cellStyle name="SAPBEXresDataEmph 2 6 2" xfId="50791"/>
    <cellStyle name="SAPBEXresDataEmph 2 6 3" xfId="50792"/>
    <cellStyle name="SAPBEXresDataEmph 2 6 4" xfId="50793"/>
    <cellStyle name="SAPBEXresDataEmph 2 7" xfId="50794"/>
    <cellStyle name="SAPBEXresDataEmph 2 7 2" xfId="50795"/>
    <cellStyle name="SAPBEXresDataEmph 2 7 3" xfId="50796"/>
    <cellStyle name="SAPBEXresDataEmph 2 7 4" xfId="50797"/>
    <cellStyle name="SAPBEXresDataEmph 2 8" xfId="50798"/>
    <cellStyle name="SAPBEXresDataEmph 2 9" xfId="50799"/>
    <cellStyle name="SAPBEXresDataEmph 3" xfId="50800"/>
    <cellStyle name="SAPBEXresDataEmph 3 2" xfId="50801"/>
    <cellStyle name="SAPBEXresDataEmph 3 2 2" xfId="50802"/>
    <cellStyle name="SAPBEXresDataEmph 3 2 3" xfId="50803"/>
    <cellStyle name="SAPBEXresDataEmph 3 2 4" xfId="50804"/>
    <cellStyle name="SAPBEXresDataEmph 3 3" xfId="50805"/>
    <cellStyle name="SAPBEXresDataEmph 3 3 2" xfId="50806"/>
    <cellStyle name="SAPBEXresDataEmph 3 3 3" xfId="50807"/>
    <cellStyle name="SAPBEXresDataEmph 3 3 4" xfId="50808"/>
    <cellStyle name="SAPBEXresDataEmph 3 4" xfId="50809"/>
    <cellStyle name="SAPBEXresDataEmph 3 4 2" xfId="50810"/>
    <cellStyle name="SAPBEXresDataEmph 3 4 3" xfId="50811"/>
    <cellStyle name="SAPBEXresDataEmph 3 4 4" xfId="50812"/>
    <cellStyle name="SAPBEXresDataEmph 3 5" xfId="50813"/>
    <cellStyle name="SAPBEXresDataEmph 3 6" xfId="50814"/>
    <cellStyle name="SAPBEXresDataEmph 3 7" xfId="50815"/>
    <cellStyle name="SAPBEXresDataEmph 3 8" xfId="50816"/>
    <cellStyle name="SAPBEXresDataEmph 4" xfId="50817"/>
    <cellStyle name="SAPBEXresDataEmph 4 2" xfId="50818"/>
    <cellStyle name="SAPBEXresDataEmph 4 2 2" xfId="50819"/>
    <cellStyle name="SAPBEXresDataEmph 4 2 3" xfId="50820"/>
    <cellStyle name="SAPBEXresDataEmph 4 2 4" xfId="50821"/>
    <cellStyle name="SAPBEXresDataEmph 4 3" xfId="50822"/>
    <cellStyle name="SAPBEXresDataEmph 4 3 2" xfId="50823"/>
    <cellStyle name="SAPBEXresDataEmph 4 3 3" xfId="50824"/>
    <cellStyle name="SAPBEXresDataEmph 4 3 4" xfId="50825"/>
    <cellStyle name="SAPBEXresDataEmph 4 4" xfId="50826"/>
    <cellStyle name="SAPBEXresDataEmph 4 4 2" xfId="50827"/>
    <cellStyle name="SAPBEXresDataEmph 4 4 3" xfId="50828"/>
    <cellStyle name="SAPBEXresDataEmph 4 4 4" xfId="50829"/>
    <cellStyle name="SAPBEXresDataEmph 4 5" xfId="50830"/>
    <cellStyle name="SAPBEXresDataEmph 4 6" xfId="50831"/>
    <cellStyle name="SAPBEXresDataEmph 4 7" xfId="50832"/>
    <cellStyle name="SAPBEXresDataEmph 4 8" xfId="50833"/>
    <cellStyle name="SAPBEXresDataEmph 5" xfId="50834"/>
    <cellStyle name="SAPBEXresDataEmph 5 2" xfId="50835"/>
    <cellStyle name="SAPBEXresDataEmph 5 2 2" xfId="50836"/>
    <cellStyle name="SAPBEXresDataEmph 5 2 3" xfId="50837"/>
    <cellStyle name="SAPBEXresDataEmph 5 2 4" xfId="50838"/>
    <cellStyle name="SAPBEXresDataEmph 5 3" xfId="50839"/>
    <cellStyle name="SAPBEXresDataEmph 5 3 2" xfId="50840"/>
    <cellStyle name="SAPBEXresDataEmph 5 3 3" xfId="50841"/>
    <cellStyle name="SAPBEXresDataEmph 5 3 4" xfId="50842"/>
    <cellStyle name="SAPBEXresDataEmph 5 4" xfId="50843"/>
    <cellStyle name="SAPBEXresDataEmph 5 4 2" xfId="50844"/>
    <cellStyle name="SAPBEXresDataEmph 5 4 3" xfId="50845"/>
    <cellStyle name="SAPBEXresDataEmph 5 4 4" xfId="50846"/>
    <cellStyle name="SAPBEXresDataEmph 5 5" xfId="50847"/>
    <cellStyle name="SAPBEXresDataEmph 5 6" xfId="50848"/>
    <cellStyle name="SAPBEXresDataEmph 5 7" xfId="50849"/>
    <cellStyle name="SAPBEXresDataEmph 5 8" xfId="50850"/>
    <cellStyle name="SAPBEXresDataEmph 6" xfId="50851"/>
    <cellStyle name="SAPBEXresDataEmph 6 2" xfId="50852"/>
    <cellStyle name="SAPBEXresDataEmph 6 2 2" xfId="50853"/>
    <cellStyle name="SAPBEXresDataEmph 6 2 3" xfId="50854"/>
    <cellStyle name="SAPBEXresDataEmph 6 2 4" xfId="50855"/>
    <cellStyle name="SAPBEXresDataEmph 6 3" xfId="50856"/>
    <cellStyle name="SAPBEXresDataEmph 6 3 2" xfId="50857"/>
    <cellStyle name="SAPBEXresDataEmph 6 3 3" xfId="50858"/>
    <cellStyle name="SAPBEXresDataEmph 6 3 4" xfId="50859"/>
    <cellStyle name="SAPBEXresDataEmph 6 4" xfId="50860"/>
    <cellStyle name="SAPBEXresDataEmph 6 4 2" xfId="50861"/>
    <cellStyle name="SAPBEXresDataEmph 6 4 3" xfId="50862"/>
    <cellStyle name="SAPBEXresDataEmph 6 4 4" xfId="50863"/>
    <cellStyle name="SAPBEXresDataEmph 6 5" xfId="50864"/>
    <cellStyle name="SAPBEXresDataEmph 6 6" xfId="50865"/>
    <cellStyle name="SAPBEXresDataEmph 6 7" xfId="50866"/>
    <cellStyle name="SAPBEXresDataEmph 6 8" xfId="50867"/>
    <cellStyle name="SAPBEXresDataEmph 7" xfId="50868"/>
    <cellStyle name="SAPBEXresDataEmph 7 2" xfId="50869"/>
    <cellStyle name="SAPBEXresDataEmph 7 2 2" xfId="50870"/>
    <cellStyle name="SAPBEXresDataEmph 7 2 3" xfId="50871"/>
    <cellStyle name="SAPBEXresDataEmph 7 2 4" xfId="50872"/>
    <cellStyle name="SAPBEXresDataEmph 7 3" xfId="50873"/>
    <cellStyle name="SAPBEXresDataEmph 7 3 2" xfId="50874"/>
    <cellStyle name="SAPBEXresDataEmph 7 3 3" xfId="50875"/>
    <cellStyle name="SAPBEXresDataEmph 7 3 4" xfId="50876"/>
    <cellStyle name="SAPBEXresDataEmph 7 4" xfId="50877"/>
    <cellStyle name="SAPBEXresDataEmph 7 4 2" xfId="50878"/>
    <cellStyle name="SAPBEXresDataEmph 7 4 3" xfId="50879"/>
    <cellStyle name="SAPBEXresDataEmph 7 4 4" xfId="50880"/>
    <cellStyle name="SAPBEXresDataEmph 7 5" xfId="50881"/>
    <cellStyle name="SAPBEXresDataEmph 7 6" xfId="50882"/>
    <cellStyle name="SAPBEXresDataEmph 7 7" xfId="50883"/>
    <cellStyle name="SAPBEXresDataEmph 7 8" xfId="50884"/>
    <cellStyle name="SAPBEXresDataEmph 8" xfId="50885"/>
    <cellStyle name="SAPBEXresDataEmph 8 2" xfId="50886"/>
    <cellStyle name="SAPBEXresDataEmph 8 3" xfId="50887"/>
    <cellStyle name="SAPBEXresDataEmph 8 4" xfId="50888"/>
    <cellStyle name="SAPBEXresDataEmph 9" xfId="50889"/>
    <cellStyle name="SAPBEXresDataEmph 9 2" xfId="50890"/>
    <cellStyle name="SAPBEXresDataEmph 9 3" xfId="50891"/>
    <cellStyle name="SAPBEXresDataEmph 9 4" xfId="50892"/>
    <cellStyle name="SAPBEXresItem" xfId="50893"/>
    <cellStyle name="SAPBEXresItem 10" xfId="50894"/>
    <cellStyle name="SAPBEXresItem 11" xfId="50895"/>
    <cellStyle name="SAPBEXresItem 2" xfId="50896"/>
    <cellStyle name="SAPBEXresItem 2 2" xfId="50897"/>
    <cellStyle name="SAPBEXresItem 2 2 2" xfId="50898"/>
    <cellStyle name="SAPBEXresItem 2 2 2 2" xfId="50899"/>
    <cellStyle name="SAPBEXresItem 2 2 2 3" xfId="50900"/>
    <cellStyle name="SAPBEXresItem 2 2 2 4" xfId="50901"/>
    <cellStyle name="SAPBEXresItem 2 2 3" xfId="50902"/>
    <cellStyle name="SAPBEXresItem 2 2 3 2" xfId="50903"/>
    <cellStyle name="SAPBEXresItem 2 2 3 3" xfId="50904"/>
    <cellStyle name="SAPBEXresItem 2 2 3 4" xfId="50905"/>
    <cellStyle name="SAPBEXresItem 2 2 4" xfId="50906"/>
    <cellStyle name="SAPBEXresItem 2 2 4 2" xfId="50907"/>
    <cellStyle name="SAPBEXresItem 2 2 4 3" xfId="50908"/>
    <cellStyle name="SAPBEXresItem 2 2 4 4" xfId="50909"/>
    <cellStyle name="SAPBEXresItem 2 2 5" xfId="50910"/>
    <cellStyle name="SAPBEXresItem 2 2 6" xfId="50911"/>
    <cellStyle name="SAPBEXresItem 2 2 7" xfId="50912"/>
    <cellStyle name="SAPBEXresItem 2 2 8" xfId="50913"/>
    <cellStyle name="SAPBEXresItem 2 3" xfId="50914"/>
    <cellStyle name="SAPBEXresItem 2 3 2" xfId="50915"/>
    <cellStyle name="SAPBEXresItem 2 3 2 2" xfId="50916"/>
    <cellStyle name="SAPBEXresItem 2 3 2 3" xfId="50917"/>
    <cellStyle name="SAPBEXresItem 2 3 2 4" xfId="50918"/>
    <cellStyle name="SAPBEXresItem 2 3 3" xfId="50919"/>
    <cellStyle name="SAPBEXresItem 2 3 3 2" xfId="50920"/>
    <cellStyle name="SAPBEXresItem 2 3 3 3" xfId="50921"/>
    <cellStyle name="SAPBEXresItem 2 3 3 4" xfId="50922"/>
    <cellStyle name="SAPBEXresItem 2 3 4" xfId="50923"/>
    <cellStyle name="SAPBEXresItem 2 3 4 2" xfId="50924"/>
    <cellStyle name="SAPBEXresItem 2 3 4 3" xfId="50925"/>
    <cellStyle name="SAPBEXresItem 2 3 4 4" xfId="50926"/>
    <cellStyle name="SAPBEXresItem 2 3 5" xfId="50927"/>
    <cellStyle name="SAPBEXresItem 2 3 6" xfId="50928"/>
    <cellStyle name="SAPBEXresItem 2 3 7" xfId="50929"/>
    <cellStyle name="SAPBEXresItem 2 3 8" xfId="50930"/>
    <cellStyle name="SAPBEXresItem 2 4" xfId="50931"/>
    <cellStyle name="SAPBEXresItem 2 4 2" xfId="50932"/>
    <cellStyle name="SAPBEXresItem 2 4 2 2" xfId="50933"/>
    <cellStyle name="SAPBEXresItem 2 4 2 3" xfId="50934"/>
    <cellStyle name="SAPBEXresItem 2 4 2 4" xfId="50935"/>
    <cellStyle name="SAPBEXresItem 2 4 3" xfId="50936"/>
    <cellStyle name="SAPBEXresItem 2 4 3 2" xfId="50937"/>
    <cellStyle name="SAPBEXresItem 2 4 3 3" xfId="50938"/>
    <cellStyle name="SAPBEXresItem 2 4 3 4" xfId="50939"/>
    <cellStyle name="SAPBEXresItem 2 4 4" xfId="50940"/>
    <cellStyle name="SAPBEXresItem 2 4 4 2" xfId="50941"/>
    <cellStyle name="SAPBEXresItem 2 4 4 3" xfId="50942"/>
    <cellStyle name="SAPBEXresItem 2 4 4 4" xfId="50943"/>
    <cellStyle name="SAPBEXresItem 2 4 5" xfId="50944"/>
    <cellStyle name="SAPBEXresItem 2 4 6" xfId="50945"/>
    <cellStyle name="SAPBEXresItem 2 4 7" xfId="50946"/>
    <cellStyle name="SAPBEXresItem 2 4 8" xfId="50947"/>
    <cellStyle name="SAPBEXresItem 2 5" xfId="50948"/>
    <cellStyle name="SAPBEXresItem 2 5 2" xfId="50949"/>
    <cellStyle name="SAPBEXresItem 2 5 2 2" xfId="50950"/>
    <cellStyle name="SAPBEXresItem 2 5 2 3" xfId="50951"/>
    <cellStyle name="SAPBEXresItem 2 5 2 4" xfId="50952"/>
    <cellStyle name="SAPBEXresItem 2 5 3" xfId="50953"/>
    <cellStyle name="SAPBEXresItem 2 5 3 2" xfId="50954"/>
    <cellStyle name="SAPBEXresItem 2 5 3 3" xfId="50955"/>
    <cellStyle name="SAPBEXresItem 2 5 3 4" xfId="50956"/>
    <cellStyle name="SAPBEXresItem 2 5 4" xfId="50957"/>
    <cellStyle name="SAPBEXresItem 2 5 4 2" xfId="50958"/>
    <cellStyle name="SAPBEXresItem 2 5 4 3" xfId="50959"/>
    <cellStyle name="SAPBEXresItem 2 5 4 4" xfId="50960"/>
    <cellStyle name="SAPBEXresItem 2 5 5" xfId="50961"/>
    <cellStyle name="SAPBEXresItem 2 5 6" xfId="50962"/>
    <cellStyle name="SAPBEXresItem 2 5 7" xfId="50963"/>
    <cellStyle name="SAPBEXresItem 2 5 8" xfId="50964"/>
    <cellStyle name="SAPBEXresItem 2 6" xfId="50965"/>
    <cellStyle name="SAPBEXresItem 2 6 2" xfId="50966"/>
    <cellStyle name="SAPBEXresItem 2 6 3" xfId="50967"/>
    <cellStyle name="SAPBEXresItem 2 6 4" xfId="50968"/>
    <cellStyle name="SAPBEXresItem 2 7" xfId="50969"/>
    <cellStyle name="SAPBEXresItem 2 7 2" xfId="50970"/>
    <cellStyle name="SAPBEXresItem 2 7 3" xfId="50971"/>
    <cellStyle name="SAPBEXresItem 2 7 4" xfId="50972"/>
    <cellStyle name="SAPBEXresItem 2 8" xfId="50973"/>
    <cellStyle name="SAPBEXresItem 2 9" xfId="50974"/>
    <cellStyle name="SAPBEXresItem 3" xfId="50975"/>
    <cellStyle name="SAPBEXresItem 3 2" xfId="50976"/>
    <cellStyle name="SAPBEXresItem 3 2 2" xfId="50977"/>
    <cellStyle name="SAPBEXresItem 3 2 3" xfId="50978"/>
    <cellStyle name="SAPBEXresItem 3 2 4" xfId="50979"/>
    <cellStyle name="SAPBEXresItem 3 3" xfId="50980"/>
    <cellStyle name="SAPBEXresItem 3 3 2" xfId="50981"/>
    <cellStyle name="SAPBEXresItem 3 3 3" xfId="50982"/>
    <cellStyle name="SAPBEXresItem 3 3 4" xfId="50983"/>
    <cellStyle name="SAPBEXresItem 3 4" xfId="50984"/>
    <cellStyle name="SAPBEXresItem 3 4 2" xfId="50985"/>
    <cellStyle name="SAPBEXresItem 3 4 3" xfId="50986"/>
    <cellStyle name="SAPBEXresItem 3 4 4" xfId="50987"/>
    <cellStyle name="SAPBEXresItem 3 5" xfId="50988"/>
    <cellStyle name="SAPBEXresItem 3 6" xfId="50989"/>
    <cellStyle name="SAPBEXresItem 3 7" xfId="50990"/>
    <cellStyle name="SAPBEXresItem 3 8" xfId="50991"/>
    <cellStyle name="SAPBEXresItem 4" xfId="50992"/>
    <cellStyle name="SAPBEXresItem 4 2" xfId="50993"/>
    <cellStyle name="SAPBEXresItem 4 2 2" xfId="50994"/>
    <cellStyle name="SAPBEXresItem 4 2 3" xfId="50995"/>
    <cellStyle name="SAPBEXresItem 4 2 4" xfId="50996"/>
    <cellStyle name="SAPBEXresItem 4 3" xfId="50997"/>
    <cellStyle name="SAPBEXresItem 4 3 2" xfId="50998"/>
    <cellStyle name="SAPBEXresItem 4 3 3" xfId="50999"/>
    <cellStyle name="SAPBEXresItem 4 3 4" xfId="51000"/>
    <cellStyle name="SAPBEXresItem 4 4" xfId="51001"/>
    <cellStyle name="SAPBEXresItem 4 4 2" xfId="51002"/>
    <cellStyle name="SAPBEXresItem 4 4 3" xfId="51003"/>
    <cellStyle name="SAPBEXresItem 4 4 4" xfId="51004"/>
    <cellStyle name="SAPBEXresItem 4 5" xfId="51005"/>
    <cellStyle name="SAPBEXresItem 4 6" xfId="51006"/>
    <cellStyle name="SAPBEXresItem 4 7" xfId="51007"/>
    <cellStyle name="SAPBEXresItem 4 8" xfId="51008"/>
    <cellStyle name="SAPBEXresItem 5" xfId="51009"/>
    <cellStyle name="SAPBEXresItem 5 2" xfId="51010"/>
    <cellStyle name="SAPBEXresItem 5 2 2" xfId="51011"/>
    <cellStyle name="SAPBEXresItem 5 2 3" xfId="51012"/>
    <cellStyle name="SAPBEXresItem 5 2 4" xfId="51013"/>
    <cellStyle name="SAPBEXresItem 5 3" xfId="51014"/>
    <cellStyle name="SAPBEXresItem 5 3 2" xfId="51015"/>
    <cellStyle name="SAPBEXresItem 5 3 3" xfId="51016"/>
    <cellStyle name="SAPBEXresItem 5 3 4" xfId="51017"/>
    <cellStyle name="SAPBEXresItem 5 4" xfId="51018"/>
    <cellStyle name="SAPBEXresItem 5 4 2" xfId="51019"/>
    <cellStyle name="SAPBEXresItem 5 4 3" xfId="51020"/>
    <cellStyle name="SAPBEXresItem 5 4 4" xfId="51021"/>
    <cellStyle name="SAPBEXresItem 5 5" xfId="51022"/>
    <cellStyle name="SAPBEXresItem 5 6" xfId="51023"/>
    <cellStyle name="SAPBEXresItem 5 7" xfId="51024"/>
    <cellStyle name="SAPBEXresItem 5 8" xfId="51025"/>
    <cellStyle name="SAPBEXresItem 6" xfId="51026"/>
    <cellStyle name="SAPBEXresItem 6 2" xfId="51027"/>
    <cellStyle name="SAPBEXresItem 6 2 2" xfId="51028"/>
    <cellStyle name="SAPBEXresItem 6 2 3" xfId="51029"/>
    <cellStyle name="SAPBEXresItem 6 2 4" xfId="51030"/>
    <cellStyle name="SAPBEXresItem 6 3" xfId="51031"/>
    <cellStyle name="SAPBEXresItem 6 3 2" xfId="51032"/>
    <cellStyle name="SAPBEXresItem 6 3 3" xfId="51033"/>
    <cellStyle name="SAPBEXresItem 6 3 4" xfId="51034"/>
    <cellStyle name="SAPBEXresItem 6 4" xfId="51035"/>
    <cellStyle name="SAPBEXresItem 6 4 2" xfId="51036"/>
    <cellStyle name="SAPBEXresItem 6 4 3" xfId="51037"/>
    <cellStyle name="SAPBEXresItem 6 4 4" xfId="51038"/>
    <cellStyle name="SAPBEXresItem 6 5" xfId="51039"/>
    <cellStyle name="SAPBEXresItem 6 6" xfId="51040"/>
    <cellStyle name="SAPBEXresItem 6 7" xfId="51041"/>
    <cellStyle name="SAPBEXresItem 6 8" xfId="51042"/>
    <cellStyle name="SAPBEXresItem 7" xfId="51043"/>
    <cellStyle name="SAPBEXresItem 7 2" xfId="51044"/>
    <cellStyle name="SAPBEXresItem 7 2 2" xfId="51045"/>
    <cellStyle name="SAPBEXresItem 7 2 3" xfId="51046"/>
    <cellStyle name="SAPBEXresItem 7 2 4" xfId="51047"/>
    <cellStyle name="SAPBEXresItem 7 3" xfId="51048"/>
    <cellStyle name="SAPBEXresItem 7 3 2" xfId="51049"/>
    <cellStyle name="SAPBEXresItem 7 3 3" xfId="51050"/>
    <cellStyle name="SAPBEXresItem 7 3 4" xfId="51051"/>
    <cellStyle name="SAPBEXresItem 7 4" xfId="51052"/>
    <cellStyle name="SAPBEXresItem 7 4 2" xfId="51053"/>
    <cellStyle name="SAPBEXresItem 7 4 3" xfId="51054"/>
    <cellStyle name="SAPBEXresItem 7 4 4" xfId="51055"/>
    <cellStyle name="SAPBEXresItem 7 5" xfId="51056"/>
    <cellStyle name="SAPBEXresItem 7 6" xfId="51057"/>
    <cellStyle name="SAPBEXresItem 7 7" xfId="51058"/>
    <cellStyle name="SAPBEXresItem 7 8" xfId="51059"/>
    <cellStyle name="SAPBEXresItem 8" xfId="51060"/>
    <cellStyle name="SAPBEXresItem 8 2" xfId="51061"/>
    <cellStyle name="SAPBEXresItem 8 3" xfId="51062"/>
    <cellStyle name="SAPBEXresItem 8 4" xfId="51063"/>
    <cellStyle name="SAPBEXresItem 9" xfId="51064"/>
    <cellStyle name="SAPBEXresItem 9 2" xfId="51065"/>
    <cellStyle name="SAPBEXresItem 9 3" xfId="51066"/>
    <cellStyle name="SAPBEXresItem 9 4" xfId="51067"/>
    <cellStyle name="SAPBEXresItemX" xfId="51068"/>
    <cellStyle name="SAPBEXresItemX 10" xfId="51069"/>
    <cellStyle name="SAPBEXresItemX 11" xfId="51070"/>
    <cellStyle name="SAPBEXresItemX 2" xfId="51071"/>
    <cellStyle name="SAPBEXresItemX 2 2" xfId="51072"/>
    <cellStyle name="SAPBEXresItemX 2 2 2" xfId="51073"/>
    <cellStyle name="SAPBEXresItemX 2 2 2 2" xfId="51074"/>
    <cellStyle name="SAPBEXresItemX 2 2 2 3" xfId="51075"/>
    <cellStyle name="SAPBEXresItemX 2 2 2 4" xfId="51076"/>
    <cellStyle name="SAPBEXresItemX 2 2 3" xfId="51077"/>
    <cellStyle name="SAPBEXresItemX 2 2 3 2" xfId="51078"/>
    <cellStyle name="SAPBEXresItemX 2 2 3 3" xfId="51079"/>
    <cellStyle name="SAPBEXresItemX 2 2 3 4" xfId="51080"/>
    <cellStyle name="SAPBEXresItemX 2 2 4" xfId="51081"/>
    <cellStyle name="SAPBEXresItemX 2 2 4 2" xfId="51082"/>
    <cellStyle name="SAPBEXresItemX 2 2 4 3" xfId="51083"/>
    <cellStyle name="SAPBEXresItemX 2 2 4 4" xfId="51084"/>
    <cellStyle name="SAPBEXresItemX 2 2 5" xfId="51085"/>
    <cellStyle name="SAPBEXresItemX 2 2 6" xfId="51086"/>
    <cellStyle name="SAPBEXresItemX 2 2 7" xfId="51087"/>
    <cellStyle name="SAPBEXresItemX 2 2 8" xfId="51088"/>
    <cellStyle name="SAPBEXresItemX 2 3" xfId="51089"/>
    <cellStyle name="SAPBEXresItemX 2 3 2" xfId="51090"/>
    <cellStyle name="SAPBEXresItemX 2 3 2 2" xfId="51091"/>
    <cellStyle name="SAPBEXresItemX 2 3 2 3" xfId="51092"/>
    <cellStyle name="SAPBEXresItemX 2 3 2 4" xfId="51093"/>
    <cellStyle name="SAPBEXresItemX 2 3 3" xfId="51094"/>
    <cellStyle name="SAPBEXresItemX 2 3 3 2" xfId="51095"/>
    <cellStyle name="SAPBEXresItemX 2 3 3 3" xfId="51096"/>
    <cellStyle name="SAPBEXresItemX 2 3 3 4" xfId="51097"/>
    <cellStyle name="SAPBEXresItemX 2 3 4" xfId="51098"/>
    <cellStyle name="SAPBEXresItemX 2 3 4 2" xfId="51099"/>
    <cellStyle name="SAPBEXresItemX 2 3 4 3" xfId="51100"/>
    <cellStyle name="SAPBEXresItemX 2 3 4 4" xfId="51101"/>
    <cellStyle name="SAPBEXresItemX 2 3 5" xfId="51102"/>
    <cellStyle name="SAPBEXresItemX 2 3 6" xfId="51103"/>
    <cellStyle name="SAPBEXresItemX 2 3 7" xfId="51104"/>
    <cellStyle name="SAPBEXresItemX 2 3 8" xfId="51105"/>
    <cellStyle name="SAPBEXresItemX 2 4" xfId="51106"/>
    <cellStyle name="SAPBEXresItemX 2 4 2" xfId="51107"/>
    <cellStyle name="SAPBEXresItemX 2 4 2 2" xfId="51108"/>
    <cellStyle name="SAPBEXresItemX 2 4 2 3" xfId="51109"/>
    <cellStyle name="SAPBEXresItemX 2 4 2 4" xfId="51110"/>
    <cellStyle name="SAPBEXresItemX 2 4 3" xfId="51111"/>
    <cellStyle name="SAPBEXresItemX 2 4 3 2" xfId="51112"/>
    <cellStyle name="SAPBEXresItemX 2 4 3 3" xfId="51113"/>
    <cellStyle name="SAPBEXresItemX 2 4 3 4" xfId="51114"/>
    <cellStyle name="SAPBEXresItemX 2 4 4" xfId="51115"/>
    <cellStyle name="SAPBEXresItemX 2 4 4 2" xfId="51116"/>
    <cellStyle name="SAPBEXresItemX 2 4 4 3" xfId="51117"/>
    <cellStyle name="SAPBEXresItemX 2 4 4 4" xfId="51118"/>
    <cellStyle name="SAPBEXresItemX 2 4 5" xfId="51119"/>
    <cellStyle name="SAPBEXresItemX 2 4 6" xfId="51120"/>
    <cellStyle name="SAPBEXresItemX 2 4 7" xfId="51121"/>
    <cellStyle name="SAPBEXresItemX 2 4 8" xfId="51122"/>
    <cellStyle name="SAPBEXresItemX 2 5" xfId="51123"/>
    <cellStyle name="SAPBEXresItemX 2 5 2" xfId="51124"/>
    <cellStyle name="SAPBEXresItemX 2 5 2 2" xfId="51125"/>
    <cellStyle name="SAPBEXresItemX 2 5 2 3" xfId="51126"/>
    <cellStyle name="SAPBEXresItemX 2 5 2 4" xfId="51127"/>
    <cellStyle name="SAPBEXresItemX 2 5 3" xfId="51128"/>
    <cellStyle name="SAPBEXresItemX 2 5 3 2" xfId="51129"/>
    <cellStyle name="SAPBEXresItemX 2 5 3 3" xfId="51130"/>
    <cellStyle name="SAPBEXresItemX 2 5 3 4" xfId="51131"/>
    <cellStyle name="SAPBEXresItemX 2 5 4" xfId="51132"/>
    <cellStyle name="SAPBEXresItemX 2 5 4 2" xfId="51133"/>
    <cellStyle name="SAPBEXresItemX 2 5 4 3" xfId="51134"/>
    <cellStyle name="SAPBEXresItemX 2 5 4 4" xfId="51135"/>
    <cellStyle name="SAPBEXresItemX 2 5 5" xfId="51136"/>
    <cellStyle name="SAPBEXresItemX 2 5 6" xfId="51137"/>
    <cellStyle name="SAPBEXresItemX 2 5 7" xfId="51138"/>
    <cellStyle name="SAPBEXresItemX 2 5 8" xfId="51139"/>
    <cellStyle name="SAPBEXresItemX 2 6" xfId="51140"/>
    <cellStyle name="SAPBEXresItemX 2 6 2" xfId="51141"/>
    <cellStyle name="SAPBEXresItemX 2 6 3" xfId="51142"/>
    <cellStyle name="SAPBEXresItemX 2 6 4" xfId="51143"/>
    <cellStyle name="SAPBEXresItemX 2 7" xfId="51144"/>
    <cellStyle name="SAPBEXresItemX 2 7 2" xfId="51145"/>
    <cellStyle name="SAPBEXresItemX 2 7 3" xfId="51146"/>
    <cellStyle name="SAPBEXresItemX 2 7 4" xfId="51147"/>
    <cellStyle name="SAPBEXresItemX 2 8" xfId="51148"/>
    <cellStyle name="SAPBEXresItemX 2 9" xfId="51149"/>
    <cellStyle name="SAPBEXresItemX 3" xfId="51150"/>
    <cellStyle name="SAPBEXresItemX 3 2" xfId="51151"/>
    <cellStyle name="SAPBEXresItemX 3 2 2" xfId="51152"/>
    <cellStyle name="SAPBEXresItemX 3 2 3" xfId="51153"/>
    <cellStyle name="SAPBEXresItemX 3 2 4" xfId="51154"/>
    <cellStyle name="SAPBEXresItemX 3 3" xfId="51155"/>
    <cellStyle name="SAPBEXresItemX 3 3 2" xfId="51156"/>
    <cellStyle name="SAPBEXresItemX 3 3 3" xfId="51157"/>
    <cellStyle name="SAPBEXresItemX 3 3 4" xfId="51158"/>
    <cellStyle name="SAPBEXresItemX 3 4" xfId="51159"/>
    <cellStyle name="SAPBEXresItemX 3 4 2" xfId="51160"/>
    <cellStyle name="SAPBEXresItemX 3 4 3" xfId="51161"/>
    <cellStyle name="SAPBEXresItemX 3 4 4" xfId="51162"/>
    <cellStyle name="SAPBEXresItemX 3 5" xfId="51163"/>
    <cellStyle name="SAPBEXresItemX 3 6" xfId="51164"/>
    <cellStyle name="SAPBEXresItemX 3 7" xfId="51165"/>
    <cellStyle name="SAPBEXresItemX 3 8" xfId="51166"/>
    <cellStyle name="SAPBEXresItemX 4" xfId="51167"/>
    <cellStyle name="SAPBEXresItemX 4 2" xfId="51168"/>
    <cellStyle name="SAPBEXresItemX 4 2 2" xfId="51169"/>
    <cellStyle name="SAPBEXresItemX 4 2 3" xfId="51170"/>
    <cellStyle name="SAPBEXresItemX 4 2 4" xfId="51171"/>
    <cellStyle name="SAPBEXresItemX 4 3" xfId="51172"/>
    <cellStyle name="SAPBEXresItemX 4 3 2" xfId="51173"/>
    <cellStyle name="SAPBEXresItemX 4 3 3" xfId="51174"/>
    <cellStyle name="SAPBEXresItemX 4 3 4" xfId="51175"/>
    <cellStyle name="SAPBEXresItemX 4 4" xfId="51176"/>
    <cellStyle name="SAPBEXresItemX 4 4 2" xfId="51177"/>
    <cellStyle name="SAPBEXresItemX 4 4 3" xfId="51178"/>
    <cellStyle name="SAPBEXresItemX 4 4 4" xfId="51179"/>
    <cellStyle name="SAPBEXresItemX 4 5" xfId="51180"/>
    <cellStyle name="SAPBEXresItemX 4 6" xfId="51181"/>
    <cellStyle name="SAPBEXresItemX 4 7" xfId="51182"/>
    <cellStyle name="SAPBEXresItemX 4 8" xfId="51183"/>
    <cellStyle name="SAPBEXresItemX 5" xfId="51184"/>
    <cellStyle name="SAPBEXresItemX 5 2" xfId="51185"/>
    <cellStyle name="SAPBEXresItemX 5 2 2" xfId="51186"/>
    <cellStyle name="SAPBEXresItemX 5 2 3" xfId="51187"/>
    <cellStyle name="SAPBEXresItemX 5 2 4" xfId="51188"/>
    <cellStyle name="SAPBEXresItemX 5 3" xfId="51189"/>
    <cellStyle name="SAPBEXresItemX 5 3 2" xfId="51190"/>
    <cellStyle name="SAPBEXresItemX 5 3 3" xfId="51191"/>
    <cellStyle name="SAPBEXresItemX 5 3 4" xfId="51192"/>
    <cellStyle name="SAPBEXresItemX 5 4" xfId="51193"/>
    <cellStyle name="SAPBEXresItemX 5 4 2" xfId="51194"/>
    <cellStyle name="SAPBEXresItemX 5 4 3" xfId="51195"/>
    <cellStyle name="SAPBEXresItemX 5 4 4" xfId="51196"/>
    <cellStyle name="SAPBEXresItemX 5 5" xfId="51197"/>
    <cellStyle name="SAPBEXresItemX 5 6" xfId="51198"/>
    <cellStyle name="SAPBEXresItemX 5 7" xfId="51199"/>
    <cellStyle name="SAPBEXresItemX 5 8" xfId="51200"/>
    <cellStyle name="SAPBEXresItemX 6" xfId="51201"/>
    <cellStyle name="SAPBEXresItemX 6 2" xfId="51202"/>
    <cellStyle name="SAPBEXresItemX 6 2 2" xfId="51203"/>
    <cellStyle name="SAPBEXresItemX 6 2 3" xfId="51204"/>
    <cellStyle name="SAPBEXresItemX 6 2 4" xfId="51205"/>
    <cellStyle name="SAPBEXresItemX 6 3" xfId="51206"/>
    <cellStyle name="SAPBEXresItemX 6 3 2" xfId="51207"/>
    <cellStyle name="SAPBEXresItemX 6 3 3" xfId="51208"/>
    <cellStyle name="SAPBEXresItemX 6 3 4" xfId="51209"/>
    <cellStyle name="SAPBEXresItemX 6 4" xfId="51210"/>
    <cellStyle name="SAPBEXresItemX 6 4 2" xfId="51211"/>
    <cellStyle name="SAPBEXresItemX 6 4 3" xfId="51212"/>
    <cellStyle name="SAPBEXresItemX 6 4 4" xfId="51213"/>
    <cellStyle name="SAPBEXresItemX 6 5" xfId="51214"/>
    <cellStyle name="SAPBEXresItemX 6 6" xfId="51215"/>
    <cellStyle name="SAPBEXresItemX 6 7" xfId="51216"/>
    <cellStyle name="SAPBEXresItemX 6 8" xfId="51217"/>
    <cellStyle name="SAPBEXresItemX 7" xfId="51218"/>
    <cellStyle name="SAPBEXresItemX 7 2" xfId="51219"/>
    <cellStyle name="SAPBEXresItemX 7 2 2" xfId="51220"/>
    <cellStyle name="SAPBEXresItemX 7 2 3" xfId="51221"/>
    <cellStyle name="SAPBEXresItemX 7 2 4" xfId="51222"/>
    <cellStyle name="SAPBEXresItemX 7 3" xfId="51223"/>
    <cellStyle name="SAPBEXresItemX 7 3 2" xfId="51224"/>
    <cellStyle name="SAPBEXresItemX 7 3 3" xfId="51225"/>
    <cellStyle name="SAPBEXresItemX 7 3 4" xfId="51226"/>
    <cellStyle name="SAPBEXresItemX 7 4" xfId="51227"/>
    <cellStyle name="SAPBEXresItemX 7 4 2" xfId="51228"/>
    <cellStyle name="SAPBEXresItemX 7 4 3" xfId="51229"/>
    <cellStyle name="SAPBEXresItemX 7 4 4" xfId="51230"/>
    <cellStyle name="SAPBEXresItemX 7 5" xfId="51231"/>
    <cellStyle name="SAPBEXresItemX 7 6" xfId="51232"/>
    <cellStyle name="SAPBEXresItemX 7 7" xfId="51233"/>
    <cellStyle name="SAPBEXresItemX 7 8" xfId="51234"/>
    <cellStyle name="SAPBEXresItemX 8" xfId="51235"/>
    <cellStyle name="SAPBEXresItemX 8 2" xfId="51236"/>
    <cellStyle name="SAPBEXresItemX 8 3" xfId="51237"/>
    <cellStyle name="SAPBEXresItemX 8 4" xfId="51238"/>
    <cellStyle name="SAPBEXresItemX 9" xfId="51239"/>
    <cellStyle name="SAPBEXresItemX 9 2" xfId="51240"/>
    <cellStyle name="SAPBEXresItemX 9 3" xfId="51241"/>
    <cellStyle name="SAPBEXresItemX 9 4" xfId="51242"/>
    <cellStyle name="SAPBEXstdData" xfId="51243"/>
    <cellStyle name="SAPBEXstdData 10" xfId="51244"/>
    <cellStyle name="SAPBEXstdData 11" xfId="51245"/>
    <cellStyle name="SAPBEXstdData 2" xfId="51246"/>
    <cellStyle name="SAPBEXstdData 2 2" xfId="51247"/>
    <cellStyle name="SAPBEXstdData 2 2 2" xfId="51248"/>
    <cellStyle name="SAPBEXstdData 2 2 2 2" xfId="51249"/>
    <cellStyle name="SAPBEXstdData 2 2 2 3" xfId="51250"/>
    <cellStyle name="SAPBEXstdData 2 2 2 4" xfId="51251"/>
    <cellStyle name="SAPBEXstdData 2 2 3" xfId="51252"/>
    <cellStyle name="SAPBEXstdData 2 2 3 2" xfId="51253"/>
    <cellStyle name="SAPBEXstdData 2 2 3 3" xfId="51254"/>
    <cellStyle name="SAPBEXstdData 2 2 3 4" xfId="51255"/>
    <cellStyle name="SAPBEXstdData 2 2 4" xfId="51256"/>
    <cellStyle name="SAPBEXstdData 2 2 4 2" xfId="51257"/>
    <cellStyle name="SAPBEXstdData 2 2 4 3" xfId="51258"/>
    <cellStyle name="SAPBEXstdData 2 2 4 4" xfId="51259"/>
    <cellStyle name="SAPBEXstdData 2 2 5" xfId="51260"/>
    <cellStyle name="SAPBEXstdData 2 2 6" xfId="51261"/>
    <cellStyle name="SAPBEXstdData 2 2 7" xfId="51262"/>
    <cellStyle name="SAPBEXstdData 2 2 8" xfId="51263"/>
    <cellStyle name="SAPBEXstdData 2 3" xfId="51264"/>
    <cellStyle name="SAPBEXstdData 2 3 2" xfId="51265"/>
    <cellStyle name="SAPBEXstdData 2 3 2 2" xfId="51266"/>
    <cellStyle name="SAPBEXstdData 2 3 2 3" xfId="51267"/>
    <cellStyle name="SAPBEXstdData 2 3 2 4" xfId="51268"/>
    <cellStyle name="SAPBEXstdData 2 3 3" xfId="51269"/>
    <cellStyle name="SAPBEXstdData 2 3 3 2" xfId="51270"/>
    <cellStyle name="SAPBEXstdData 2 3 3 3" xfId="51271"/>
    <cellStyle name="SAPBEXstdData 2 3 3 4" xfId="51272"/>
    <cellStyle name="SAPBEXstdData 2 3 4" xfId="51273"/>
    <cellStyle name="SAPBEXstdData 2 3 4 2" xfId="51274"/>
    <cellStyle name="SAPBEXstdData 2 3 4 3" xfId="51275"/>
    <cellStyle name="SAPBEXstdData 2 3 4 4" xfId="51276"/>
    <cellStyle name="SAPBEXstdData 2 3 5" xfId="51277"/>
    <cellStyle name="SAPBEXstdData 2 3 6" xfId="51278"/>
    <cellStyle name="SAPBEXstdData 2 3 7" xfId="51279"/>
    <cellStyle name="SAPBEXstdData 2 3 8" xfId="51280"/>
    <cellStyle name="SAPBEXstdData 2 4" xfId="51281"/>
    <cellStyle name="SAPBEXstdData 2 4 2" xfId="51282"/>
    <cellStyle name="SAPBEXstdData 2 4 2 2" xfId="51283"/>
    <cellStyle name="SAPBEXstdData 2 4 2 3" xfId="51284"/>
    <cellStyle name="SAPBEXstdData 2 4 2 4" xfId="51285"/>
    <cellStyle name="SAPBEXstdData 2 4 3" xfId="51286"/>
    <cellStyle name="SAPBEXstdData 2 4 3 2" xfId="51287"/>
    <cellStyle name="SAPBEXstdData 2 4 3 3" xfId="51288"/>
    <cellStyle name="SAPBEXstdData 2 4 3 4" xfId="51289"/>
    <cellStyle name="SAPBEXstdData 2 4 4" xfId="51290"/>
    <cellStyle name="SAPBEXstdData 2 4 4 2" xfId="51291"/>
    <cellStyle name="SAPBEXstdData 2 4 4 3" xfId="51292"/>
    <cellStyle name="SAPBEXstdData 2 4 4 4" xfId="51293"/>
    <cellStyle name="SAPBEXstdData 2 4 5" xfId="51294"/>
    <cellStyle name="SAPBEXstdData 2 4 6" xfId="51295"/>
    <cellStyle name="SAPBEXstdData 2 4 7" xfId="51296"/>
    <cellStyle name="SAPBEXstdData 2 4 8" xfId="51297"/>
    <cellStyle name="SAPBEXstdData 2 5" xfId="51298"/>
    <cellStyle name="SAPBEXstdData 2 5 2" xfId="51299"/>
    <cellStyle name="SAPBEXstdData 2 5 2 2" xfId="51300"/>
    <cellStyle name="SAPBEXstdData 2 5 2 3" xfId="51301"/>
    <cellStyle name="SAPBEXstdData 2 5 2 4" xfId="51302"/>
    <cellStyle name="SAPBEXstdData 2 5 3" xfId="51303"/>
    <cellStyle name="SAPBEXstdData 2 5 3 2" xfId="51304"/>
    <cellStyle name="SAPBEXstdData 2 5 3 3" xfId="51305"/>
    <cellStyle name="SAPBEXstdData 2 5 3 4" xfId="51306"/>
    <cellStyle name="SAPBEXstdData 2 5 4" xfId="51307"/>
    <cellStyle name="SAPBEXstdData 2 5 4 2" xfId="51308"/>
    <cellStyle name="SAPBEXstdData 2 5 4 3" xfId="51309"/>
    <cellStyle name="SAPBEXstdData 2 5 4 4" xfId="51310"/>
    <cellStyle name="SAPBEXstdData 2 5 5" xfId="51311"/>
    <cellStyle name="SAPBEXstdData 2 5 6" xfId="51312"/>
    <cellStyle name="SAPBEXstdData 2 5 7" xfId="51313"/>
    <cellStyle name="SAPBEXstdData 2 5 8" xfId="51314"/>
    <cellStyle name="SAPBEXstdData 2 6" xfId="51315"/>
    <cellStyle name="SAPBEXstdData 2 6 2" xfId="51316"/>
    <cellStyle name="SAPBEXstdData 2 6 3" xfId="51317"/>
    <cellStyle name="SAPBEXstdData 2 6 4" xfId="51318"/>
    <cellStyle name="SAPBEXstdData 2 7" xfId="51319"/>
    <cellStyle name="SAPBEXstdData 2 7 2" xfId="51320"/>
    <cellStyle name="SAPBEXstdData 2 7 3" xfId="51321"/>
    <cellStyle name="SAPBEXstdData 2 7 4" xfId="51322"/>
    <cellStyle name="SAPBEXstdData 2 8" xfId="51323"/>
    <cellStyle name="SAPBEXstdData 2 9" xfId="51324"/>
    <cellStyle name="SAPBEXstdData 3" xfId="51325"/>
    <cellStyle name="SAPBEXstdData 3 2" xfId="51326"/>
    <cellStyle name="SAPBEXstdData 3 2 2" xfId="51327"/>
    <cellStyle name="SAPBEXstdData 3 2 3" xfId="51328"/>
    <cellStyle name="SAPBEXstdData 3 2 4" xfId="51329"/>
    <cellStyle name="SAPBEXstdData 3 3" xfId="51330"/>
    <cellStyle name="SAPBEXstdData 3 3 2" xfId="51331"/>
    <cellStyle name="SAPBEXstdData 3 3 3" xfId="51332"/>
    <cellStyle name="SAPBEXstdData 3 3 4" xfId="51333"/>
    <cellStyle name="SAPBEXstdData 3 4" xfId="51334"/>
    <cellStyle name="SAPBEXstdData 3 4 2" xfId="51335"/>
    <cellStyle name="SAPBEXstdData 3 4 3" xfId="51336"/>
    <cellStyle name="SAPBEXstdData 3 4 4" xfId="51337"/>
    <cellStyle name="SAPBEXstdData 3 5" xfId="51338"/>
    <cellStyle name="SAPBEXstdData 3 6" xfId="51339"/>
    <cellStyle name="SAPBEXstdData 3 7" xfId="51340"/>
    <cellStyle name="SAPBEXstdData 3 8" xfId="51341"/>
    <cellStyle name="SAPBEXstdData 4" xfId="51342"/>
    <cellStyle name="SAPBEXstdData 4 2" xfId="51343"/>
    <cellStyle name="SAPBEXstdData 4 2 2" xfId="51344"/>
    <cellStyle name="SAPBEXstdData 4 2 3" xfId="51345"/>
    <cellStyle name="SAPBEXstdData 4 2 4" xfId="51346"/>
    <cellStyle name="SAPBEXstdData 4 3" xfId="51347"/>
    <cellStyle name="SAPBEXstdData 4 3 2" xfId="51348"/>
    <cellStyle name="SAPBEXstdData 4 3 3" xfId="51349"/>
    <cellStyle name="SAPBEXstdData 4 3 4" xfId="51350"/>
    <cellStyle name="SAPBEXstdData 4 4" xfId="51351"/>
    <cellStyle name="SAPBEXstdData 4 4 2" xfId="51352"/>
    <cellStyle name="SAPBEXstdData 4 4 3" xfId="51353"/>
    <cellStyle name="SAPBEXstdData 4 4 4" xfId="51354"/>
    <cellStyle name="SAPBEXstdData 4 5" xfId="51355"/>
    <cellStyle name="SAPBEXstdData 4 6" xfId="51356"/>
    <cellStyle name="SAPBEXstdData 4 7" xfId="51357"/>
    <cellStyle name="SAPBEXstdData 4 8" xfId="51358"/>
    <cellStyle name="SAPBEXstdData 5" xfId="51359"/>
    <cellStyle name="SAPBEXstdData 5 2" xfId="51360"/>
    <cellStyle name="SAPBEXstdData 5 2 2" xfId="51361"/>
    <cellStyle name="SAPBEXstdData 5 2 3" xfId="51362"/>
    <cellStyle name="SAPBEXstdData 5 2 4" xfId="51363"/>
    <cellStyle name="SAPBEXstdData 5 3" xfId="51364"/>
    <cellStyle name="SAPBEXstdData 5 3 2" xfId="51365"/>
    <cellStyle name="SAPBEXstdData 5 3 3" xfId="51366"/>
    <cellStyle name="SAPBEXstdData 5 3 4" xfId="51367"/>
    <cellStyle name="SAPBEXstdData 5 4" xfId="51368"/>
    <cellStyle name="SAPBEXstdData 5 4 2" xfId="51369"/>
    <cellStyle name="SAPBEXstdData 5 4 3" xfId="51370"/>
    <cellStyle name="SAPBEXstdData 5 4 4" xfId="51371"/>
    <cellStyle name="SAPBEXstdData 5 5" xfId="51372"/>
    <cellStyle name="SAPBEXstdData 5 6" xfId="51373"/>
    <cellStyle name="SAPBEXstdData 5 7" xfId="51374"/>
    <cellStyle name="SAPBEXstdData 5 8" xfId="51375"/>
    <cellStyle name="SAPBEXstdData 6" xfId="51376"/>
    <cellStyle name="SAPBEXstdData 6 2" xfId="51377"/>
    <cellStyle name="SAPBEXstdData 6 2 2" xfId="51378"/>
    <cellStyle name="SAPBEXstdData 6 2 3" xfId="51379"/>
    <cellStyle name="SAPBEXstdData 6 2 4" xfId="51380"/>
    <cellStyle name="SAPBEXstdData 6 3" xfId="51381"/>
    <cellStyle name="SAPBEXstdData 6 3 2" xfId="51382"/>
    <cellStyle name="SAPBEXstdData 6 3 3" xfId="51383"/>
    <cellStyle name="SAPBEXstdData 6 3 4" xfId="51384"/>
    <cellStyle name="SAPBEXstdData 6 4" xfId="51385"/>
    <cellStyle name="SAPBEXstdData 6 4 2" xfId="51386"/>
    <cellStyle name="SAPBEXstdData 6 4 3" xfId="51387"/>
    <cellStyle name="SAPBEXstdData 6 4 4" xfId="51388"/>
    <cellStyle name="SAPBEXstdData 6 5" xfId="51389"/>
    <cellStyle name="SAPBEXstdData 6 6" xfId="51390"/>
    <cellStyle name="SAPBEXstdData 6 7" xfId="51391"/>
    <cellStyle name="SAPBEXstdData 6 8" xfId="51392"/>
    <cellStyle name="SAPBEXstdData 7" xfId="51393"/>
    <cellStyle name="SAPBEXstdData 7 2" xfId="51394"/>
    <cellStyle name="SAPBEXstdData 7 2 2" xfId="51395"/>
    <cellStyle name="SAPBEXstdData 7 2 3" xfId="51396"/>
    <cellStyle name="SAPBEXstdData 7 2 4" xfId="51397"/>
    <cellStyle name="SAPBEXstdData 7 3" xfId="51398"/>
    <cellStyle name="SAPBEXstdData 7 3 2" xfId="51399"/>
    <cellStyle name="SAPBEXstdData 7 3 3" xfId="51400"/>
    <cellStyle name="SAPBEXstdData 7 3 4" xfId="51401"/>
    <cellStyle name="SAPBEXstdData 7 4" xfId="51402"/>
    <cellStyle name="SAPBEXstdData 7 4 2" xfId="51403"/>
    <cellStyle name="SAPBEXstdData 7 4 3" xfId="51404"/>
    <cellStyle name="SAPBEXstdData 7 4 4" xfId="51405"/>
    <cellStyle name="SAPBEXstdData 7 5" xfId="51406"/>
    <cellStyle name="SAPBEXstdData 7 6" xfId="51407"/>
    <cellStyle name="SAPBEXstdData 7 7" xfId="51408"/>
    <cellStyle name="SAPBEXstdData 7 8" xfId="51409"/>
    <cellStyle name="SAPBEXstdData 8" xfId="51410"/>
    <cellStyle name="SAPBEXstdData 8 2" xfId="51411"/>
    <cellStyle name="SAPBEXstdData 8 3" xfId="51412"/>
    <cellStyle name="SAPBEXstdData 8 4" xfId="51413"/>
    <cellStyle name="SAPBEXstdData 9" xfId="51414"/>
    <cellStyle name="SAPBEXstdData 9 2" xfId="51415"/>
    <cellStyle name="SAPBEXstdData 9 3" xfId="51416"/>
    <cellStyle name="SAPBEXstdData 9 4" xfId="51417"/>
    <cellStyle name="SAPBEXstdDataEmph" xfId="51418"/>
    <cellStyle name="SAPBEXstdDataEmph 10" xfId="51419"/>
    <cellStyle name="SAPBEXstdDataEmph 11" xfId="51420"/>
    <cellStyle name="SAPBEXstdDataEmph 2" xfId="51421"/>
    <cellStyle name="SAPBEXstdDataEmph 2 2" xfId="51422"/>
    <cellStyle name="SAPBEXstdDataEmph 2 2 2" xfId="51423"/>
    <cellStyle name="SAPBEXstdDataEmph 2 2 2 2" xfId="51424"/>
    <cellStyle name="SAPBEXstdDataEmph 2 2 2 3" xfId="51425"/>
    <cellStyle name="SAPBEXstdDataEmph 2 2 2 4" xfId="51426"/>
    <cellStyle name="SAPBEXstdDataEmph 2 2 3" xfId="51427"/>
    <cellStyle name="SAPBEXstdDataEmph 2 2 3 2" xfId="51428"/>
    <cellStyle name="SAPBEXstdDataEmph 2 2 3 3" xfId="51429"/>
    <cellStyle name="SAPBEXstdDataEmph 2 2 3 4" xfId="51430"/>
    <cellStyle name="SAPBEXstdDataEmph 2 2 4" xfId="51431"/>
    <cellStyle name="SAPBEXstdDataEmph 2 2 4 2" xfId="51432"/>
    <cellStyle name="SAPBEXstdDataEmph 2 2 4 3" xfId="51433"/>
    <cellStyle name="SAPBEXstdDataEmph 2 2 4 4" xfId="51434"/>
    <cellStyle name="SAPBEXstdDataEmph 2 2 5" xfId="51435"/>
    <cellStyle name="SAPBEXstdDataEmph 2 2 6" xfId="51436"/>
    <cellStyle name="SAPBEXstdDataEmph 2 2 7" xfId="51437"/>
    <cellStyle name="SAPBEXstdDataEmph 2 2 8" xfId="51438"/>
    <cellStyle name="SAPBEXstdDataEmph 2 3" xfId="51439"/>
    <cellStyle name="SAPBEXstdDataEmph 2 3 2" xfId="51440"/>
    <cellStyle name="SAPBEXstdDataEmph 2 3 2 2" xfId="51441"/>
    <cellStyle name="SAPBEXstdDataEmph 2 3 2 3" xfId="51442"/>
    <cellStyle name="SAPBEXstdDataEmph 2 3 2 4" xfId="51443"/>
    <cellStyle name="SAPBEXstdDataEmph 2 3 3" xfId="51444"/>
    <cellStyle name="SAPBEXstdDataEmph 2 3 3 2" xfId="51445"/>
    <cellStyle name="SAPBEXstdDataEmph 2 3 3 3" xfId="51446"/>
    <cellStyle name="SAPBEXstdDataEmph 2 3 3 4" xfId="51447"/>
    <cellStyle name="SAPBEXstdDataEmph 2 3 4" xfId="51448"/>
    <cellStyle name="SAPBEXstdDataEmph 2 3 4 2" xfId="51449"/>
    <cellStyle name="SAPBEXstdDataEmph 2 3 4 3" xfId="51450"/>
    <cellStyle name="SAPBEXstdDataEmph 2 3 4 4" xfId="51451"/>
    <cellStyle name="SAPBEXstdDataEmph 2 3 5" xfId="51452"/>
    <cellStyle name="SAPBEXstdDataEmph 2 3 6" xfId="51453"/>
    <cellStyle name="SAPBEXstdDataEmph 2 3 7" xfId="51454"/>
    <cellStyle name="SAPBEXstdDataEmph 2 3 8" xfId="51455"/>
    <cellStyle name="SAPBEXstdDataEmph 2 4" xfId="51456"/>
    <cellStyle name="SAPBEXstdDataEmph 2 4 2" xfId="51457"/>
    <cellStyle name="SAPBEXstdDataEmph 2 4 2 2" xfId="51458"/>
    <cellStyle name="SAPBEXstdDataEmph 2 4 2 3" xfId="51459"/>
    <cellStyle name="SAPBEXstdDataEmph 2 4 2 4" xfId="51460"/>
    <cellStyle name="SAPBEXstdDataEmph 2 4 3" xfId="51461"/>
    <cellStyle name="SAPBEXstdDataEmph 2 4 3 2" xfId="51462"/>
    <cellStyle name="SAPBEXstdDataEmph 2 4 3 3" xfId="51463"/>
    <cellStyle name="SAPBEXstdDataEmph 2 4 3 4" xfId="51464"/>
    <cellStyle name="SAPBEXstdDataEmph 2 4 4" xfId="51465"/>
    <cellStyle name="SAPBEXstdDataEmph 2 4 4 2" xfId="51466"/>
    <cellStyle name="SAPBEXstdDataEmph 2 4 4 3" xfId="51467"/>
    <cellStyle name="SAPBEXstdDataEmph 2 4 4 4" xfId="51468"/>
    <cellStyle name="SAPBEXstdDataEmph 2 4 5" xfId="51469"/>
    <cellStyle name="SAPBEXstdDataEmph 2 4 6" xfId="51470"/>
    <cellStyle name="SAPBEXstdDataEmph 2 4 7" xfId="51471"/>
    <cellStyle name="SAPBEXstdDataEmph 2 4 8" xfId="51472"/>
    <cellStyle name="SAPBEXstdDataEmph 2 5" xfId="51473"/>
    <cellStyle name="SAPBEXstdDataEmph 2 5 2" xfId="51474"/>
    <cellStyle name="SAPBEXstdDataEmph 2 5 2 2" xfId="51475"/>
    <cellStyle name="SAPBEXstdDataEmph 2 5 2 3" xfId="51476"/>
    <cellStyle name="SAPBEXstdDataEmph 2 5 2 4" xfId="51477"/>
    <cellStyle name="SAPBEXstdDataEmph 2 5 3" xfId="51478"/>
    <cellStyle name="SAPBEXstdDataEmph 2 5 3 2" xfId="51479"/>
    <cellStyle name="SAPBEXstdDataEmph 2 5 3 3" xfId="51480"/>
    <cellStyle name="SAPBEXstdDataEmph 2 5 3 4" xfId="51481"/>
    <cellStyle name="SAPBEXstdDataEmph 2 5 4" xfId="51482"/>
    <cellStyle name="SAPBEXstdDataEmph 2 5 4 2" xfId="51483"/>
    <cellStyle name="SAPBEXstdDataEmph 2 5 4 3" xfId="51484"/>
    <cellStyle name="SAPBEXstdDataEmph 2 5 4 4" xfId="51485"/>
    <cellStyle name="SAPBEXstdDataEmph 2 5 5" xfId="51486"/>
    <cellStyle name="SAPBEXstdDataEmph 2 5 6" xfId="51487"/>
    <cellStyle name="SAPBEXstdDataEmph 2 5 7" xfId="51488"/>
    <cellStyle name="SAPBEXstdDataEmph 2 5 8" xfId="51489"/>
    <cellStyle name="SAPBEXstdDataEmph 2 6" xfId="51490"/>
    <cellStyle name="SAPBEXstdDataEmph 2 6 2" xfId="51491"/>
    <cellStyle name="SAPBEXstdDataEmph 2 6 3" xfId="51492"/>
    <cellStyle name="SAPBEXstdDataEmph 2 6 4" xfId="51493"/>
    <cellStyle name="SAPBEXstdDataEmph 2 7" xfId="51494"/>
    <cellStyle name="SAPBEXstdDataEmph 2 7 2" xfId="51495"/>
    <cellStyle name="SAPBEXstdDataEmph 2 7 3" xfId="51496"/>
    <cellStyle name="SAPBEXstdDataEmph 2 7 4" xfId="51497"/>
    <cellStyle name="SAPBEXstdDataEmph 2 8" xfId="51498"/>
    <cellStyle name="SAPBEXstdDataEmph 2 9" xfId="51499"/>
    <cellStyle name="SAPBEXstdDataEmph 3" xfId="51500"/>
    <cellStyle name="SAPBEXstdDataEmph 3 2" xfId="51501"/>
    <cellStyle name="SAPBEXstdDataEmph 3 2 2" xfId="51502"/>
    <cellStyle name="SAPBEXstdDataEmph 3 2 3" xfId="51503"/>
    <cellStyle name="SAPBEXstdDataEmph 3 2 4" xfId="51504"/>
    <cellStyle name="SAPBEXstdDataEmph 3 3" xfId="51505"/>
    <cellStyle name="SAPBEXstdDataEmph 3 3 2" xfId="51506"/>
    <cellStyle name="SAPBEXstdDataEmph 3 3 3" xfId="51507"/>
    <cellStyle name="SAPBEXstdDataEmph 3 3 4" xfId="51508"/>
    <cellStyle name="SAPBEXstdDataEmph 3 4" xfId="51509"/>
    <cellStyle name="SAPBEXstdDataEmph 3 4 2" xfId="51510"/>
    <cellStyle name="SAPBEXstdDataEmph 3 4 3" xfId="51511"/>
    <cellStyle name="SAPBEXstdDataEmph 3 4 4" xfId="51512"/>
    <cellStyle name="SAPBEXstdDataEmph 3 5" xfId="51513"/>
    <cellStyle name="SAPBEXstdDataEmph 3 6" xfId="51514"/>
    <cellStyle name="SAPBEXstdDataEmph 3 7" xfId="51515"/>
    <cellStyle name="SAPBEXstdDataEmph 3 8" xfId="51516"/>
    <cellStyle name="SAPBEXstdDataEmph 4" xfId="51517"/>
    <cellStyle name="SAPBEXstdDataEmph 4 2" xfId="51518"/>
    <cellStyle name="SAPBEXstdDataEmph 4 2 2" xfId="51519"/>
    <cellStyle name="SAPBEXstdDataEmph 4 2 3" xfId="51520"/>
    <cellStyle name="SAPBEXstdDataEmph 4 2 4" xfId="51521"/>
    <cellStyle name="SAPBEXstdDataEmph 4 3" xfId="51522"/>
    <cellStyle name="SAPBEXstdDataEmph 4 3 2" xfId="51523"/>
    <cellStyle name="SAPBEXstdDataEmph 4 3 3" xfId="51524"/>
    <cellStyle name="SAPBEXstdDataEmph 4 3 4" xfId="51525"/>
    <cellStyle name="SAPBEXstdDataEmph 4 4" xfId="51526"/>
    <cellStyle name="SAPBEXstdDataEmph 4 4 2" xfId="51527"/>
    <cellStyle name="SAPBEXstdDataEmph 4 4 3" xfId="51528"/>
    <cellStyle name="SAPBEXstdDataEmph 4 4 4" xfId="51529"/>
    <cellStyle name="SAPBEXstdDataEmph 4 5" xfId="51530"/>
    <cellStyle name="SAPBEXstdDataEmph 4 6" xfId="51531"/>
    <cellStyle name="SAPBEXstdDataEmph 4 7" xfId="51532"/>
    <cellStyle name="SAPBEXstdDataEmph 4 8" xfId="51533"/>
    <cellStyle name="SAPBEXstdDataEmph 5" xfId="51534"/>
    <cellStyle name="SAPBEXstdDataEmph 5 2" xfId="51535"/>
    <cellStyle name="SAPBEXstdDataEmph 5 2 2" xfId="51536"/>
    <cellStyle name="SAPBEXstdDataEmph 5 2 3" xfId="51537"/>
    <cellStyle name="SAPBEXstdDataEmph 5 2 4" xfId="51538"/>
    <cellStyle name="SAPBEXstdDataEmph 5 3" xfId="51539"/>
    <cellStyle name="SAPBEXstdDataEmph 5 3 2" xfId="51540"/>
    <cellStyle name="SAPBEXstdDataEmph 5 3 3" xfId="51541"/>
    <cellStyle name="SAPBEXstdDataEmph 5 3 4" xfId="51542"/>
    <cellStyle name="SAPBEXstdDataEmph 5 4" xfId="51543"/>
    <cellStyle name="SAPBEXstdDataEmph 5 4 2" xfId="51544"/>
    <cellStyle name="SAPBEXstdDataEmph 5 4 3" xfId="51545"/>
    <cellStyle name="SAPBEXstdDataEmph 5 4 4" xfId="51546"/>
    <cellStyle name="SAPBEXstdDataEmph 5 5" xfId="51547"/>
    <cellStyle name="SAPBEXstdDataEmph 5 6" xfId="51548"/>
    <cellStyle name="SAPBEXstdDataEmph 5 7" xfId="51549"/>
    <cellStyle name="SAPBEXstdDataEmph 5 8" xfId="51550"/>
    <cellStyle name="SAPBEXstdDataEmph 6" xfId="51551"/>
    <cellStyle name="SAPBEXstdDataEmph 6 2" xfId="51552"/>
    <cellStyle name="SAPBEXstdDataEmph 6 2 2" xfId="51553"/>
    <cellStyle name="SAPBEXstdDataEmph 6 2 3" xfId="51554"/>
    <cellStyle name="SAPBEXstdDataEmph 6 2 4" xfId="51555"/>
    <cellStyle name="SAPBEXstdDataEmph 6 3" xfId="51556"/>
    <cellStyle name="SAPBEXstdDataEmph 6 3 2" xfId="51557"/>
    <cellStyle name="SAPBEXstdDataEmph 6 3 3" xfId="51558"/>
    <cellStyle name="SAPBEXstdDataEmph 6 3 4" xfId="51559"/>
    <cellStyle name="SAPBEXstdDataEmph 6 4" xfId="51560"/>
    <cellStyle name="SAPBEXstdDataEmph 6 4 2" xfId="51561"/>
    <cellStyle name="SAPBEXstdDataEmph 6 4 3" xfId="51562"/>
    <cellStyle name="SAPBEXstdDataEmph 6 4 4" xfId="51563"/>
    <cellStyle name="SAPBEXstdDataEmph 6 5" xfId="51564"/>
    <cellStyle name="SAPBEXstdDataEmph 6 6" xfId="51565"/>
    <cellStyle name="SAPBEXstdDataEmph 6 7" xfId="51566"/>
    <cellStyle name="SAPBEXstdDataEmph 6 8" xfId="51567"/>
    <cellStyle name="SAPBEXstdDataEmph 7" xfId="51568"/>
    <cellStyle name="SAPBEXstdDataEmph 7 2" xfId="51569"/>
    <cellStyle name="SAPBEXstdDataEmph 7 2 2" xfId="51570"/>
    <cellStyle name="SAPBEXstdDataEmph 7 2 3" xfId="51571"/>
    <cellStyle name="SAPBEXstdDataEmph 7 2 4" xfId="51572"/>
    <cellStyle name="SAPBEXstdDataEmph 7 3" xfId="51573"/>
    <cellStyle name="SAPBEXstdDataEmph 7 3 2" xfId="51574"/>
    <cellStyle name="SAPBEXstdDataEmph 7 3 3" xfId="51575"/>
    <cellStyle name="SAPBEXstdDataEmph 7 3 4" xfId="51576"/>
    <cellStyle name="SAPBEXstdDataEmph 7 4" xfId="51577"/>
    <cellStyle name="SAPBEXstdDataEmph 7 4 2" xfId="51578"/>
    <cellStyle name="SAPBEXstdDataEmph 7 4 3" xfId="51579"/>
    <cellStyle name="SAPBEXstdDataEmph 7 4 4" xfId="51580"/>
    <cellStyle name="SAPBEXstdDataEmph 7 5" xfId="51581"/>
    <cellStyle name="SAPBEXstdDataEmph 7 6" xfId="51582"/>
    <cellStyle name="SAPBEXstdDataEmph 7 7" xfId="51583"/>
    <cellStyle name="SAPBEXstdDataEmph 7 8" xfId="51584"/>
    <cellStyle name="SAPBEXstdDataEmph 8" xfId="51585"/>
    <cellStyle name="SAPBEXstdDataEmph 8 2" xfId="51586"/>
    <cellStyle name="SAPBEXstdDataEmph 8 3" xfId="51587"/>
    <cellStyle name="SAPBEXstdDataEmph 8 4" xfId="51588"/>
    <cellStyle name="SAPBEXstdDataEmph 9" xfId="51589"/>
    <cellStyle name="SAPBEXstdDataEmph 9 2" xfId="51590"/>
    <cellStyle name="SAPBEXstdDataEmph 9 3" xfId="51591"/>
    <cellStyle name="SAPBEXstdDataEmph 9 4" xfId="51592"/>
    <cellStyle name="SAPBEXstdItem" xfId="51593"/>
    <cellStyle name="SAPBEXstdItem 10" xfId="51594"/>
    <cellStyle name="SAPBEXstdItem 11" xfId="51595"/>
    <cellStyle name="SAPBEXstdItem 2" xfId="51596"/>
    <cellStyle name="SAPBEXstdItem 2 2" xfId="51597"/>
    <cellStyle name="SAPBEXstdItem 2 2 2" xfId="51598"/>
    <cellStyle name="SAPBEXstdItem 2 2 2 2" xfId="51599"/>
    <cellStyle name="SAPBEXstdItem 2 2 2 3" xfId="51600"/>
    <cellStyle name="SAPBEXstdItem 2 2 2 4" xfId="51601"/>
    <cellStyle name="SAPBEXstdItem 2 2 3" xfId="51602"/>
    <cellStyle name="SAPBEXstdItem 2 2 3 2" xfId="51603"/>
    <cellStyle name="SAPBEXstdItem 2 2 3 3" xfId="51604"/>
    <cellStyle name="SAPBEXstdItem 2 2 3 4" xfId="51605"/>
    <cellStyle name="SAPBEXstdItem 2 2 4" xfId="51606"/>
    <cellStyle name="SAPBEXstdItem 2 2 4 2" xfId="51607"/>
    <cellStyle name="SAPBEXstdItem 2 2 4 3" xfId="51608"/>
    <cellStyle name="SAPBEXstdItem 2 2 4 4" xfId="51609"/>
    <cellStyle name="SAPBEXstdItem 2 2 5" xfId="51610"/>
    <cellStyle name="SAPBEXstdItem 2 2 6" xfId="51611"/>
    <cellStyle name="SAPBEXstdItem 2 2 7" xfId="51612"/>
    <cellStyle name="SAPBEXstdItem 2 2 8" xfId="51613"/>
    <cellStyle name="SAPBEXstdItem 2 3" xfId="51614"/>
    <cellStyle name="SAPBEXstdItem 2 3 2" xfId="51615"/>
    <cellStyle name="SAPBEXstdItem 2 3 2 2" xfId="51616"/>
    <cellStyle name="SAPBEXstdItem 2 3 2 3" xfId="51617"/>
    <cellStyle name="SAPBEXstdItem 2 3 2 4" xfId="51618"/>
    <cellStyle name="SAPBEXstdItem 2 3 3" xfId="51619"/>
    <cellStyle name="SAPBEXstdItem 2 3 3 2" xfId="51620"/>
    <cellStyle name="SAPBEXstdItem 2 3 3 3" xfId="51621"/>
    <cellStyle name="SAPBEXstdItem 2 3 3 4" xfId="51622"/>
    <cellStyle name="SAPBEXstdItem 2 3 4" xfId="51623"/>
    <cellStyle name="SAPBEXstdItem 2 3 4 2" xfId="51624"/>
    <cellStyle name="SAPBEXstdItem 2 3 4 3" xfId="51625"/>
    <cellStyle name="SAPBEXstdItem 2 3 4 4" xfId="51626"/>
    <cellStyle name="SAPBEXstdItem 2 3 5" xfId="51627"/>
    <cellStyle name="SAPBEXstdItem 2 3 6" xfId="51628"/>
    <cellStyle name="SAPBEXstdItem 2 3 7" xfId="51629"/>
    <cellStyle name="SAPBEXstdItem 2 3 8" xfId="51630"/>
    <cellStyle name="SAPBEXstdItem 2 4" xfId="51631"/>
    <cellStyle name="SAPBEXstdItem 2 4 2" xfId="51632"/>
    <cellStyle name="SAPBEXstdItem 2 4 2 2" xfId="51633"/>
    <cellStyle name="SAPBEXstdItem 2 4 2 3" xfId="51634"/>
    <cellStyle name="SAPBEXstdItem 2 4 2 4" xfId="51635"/>
    <cellStyle name="SAPBEXstdItem 2 4 3" xfId="51636"/>
    <cellStyle name="SAPBEXstdItem 2 4 3 2" xfId="51637"/>
    <cellStyle name="SAPBEXstdItem 2 4 3 3" xfId="51638"/>
    <cellStyle name="SAPBEXstdItem 2 4 3 4" xfId="51639"/>
    <cellStyle name="SAPBEXstdItem 2 4 4" xfId="51640"/>
    <cellStyle name="SAPBEXstdItem 2 4 4 2" xfId="51641"/>
    <cellStyle name="SAPBEXstdItem 2 4 4 3" xfId="51642"/>
    <cellStyle name="SAPBEXstdItem 2 4 4 4" xfId="51643"/>
    <cellStyle name="SAPBEXstdItem 2 4 5" xfId="51644"/>
    <cellStyle name="SAPBEXstdItem 2 4 6" xfId="51645"/>
    <cellStyle name="SAPBEXstdItem 2 4 7" xfId="51646"/>
    <cellStyle name="SAPBEXstdItem 2 4 8" xfId="51647"/>
    <cellStyle name="SAPBEXstdItem 2 5" xfId="51648"/>
    <cellStyle name="SAPBEXstdItem 2 5 2" xfId="51649"/>
    <cellStyle name="SAPBEXstdItem 2 5 2 2" xfId="51650"/>
    <cellStyle name="SAPBEXstdItem 2 5 2 3" xfId="51651"/>
    <cellStyle name="SAPBEXstdItem 2 5 2 4" xfId="51652"/>
    <cellStyle name="SAPBEXstdItem 2 5 3" xfId="51653"/>
    <cellStyle name="SAPBEXstdItem 2 5 3 2" xfId="51654"/>
    <cellStyle name="SAPBEXstdItem 2 5 3 3" xfId="51655"/>
    <cellStyle name="SAPBEXstdItem 2 5 3 4" xfId="51656"/>
    <cellStyle name="SAPBEXstdItem 2 5 4" xfId="51657"/>
    <cellStyle name="SAPBEXstdItem 2 5 4 2" xfId="51658"/>
    <cellStyle name="SAPBEXstdItem 2 5 4 3" xfId="51659"/>
    <cellStyle name="SAPBEXstdItem 2 5 4 4" xfId="51660"/>
    <cellStyle name="SAPBEXstdItem 2 5 5" xfId="51661"/>
    <cellStyle name="SAPBEXstdItem 2 5 6" xfId="51662"/>
    <cellStyle name="SAPBEXstdItem 2 5 7" xfId="51663"/>
    <cellStyle name="SAPBEXstdItem 2 5 8" xfId="51664"/>
    <cellStyle name="SAPBEXstdItem 2 6" xfId="51665"/>
    <cellStyle name="SAPBEXstdItem 2 6 2" xfId="51666"/>
    <cellStyle name="SAPBEXstdItem 2 6 3" xfId="51667"/>
    <cellStyle name="SAPBEXstdItem 2 6 4" xfId="51668"/>
    <cellStyle name="SAPBEXstdItem 2 7" xfId="51669"/>
    <cellStyle name="SAPBEXstdItem 2 7 2" xfId="51670"/>
    <cellStyle name="SAPBEXstdItem 2 7 3" xfId="51671"/>
    <cellStyle name="SAPBEXstdItem 2 7 4" xfId="51672"/>
    <cellStyle name="SAPBEXstdItem 2 8" xfId="51673"/>
    <cellStyle name="SAPBEXstdItem 2 9" xfId="51674"/>
    <cellStyle name="SAPBEXstdItem 3" xfId="51675"/>
    <cellStyle name="SAPBEXstdItem 3 2" xfId="51676"/>
    <cellStyle name="SAPBEXstdItem 3 2 2" xfId="51677"/>
    <cellStyle name="SAPBEXstdItem 3 2 3" xfId="51678"/>
    <cellStyle name="SAPBEXstdItem 3 2 4" xfId="51679"/>
    <cellStyle name="SAPBEXstdItem 3 3" xfId="51680"/>
    <cellStyle name="SAPBEXstdItem 3 3 2" xfId="51681"/>
    <cellStyle name="SAPBEXstdItem 3 3 3" xfId="51682"/>
    <cellStyle name="SAPBEXstdItem 3 3 4" xfId="51683"/>
    <cellStyle name="SAPBEXstdItem 3 4" xfId="51684"/>
    <cellStyle name="SAPBEXstdItem 3 4 2" xfId="51685"/>
    <cellStyle name="SAPBEXstdItem 3 4 3" xfId="51686"/>
    <cellStyle name="SAPBEXstdItem 3 4 4" xfId="51687"/>
    <cellStyle name="SAPBEXstdItem 3 5" xfId="51688"/>
    <cellStyle name="SAPBEXstdItem 3 6" xfId="51689"/>
    <cellStyle name="SAPBEXstdItem 3 7" xfId="51690"/>
    <cellStyle name="SAPBEXstdItem 3 8" xfId="51691"/>
    <cellStyle name="SAPBEXstdItem 4" xfId="51692"/>
    <cellStyle name="SAPBEXstdItem 4 2" xfId="51693"/>
    <cellStyle name="SAPBEXstdItem 4 2 2" xfId="51694"/>
    <cellStyle name="SAPBEXstdItem 4 2 3" xfId="51695"/>
    <cellStyle name="SAPBEXstdItem 4 2 4" xfId="51696"/>
    <cellStyle name="SAPBEXstdItem 4 3" xfId="51697"/>
    <cellStyle name="SAPBEXstdItem 4 3 2" xfId="51698"/>
    <cellStyle name="SAPBEXstdItem 4 3 3" xfId="51699"/>
    <cellStyle name="SAPBEXstdItem 4 3 4" xfId="51700"/>
    <cellStyle name="SAPBEXstdItem 4 4" xfId="51701"/>
    <cellStyle name="SAPBEXstdItem 4 4 2" xfId="51702"/>
    <cellStyle name="SAPBEXstdItem 4 4 3" xfId="51703"/>
    <cellStyle name="SAPBEXstdItem 4 4 4" xfId="51704"/>
    <cellStyle name="SAPBEXstdItem 4 5" xfId="51705"/>
    <cellStyle name="SAPBEXstdItem 4 6" xfId="51706"/>
    <cellStyle name="SAPBEXstdItem 4 7" xfId="51707"/>
    <cellStyle name="SAPBEXstdItem 4 8" xfId="51708"/>
    <cellStyle name="SAPBEXstdItem 5" xfId="51709"/>
    <cellStyle name="SAPBEXstdItem 5 2" xfId="51710"/>
    <cellStyle name="SAPBEXstdItem 5 2 2" xfId="51711"/>
    <cellStyle name="SAPBEXstdItem 5 2 3" xfId="51712"/>
    <cellStyle name="SAPBEXstdItem 5 2 4" xfId="51713"/>
    <cellStyle name="SAPBEXstdItem 5 3" xfId="51714"/>
    <cellStyle name="SAPBEXstdItem 5 3 2" xfId="51715"/>
    <cellStyle name="SAPBEXstdItem 5 3 3" xfId="51716"/>
    <cellStyle name="SAPBEXstdItem 5 3 4" xfId="51717"/>
    <cellStyle name="SAPBEXstdItem 5 4" xfId="51718"/>
    <cellStyle name="SAPBEXstdItem 5 4 2" xfId="51719"/>
    <cellStyle name="SAPBEXstdItem 5 4 3" xfId="51720"/>
    <cellStyle name="SAPBEXstdItem 5 4 4" xfId="51721"/>
    <cellStyle name="SAPBEXstdItem 5 5" xfId="51722"/>
    <cellStyle name="SAPBEXstdItem 5 6" xfId="51723"/>
    <cellStyle name="SAPBEXstdItem 5 7" xfId="51724"/>
    <cellStyle name="SAPBEXstdItem 5 8" xfId="51725"/>
    <cellStyle name="SAPBEXstdItem 6" xfId="51726"/>
    <cellStyle name="SAPBEXstdItem 6 2" xfId="51727"/>
    <cellStyle name="SAPBEXstdItem 6 2 2" xfId="51728"/>
    <cellStyle name="SAPBEXstdItem 6 2 3" xfId="51729"/>
    <cellStyle name="SAPBEXstdItem 6 2 4" xfId="51730"/>
    <cellStyle name="SAPBEXstdItem 6 3" xfId="51731"/>
    <cellStyle name="SAPBEXstdItem 6 3 2" xfId="51732"/>
    <cellStyle name="SAPBEXstdItem 6 3 3" xfId="51733"/>
    <cellStyle name="SAPBEXstdItem 6 3 4" xfId="51734"/>
    <cellStyle name="SAPBEXstdItem 6 4" xfId="51735"/>
    <cellStyle name="SAPBEXstdItem 6 4 2" xfId="51736"/>
    <cellStyle name="SAPBEXstdItem 6 4 3" xfId="51737"/>
    <cellStyle name="SAPBEXstdItem 6 4 4" xfId="51738"/>
    <cellStyle name="SAPBEXstdItem 6 5" xfId="51739"/>
    <cellStyle name="SAPBEXstdItem 6 6" xfId="51740"/>
    <cellStyle name="SAPBEXstdItem 6 7" xfId="51741"/>
    <cellStyle name="SAPBEXstdItem 6 8" xfId="51742"/>
    <cellStyle name="SAPBEXstdItem 7" xfId="51743"/>
    <cellStyle name="SAPBEXstdItem 7 2" xfId="51744"/>
    <cellStyle name="SAPBEXstdItem 7 2 2" xfId="51745"/>
    <cellStyle name="SAPBEXstdItem 7 2 3" xfId="51746"/>
    <cellStyle name="SAPBEXstdItem 7 2 4" xfId="51747"/>
    <cellStyle name="SAPBEXstdItem 7 3" xfId="51748"/>
    <cellStyle name="SAPBEXstdItem 7 3 2" xfId="51749"/>
    <cellStyle name="SAPBEXstdItem 7 3 3" xfId="51750"/>
    <cellStyle name="SAPBEXstdItem 7 3 4" xfId="51751"/>
    <cellStyle name="SAPBEXstdItem 7 4" xfId="51752"/>
    <cellStyle name="SAPBEXstdItem 7 4 2" xfId="51753"/>
    <cellStyle name="SAPBEXstdItem 7 4 3" xfId="51754"/>
    <cellStyle name="SAPBEXstdItem 7 4 4" xfId="51755"/>
    <cellStyle name="SAPBEXstdItem 7 5" xfId="51756"/>
    <cellStyle name="SAPBEXstdItem 7 6" xfId="51757"/>
    <cellStyle name="SAPBEXstdItem 7 7" xfId="51758"/>
    <cellStyle name="SAPBEXstdItem 7 8" xfId="51759"/>
    <cellStyle name="SAPBEXstdItem 8" xfId="51760"/>
    <cellStyle name="SAPBEXstdItem 8 2" xfId="51761"/>
    <cellStyle name="SAPBEXstdItem 8 3" xfId="51762"/>
    <cellStyle name="SAPBEXstdItem 8 4" xfId="51763"/>
    <cellStyle name="SAPBEXstdItem 9" xfId="51764"/>
    <cellStyle name="SAPBEXstdItem 9 2" xfId="51765"/>
    <cellStyle name="SAPBEXstdItem 9 3" xfId="51766"/>
    <cellStyle name="SAPBEXstdItem 9 4" xfId="51767"/>
    <cellStyle name="SAPBEXstdItemX" xfId="51768"/>
    <cellStyle name="SAPBEXstdItemX 10" xfId="51769"/>
    <cellStyle name="SAPBEXstdItemX 11" xfId="51770"/>
    <cellStyle name="SAPBEXstdItemX 2" xfId="51771"/>
    <cellStyle name="SAPBEXstdItemX 2 2" xfId="51772"/>
    <cellStyle name="SAPBEXstdItemX 2 2 2" xfId="51773"/>
    <cellStyle name="SAPBEXstdItemX 2 2 2 2" xfId="51774"/>
    <cellStyle name="SAPBEXstdItemX 2 2 2 3" xfId="51775"/>
    <cellStyle name="SAPBEXstdItemX 2 2 2 4" xfId="51776"/>
    <cellStyle name="SAPBEXstdItemX 2 2 3" xfId="51777"/>
    <cellStyle name="SAPBEXstdItemX 2 2 3 2" xfId="51778"/>
    <cellStyle name="SAPBEXstdItemX 2 2 3 3" xfId="51779"/>
    <cellStyle name="SAPBEXstdItemX 2 2 3 4" xfId="51780"/>
    <cellStyle name="SAPBEXstdItemX 2 2 4" xfId="51781"/>
    <cellStyle name="SAPBEXstdItemX 2 2 4 2" xfId="51782"/>
    <cellStyle name="SAPBEXstdItemX 2 2 4 3" xfId="51783"/>
    <cellStyle name="SAPBEXstdItemX 2 2 4 4" xfId="51784"/>
    <cellStyle name="SAPBEXstdItemX 2 2 5" xfId="51785"/>
    <cellStyle name="SAPBEXstdItemX 2 2 6" xfId="51786"/>
    <cellStyle name="SAPBEXstdItemX 2 2 7" xfId="51787"/>
    <cellStyle name="SAPBEXstdItemX 2 2 8" xfId="51788"/>
    <cellStyle name="SAPBEXstdItemX 2 3" xfId="51789"/>
    <cellStyle name="SAPBEXstdItemX 2 3 2" xfId="51790"/>
    <cellStyle name="SAPBEXstdItemX 2 3 2 2" xfId="51791"/>
    <cellStyle name="SAPBEXstdItemX 2 3 2 3" xfId="51792"/>
    <cellStyle name="SAPBEXstdItemX 2 3 2 4" xfId="51793"/>
    <cellStyle name="SAPBEXstdItemX 2 3 3" xfId="51794"/>
    <cellStyle name="SAPBEXstdItemX 2 3 3 2" xfId="51795"/>
    <cellStyle name="SAPBEXstdItemX 2 3 3 3" xfId="51796"/>
    <cellStyle name="SAPBEXstdItemX 2 3 3 4" xfId="51797"/>
    <cellStyle name="SAPBEXstdItemX 2 3 4" xfId="51798"/>
    <cellStyle name="SAPBEXstdItemX 2 3 4 2" xfId="51799"/>
    <cellStyle name="SAPBEXstdItemX 2 3 4 3" xfId="51800"/>
    <cellStyle name="SAPBEXstdItemX 2 3 4 4" xfId="51801"/>
    <cellStyle name="SAPBEXstdItemX 2 3 5" xfId="51802"/>
    <cellStyle name="SAPBEXstdItemX 2 3 6" xfId="51803"/>
    <cellStyle name="SAPBEXstdItemX 2 3 7" xfId="51804"/>
    <cellStyle name="SAPBEXstdItemX 2 3 8" xfId="51805"/>
    <cellStyle name="SAPBEXstdItemX 2 4" xfId="51806"/>
    <cellStyle name="SAPBEXstdItemX 2 4 2" xfId="51807"/>
    <cellStyle name="SAPBEXstdItemX 2 4 2 2" xfId="51808"/>
    <cellStyle name="SAPBEXstdItemX 2 4 2 3" xfId="51809"/>
    <cellStyle name="SAPBEXstdItemX 2 4 2 4" xfId="51810"/>
    <cellStyle name="SAPBEXstdItemX 2 4 3" xfId="51811"/>
    <cellStyle name="SAPBEXstdItemX 2 4 3 2" xfId="51812"/>
    <cellStyle name="SAPBEXstdItemX 2 4 3 3" xfId="51813"/>
    <cellStyle name="SAPBEXstdItemX 2 4 3 4" xfId="51814"/>
    <cellStyle name="SAPBEXstdItemX 2 4 4" xfId="51815"/>
    <cellStyle name="SAPBEXstdItemX 2 4 4 2" xfId="51816"/>
    <cellStyle name="SAPBEXstdItemX 2 4 4 3" xfId="51817"/>
    <cellStyle name="SAPBEXstdItemX 2 4 4 4" xfId="51818"/>
    <cellStyle name="SAPBEXstdItemX 2 4 5" xfId="51819"/>
    <cellStyle name="SAPBEXstdItemX 2 4 6" xfId="51820"/>
    <cellStyle name="SAPBEXstdItemX 2 4 7" xfId="51821"/>
    <cellStyle name="SAPBEXstdItemX 2 4 8" xfId="51822"/>
    <cellStyle name="SAPBEXstdItemX 2 5" xfId="51823"/>
    <cellStyle name="SAPBEXstdItemX 2 5 2" xfId="51824"/>
    <cellStyle name="SAPBEXstdItemX 2 5 2 2" xfId="51825"/>
    <cellStyle name="SAPBEXstdItemX 2 5 2 3" xfId="51826"/>
    <cellStyle name="SAPBEXstdItemX 2 5 2 4" xfId="51827"/>
    <cellStyle name="SAPBEXstdItemX 2 5 3" xfId="51828"/>
    <cellStyle name="SAPBEXstdItemX 2 5 3 2" xfId="51829"/>
    <cellStyle name="SAPBEXstdItemX 2 5 3 3" xfId="51830"/>
    <cellStyle name="SAPBEXstdItemX 2 5 3 4" xfId="51831"/>
    <cellStyle name="SAPBEXstdItemX 2 5 4" xfId="51832"/>
    <cellStyle name="SAPBEXstdItemX 2 5 4 2" xfId="51833"/>
    <cellStyle name="SAPBEXstdItemX 2 5 4 3" xfId="51834"/>
    <cellStyle name="SAPBEXstdItemX 2 5 4 4" xfId="51835"/>
    <cellStyle name="SAPBEXstdItemX 2 5 5" xfId="51836"/>
    <cellStyle name="SAPBEXstdItemX 2 5 6" xfId="51837"/>
    <cellStyle name="SAPBEXstdItemX 2 5 7" xfId="51838"/>
    <cellStyle name="SAPBEXstdItemX 2 5 8" xfId="51839"/>
    <cellStyle name="SAPBEXstdItemX 2 6" xfId="51840"/>
    <cellStyle name="SAPBEXstdItemX 2 6 2" xfId="51841"/>
    <cellStyle name="SAPBEXstdItemX 2 6 3" xfId="51842"/>
    <cellStyle name="SAPBEXstdItemX 2 6 4" xfId="51843"/>
    <cellStyle name="SAPBEXstdItemX 2 7" xfId="51844"/>
    <cellStyle name="SAPBEXstdItemX 2 7 2" xfId="51845"/>
    <cellStyle name="SAPBEXstdItemX 2 7 3" xfId="51846"/>
    <cellStyle name="SAPBEXstdItemX 2 7 4" xfId="51847"/>
    <cellStyle name="SAPBEXstdItemX 2 8" xfId="51848"/>
    <cellStyle name="SAPBEXstdItemX 2 9" xfId="51849"/>
    <cellStyle name="SAPBEXstdItemX 3" xfId="51850"/>
    <cellStyle name="SAPBEXstdItemX 3 2" xfId="51851"/>
    <cellStyle name="SAPBEXstdItemX 3 2 2" xfId="51852"/>
    <cellStyle name="SAPBEXstdItemX 3 2 3" xfId="51853"/>
    <cellStyle name="SAPBEXstdItemX 3 2 4" xfId="51854"/>
    <cellStyle name="SAPBEXstdItemX 3 3" xfId="51855"/>
    <cellStyle name="SAPBEXstdItemX 3 3 2" xfId="51856"/>
    <cellStyle name="SAPBEXstdItemX 3 3 3" xfId="51857"/>
    <cellStyle name="SAPBEXstdItemX 3 3 4" xfId="51858"/>
    <cellStyle name="SAPBEXstdItemX 3 4" xfId="51859"/>
    <cellStyle name="SAPBEXstdItemX 3 4 2" xfId="51860"/>
    <cellStyle name="SAPBEXstdItemX 3 4 3" xfId="51861"/>
    <cellStyle name="SAPBEXstdItemX 3 4 4" xfId="51862"/>
    <cellStyle name="SAPBEXstdItemX 3 5" xfId="51863"/>
    <cellStyle name="SAPBEXstdItemX 3 6" xfId="51864"/>
    <cellStyle name="SAPBEXstdItemX 3 7" xfId="51865"/>
    <cellStyle name="SAPBEXstdItemX 3 8" xfId="51866"/>
    <cellStyle name="SAPBEXstdItemX 4" xfId="51867"/>
    <cellStyle name="SAPBEXstdItemX 4 2" xfId="51868"/>
    <cellStyle name="SAPBEXstdItemX 4 2 2" xfId="51869"/>
    <cellStyle name="SAPBEXstdItemX 4 2 3" xfId="51870"/>
    <cellStyle name="SAPBEXstdItemX 4 2 4" xfId="51871"/>
    <cellStyle name="SAPBEXstdItemX 4 3" xfId="51872"/>
    <cellStyle name="SAPBEXstdItemX 4 3 2" xfId="51873"/>
    <cellStyle name="SAPBEXstdItemX 4 3 3" xfId="51874"/>
    <cellStyle name="SAPBEXstdItemX 4 3 4" xfId="51875"/>
    <cellStyle name="SAPBEXstdItemX 4 4" xfId="51876"/>
    <cellStyle name="SAPBEXstdItemX 4 4 2" xfId="51877"/>
    <cellStyle name="SAPBEXstdItemX 4 4 3" xfId="51878"/>
    <cellStyle name="SAPBEXstdItemX 4 4 4" xfId="51879"/>
    <cellStyle name="SAPBEXstdItemX 4 5" xfId="51880"/>
    <cellStyle name="SAPBEXstdItemX 4 6" xfId="51881"/>
    <cellStyle name="SAPBEXstdItemX 4 7" xfId="51882"/>
    <cellStyle name="SAPBEXstdItemX 4 8" xfId="51883"/>
    <cellStyle name="SAPBEXstdItemX 5" xfId="51884"/>
    <cellStyle name="SAPBEXstdItemX 5 2" xfId="51885"/>
    <cellStyle name="SAPBEXstdItemX 5 2 2" xfId="51886"/>
    <cellStyle name="SAPBEXstdItemX 5 2 3" xfId="51887"/>
    <cellStyle name="SAPBEXstdItemX 5 2 4" xfId="51888"/>
    <cellStyle name="SAPBEXstdItemX 5 3" xfId="51889"/>
    <cellStyle name="SAPBEXstdItemX 5 3 2" xfId="51890"/>
    <cellStyle name="SAPBEXstdItemX 5 3 3" xfId="51891"/>
    <cellStyle name="SAPBEXstdItemX 5 3 4" xfId="51892"/>
    <cellStyle name="SAPBEXstdItemX 5 4" xfId="51893"/>
    <cellStyle name="SAPBEXstdItemX 5 4 2" xfId="51894"/>
    <cellStyle name="SAPBEXstdItemX 5 4 3" xfId="51895"/>
    <cellStyle name="SAPBEXstdItemX 5 4 4" xfId="51896"/>
    <cellStyle name="SAPBEXstdItemX 5 5" xfId="51897"/>
    <cellStyle name="SAPBEXstdItemX 5 6" xfId="51898"/>
    <cellStyle name="SAPBEXstdItemX 5 7" xfId="51899"/>
    <cellStyle name="SAPBEXstdItemX 5 8" xfId="51900"/>
    <cellStyle name="SAPBEXstdItemX 6" xfId="51901"/>
    <cellStyle name="SAPBEXstdItemX 6 2" xfId="51902"/>
    <cellStyle name="SAPBEXstdItemX 6 2 2" xfId="51903"/>
    <cellStyle name="SAPBEXstdItemX 6 2 3" xfId="51904"/>
    <cellStyle name="SAPBEXstdItemX 6 2 4" xfId="51905"/>
    <cellStyle name="SAPBEXstdItemX 6 3" xfId="51906"/>
    <cellStyle name="SAPBEXstdItemX 6 3 2" xfId="51907"/>
    <cellStyle name="SAPBEXstdItemX 6 3 3" xfId="51908"/>
    <cellStyle name="SAPBEXstdItemX 6 3 4" xfId="51909"/>
    <cellStyle name="SAPBEXstdItemX 6 4" xfId="51910"/>
    <cellStyle name="SAPBEXstdItemX 6 4 2" xfId="51911"/>
    <cellStyle name="SAPBEXstdItemX 6 4 3" xfId="51912"/>
    <cellStyle name="SAPBEXstdItemX 6 4 4" xfId="51913"/>
    <cellStyle name="SAPBEXstdItemX 6 5" xfId="51914"/>
    <cellStyle name="SAPBEXstdItemX 6 6" xfId="51915"/>
    <cellStyle name="SAPBEXstdItemX 6 7" xfId="51916"/>
    <cellStyle name="SAPBEXstdItemX 6 8" xfId="51917"/>
    <cellStyle name="SAPBEXstdItemX 7" xfId="51918"/>
    <cellStyle name="SAPBEXstdItemX 7 2" xfId="51919"/>
    <cellStyle name="SAPBEXstdItemX 7 2 2" xfId="51920"/>
    <cellStyle name="SAPBEXstdItemX 7 2 3" xfId="51921"/>
    <cellStyle name="SAPBEXstdItemX 7 2 4" xfId="51922"/>
    <cellStyle name="SAPBEXstdItemX 7 3" xfId="51923"/>
    <cellStyle name="SAPBEXstdItemX 7 3 2" xfId="51924"/>
    <cellStyle name="SAPBEXstdItemX 7 3 3" xfId="51925"/>
    <cellStyle name="SAPBEXstdItemX 7 3 4" xfId="51926"/>
    <cellStyle name="SAPBEXstdItemX 7 4" xfId="51927"/>
    <cellStyle name="SAPBEXstdItemX 7 4 2" xfId="51928"/>
    <cellStyle name="SAPBEXstdItemX 7 4 3" xfId="51929"/>
    <cellStyle name="SAPBEXstdItemX 7 4 4" xfId="51930"/>
    <cellStyle name="SAPBEXstdItemX 7 5" xfId="51931"/>
    <cellStyle name="SAPBEXstdItemX 7 6" xfId="51932"/>
    <cellStyle name="SAPBEXstdItemX 7 7" xfId="51933"/>
    <cellStyle name="SAPBEXstdItemX 7 8" xfId="51934"/>
    <cellStyle name="SAPBEXstdItemX 8" xfId="51935"/>
    <cellStyle name="SAPBEXstdItemX 8 2" xfId="51936"/>
    <cellStyle name="SAPBEXstdItemX 8 3" xfId="51937"/>
    <cellStyle name="SAPBEXstdItemX 8 4" xfId="51938"/>
    <cellStyle name="SAPBEXstdItemX 9" xfId="51939"/>
    <cellStyle name="SAPBEXstdItemX 9 2" xfId="51940"/>
    <cellStyle name="SAPBEXstdItemX 9 3" xfId="51941"/>
    <cellStyle name="SAPBEXstdItemX 9 4" xfId="51942"/>
    <cellStyle name="SAPBEXtitle" xfId="51943"/>
    <cellStyle name="SAPBEXundefined" xfId="51944"/>
    <cellStyle name="SAPBEXundefined 10" xfId="51945"/>
    <cellStyle name="SAPBEXundefined 11" xfId="51946"/>
    <cellStyle name="SAPBEXundefined 2" xfId="51947"/>
    <cellStyle name="SAPBEXundefined 2 2" xfId="51948"/>
    <cellStyle name="SAPBEXundefined 2 2 2" xfId="51949"/>
    <cellStyle name="SAPBEXundefined 2 2 2 2" xfId="51950"/>
    <cellStyle name="SAPBEXundefined 2 2 2 3" xfId="51951"/>
    <cellStyle name="SAPBEXundefined 2 2 2 4" xfId="51952"/>
    <cellStyle name="SAPBEXundefined 2 2 3" xfId="51953"/>
    <cellStyle name="SAPBEXundefined 2 2 3 2" xfId="51954"/>
    <cellStyle name="SAPBEXundefined 2 2 3 3" xfId="51955"/>
    <cellStyle name="SAPBEXundefined 2 2 3 4" xfId="51956"/>
    <cellStyle name="SAPBEXundefined 2 2 4" xfId="51957"/>
    <cellStyle name="SAPBEXundefined 2 2 4 2" xfId="51958"/>
    <cellStyle name="SAPBEXundefined 2 2 4 3" xfId="51959"/>
    <cellStyle name="SAPBEXundefined 2 2 4 4" xfId="51960"/>
    <cellStyle name="SAPBEXundefined 2 2 5" xfId="51961"/>
    <cellStyle name="SAPBEXundefined 2 2 6" xfId="51962"/>
    <cellStyle name="SAPBEXundefined 2 2 7" xfId="51963"/>
    <cellStyle name="SAPBEXundefined 2 2 8" xfId="51964"/>
    <cellStyle name="SAPBEXundefined 2 3" xfId="51965"/>
    <cellStyle name="SAPBEXundefined 2 3 2" xfId="51966"/>
    <cellStyle name="SAPBEXundefined 2 3 2 2" xfId="51967"/>
    <cellStyle name="SAPBEXundefined 2 3 2 3" xfId="51968"/>
    <cellStyle name="SAPBEXundefined 2 3 2 4" xfId="51969"/>
    <cellStyle name="SAPBEXundefined 2 3 3" xfId="51970"/>
    <cellStyle name="SAPBEXundefined 2 3 3 2" xfId="51971"/>
    <cellStyle name="SAPBEXundefined 2 3 3 3" xfId="51972"/>
    <cellStyle name="SAPBEXundefined 2 3 3 4" xfId="51973"/>
    <cellStyle name="SAPBEXundefined 2 3 4" xfId="51974"/>
    <cellStyle name="SAPBEXundefined 2 3 4 2" xfId="51975"/>
    <cellStyle name="SAPBEXundefined 2 3 4 3" xfId="51976"/>
    <cellStyle name="SAPBEXundefined 2 3 4 4" xfId="51977"/>
    <cellStyle name="SAPBEXundefined 2 3 5" xfId="51978"/>
    <cellStyle name="SAPBEXundefined 2 3 6" xfId="51979"/>
    <cellStyle name="SAPBEXundefined 2 3 7" xfId="51980"/>
    <cellStyle name="SAPBEXundefined 2 3 8" xfId="51981"/>
    <cellStyle name="SAPBEXundefined 2 4" xfId="51982"/>
    <cellStyle name="SAPBEXundefined 2 4 2" xfId="51983"/>
    <cellStyle name="SAPBEXundefined 2 4 2 2" xfId="51984"/>
    <cellStyle name="SAPBEXundefined 2 4 2 3" xfId="51985"/>
    <cellStyle name="SAPBEXundefined 2 4 2 4" xfId="51986"/>
    <cellStyle name="SAPBEXundefined 2 4 3" xfId="51987"/>
    <cellStyle name="SAPBEXundefined 2 4 3 2" xfId="51988"/>
    <cellStyle name="SAPBEXundefined 2 4 3 3" xfId="51989"/>
    <cellStyle name="SAPBEXundefined 2 4 3 4" xfId="51990"/>
    <cellStyle name="SAPBEXundefined 2 4 4" xfId="51991"/>
    <cellStyle name="SAPBEXundefined 2 4 4 2" xfId="51992"/>
    <cellStyle name="SAPBEXundefined 2 4 4 3" xfId="51993"/>
    <cellStyle name="SAPBEXundefined 2 4 4 4" xfId="51994"/>
    <cellStyle name="SAPBEXundefined 2 4 5" xfId="51995"/>
    <cellStyle name="SAPBEXundefined 2 4 6" xfId="51996"/>
    <cellStyle name="SAPBEXundefined 2 4 7" xfId="51997"/>
    <cellStyle name="SAPBEXundefined 2 4 8" xfId="51998"/>
    <cellStyle name="SAPBEXundefined 2 5" xfId="51999"/>
    <cellStyle name="SAPBEXundefined 2 5 2" xfId="52000"/>
    <cellStyle name="SAPBEXundefined 2 5 2 2" xfId="52001"/>
    <cellStyle name="SAPBEXundefined 2 5 2 3" xfId="52002"/>
    <cellStyle name="SAPBEXundefined 2 5 2 4" xfId="52003"/>
    <cellStyle name="SAPBEXundefined 2 5 3" xfId="52004"/>
    <cellStyle name="SAPBEXundefined 2 5 3 2" xfId="52005"/>
    <cellStyle name="SAPBEXundefined 2 5 3 3" xfId="52006"/>
    <cellStyle name="SAPBEXundefined 2 5 3 4" xfId="52007"/>
    <cellStyle name="SAPBEXundefined 2 5 4" xfId="52008"/>
    <cellStyle name="SAPBEXundefined 2 5 4 2" xfId="52009"/>
    <cellStyle name="SAPBEXundefined 2 5 4 3" xfId="52010"/>
    <cellStyle name="SAPBEXundefined 2 5 4 4" xfId="52011"/>
    <cellStyle name="SAPBEXundefined 2 5 5" xfId="52012"/>
    <cellStyle name="SAPBEXundefined 2 5 6" xfId="52013"/>
    <cellStyle name="SAPBEXundefined 2 5 7" xfId="52014"/>
    <cellStyle name="SAPBEXundefined 2 5 8" xfId="52015"/>
    <cellStyle name="SAPBEXundefined 2 6" xfId="52016"/>
    <cellStyle name="SAPBEXundefined 2 6 2" xfId="52017"/>
    <cellStyle name="SAPBEXundefined 2 6 3" xfId="52018"/>
    <cellStyle name="SAPBEXundefined 2 6 4" xfId="52019"/>
    <cellStyle name="SAPBEXundefined 2 7" xfId="52020"/>
    <cellStyle name="SAPBEXundefined 2 7 2" xfId="52021"/>
    <cellStyle name="SAPBEXundefined 2 7 3" xfId="52022"/>
    <cellStyle name="SAPBEXundefined 2 7 4" xfId="52023"/>
    <cellStyle name="SAPBEXundefined 2 8" xfId="52024"/>
    <cellStyle name="SAPBEXundefined 2 9" xfId="52025"/>
    <cellStyle name="SAPBEXundefined 3" xfId="52026"/>
    <cellStyle name="SAPBEXundefined 3 2" xfId="52027"/>
    <cellStyle name="SAPBEXundefined 3 2 2" xfId="52028"/>
    <cellStyle name="SAPBEXundefined 3 2 3" xfId="52029"/>
    <cellStyle name="SAPBEXundefined 3 2 4" xfId="52030"/>
    <cellStyle name="SAPBEXundefined 3 3" xfId="52031"/>
    <cellStyle name="SAPBEXundefined 3 3 2" xfId="52032"/>
    <cellStyle name="SAPBEXundefined 3 3 3" xfId="52033"/>
    <cellStyle name="SAPBEXundefined 3 3 4" xfId="52034"/>
    <cellStyle name="SAPBEXundefined 3 4" xfId="52035"/>
    <cellStyle name="SAPBEXundefined 3 4 2" xfId="52036"/>
    <cellStyle name="SAPBEXundefined 3 4 3" xfId="52037"/>
    <cellStyle name="SAPBEXundefined 3 4 4" xfId="52038"/>
    <cellStyle name="SAPBEXundefined 3 5" xfId="52039"/>
    <cellStyle name="SAPBEXundefined 3 6" xfId="52040"/>
    <cellStyle name="SAPBEXundefined 3 7" xfId="52041"/>
    <cellStyle name="SAPBEXundefined 3 8" xfId="52042"/>
    <cellStyle name="SAPBEXundefined 4" xfId="52043"/>
    <cellStyle name="SAPBEXundefined 4 2" xfId="52044"/>
    <cellStyle name="SAPBEXundefined 4 2 2" xfId="52045"/>
    <cellStyle name="SAPBEXundefined 4 2 3" xfId="52046"/>
    <cellStyle name="SAPBEXundefined 4 2 4" xfId="52047"/>
    <cellStyle name="SAPBEXundefined 4 3" xfId="52048"/>
    <cellStyle name="SAPBEXundefined 4 3 2" xfId="52049"/>
    <cellStyle name="SAPBEXundefined 4 3 3" xfId="52050"/>
    <cellStyle name="SAPBEXundefined 4 3 4" xfId="52051"/>
    <cellStyle name="SAPBEXundefined 4 4" xfId="52052"/>
    <cellStyle name="SAPBEXundefined 4 4 2" xfId="52053"/>
    <cellStyle name="SAPBEXundefined 4 4 3" xfId="52054"/>
    <cellStyle name="SAPBEXundefined 4 4 4" xfId="52055"/>
    <cellStyle name="SAPBEXundefined 4 5" xfId="52056"/>
    <cellStyle name="SAPBEXundefined 4 6" xfId="52057"/>
    <cellStyle name="SAPBEXundefined 4 7" xfId="52058"/>
    <cellStyle name="SAPBEXundefined 4 8" xfId="52059"/>
    <cellStyle name="SAPBEXundefined 5" xfId="52060"/>
    <cellStyle name="SAPBEXundefined 5 2" xfId="52061"/>
    <cellStyle name="SAPBEXundefined 5 2 2" xfId="52062"/>
    <cellStyle name="SAPBEXundefined 5 2 3" xfId="52063"/>
    <cellStyle name="SAPBEXundefined 5 2 4" xfId="52064"/>
    <cellStyle name="SAPBEXundefined 5 3" xfId="52065"/>
    <cellStyle name="SAPBEXundefined 5 3 2" xfId="52066"/>
    <cellStyle name="SAPBEXundefined 5 3 3" xfId="52067"/>
    <cellStyle name="SAPBEXundefined 5 3 4" xfId="52068"/>
    <cellStyle name="SAPBEXundefined 5 4" xfId="52069"/>
    <cellStyle name="SAPBEXundefined 5 4 2" xfId="52070"/>
    <cellStyle name="SAPBEXundefined 5 4 3" xfId="52071"/>
    <cellStyle name="SAPBEXundefined 5 4 4" xfId="52072"/>
    <cellStyle name="SAPBEXundefined 5 5" xfId="52073"/>
    <cellStyle name="SAPBEXundefined 5 6" xfId="52074"/>
    <cellStyle name="SAPBEXundefined 5 7" xfId="52075"/>
    <cellStyle name="SAPBEXundefined 5 8" xfId="52076"/>
    <cellStyle name="SAPBEXundefined 6" xfId="52077"/>
    <cellStyle name="SAPBEXundefined 6 2" xfId="52078"/>
    <cellStyle name="SAPBEXundefined 6 2 2" xfId="52079"/>
    <cellStyle name="SAPBEXundefined 6 2 3" xfId="52080"/>
    <cellStyle name="SAPBEXundefined 6 2 4" xfId="52081"/>
    <cellStyle name="SAPBEXundefined 6 3" xfId="52082"/>
    <cellStyle name="SAPBEXundefined 6 3 2" xfId="52083"/>
    <cellStyle name="SAPBEXundefined 6 3 3" xfId="52084"/>
    <cellStyle name="SAPBEXundefined 6 3 4" xfId="52085"/>
    <cellStyle name="SAPBEXundefined 6 4" xfId="52086"/>
    <cellStyle name="SAPBEXundefined 6 4 2" xfId="52087"/>
    <cellStyle name="SAPBEXundefined 6 4 3" xfId="52088"/>
    <cellStyle name="SAPBEXundefined 6 4 4" xfId="52089"/>
    <cellStyle name="SAPBEXundefined 6 5" xfId="52090"/>
    <cellStyle name="SAPBEXundefined 6 6" xfId="52091"/>
    <cellStyle name="SAPBEXundefined 6 7" xfId="52092"/>
    <cellStyle name="SAPBEXundefined 6 8" xfId="52093"/>
    <cellStyle name="SAPBEXundefined 7" xfId="52094"/>
    <cellStyle name="SAPBEXundefined 7 2" xfId="52095"/>
    <cellStyle name="SAPBEXundefined 7 2 2" xfId="52096"/>
    <cellStyle name="SAPBEXundefined 7 2 3" xfId="52097"/>
    <cellStyle name="SAPBEXundefined 7 2 4" xfId="52098"/>
    <cellStyle name="SAPBEXundefined 7 3" xfId="52099"/>
    <cellStyle name="SAPBEXundefined 7 3 2" xfId="52100"/>
    <cellStyle name="SAPBEXundefined 7 3 3" xfId="52101"/>
    <cellStyle name="SAPBEXundefined 7 3 4" xfId="52102"/>
    <cellStyle name="SAPBEXundefined 7 4" xfId="52103"/>
    <cellStyle name="SAPBEXundefined 7 4 2" xfId="52104"/>
    <cellStyle name="SAPBEXundefined 7 4 3" xfId="52105"/>
    <cellStyle name="SAPBEXundefined 7 4 4" xfId="52106"/>
    <cellStyle name="SAPBEXundefined 7 5" xfId="52107"/>
    <cellStyle name="SAPBEXundefined 7 6" xfId="52108"/>
    <cellStyle name="SAPBEXundefined 7 7" xfId="52109"/>
    <cellStyle name="SAPBEXundefined 7 8" xfId="52110"/>
    <cellStyle name="SAPBEXundefined 8" xfId="52111"/>
    <cellStyle name="SAPBEXundefined 8 2" xfId="52112"/>
    <cellStyle name="SAPBEXundefined 8 3" xfId="52113"/>
    <cellStyle name="SAPBEXundefined 8 4" xfId="52114"/>
    <cellStyle name="SAPBEXundefined 9" xfId="52115"/>
    <cellStyle name="SAPBEXundefined 9 2" xfId="52116"/>
    <cellStyle name="SAPBEXundefined 9 3" xfId="52117"/>
    <cellStyle name="SAPBEXundefined 9 4" xfId="52118"/>
    <cellStyle name="Satisfaisant" xfId="53630"/>
    <cellStyle name="Satisfaisant 2" xfId="53631"/>
    <cellStyle name="Satisfaisant 3" xfId="53632"/>
    <cellStyle name="Schlecht" xfId="52119"/>
    <cellStyle name="Separador de milhares [0]_APPROVED TEMPLATE no intel" xfId="52120"/>
    <cellStyle name="Separador de milhares 2" xfId="52121"/>
    <cellStyle name="Separador de milhares_APPROVED TEMPLATE no intel" xfId="52122"/>
    <cellStyle name="Sortie" xfId="53633"/>
    <cellStyle name="Sortie 2" xfId="53634"/>
    <cellStyle name="Sortie 3" xfId="53635"/>
    <cellStyle name="sousTitre" xfId="53636"/>
    <cellStyle name="sousTitre 2" xfId="53637"/>
    <cellStyle name="srh" xfId="52123"/>
    <cellStyle name="srh 2" xfId="52124"/>
    <cellStyle name="srh 3" xfId="52125"/>
    <cellStyle name="srh 4" xfId="52126"/>
    <cellStyle name="ssTotal" xfId="53638"/>
    <cellStyle name="Standaard_Financial report 2001" xfId="53639"/>
    <cellStyle name="Standard 10" xfId="53640"/>
    <cellStyle name="Standard 11" xfId="53641"/>
    <cellStyle name="Standard 12" xfId="53642"/>
    <cellStyle name="Standard 13" xfId="53643"/>
    <cellStyle name="Standard 2" xfId="53644"/>
    <cellStyle name="Standard 2 2" xfId="53645"/>
    <cellStyle name="Standard 2 2 2" xfId="53646"/>
    <cellStyle name="Standard 2 2 2 2" xfId="53647"/>
    <cellStyle name="Standard 2 2 3" xfId="53648"/>
    <cellStyle name="Standard 2 2 4" xfId="53649"/>
    <cellStyle name="Standard 2 3" xfId="53650"/>
    <cellStyle name="Standard 2 3 2" xfId="53651"/>
    <cellStyle name="Standard 2 3 2 2" xfId="53652"/>
    <cellStyle name="Standard 2 3 2 3" xfId="53653"/>
    <cellStyle name="Standard 2 3 2 4" xfId="53654"/>
    <cellStyle name="Standard 2 3 2 5" xfId="53655"/>
    <cellStyle name="Standard 2 3 3" xfId="53656"/>
    <cellStyle name="Standard 2 3 3 2" xfId="53657"/>
    <cellStyle name="Standard 2 3 3 3" xfId="53658"/>
    <cellStyle name="Standard 2 3 3 4" xfId="53659"/>
    <cellStyle name="Standard 2 3 4" xfId="53660"/>
    <cellStyle name="Standard 2 3 5" xfId="53661"/>
    <cellStyle name="Standard 2 3 6" xfId="53662"/>
    <cellStyle name="Standard 2 3 7" xfId="53663"/>
    <cellStyle name="Standard 2 4" xfId="53664"/>
    <cellStyle name="Standard 2 4 2" xfId="53665"/>
    <cellStyle name="Standard 2_Mediaplan" xfId="53666"/>
    <cellStyle name="Standard 3" xfId="53667"/>
    <cellStyle name="Standard 3 2" xfId="53668"/>
    <cellStyle name="Standard 3 3" xfId="53669"/>
    <cellStyle name="Standard 4" xfId="53670"/>
    <cellStyle name="Standard 4 2" xfId="53671"/>
    <cellStyle name="Standard 4 2 2" xfId="53672"/>
    <cellStyle name="Standard 4 2 2 2" xfId="53673"/>
    <cellStyle name="Standard 4 2 2 3" xfId="53674"/>
    <cellStyle name="Standard 4 2 2 4" xfId="53675"/>
    <cellStyle name="Standard 4 2 2 5" xfId="53676"/>
    <cellStyle name="Standard 4 2 3" xfId="53677"/>
    <cellStyle name="Standard 4 2 3 2" xfId="53678"/>
    <cellStyle name="Standard 4 2 3 3" xfId="53679"/>
    <cellStyle name="Standard 4 2 3 4" xfId="53680"/>
    <cellStyle name="Standard 4 2 4" xfId="53681"/>
    <cellStyle name="Standard 4 2 5" xfId="53682"/>
    <cellStyle name="Standard 4 2 6" xfId="53683"/>
    <cellStyle name="Standard 4 2 7" xfId="53684"/>
    <cellStyle name="Standard 4 3" xfId="53685"/>
    <cellStyle name="Standard 4 3 2" xfId="53686"/>
    <cellStyle name="Standard 4 4" xfId="53687"/>
    <cellStyle name="Standard 4 5" xfId="53688"/>
    <cellStyle name="Standard 5" xfId="53689"/>
    <cellStyle name="Standard 5 10" xfId="53690"/>
    <cellStyle name="Standard 5 11" xfId="53691"/>
    <cellStyle name="Standard 5 2" xfId="53692"/>
    <cellStyle name="Standard 5 2 2" xfId="53693"/>
    <cellStyle name="Standard 5 2 2 2" xfId="53694"/>
    <cellStyle name="Standard 5 2 2 3" xfId="53695"/>
    <cellStyle name="Standard 5 2 2 4" xfId="53696"/>
    <cellStyle name="Standard 5 2 3" xfId="53697"/>
    <cellStyle name="Standard 5 2 3 2" xfId="53698"/>
    <cellStyle name="Standard 5 2 3 3" xfId="53699"/>
    <cellStyle name="Standard 5 2 3 4" xfId="53700"/>
    <cellStyle name="Standard 5 2 4" xfId="53701"/>
    <cellStyle name="Standard 5 2 5" xfId="53702"/>
    <cellStyle name="Standard 5 2 6" xfId="53703"/>
    <cellStyle name="Standard 5 3" xfId="53704"/>
    <cellStyle name="Standard 5 3 2" xfId="53705"/>
    <cellStyle name="Standard 5 3 2 2" xfId="53706"/>
    <cellStyle name="Standard 5 3 2 3" xfId="53707"/>
    <cellStyle name="Standard 5 3 2 4" xfId="53708"/>
    <cellStyle name="Standard 5 3 3" xfId="53709"/>
    <cellStyle name="Standard 5 3 3 2" xfId="53710"/>
    <cellStyle name="Standard 5 3 3 3" xfId="53711"/>
    <cellStyle name="Standard 5 3 3 4" xfId="53712"/>
    <cellStyle name="Standard 5 3 4" xfId="53713"/>
    <cellStyle name="Standard 5 3 5" xfId="53714"/>
    <cellStyle name="Standard 5 3 6" xfId="53715"/>
    <cellStyle name="Standard 5 4" xfId="53716"/>
    <cellStyle name="Standard 5 4 2" xfId="53717"/>
    <cellStyle name="Standard 5 4 3" xfId="53718"/>
    <cellStyle name="Standard 5 4 4" xfId="53719"/>
    <cellStyle name="Standard 5 5" xfId="53720"/>
    <cellStyle name="Standard 5 5 2" xfId="53721"/>
    <cellStyle name="Standard 5 5 3" xfId="53722"/>
    <cellStyle name="Standard 5 5 4" xfId="53723"/>
    <cellStyle name="Standard 5 6" xfId="53724"/>
    <cellStyle name="Standard 5 7" xfId="53725"/>
    <cellStyle name="Standard 5 8" xfId="53726"/>
    <cellStyle name="Standard 5 9" xfId="53727"/>
    <cellStyle name="Standard 6" xfId="53728"/>
    <cellStyle name="Standard 6 2" xfId="53729"/>
    <cellStyle name="Standard 7" xfId="53730"/>
    <cellStyle name="Standard 7 2" xfId="53731"/>
    <cellStyle name="Standard 7 2 2" xfId="53732"/>
    <cellStyle name="Standard 7 3" xfId="53733"/>
    <cellStyle name="Standard 8" xfId="53734"/>
    <cellStyle name="Standard 8 2" xfId="53735"/>
    <cellStyle name="Standard 8 2 2" xfId="53736"/>
    <cellStyle name="Standard 8 2 2 2" xfId="53737"/>
    <cellStyle name="Standard 8 2 2 3" xfId="53738"/>
    <cellStyle name="Standard 8 2 2 4" xfId="53739"/>
    <cellStyle name="Standard 8 2 3" xfId="53740"/>
    <cellStyle name="Standard 8 2 3 2" xfId="53741"/>
    <cellStyle name="Standard 8 2 3 3" xfId="53742"/>
    <cellStyle name="Standard 8 2 3 4" xfId="53743"/>
    <cellStyle name="Standard 8 2 4" xfId="53744"/>
    <cellStyle name="Standard 8 2 5" xfId="53745"/>
    <cellStyle name="Standard 8 2 6" xfId="53746"/>
    <cellStyle name="Standard 8 3" xfId="53747"/>
    <cellStyle name="Standard 8 3 2" xfId="53748"/>
    <cellStyle name="Standard 8 3 3" xfId="53749"/>
    <cellStyle name="Standard 8 3 4" xfId="53750"/>
    <cellStyle name="Standard 8 4" xfId="53751"/>
    <cellStyle name="Standard 8 4 2" xfId="53752"/>
    <cellStyle name="Standard 8 4 3" xfId="53753"/>
    <cellStyle name="Standard 8 4 4" xfId="53754"/>
    <cellStyle name="Standard 8 5" xfId="53755"/>
    <cellStyle name="Standard 8 6" xfId="53756"/>
    <cellStyle name="Standard 8 7" xfId="53757"/>
    <cellStyle name="Standard 8 8" xfId="53758"/>
    <cellStyle name="Standard 9" xfId="53759"/>
    <cellStyle name="Standard_EPKB_TV_Detailpl_Deo_DryLinie_intern_01" xfId="53760"/>
    <cellStyle name="Stil 1" xfId="53761"/>
    <cellStyle name="Stil 1 2" xfId="53762"/>
    <cellStyle name="Stil 1 3" xfId="53763"/>
    <cellStyle name="Style" xfId="53764"/>
    <cellStyle name="Style 1" xfId="53765"/>
    <cellStyle name="Style 2" xfId="53766"/>
    <cellStyle name="Style 30" xfId="52127"/>
    <cellStyle name="Style 30 2" xfId="52128"/>
    <cellStyle name="Style 31" xfId="52129"/>
    <cellStyle name="Style 31 2" xfId="52130"/>
    <cellStyle name="Style 32" xfId="52131"/>
    <cellStyle name="Style 32 2" xfId="52132"/>
    <cellStyle name="Style0" xfId="53767"/>
    <cellStyle name="Style0 2" xfId="53768"/>
    <cellStyle name="Style0Droit" xfId="53769"/>
    <cellStyle name="Style0Droit 2" xfId="53770"/>
    <cellStyle name="Style0Gauche" xfId="53771"/>
    <cellStyle name="Style0Gauche 2" xfId="53772"/>
    <cellStyle name="Style1" xfId="53773"/>
    <cellStyle name="Style1 2" xfId="53774"/>
    <cellStyle name="Style1Droit" xfId="53775"/>
    <cellStyle name="Style1Droit 2" xfId="53776"/>
    <cellStyle name="Style1Gauche" xfId="53777"/>
    <cellStyle name="Style1Gauche 2" xfId="53778"/>
    <cellStyle name="Style2" xfId="53779"/>
    <cellStyle name="Style2 2" xfId="53780"/>
    <cellStyle name="Style2Droit" xfId="53781"/>
    <cellStyle name="Style2Droit 2" xfId="53782"/>
    <cellStyle name="Style2Gauche" xfId="53783"/>
    <cellStyle name="Style2Gauche 2" xfId="53784"/>
    <cellStyle name="Style3" xfId="53785"/>
    <cellStyle name="Style3 2" xfId="53786"/>
    <cellStyle name="Style3Droit" xfId="53787"/>
    <cellStyle name="Style3Droit 2" xfId="53788"/>
    <cellStyle name="Style3Gauche" xfId="53789"/>
    <cellStyle name="Style3Gauche 2" xfId="53790"/>
    <cellStyle name="Style4" xfId="53791"/>
    <cellStyle name="Style4 2" xfId="53792"/>
    <cellStyle name="Style4Droit" xfId="53793"/>
    <cellStyle name="Style4Droit 2" xfId="53794"/>
    <cellStyle name="Style4Gauche" xfId="53795"/>
    <cellStyle name="Style4Gauche 2" xfId="53796"/>
    <cellStyle name="Style5" xfId="53797"/>
    <cellStyle name="Style5 2" xfId="53798"/>
    <cellStyle name="Style5Droit" xfId="53799"/>
    <cellStyle name="Style5Droit 2" xfId="53800"/>
    <cellStyle name="Style5Gauche" xfId="53801"/>
    <cellStyle name="Style5Gauche 2" xfId="53802"/>
    <cellStyle name="Style6" xfId="53803"/>
    <cellStyle name="Style6 2" xfId="53804"/>
    <cellStyle name="Style6Droit" xfId="53805"/>
    <cellStyle name="Style6Droit 2" xfId="53806"/>
    <cellStyle name="Style6Gauche" xfId="53807"/>
    <cellStyle name="Style6Gauche 2" xfId="53808"/>
    <cellStyle name="Style7" xfId="53809"/>
    <cellStyle name="Style7 2" xfId="53810"/>
    <cellStyle name="Style7Droit" xfId="53811"/>
    <cellStyle name="Style7Droit 2" xfId="53812"/>
    <cellStyle name="Style7Gauche" xfId="53813"/>
    <cellStyle name="Style7Gauche 2" xfId="53814"/>
    <cellStyle name="Style8" xfId="53815"/>
    <cellStyle name="Style8 2" xfId="53816"/>
    <cellStyle name="Style8Droit" xfId="53817"/>
    <cellStyle name="Style8Droit 2" xfId="53818"/>
    <cellStyle name="Style8Gauche" xfId="53819"/>
    <cellStyle name="Style8Gauche 2" xfId="53820"/>
    <cellStyle name="Style9" xfId="53821"/>
    <cellStyle name="Style9 2" xfId="53822"/>
    <cellStyle name="Style9Droit" xfId="53823"/>
    <cellStyle name="Style9Droit 2" xfId="53824"/>
    <cellStyle name="Style9Gauche" xfId="53825"/>
    <cellStyle name="Style9Gauche 2" xfId="53826"/>
    <cellStyle name="Subtotal" xfId="52133"/>
    <cellStyle name="Suma" xfId="53827"/>
    <cellStyle name="Suma 2" xfId="53828"/>
    <cellStyle name="Tabelle" xfId="53829"/>
    <cellStyle name="Tabelle 1DLStyle001" xfId="53830"/>
    <cellStyle name="Tabelle 1DLStyle001 2" xfId="53831"/>
    <cellStyle name="Tabelle 1DLStyle002" xfId="53832"/>
    <cellStyle name="Tabelle 1DLStyle002 2" xfId="53833"/>
    <cellStyle name="Tabelle 1DLStyle003" xfId="53834"/>
    <cellStyle name="Tabelle 1DLStyle003 2" xfId="53835"/>
    <cellStyle name="Tabelle 1DLStyle004" xfId="53836"/>
    <cellStyle name="Tabelle 1DLStyle004 2" xfId="53837"/>
    <cellStyle name="Tabelle 1DLStyle005" xfId="53838"/>
    <cellStyle name="Tabelle 1DLStyle005 2" xfId="53839"/>
    <cellStyle name="Tabelle 1DLStyle006" xfId="53840"/>
    <cellStyle name="Tabelle 1DLStyle006 2" xfId="53841"/>
    <cellStyle name="Tabelle 1DLStyle007" xfId="53842"/>
    <cellStyle name="Tabelle 1DLStyle007 2" xfId="53843"/>
    <cellStyle name="Tabelle 1DLStyle007 2 2" xfId="53844"/>
    <cellStyle name="Tabelle 1DLStyle007 3" xfId="53845"/>
    <cellStyle name="Tabelle 1DLStyle008" xfId="53846"/>
    <cellStyle name="Tabelle 1DLStyle008 2" xfId="53847"/>
    <cellStyle name="Tabelle 1DLStyle009" xfId="53848"/>
    <cellStyle name="Tabelle 1DLStyle009 2" xfId="53849"/>
    <cellStyle name="Tabelle 1DLStyle010" xfId="53850"/>
    <cellStyle name="Tabelle 1DLStyle010 2" xfId="53851"/>
    <cellStyle name="Tabelle 1DLStyle011" xfId="53852"/>
    <cellStyle name="Tabelle 1DLStyle011 2" xfId="53853"/>
    <cellStyle name="Tabelle 1DLStyle012" xfId="53854"/>
    <cellStyle name="Tabelle 1DLStyle012 2" xfId="53855"/>
    <cellStyle name="Tabelle 1DLStyle013" xfId="53856"/>
    <cellStyle name="Tabelle 1DLStyle013 2" xfId="53857"/>
    <cellStyle name="Tabelle 1DLStyle014" xfId="53858"/>
    <cellStyle name="Tabelle 1DLStyle014 2" xfId="53859"/>
    <cellStyle name="Tabelle 1DLStyle015" xfId="53860"/>
    <cellStyle name="Tabelle 1DLStyle015 2" xfId="53861"/>
    <cellStyle name="Tabelle 1DLStyle016" xfId="53862"/>
    <cellStyle name="Tabelle 1DLStyle016 2" xfId="53863"/>
    <cellStyle name="Tabelle 2DLStyle001" xfId="53864"/>
    <cellStyle name="Tabelle 2DLStyle001 2" xfId="53865"/>
    <cellStyle name="Tabelle 2DLStyle002" xfId="53866"/>
    <cellStyle name="Tabelle 2DLStyle002 2" xfId="53867"/>
    <cellStyle name="Tabelle 2DLStyle003" xfId="53868"/>
    <cellStyle name="Tabelle 2DLStyle003 2" xfId="53869"/>
    <cellStyle name="Tabelle 2DLStyle004" xfId="53870"/>
    <cellStyle name="Tabelle 2DLStyle004 2" xfId="53871"/>
    <cellStyle name="Tabelle 2DLStyle005" xfId="53872"/>
    <cellStyle name="Tabelle 2DLStyle005 2" xfId="53873"/>
    <cellStyle name="Tabelle 2DLStyle006" xfId="53874"/>
    <cellStyle name="Tabelle 2DLStyle006 2" xfId="53875"/>
    <cellStyle name="Tabelle 2DLStyle007" xfId="53876"/>
    <cellStyle name="Tabelle 2DLStyle007 2" xfId="53877"/>
    <cellStyle name="Tabelle 2DLStyle007 2 2" xfId="53878"/>
    <cellStyle name="Tabelle 2DLStyle007 3" xfId="53879"/>
    <cellStyle name="Tabelle 2DLStyle008" xfId="53880"/>
    <cellStyle name="Tabelle 2DLStyle008 2" xfId="53881"/>
    <cellStyle name="Tabelle 2DLStyle009" xfId="53882"/>
    <cellStyle name="Tabelle 2DLStyle009 2" xfId="53883"/>
    <cellStyle name="Tabelle 2DLStyle010" xfId="53884"/>
    <cellStyle name="Tabelle 2DLStyle010 2" xfId="53885"/>
    <cellStyle name="Tabelle 2DLStyle011" xfId="53886"/>
    <cellStyle name="Tabelle 2DLStyle011 2" xfId="53887"/>
    <cellStyle name="Tabelle 2DLStyle012" xfId="53888"/>
    <cellStyle name="Tabelle 2DLStyle012 2" xfId="53889"/>
    <cellStyle name="Tabelle 2DLStyle013" xfId="53890"/>
    <cellStyle name="Tabelle 2DLStyle013 2" xfId="53891"/>
    <cellStyle name="Tabelle 2DLStyle014" xfId="53892"/>
    <cellStyle name="Tabelle 2DLStyle014 2" xfId="53893"/>
    <cellStyle name="Tabelle 2DLStyle015" xfId="53894"/>
    <cellStyle name="Tabelle 2DLStyle015 2" xfId="53895"/>
    <cellStyle name="Tabelle 2DLStyle016" xfId="53896"/>
    <cellStyle name="Tabelle 2DLStyle016 2" xfId="53897"/>
    <cellStyle name="Tabelle 3DLStyle001" xfId="53898"/>
    <cellStyle name="Tabelle 3DLStyle001 2" xfId="53899"/>
    <cellStyle name="Tabelle 3DLStyle002" xfId="53900"/>
    <cellStyle name="Tabelle 3DLStyle002 2" xfId="53901"/>
    <cellStyle name="Tabelle 3DLStyle003" xfId="53902"/>
    <cellStyle name="Tabelle 3DLStyle003 2" xfId="53903"/>
    <cellStyle name="Tabelle 3DLStyle004" xfId="53904"/>
    <cellStyle name="Tabelle 3DLStyle004 2" xfId="53905"/>
    <cellStyle name="Tabelle 3DLStyle005" xfId="53906"/>
    <cellStyle name="Tabelle 3DLStyle005 2" xfId="53907"/>
    <cellStyle name="Tabelle 3DLStyle006" xfId="53908"/>
    <cellStyle name="Tabelle 3DLStyle006 2" xfId="53909"/>
    <cellStyle name="Tabelle 3DLStyle007" xfId="53910"/>
    <cellStyle name="Tabelle 3DLStyle007 2" xfId="53911"/>
    <cellStyle name="Tabelle 3DLStyle007 2 2" xfId="53912"/>
    <cellStyle name="Tabelle 3DLStyle007 3" xfId="53913"/>
    <cellStyle name="Tabelle 3DLStyle008" xfId="53914"/>
    <cellStyle name="Tabelle 3DLStyle008 2" xfId="53915"/>
    <cellStyle name="Tabelle 3DLStyle009" xfId="53916"/>
    <cellStyle name="Tabelle 3DLStyle009 2" xfId="53917"/>
    <cellStyle name="Tabelle 3DLStyle010" xfId="53918"/>
    <cellStyle name="Tabelle 3DLStyle010 2" xfId="53919"/>
    <cellStyle name="Tabelle 3DLStyle011" xfId="53920"/>
    <cellStyle name="Tabelle 3DLStyle011 2" xfId="53921"/>
    <cellStyle name="Tabelle 3DLStyle012" xfId="53922"/>
    <cellStyle name="Tabelle 3DLStyle012 2" xfId="53923"/>
    <cellStyle name="Tabelle 3DLStyle013" xfId="53924"/>
    <cellStyle name="Tabelle 3DLStyle013 2" xfId="53925"/>
    <cellStyle name="Tabelle 3DLStyle014" xfId="53926"/>
    <cellStyle name="Tabelle 3DLStyle014 2" xfId="53927"/>
    <cellStyle name="Tabelle 3DLStyle015" xfId="53928"/>
    <cellStyle name="Tabelle 3DLStyle015 2" xfId="53929"/>
    <cellStyle name="Tabelle 3DLStyle016" xfId="53930"/>
    <cellStyle name="Tabelle 3DLStyle016 2" xfId="53931"/>
    <cellStyle name="Tekst objaśnienia" xfId="53932"/>
    <cellStyle name="Tekst ostrzeżenia" xfId="53933"/>
    <cellStyle name="Text" xfId="52134"/>
    <cellStyle name="Text Indent A" xfId="52135"/>
    <cellStyle name="Text Indent B" xfId="52136"/>
    <cellStyle name="Text Indent B 2" xfId="52137"/>
    <cellStyle name="Text Indent B 3" xfId="52138"/>
    <cellStyle name="Text Indent C" xfId="52139"/>
    <cellStyle name="Text Indent C 2" xfId="52140"/>
    <cellStyle name="Text Wrap" xfId="52141"/>
    <cellStyle name="Texte explicatif" xfId="53934"/>
    <cellStyle name="Texte explicatif 2" xfId="53935"/>
    <cellStyle name="Texto de advertencia 2" xfId="52142"/>
    <cellStyle name="Texto de advertencia 3" xfId="52143"/>
    <cellStyle name="Texto de advertencia 4" xfId="52144"/>
    <cellStyle name="Texto de Aviso" xfId="52145"/>
    <cellStyle name="Texto explicativo 2" xfId="52146"/>
    <cellStyle name="Texto explicativo 3" xfId="52147"/>
    <cellStyle name="Texto explicativo 4" xfId="52148"/>
    <cellStyle name="þ_x001d_ð7_x000c_îþ_x0007__x000d_áþU_x0001_Ì_x000b_‘_x0016__x0007__x0001__x0001_" xfId="53936"/>
    <cellStyle name="Titel" xfId="53937"/>
    <cellStyle name="Title" xfId="52149"/>
    <cellStyle name="Title 2" xfId="52150"/>
    <cellStyle name="Title 3" xfId="52151"/>
    <cellStyle name="Title_Plan Campaña Día de la Madre 2010 - v2" xfId="52152"/>
    <cellStyle name="Titre" xfId="53938"/>
    <cellStyle name="Titre 2" xfId="53939"/>
    <cellStyle name="Titre 3" xfId="53940"/>
    <cellStyle name="Titre 1" xfId="53941"/>
    <cellStyle name="Titre 1 2" xfId="53942"/>
    <cellStyle name="Titre 2" xfId="53943"/>
    <cellStyle name="Titre 2 2" xfId="53944"/>
    <cellStyle name="Titre 3" xfId="53945"/>
    <cellStyle name="Titre 3 10" xfId="53946"/>
    <cellStyle name="Titre 3 2" xfId="53947"/>
    <cellStyle name="Titre 3 2 2" xfId="53948"/>
    <cellStyle name="Titre 3 2 2 2" xfId="53949"/>
    <cellStyle name="Titre 3 2 2 3" xfId="53950"/>
    <cellStyle name="Titre 3 2 2 4" xfId="53951"/>
    <cellStyle name="Titre 3 2 3" xfId="53952"/>
    <cellStyle name="Titre 3 2 4" xfId="53953"/>
    <cellStyle name="Titre 3 2 5" xfId="53954"/>
    <cellStyle name="Titre 3 2 6" xfId="53955"/>
    <cellStyle name="Titre 3 2 7" xfId="53956"/>
    <cellStyle name="Titre 3 3" xfId="53957"/>
    <cellStyle name="Titre 3 3 2" xfId="53958"/>
    <cellStyle name="Titre 3 3 2 2" xfId="53959"/>
    <cellStyle name="Titre 3 3 2 3" xfId="53960"/>
    <cellStyle name="Titre 3 3 2 4" xfId="53961"/>
    <cellStyle name="Titre 3 3 3" xfId="53962"/>
    <cellStyle name="Titre 3 3 4" xfId="53963"/>
    <cellStyle name="Titre 3 3 5" xfId="53964"/>
    <cellStyle name="Titre 3 3 6" xfId="53965"/>
    <cellStyle name="Titre 3 3 7" xfId="53966"/>
    <cellStyle name="Titre 3 4" xfId="53967"/>
    <cellStyle name="Titre 3 4 2" xfId="53968"/>
    <cellStyle name="Titre 3 4 3" xfId="53969"/>
    <cellStyle name="Titre 3 4 4" xfId="53970"/>
    <cellStyle name="Titre 3 4 5" xfId="53971"/>
    <cellStyle name="Titre 3 5" xfId="53972"/>
    <cellStyle name="Titre 3 5 2" xfId="53973"/>
    <cellStyle name="Titre 3 5 3" xfId="53974"/>
    <cellStyle name="Titre 3 5 4" xfId="53975"/>
    <cellStyle name="Titre 3 6" xfId="53976"/>
    <cellStyle name="Titre 3 6 2" xfId="53977"/>
    <cellStyle name="Titre 3 6 3" xfId="53978"/>
    <cellStyle name="Titre 3 6 4" xfId="53979"/>
    <cellStyle name="Titre 3 7" xfId="53980"/>
    <cellStyle name="Titre 3 7 2" xfId="53981"/>
    <cellStyle name="Titre 3 7 3" xfId="53982"/>
    <cellStyle name="Titre 3 7 4" xfId="53983"/>
    <cellStyle name="Titre 3 8" xfId="53984"/>
    <cellStyle name="Titre 3 9" xfId="53985"/>
    <cellStyle name="Titre 4" xfId="53986"/>
    <cellStyle name="Titre 4 2" xfId="53987"/>
    <cellStyle name="TitreParme" xfId="53988"/>
    <cellStyle name="TitreParme 2" xfId="53989"/>
    <cellStyle name="Título 1 2" xfId="52153"/>
    <cellStyle name="Título 1 2 2" xfId="52154"/>
    <cellStyle name="Título 1 3" xfId="52155"/>
    <cellStyle name="Título 1 4" xfId="52156"/>
    <cellStyle name="Título 2 2" xfId="52157"/>
    <cellStyle name="Título 2 3" xfId="52158"/>
    <cellStyle name="Título 2 4" xfId="52159"/>
    <cellStyle name="Título 3 2" xfId="52160"/>
    <cellStyle name="Título 3 2 2" xfId="52161"/>
    <cellStyle name="Título 3 2 2 2" xfId="52162"/>
    <cellStyle name="Título 3 2 2 2 2" xfId="52163"/>
    <cellStyle name="Título 3 2 2 2 3" xfId="52164"/>
    <cellStyle name="Título 3 2 2 2 4" xfId="52165"/>
    <cellStyle name="Título 3 2 2 3" xfId="52166"/>
    <cellStyle name="Título 3 2 2 4" xfId="52167"/>
    <cellStyle name="Título 3 2 2 5" xfId="52168"/>
    <cellStyle name="Título 3 2 3" xfId="52169"/>
    <cellStyle name="Título 3 2 3 2" xfId="52170"/>
    <cellStyle name="Título 3 2 3 3" xfId="52171"/>
    <cellStyle name="Título 3 2 3 4" xfId="52172"/>
    <cellStyle name="Título 3 2 4" xfId="52173"/>
    <cellStyle name="Título 3 2 4 2" xfId="52174"/>
    <cellStyle name="Título 3 2 4 3" xfId="52175"/>
    <cellStyle name="Título 3 2 4 4" xfId="52176"/>
    <cellStyle name="Título 3 2 5" xfId="52177"/>
    <cellStyle name="Título 3 2 6" xfId="52178"/>
    <cellStyle name="Título 3 2 7" xfId="52179"/>
    <cellStyle name="Título 3 3" xfId="52180"/>
    <cellStyle name="Título 3 3 2" xfId="52181"/>
    <cellStyle name="Título 3 3 2 2" xfId="52182"/>
    <cellStyle name="Título 3 3 2 2 2" xfId="52183"/>
    <cellStyle name="Título 3 3 2 2 3" xfId="52184"/>
    <cellStyle name="Título 3 3 2 2 4" xfId="52185"/>
    <cellStyle name="Título 3 3 2 3" xfId="52186"/>
    <cellStyle name="Título 3 3 2 4" xfId="52187"/>
    <cellStyle name="Título 3 3 2 5" xfId="52188"/>
    <cellStyle name="Título 3 3 3" xfId="52189"/>
    <cellStyle name="Título 3 3 3 2" xfId="52190"/>
    <cellStyle name="Título 3 3 3 3" xfId="52191"/>
    <cellStyle name="Título 3 3 3 4" xfId="52192"/>
    <cellStyle name="Título 3 3 4" xfId="52193"/>
    <cellStyle name="Título 3 3 4 2" xfId="52194"/>
    <cellStyle name="Título 3 3 4 3" xfId="52195"/>
    <cellStyle name="Título 3 3 4 4" xfId="52196"/>
    <cellStyle name="Título 3 3 5" xfId="52197"/>
    <cellStyle name="Título 3 3 6" xfId="52198"/>
    <cellStyle name="Título 3 3 7" xfId="52199"/>
    <cellStyle name="Título 3 4" xfId="52200"/>
    <cellStyle name="Título 3 4 2" xfId="52201"/>
    <cellStyle name="Título 3 4 2 2" xfId="52202"/>
    <cellStyle name="Título 3 4 2 2 2" xfId="52203"/>
    <cellStyle name="Título 3 4 2 2 3" xfId="52204"/>
    <cellStyle name="Título 3 4 2 2 4" xfId="52205"/>
    <cellStyle name="Título 3 4 2 3" xfId="52206"/>
    <cellStyle name="Título 3 4 2 4" xfId="52207"/>
    <cellStyle name="Título 3 4 2 5" xfId="52208"/>
    <cellStyle name="Título 3 4 3" xfId="52209"/>
    <cellStyle name="Título 3 4 3 2" xfId="52210"/>
    <cellStyle name="Título 3 4 3 3" xfId="52211"/>
    <cellStyle name="Título 3 4 3 4" xfId="52212"/>
    <cellStyle name="Título 3 4 4" xfId="52213"/>
    <cellStyle name="Título 3 4 4 2" xfId="52214"/>
    <cellStyle name="Título 3 4 4 3" xfId="52215"/>
    <cellStyle name="Título 3 4 4 4" xfId="52216"/>
    <cellStyle name="Título 3 4 5" xfId="52217"/>
    <cellStyle name="Título 3 4 6" xfId="52218"/>
    <cellStyle name="Título 3 4 7" xfId="52219"/>
    <cellStyle name="Título 4" xfId="52220"/>
    <cellStyle name="Título 5" xfId="52221"/>
    <cellStyle name="Título 6" xfId="52222"/>
    <cellStyle name="Título 7" xfId="52223"/>
    <cellStyle name="Título columna" xfId="42"/>
    <cellStyle name="Título columna 2" xfId="52224"/>
    <cellStyle name="Título columna 2 2" xfId="52225"/>
    <cellStyle name="Título columna 2 2 2" xfId="52226"/>
    <cellStyle name="Título columna 2 2 3" xfId="52227"/>
    <cellStyle name="Título columna 2 2 4" xfId="52228"/>
    <cellStyle name="Título columna 2 3" xfId="52229"/>
    <cellStyle name="Título columna 2 3 2" xfId="52230"/>
    <cellStyle name="Título columna 2 3 3" xfId="52231"/>
    <cellStyle name="Título columna 2 3 4" xfId="52232"/>
    <cellStyle name="Título columna 2 4" xfId="52233"/>
    <cellStyle name="Título columna 2 5" xfId="52234"/>
    <cellStyle name="Título columna 2 6" xfId="52235"/>
    <cellStyle name="Título columna 2 7" xfId="52236"/>
    <cellStyle name="Título columna 3" xfId="52237"/>
    <cellStyle name="Título columna 3 2" xfId="52238"/>
    <cellStyle name="Título columna 3 3" xfId="52239"/>
    <cellStyle name="Título columna 3 4" xfId="52240"/>
    <cellStyle name="Título columna 4" xfId="52241"/>
    <cellStyle name="Título columna 4 2" xfId="52242"/>
    <cellStyle name="Título columna 4 3" xfId="52243"/>
    <cellStyle name="Título columna 4 4" xfId="52244"/>
    <cellStyle name="Título columna 5" xfId="52245"/>
    <cellStyle name="Título columna 6" xfId="52246"/>
    <cellStyle name="Título columna 7" xfId="52247"/>
    <cellStyle name="Título de hoja" xfId="52248"/>
    <cellStyle name="Total 2" xfId="52249"/>
    <cellStyle name="Total 2 10" xfId="52250"/>
    <cellStyle name="Total 2 11" xfId="52251"/>
    <cellStyle name="Total 2 2" xfId="52252"/>
    <cellStyle name="Total 2 2 2" xfId="52253"/>
    <cellStyle name="Total 2 2 2 2" xfId="52254"/>
    <cellStyle name="Total 2 2 2 2 2" xfId="52255"/>
    <cellStyle name="Total 2 2 2 2 3" xfId="52256"/>
    <cellStyle name="Total 2 2 2 2 4" xfId="52257"/>
    <cellStyle name="Total 2 2 2 3" xfId="52258"/>
    <cellStyle name="Total 2 2 2 3 2" xfId="52259"/>
    <cellStyle name="Total 2 2 2 3 3" xfId="52260"/>
    <cellStyle name="Total 2 2 2 3 4" xfId="52261"/>
    <cellStyle name="Total 2 2 2 4" xfId="52262"/>
    <cellStyle name="Total 2 2 2 4 2" xfId="52263"/>
    <cellStyle name="Total 2 2 2 4 3" xfId="52264"/>
    <cellStyle name="Total 2 2 2 4 4" xfId="52265"/>
    <cellStyle name="Total 2 2 2 5" xfId="52266"/>
    <cellStyle name="Total 2 2 2 6" xfId="52267"/>
    <cellStyle name="Total 2 2 2 7" xfId="52268"/>
    <cellStyle name="Total 2 2 2 8" xfId="52269"/>
    <cellStyle name="Total 2 2 3" xfId="52270"/>
    <cellStyle name="Total 2 2 3 2" xfId="52271"/>
    <cellStyle name="Total 2 2 3 2 2" xfId="52272"/>
    <cellStyle name="Total 2 2 3 2 3" xfId="52273"/>
    <cellStyle name="Total 2 2 3 2 4" xfId="52274"/>
    <cellStyle name="Total 2 2 3 3" xfId="52275"/>
    <cellStyle name="Total 2 2 3 3 2" xfId="52276"/>
    <cellStyle name="Total 2 2 3 3 3" xfId="52277"/>
    <cellStyle name="Total 2 2 3 3 4" xfId="52278"/>
    <cellStyle name="Total 2 2 3 4" xfId="52279"/>
    <cellStyle name="Total 2 2 3 4 2" xfId="52280"/>
    <cellStyle name="Total 2 2 3 4 3" xfId="52281"/>
    <cellStyle name="Total 2 2 3 4 4" xfId="52282"/>
    <cellStyle name="Total 2 2 3 5" xfId="52283"/>
    <cellStyle name="Total 2 2 3 6" xfId="52284"/>
    <cellStyle name="Total 2 2 3 7" xfId="52285"/>
    <cellStyle name="Total 2 2 3 8" xfId="52286"/>
    <cellStyle name="Total 2 2 4" xfId="52287"/>
    <cellStyle name="Total 2 2 4 2" xfId="52288"/>
    <cellStyle name="Total 2 2 4 2 2" xfId="52289"/>
    <cellStyle name="Total 2 2 4 2 3" xfId="52290"/>
    <cellStyle name="Total 2 2 4 2 4" xfId="52291"/>
    <cellStyle name="Total 2 2 4 3" xfId="52292"/>
    <cellStyle name="Total 2 2 4 3 2" xfId="52293"/>
    <cellStyle name="Total 2 2 4 3 3" xfId="52294"/>
    <cellStyle name="Total 2 2 4 3 4" xfId="52295"/>
    <cellStyle name="Total 2 2 4 4" xfId="52296"/>
    <cellStyle name="Total 2 2 4 4 2" xfId="52297"/>
    <cellStyle name="Total 2 2 4 4 3" xfId="52298"/>
    <cellStyle name="Total 2 2 4 4 4" xfId="52299"/>
    <cellStyle name="Total 2 2 4 5" xfId="52300"/>
    <cellStyle name="Total 2 2 4 6" xfId="52301"/>
    <cellStyle name="Total 2 2 4 7" xfId="52302"/>
    <cellStyle name="Total 2 2 4 8" xfId="52303"/>
    <cellStyle name="Total 2 2 5" xfId="52304"/>
    <cellStyle name="Total 2 2 5 2" xfId="52305"/>
    <cellStyle name="Total 2 2 5 2 2" xfId="52306"/>
    <cellStyle name="Total 2 2 5 2 3" xfId="52307"/>
    <cellStyle name="Total 2 2 5 2 4" xfId="52308"/>
    <cellStyle name="Total 2 2 5 3" xfId="52309"/>
    <cellStyle name="Total 2 2 5 3 2" xfId="52310"/>
    <cellStyle name="Total 2 2 5 3 3" xfId="52311"/>
    <cellStyle name="Total 2 2 5 3 4" xfId="52312"/>
    <cellStyle name="Total 2 2 5 4" xfId="52313"/>
    <cellStyle name="Total 2 2 5 4 2" xfId="52314"/>
    <cellStyle name="Total 2 2 5 4 3" xfId="52315"/>
    <cellStyle name="Total 2 2 5 4 4" xfId="52316"/>
    <cellStyle name="Total 2 2 5 5" xfId="52317"/>
    <cellStyle name="Total 2 2 5 6" xfId="52318"/>
    <cellStyle name="Total 2 2 5 7" xfId="52319"/>
    <cellStyle name="Total 2 2 5 8" xfId="52320"/>
    <cellStyle name="Total 2 2 6" xfId="52321"/>
    <cellStyle name="Total 2 2 6 2" xfId="52322"/>
    <cellStyle name="Total 2 2 6 3" xfId="52323"/>
    <cellStyle name="Total 2 2 6 4" xfId="52324"/>
    <cellStyle name="Total 2 2 7" xfId="52325"/>
    <cellStyle name="Total 2 2 7 2" xfId="52326"/>
    <cellStyle name="Total 2 2 7 3" xfId="52327"/>
    <cellStyle name="Total 2 2 7 4" xfId="52328"/>
    <cellStyle name="Total 2 2 8" xfId="52329"/>
    <cellStyle name="Total 2 2 8 2" xfId="52330"/>
    <cellStyle name="Total 2 2 8 3" xfId="52331"/>
    <cellStyle name="Total 2 2 8 4" xfId="52332"/>
    <cellStyle name="Total 2 2 9" xfId="52333"/>
    <cellStyle name="Total 2 3" xfId="52334"/>
    <cellStyle name="Total 2 3 2" xfId="52335"/>
    <cellStyle name="Total 2 3 2 2" xfId="52336"/>
    <cellStyle name="Total 2 3 2 3" xfId="52337"/>
    <cellStyle name="Total 2 3 2 4" xfId="52338"/>
    <cellStyle name="Total 2 3 3" xfId="52339"/>
    <cellStyle name="Total 2 3 3 2" xfId="52340"/>
    <cellStyle name="Total 2 3 3 3" xfId="52341"/>
    <cellStyle name="Total 2 3 3 4" xfId="52342"/>
    <cellStyle name="Total 2 3 4" xfId="52343"/>
    <cellStyle name="Total 2 3 5" xfId="52344"/>
    <cellStyle name="Total 2 3 6" xfId="52345"/>
    <cellStyle name="Total 2 3 7" xfId="52346"/>
    <cellStyle name="Total 2 4" xfId="52347"/>
    <cellStyle name="Total 2 4 2" xfId="52348"/>
    <cellStyle name="Total 2 4 2 2" xfId="52349"/>
    <cellStyle name="Total 2 4 2 3" xfId="52350"/>
    <cellStyle name="Total 2 4 2 4" xfId="52351"/>
    <cellStyle name="Total 2 4 3" xfId="52352"/>
    <cellStyle name="Total 2 4 3 2" xfId="52353"/>
    <cellStyle name="Total 2 4 3 3" xfId="52354"/>
    <cellStyle name="Total 2 4 3 4" xfId="52355"/>
    <cellStyle name="Total 2 4 4" xfId="52356"/>
    <cellStyle name="Total 2 4 4 2" xfId="52357"/>
    <cellStyle name="Total 2 4 4 3" xfId="52358"/>
    <cellStyle name="Total 2 4 4 4" xfId="52359"/>
    <cellStyle name="Total 2 4 5" xfId="52360"/>
    <cellStyle name="Total 2 4 6" xfId="52361"/>
    <cellStyle name="Total 2 4 7" xfId="52362"/>
    <cellStyle name="Total 2 4 8" xfId="52363"/>
    <cellStyle name="Total 2 5" xfId="52364"/>
    <cellStyle name="Total 2 5 2" xfId="52365"/>
    <cellStyle name="Total 2 5 2 2" xfId="52366"/>
    <cellStyle name="Total 2 5 2 3" xfId="52367"/>
    <cellStyle name="Total 2 5 2 4" xfId="52368"/>
    <cellStyle name="Total 2 5 3" xfId="52369"/>
    <cellStyle name="Total 2 5 3 2" xfId="52370"/>
    <cellStyle name="Total 2 5 3 3" xfId="52371"/>
    <cellStyle name="Total 2 5 3 4" xfId="52372"/>
    <cellStyle name="Total 2 5 4" xfId="52373"/>
    <cellStyle name="Total 2 5 4 2" xfId="52374"/>
    <cellStyle name="Total 2 5 4 3" xfId="52375"/>
    <cellStyle name="Total 2 5 4 4" xfId="52376"/>
    <cellStyle name="Total 2 5 5" xfId="52377"/>
    <cellStyle name="Total 2 5 6" xfId="52378"/>
    <cellStyle name="Total 2 5 7" xfId="52379"/>
    <cellStyle name="Total 2 5 8" xfId="52380"/>
    <cellStyle name="Total 2 6" xfId="52381"/>
    <cellStyle name="Total 2 6 2" xfId="52382"/>
    <cellStyle name="Total 2 6 2 2" xfId="52383"/>
    <cellStyle name="Total 2 6 2 3" xfId="52384"/>
    <cellStyle name="Total 2 6 2 4" xfId="52385"/>
    <cellStyle name="Total 2 6 3" xfId="52386"/>
    <cellStyle name="Total 2 6 3 2" xfId="52387"/>
    <cellStyle name="Total 2 6 3 3" xfId="52388"/>
    <cellStyle name="Total 2 6 3 4" xfId="52389"/>
    <cellStyle name="Total 2 6 4" xfId="52390"/>
    <cellStyle name="Total 2 6 4 2" xfId="52391"/>
    <cellStyle name="Total 2 6 4 3" xfId="52392"/>
    <cellStyle name="Total 2 6 4 4" xfId="52393"/>
    <cellStyle name="Total 2 6 5" xfId="52394"/>
    <cellStyle name="Total 2 6 6" xfId="52395"/>
    <cellStyle name="Total 2 6 7" xfId="52396"/>
    <cellStyle name="Total 2 6 8" xfId="52397"/>
    <cellStyle name="Total 2 7" xfId="52398"/>
    <cellStyle name="Total 2 7 2" xfId="52399"/>
    <cellStyle name="Total 2 7 2 2" xfId="52400"/>
    <cellStyle name="Total 2 7 2 3" xfId="52401"/>
    <cellStyle name="Total 2 7 2 4" xfId="52402"/>
    <cellStyle name="Total 2 7 3" xfId="52403"/>
    <cellStyle name="Total 2 7 3 2" xfId="52404"/>
    <cellStyle name="Total 2 7 3 3" xfId="52405"/>
    <cellStyle name="Total 2 7 3 4" xfId="52406"/>
    <cellStyle name="Total 2 7 4" xfId="52407"/>
    <cellStyle name="Total 2 7 4 2" xfId="52408"/>
    <cellStyle name="Total 2 7 4 3" xfId="52409"/>
    <cellStyle name="Total 2 7 4 4" xfId="52410"/>
    <cellStyle name="Total 2 7 5" xfId="52411"/>
    <cellStyle name="Total 2 7 6" xfId="52412"/>
    <cellStyle name="Total 2 7 7" xfId="52413"/>
    <cellStyle name="Total 2 7 8" xfId="52414"/>
    <cellStyle name="Total 2 8" xfId="52415"/>
    <cellStyle name="Total 2 8 2" xfId="52416"/>
    <cellStyle name="Total 2 8 3" xfId="52417"/>
    <cellStyle name="Total 2 8 4" xfId="52418"/>
    <cellStyle name="Total 2 9" xfId="52419"/>
    <cellStyle name="Total 2 9 2" xfId="52420"/>
    <cellStyle name="Total 2 9 3" xfId="52421"/>
    <cellStyle name="Total 2 9 4" xfId="52422"/>
    <cellStyle name="Total 3" xfId="52423"/>
    <cellStyle name="Total 3 10" xfId="52424"/>
    <cellStyle name="Total 3 11" xfId="52425"/>
    <cellStyle name="Total 3 2" xfId="52426"/>
    <cellStyle name="Total 3 2 2" xfId="52427"/>
    <cellStyle name="Total 3 2 2 2" xfId="52428"/>
    <cellStyle name="Total 3 2 2 2 2" xfId="52429"/>
    <cellStyle name="Total 3 2 2 2 3" xfId="52430"/>
    <cellStyle name="Total 3 2 2 2 4" xfId="52431"/>
    <cellStyle name="Total 3 2 2 3" xfId="52432"/>
    <cellStyle name="Total 3 2 2 3 2" xfId="52433"/>
    <cellStyle name="Total 3 2 2 3 3" xfId="52434"/>
    <cellStyle name="Total 3 2 2 3 4" xfId="52435"/>
    <cellStyle name="Total 3 2 2 4" xfId="52436"/>
    <cellStyle name="Total 3 2 2 4 2" xfId="52437"/>
    <cellStyle name="Total 3 2 2 4 3" xfId="52438"/>
    <cellStyle name="Total 3 2 2 4 4" xfId="52439"/>
    <cellStyle name="Total 3 2 2 5" xfId="52440"/>
    <cellStyle name="Total 3 2 2 6" xfId="52441"/>
    <cellStyle name="Total 3 2 2 7" xfId="52442"/>
    <cellStyle name="Total 3 2 2 8" xfId="52443"/>
    <cellStyle name="Total 3 2 3" xfId="52444"/>
    <cellStyle name="Total 3 2 3 2" xfId="52445"/>
    <cellStyle name="Total 3 2 3 2 2" xfId="52446"/>
    <cellStyle name="Total 3 2 3 2 3" xfId="52447"/>
    <cellStyle name="Total 3 2 3 2 4" xfId="52448"/>
    <cellStyle name="Total 3 2 3 3" xfId="52449"/>
    <cellStyle name="Total 3 2 3 3 2" xfId="52450"/>
    <cellStyle name="Total 3 2 3 3 3" xfId="52451"/>
    <cellStyle name="Total 3 2 3 3 4" xfId="52452"/>
    <cellStyle name="Total 3 2 3 4" xfId="52453"/>
    <cellStyle name="Total 3 2 3 4 2" xfId="52454"/>
    <cellStyle name="Total 3 2 3 4 3" xfId="52455"/>
    <cellStyle name="Total 3 2 3 4 4" xfId="52456"/>
    <cellStyle name="Total 3 2 3 5" xfId="52457"/>
    <cellStyle name="Total 3 2 3 6" xfId="52458"/>
    <cellStyle name="Total 3 2 3 7" xfId="52459"/>
    <cellStyle name="Total 3 2 3 8" xfId="52460"/>
    <cellStyle name="Total 3 2 4" xfId="52461"/>
    <cellStyle name="Total 3 2 4 2" xfId="52462"/>
    <cellStyle name="Total 3 2 4 2 2" xfId="52463"/>
    <cellStyle name="Total 3 2 4 2 3" xfId="52464"/>
    <cellStyle name="Total 3 2 4 2 4" xfId="52465"/>
    <cellStyle name="Total 3 2 4 3" xfId="52466"/>
    <cellStyle name="Total 3 2 4 3 2" xfId="52467"/>
    <cellStyle name="Total 3 2 4 3 3" xfId="52468"/>
    <cellStyle name="Total 3 2 4 3 4" xfId="52469"/>
    <cellStyle name="Total 3 2 4 4" xfId="52470"/>
    <cellStyle name="Total 3 2 4 4 2" xfId="52471"/>
    <cellStyle name="Total 3 2 4 4 3" xfId="52472"/>
    <cellStyle name="Total 3 2 4 4 4" xfId="52473"/>
    <cellStyle name="Total 3 2 4 5" xfId="52474"/>
    <cellStyle name="Total 3 2 4 6" xfId="52475"/>
    <cellStyle name="Total 3 2 4 7" xfId="52476"/>
    <cellStyle name="Total 3 2 4 8" xfId="52477"/>
    <cellStyle name="Total 3 2 5" xfId="52478"/>
    <cellStyle name="Total 3 2 5 2" xfId="52479"/>
    <cellStyle name="Total 3 2 5 2 2" xfId="52480"/>
    <cellStyle name="Total 3 2 5 2 3" xfId="52481"/>
    <cellStyle name="Total 3 2 5 2 4" xfId="52482"/>
    <cellStyle name="Total 3 2 5 3" xfId="52483"/>
    <cellStyle name="Total 3 2 5 3 2" xfId="52484"/>
    <cellStyle name="Total 3 2 5 3 3" xfId="52485"/>
    <cellStyle name="Total 3 2 5 3 4" xfId="52486"/>
    <cellStyle name="Total 3 2 5 4" xfId="52487"/>
    <cellStyle name="Total 3 2 5 4 2" xfId="52488"/>
    <cellStyle name="Total 3 2 5 4 3" xfId="52489"/>
    <cellStyle name="Total 3 2 5 4 4" xfId="52490"/>
    <cellStyle name="Total 3 2 5 5" xfId="52491"/>
    <cellStyle name="Total 3 2 5 6" xfId="52492"/>
    <cellStyle name="Total 3 2 5 7" xfId="52493"/>
    <cellStyle name="Total 3 2 5 8" xfId="52494"/>
    <cellStyle name="Total 3 2 6" xfId="52495"/>
    <cellStyle name="Total 3 2 6 2" xfId="52496"/>
    <cellStyle name="Total 3 2 6 3" xfId="52497"/>
    <cellStyle name="Total 3 2 6 4" xfId="52498"/>
    <cellStyle name="Total 3 2 7" xfId="52499"/>
    <cellStyle name="Total 3 2 7 2" xfId="52500"/>
    <cellStyle name="Total 3 2 7 3" xfId="52501"/>
    <cellStyle name="Total 3 2 7 4" xfId="52502"/>
    <cellStyle name="Total 3 2 8" xfId="52503"/>
    <cellStyle name="Total 3 2 9" xfId="52504"/>
    <cellStyle name="Total 3 3" xfId="52505"/>
    <cellStyle name="Total 3 3 2" xfId="52506"/>
    <cellStyle name="Total 3 3 2 2" xfId="52507"/>
    <cellStyle name="Total 3 3 2 3" xfId="52508"/>
    <cellStyle name="Total 3 3 2 4" xfId="52509"/>
    <cellStyle name="Total 3 3 3" xfId="52510"/>
    <cellStyle name="Total 3 3 3 2" xfId="52511"/>
    <cellStyle name="Total 3 3 3 3" xfId="52512"/>
    <cellStyle name="Total 3 3 3 4" xfId="52513"/>
    <cellStyle name="Total 3 3 4" xfId="52514"/>
    <cellStyle name="Total 3 3 5" xfId="52515"/>
    <cellStyle name="Total 3 3 6" xfId="52516"/>
    <cellStyle name="Total 3 3 7" xfId="52517"/>
    <cellStyle name="Total 3 4" xfId="52518"/>
    <cellStyle name="Total 3 4 2" xfId="52519"/>
    <cellStyle name="Total 3 4 2 2" xfId="52520"/>
    <cellStyle name="Total 3 4 2 3" xfId="52521"/>
    <cellStyle name="Total 3 4 2 4" xfId="52522"/>
    <cellStyle name="Total 3 4 3" xfId="52523"/>
    <cellStyle name="Total 3 4 3 2" xfId="52524"/>
    <cellStyle name="Total 3 4 3 3" xfId="52525"/>
    <cellStyle name="Total 3 4 3 4" xfId="52526"/>
    <cellStyle name="Total 3 4 4" xfId="52527"/>
    <cellStyle name="Total 3 4 4 2" xfId="52528"/>
    <cellStyle name="Total 3 4 4 3" xfId="52529"/>
    <cellStyle name="Total 3 4 4 4" xfId="52530"/>
    <cellStyle name="Total 3 4 5" xfId="52531"/>
    <cellStyle name="Total 3 4 6" xfId="52532"/>
    <cellStyle name="Total 3 4 7" xfId="52533"/>
    <cellStyle name="Total 3 4 8" xfId="52534"/>
    <cellStyle name="Total 3 5" xfId="52535"/>
    <cellStyle name="Total 3 5 2" xfId="52536"/>
    <cellStyle name="Total 3 5 2 2" xfId="52537"/>
    <cellStyle name="Total 3 5 2 3" xfId="52538"/>
    <cellStyle name="Total 3 5 2 4" xfId="52539"/>
    <cellStyle name="Total 3 5 3" xfId="52540"/>
    <cellStyle name="Total 3 5 3 2" xfId="52541"/>
    <cellStyle name="Total 3 5 3 3" xfId="52542"/>
    <cellStyle name="Total 3 5 3 4" xfId="52543"/>
    <cellStyle name="Total 3 5 4" xfId="52544"/>
    <cellStyle name="Total 3 5 4 2" xfId="52545"/>
    <cellStyle name="Total 3 5 4 3" xfId="52546"/>
    <cellStyle name="Total 3 5 4 4" xfId="52547"/>
    <cellStyle name="Total 3 5 5" xfId="52548"/>
    <cellStyle name="Total 3 5 6" xfId="52549"/>
    <cellStyle name="Total 3 5 7" xfId="52550"/>
    <cellStyle name="Total 3 5 8" xfId="52551"/>
    <cellStyle name="Total 3 6" xfId="52552"/>
    <cellStyle name="Total 3 6 2" xfId="52553"/>
    <cellStyle name="Total 3 6 2 2" xfId="52554"/>
    <cellStyle name="Total 3 6 2 3" xfId="52555"/>
    <cellStyle name="Total 3 6 2 4" xfId="52556"/>
    <cellStyle name="Total 3 6 3" xfId="52557"/>
    <cellStyle name="Total 3 6 3 2" xfId="52558"/>
    <cellStyle name="Total 3 6 3 3" xfId="52559"/>
    <cellStyle name="Total 3 6 3 4" xfId="52560"/>
    <cellStyle name="Total 3 6 4" xfId="52561"/>
    <cellStyle name="Total 3 6 4 2" xfId="52562"/>
    <cellStyle name="Total 3 6 4 3" xfId="52563"/>
    <cellStyle name="Total 3 6 4 4" xfId="52564"/>
    <cellStyle name="Total 3 6 5" xfId="52565"/>
    <cellStyle name="Total 3 6 6" xfId="52566"/>
    <cellStyle name="Total 3 6 7" xfId="52567"/>
    <cellStyle name="Total 3 6 8" xfId="52568"/>
    <cellStyle name="Total 3 7" xfId="52569"/>
    <cellStyle name="Total 3 7 2" xfId="52570"/>
    <cellStyle name="Total 3 7 2 2" xfId="52571"/>
    <cellStyle name="Total 3 7 2 3" xfId="52572"/>
    <cellStyle name="Total 3 7 2 4" xfId="52573"/>
    <cellStyle name="Total 3 7 3" xfId="52574"/>
    <cellStyle name="Total 3 7 3 2" xfId="52575"/>
    <cellStyle name="Total 3 7 3 3" xfId="52576"/>
    <cellStyle name="Total 3 7 3 4" xfId="52577"/>
    <cellStyle name="Total 3 7 4" xfId="52578"/>
    <cellStyle name="Total 3 7 4 2" xfId="52579"/>
    <cellStyle name="Total 3 7 4 3" xfId="52580"/>
    <cellStyle name="Total 3 7 4 4" xfId="52581"/>
    <cellStyle name="Total 3 7 5" xfId="52582"/>
    <cellStyle name="Total 3 7 6" xfId="52583"/>
    <cellStyle name="Total 3 7 7" xfId="52584"/>
    <cellStyle name="Total 3 7 8" xfId="52585"/>
    <cellStyle name="Total 3 8" xfId="52586"/>
    <cellStyle name="Total 3 8 2" xfId="52587"/>
    <cellStyle name="Total 3 8 3" xfId="52588"/>
    <cellStyle name="Total 3 8 4" xfId="52589"/>
    <cellStyle name="Total 3 9" xfId="52590"/>
    <cellStyle name="Total 3 9 2" xfId="52591"/>
    <cellStyle name="Total 3 9 3" xfId="52592"/>
    <cellStyle name="Total 3 9 4" xfId="52593"/>
    <cellStyle name="Total 4" xfId="52594"/>
    <cellStyle name="Total 5" xfId="52595"/>
    <cellStyle name="Total 5 10" xfId="52596"/>
    <cellStyle name="Total 5 11" xfId="52597"/>
    <cellStyle name="Total 5 2" xfId="52598"/>
    <cellStyle name="Total 5 2 2" xfId="52599"/>
    <cellStyle name="Total 5 2 2 2" xfId="52600"/>
    <cellStyle name="Total 5 2 2 2 2" xfId="52601"/>
    <cellStyle name="Total 5 2 2 2 3" xfId="52602"/>
    <cellStyle name="Total 5 2 2 2 4" xfId="52603"/>
    <cellStyle name="Total 5 2 2 3" xfId="52604"/>
    <cellStyle name="Total 5 2 2 3 2" xfId="52605"/>
    <cellStyle name="Total 5 2 2 3 3" xfId="52606"/>
    <cellStyle name="Total 5 2 2 3 4" xfId="52607"/>
    <cellStyle name="Total 5 2 2 4" xfId="52608"/>
    <cellStyle name="Total 5 2 2 4 2" xfId="52609"/>
    <cellStyle name="Total 5 2 2 4 3" xfId="52610"/>
    <cellStyle name="Total 5 2 2 4 4" xfId="52611"/>
    <cellStyle name="Total 5 2 2 5" xfId="52612"/>
    <cellStyle name="Total 5 2 2 6" xfId="52613"/>
    <cellStyle name="Total 5 2 2 7" xfId="52614"/>
    <cellStyle name="Total 5 2 2 8" xfId="52615"/>
    <cellStyle name="Total 5 2 3" xfId="52616"/>
    <cellStyle name="Total 5 2 3 2" xfId="52617"/>
    <cellStyle name="Total 5 2 3 2 2" xfId="52618"/>
    <cellStyle name="Total 5 2 3 2 3" xfId="52619"/>
    <cellStyle name="Total 5 2 3 2 4" xfId="52620"/>
    <cellStyle name="Total 5 2 3 3" xfId="52621"/>
    <cellStyle name="Total 5 2 3 3 2" xfId="52622"/>
    <cellStyle name="Total 5 2 3 3 3" xfId="52623"/>
    <cellStyle name="Total 5 2 3 3 4" xfId="52624"/>
    <cellStyle name="Total 5 2 3 4" xfId="52625"/>
    <cellStyle name="Total 5 2 3 4 2" xfId="52626"/>
    <cellStyle name="Total 5 2 3 4 3" xfId="52627"/>
    <cellStyle name="Total 5 2 3 4 4" xfId="52628"/>
    <cellStyle name="Total 5 2 3 5" xfId="52629"/>
    <cellStyle name="Total 5 2 3 6" xfId="52630"/>
    <cellStyle name="Total 5 2 3 7" xfId="52631"/>
    <cellStyle name="Total 5 2 3 8" xfId="52632"/>
    <cellStyle name="Total 5 2 4" xfId="52633"/>
    <cellStyle name="Total 5 2 4 2" xfId="52634"/>
    <cellStyle name="Total 5 2 4 2 2" xfId="52635"/>
    <cellStyle name="Total 5 2 4 2 3" xfId="52636"/>
    <cellStyle name="Total 5 2 4 2 4" xfId="52637"/>
    <cellStyle name="Total 5 2 4 3" xfId="52638"/>
    <cellStyle name="Total 5 2 4 3 2" xfId="52639"/>
    <cellStyle name="Total 5 2 4 3 3" xfId="52640"/>
    <cellStyle name="Total 5 2 4 3 4" xfId="52641"/>
    <cellStyle name="Total 5 2 4 4" xfId="52642"/>
    <cellStyle name="Total 5 2 4 4 2" xfId="52643"/>
    <cellStyle name="Total 5 2 4 4 3" xfId="52644"/>
    <cellStyle name="Total 5 2 4 4 4" xfId="52645"/>
    <cellStyle name="Total 5 2 4 5" xfId="52646"/>
    <cellStyle name="Total 5 2 4 6" xfId="52647"/>
    <cellStyle name="Total 5 2 4 7" xfId="52648"/>
    <cellStyle name="Total 5 2 4 8" xfId="52649"/>
    <cellStyle name="Total 5 2 5" xfId="52650"/>
    <cellStyle name="Total 5 2 5 2" xfId="52651"/>
    <cellStyle name="Total 5 2 5 2 2" xfId="52652"/>
    <cellStyle name="Total 5 2 5 2 3" xfId="52653"/>
    <cellStyle name="Total 5 2 5 2 4" xfId="52654"/>
    <cellStyle name="Total 5 2 5 3" xfId="52655"/>
    <cellStyle name="Total 5 2 5 3 2" xfId="52656"/>
    <cellStyle name="Total 5 2 5 3 3" xfId="52657"/>
    <cellStyle name="Total 5 2 5 3 4" xfId="52658"/>
    <cellStyle name="Total 5 2 5 4" xfId="52659"/>
    <cellStyle name="Total 5 2 5 4 2" xfId="52660"/>
    <cellStyle name="Total 5 2 5 4 3" xfId="52661"/>
    <cellStyle name="Total 5 2 5 4 4" xfId="52662"/>
    <cellStyle name="Total 5 2 5 5" xfId="52663"/>
    <cellStyle name="Total 5 2 5 6" xfId="52664"/>
    <cellStyle name="Total 5 2 5 7" xfId="52665"/>
    <cellStyle name="Total 5 2 5 8" xfId="52666"/>
    <cellStyle name="Total 5 2 6" xfId="52667"/>
    <cellStyle name="Total 5 2 6 2" xfId="52668"/>
    <cellStyle name="Total 5 2 6 3" xfId="52669"/>
    <cellStyle name="Total 5 2 6 4" xfId="52670"/>
    <cellStyle name="Total 5 2 7" xfId="52671"/>
    <cellStyle name="Total 5 2 7 2" xfId="52672"/>
    <cellStyle name="Total 5 2 7 3" xfId="52673"/>
    <cellStyle name="Total 5 2 7 4" xfId="52674"/>
    <cellStyle name="Total 5 2 8" xfId="52675"/>
    <cellStyle name="Total 5 2 9" xfId="52676"/>
    <cellStyle name="Total 5 3" xfId="52677"/>
    <cellStyle name="Total 5 3 2" xfId="52678"/>
    <cellStyle name="Total 5 3 2 2" xfId="52679"/>
    <cellStyle name="Total 5 3 2 3" xfId="52680"/>
    <cellStyle name="Total 5 3 2 4" xfId="52681"/>
    <cellStyle name="Total 5 3 3" xfId="52682"/>
    <cellStyle name="Total 5 3 3 2" xfId="52683"/>
    <cellStyle name="Total 5 3 3 3" xfId="52684"/>
    <cellStyle name="Total 5 3 3 4" xfId="52685"/>
    <cellStyle name="Total 5 3 4" xfId="52686"/>
    <cellStyle name="Total 5 3 4 2" xfId="52687"/>
    <cellStyle name="Total 5 3 4 3" xfId="52688"/>
    <cellStyle name="Total 5 3 4 4" xfId="52689"/>
    <cellStyle name="Total 5 3 5" xfId="52690"/>
    <cellStyle name="Total 5 3 6" xfId="52691"/>
    <cellStyle name="Total 5 3 7" xfId="52692"/>
    <cellStyle name="Total 5 3 8" xfId="52693"/>
    <cellStyle name="Total 5 4" xfId="52694"/>
    <cellStyle name="Total 5 4 2" xfId="52695"/>
    <cellStyle name="Total 5 4 2 2" xfId="52696"/>
    <cellStyle name="Total 5 4 2 3" xfId="52697"/>
    <cellStyle name="Total 5 4 2 4" xfId="52698"/>
    <cellStyle name="Total 5 4 3" xfId="52699"/>
    <cellStyle name="Total 5 4 3 2" xfId="52700"/>
    <cellStyle name="Total 5 4 3 3" xfId="52701"/>
    <cellStyle name="Total 5 4 3 4" xfId="52702"/>
    <cellStyle name="Total 5 4 4" xfId="52703"/>
    <cellStyle name="Total 5 4 4 2" xfId="52704"/>
    <cellStyle name="Total 5 4 4 3" xfId="52705"/>
    <cellStyle name="Total 5 4 4 4" xfId="52706"/>
    <cellStyle name="Total 5 4 5" xfId="52707"/>
    <cellStyle name="Total 5 4 6" xfId="52708"/>
    <cellStyle name="Total 5 4 7" xfId="52709"/>
    <cellStyle name="Total 5 4 8" xfId="52710"/>
    <cellStyle name="Total 5 5" xfId="52711"/>
    <cellStyle name="Total 5 5 2" xfId="52712"/>
    <cellStyle name="Total 5 5 2 2" xfId="52713"/>
    <cellStyle name="Total 5 5 2 3" xfId="52714"/>
    <cellStyle name="Total 5 5 2 4" xfId="52715"/>
    <cellStyle name="Total 5 5 3" xfId="52716"/>
    <cellStyle name="Total 5 5 3 2" xfId="52717"/>
    <cellStyle name="Total 5 5 3 3" xfId="52718"/>
    <cellStyle name="Total 5 5 3 4" xfId="52719"/>
    <cellStyle name="Total 5 5 4" xfId="52720"/>
    <cellStyle name="Total 5 5 4 2" xfId="52721"/>
    <cellStyle name="Total 5 5 4 3" xfId="52722"/>
    <cellStyle name="Total 5 5 4 4" xfId="52723"/>
    <cellStyle name="Total 5 5 5" xfId="52724"/>
    <cellStyle name="Total 5 5 6" xfId="52725"/>
    <cellStyle name="Total 5 5 7" xfId="52726"/>
    <cellStyle name="Total 5 5 8" xfId="52727"/>
    <cellStyle name="Total 5 6" xfId="52728"/>
    <cellStyle name="Total 5 6 2" xfId="52729"/>
    <cellStyle name="Total 5 6 2 2" xfId="52730"/>
    <cellStyle name="Total 5 6 2 3" xfId="52731"/>
    <cellStyle name="Total 5 6 2 4" xfId="52732"/>
    <cellStyle name="Total 5 6 3" xfId="52733"/>
    <cellStyle name="Total 5 6 3 2" xfId="52734"/>
    <cellStyle name="Total 5 6 3 3" xfId="52735"/>
    <cellStyle name="Total 5 6 3 4" xfId="52736"/>
    <cellStyle name="Total 5 6 4" xfId="52737"/>
    <cellStyle name="Total 5 6 4 2" xfId="52738"/>
    <cellStyle name="Total 5 6 4 3" xfId="52739"/>
    <cellStyle name="Total 5 6 4 4" xfId="52740"/>
    <cellStyle name="Total 5 6 5" xfId="52741"/>
    <cellStyle name="Total 5 6 6" xfId="52742"/>
    <cellStyle name="Total 5 6 7" xfId="52743"/>
    <cellStyle name="Total 5 6 8" xfId="52744"/>
    <cellStyle name="Total 5 7" xfId="52745"/>
    <cellStyle name="Total 5 7 2" xfId="52746"/>
    <cellStyle name="Total 5 7 2 2" xfId="52747"/>
    <cellStyle name="Total 5 7 2 3" xfId="52748"/>
    <cellStyle name="Total 5 7 2 4" xfId="52749"/>
    <cellStyle name="Total 5 7 3" xfId="52750"/>
    <cellStyle name="Total 5 7 3 2" xfId="52751"/>
    <cellStyle name="Total 5 7 3 3" xfId="52752"/>
    <cellStyle name="Total 5 7 3 4" xfId="52753"/>
    <cellStyle name="Total 5 7 4" xfId="52754"/>
    <cellStyle name="Total 5 7 4 2" xfId="52755"/>
    <cellStyle name="Total 5 7 4 3" xfId="52756"/>
    <cellStyle name="Total 5 7 4 4" xfId="52757"/>
    <cellStyle name="Total 5 7 5" xfId="52758"/>
    <cellStyle name="Total 5 7 6" xfId="52759"/>
    <cellStyle name="Total 5 7 7" xfId="52760"/>
    <cellStyle name="Total 5 7 8" xfId="52761"/>
    <cellStyle name="Total 5 8" xfId="52762"/>
    <cellStyle name="Total 5 8 2" xfId="52763"/>
    <cellStyle name="Total 5 8 3" xfId="52764"/>
    <cellStyle name="Total 5 8 4" xfId="52765"/>
    <cellStyle name="Total 5 9" xfId="52766"/>
    <cellStyle name="Total 5 9 2" xfId="52767"/>
    <cellStyle name="Total 5 9 3" xfId="52768"/>
    <cellStyle name="Total 5 9 4" xfId="52769"/>
    <cellStyle name="Total 6" xfId="52770"/>
    <cellStyle name="Total 6 10" xfId="52771"/>
    <cellStyle name="Total 6 11" xfId="52772"/>
    <cellStyle name="Total 6 2" xfId="52773"/>
    <cellStyle name="Total 6 2 2" xfId="52774"/>
    <cellStyle name="Total 6 2 2 2" xfId="52775"/>
    <cellStyle name="Total 6 2 2 2 2" xfId="52776"/>
    <cellStyle name="Total 6 2 2 2 3" xfId="52777"/>
    <cellStyle name="Total 6 2 2 2 4" xfId="52778"/>
    <cellStyle name="Total 6 2 2 3" xfId="52779"/>
    <cellStyle name="Total 6 2 2 3 2" xfId="52780"/>
    <cellStyle name="Total 6 2 2 3 3" xfId="52781"/>
    <cellStyle name="Total 6 2 2 3 4" xfId="52782"/>
    <cellStyle name="Total 6 2 2 4" xfId="52783"/>
    <cellStyle name="Total 6 2 2 4 2" xfId="52784"/>
    <cellStyle name="Total 6 2 2 4 3" xfId="52785"/>
    <cellStyle name="Total 6 2 2 4 4" xfId="52786"/>
    <cellStyle name="Total 6 2 2 5" xfId="52787"/>
    <cellStyle name="Total 6 2 2 6" xfId="52788"/>
    <cellStyle name="Total 6 2 2 7" xfId="52789"/>
    <cellStyle name="Total 6 2 2 8" xfId="52790"/>
    <cellStyle name="Total 6 2 3" xfId="52791"/>
    <cellStyle name="Total 6 2 3 2" xfId="52792"/>
    <cellStyle name="Total 6 2 3 2 2" xfId="52793"/>
    <cellStyle name="Total 6 2 3 2 3" xfId="52794"/>
    <cellStyle name="Total 6 2 3 2 4" xfId="52795"/>
    <cellStyle name="Total 6 2 3 3" xfId="52796"/>
    <cellStyle name="Total 6 2 3 3 2" xfId="52797"/>
    <cellStyle name="Total 6 2 3 3 3" xfId="52798"/>
    <cellStyle name="Total 6 2 3 3 4" xfId="52799"/>
    <cellStyle name="Total 6 2 3 4" xfId="52800"/>
    <cellStyle name="Total 6 2 3 4 2" xfId="52801"/>
    <cellStyle name="Total 6 2 3 4 3" xfId="52802"/>
    <cellStyle name="Total 6 2 3 4 4" xfId="52803"/>
    <cellStyle name="Total 6 2 3 5" xfId="52804"/>
    <cellStyle name="Total 6 2 3 6" xfId="52805"/>
    <cellStyle name="Total 6 2 3 7" xfId="52806"/>
    <cellStyle name="Total 6 2 3 8" xfId="52807"/>
    <cellStyle name="Total 6 2 4" xfId="52808"/>
    <cellStyle name="Total 6 2 4 2" xfId="52809"/>
    <cellStyle name="Total 6 2 4 2 2" xfId="52810"/>
    <cellStyle name="Total 6 2 4 2 3" xfId="52811"/>
    <cellStyle name="Total 6 2 4 2 4" xfId="52812"/>
    <cellStyle name="Total 6 2 4 3" xfId="52813"/>
    <cellStyle name="Total 6 2 4 3 2" xfId="52814"/>
    <cellStyle name="Total 6 2 4 3 3" xfId="52815"/>
    <cellStyle name="Total 6 2 4 3 4" xfId="52816"/>
    <cellStyle name="Total 6 2 4 4" xfId="52817"/>
    <cellStyle name="Total 6 2 4 4 2" xfId="52818"/>
    <cellStyle name="Total 6 2 4 4 3" xfId="52819"/>
    <cellStyle name="Total 6 2 4 4 4" xfId="52820"/>
    <cellStyle name="Total 6 2 4 5" xfId="52821"/>
    <cellStyle name="Total 6 2 4 6" xfId="52822"/>
    <cellStyle name="Total 6 2 4 7" xfId="52823"/>
    <cellStyle name="Total 6 2 4 8" xfId="52824"/>
    <cellStyle name="Total 6 2 5" xfId="52825"/>
    <cellStyle name="Total 6 2 5 2" xfId="52826"/>
    <cellStyle name="Total 6 2 5 2 2" xfId="52827"/>
    <cellStyle name="Total 6 2 5 2 3" xfId="52828"/>
    <cellStyle name="Total 6 2 5 2 4" xfId="52829"/>
    <cellStyle name="Total 6 2 5 3" xfId="52830"/>
    <cellStyle name="Total 6 2 5 3 2" xfId="52831"/>
    <cellStyle name="Total 6 2 5 3 3" xfId="52832"/>
    <cellStyle name="Total 6 2 5 3 4" xfId="52833"/>
    <cellStyle name="Total 6 2 5 4" xfId="52834"/>
    <cellStyle name="Total 6 2 5 4 2" xfId="52835"/>
    <cellStyle name="Total 6 2 5 4 3" xfId="52836"/>
    <cellStyle name="Total 6 2 5 4 4" xfId="52837"/>
    <cellStyle name="Total 6 2 5 5" xfId="52838"/>
    <cellStyle name="Total 6 2 5 6" xfId="52839"/>
    <cellStyle name="Total 6 2 5 7" xfId="52840"/>
    <cellStyle name="Total 6 2 5 8" xfId="52841"/>
    <cellStyle name="Total 6 2 6" xfId="52842"/>
    <cellStyle name="Total 6 2 6 2" xfId="52843"/>
    <cellStyle name="Total 6 2 6 3" xfId="52844"/>
    <cellStyle name="Total 6 2 6 4" xfId="52845"/>
    <cellStyle name="Total 6 2 7" xfId="52846"/>
    <cellStyle name="Total 6 2 7 2" xfId="52847"/>
    <cellStyle name="Total 6 2 7 3" xfId="52848"/>
    <cellStyle name="Total 6 2 7 4" xfId="52849"/>
    <cellStyle name="Total 6 2 8" xfId="52850"/>
    <cellStyle name="Total 6 2 9" xfId="52851"/>
    <cellStyle name="Total 6 3" xfId="52852"/>
    <cellStyle name="Total 6 3 2" xfId="52853"/>
    <cellStyle name="Total 6 3 2 2" xfId="52854"/>
    <cellStyle name="Total 6 3 2 3" xfId="52855"/>
    <cellStyle name="Total 6 3 2 4" xfId="52856"/>
    <cellStyle name="Total 6 3 3" xfId="52857"/>
    <cellStyle name="Total 6 3 3 2" xfId="52858"/>
    <cellStyle name="Total 6 3 3 3" xfId="52859"/>
    <cellStyle name="Total 6 3 3 4" xfId="52860"/>
    <cellStyle name="Total 6 3 4" xfId="52861"/>
    <cellStyle name="Total 6 3 4 2" xfId="52862"/>
    <cellStyle name="Total 6 3 4 3" xfId="52863"/>
    <cellStyle name="Total 6 3 4 4" xfId="52864"/>
    <cellStyle name="Total 6 3 5" xfId="52865"/>
    <cellStyle name="Total 6 3 6" xfId="52866"/>
    <cellStyle name="Total 6 3 7" xfId="52867"/>
    <cellStyle name="Total 6 3 8" xfId="52868"/>
    <cellStyle name="Total 6 4" xfId="52869"/>
    <cellStyle name="Total 6 4 2" xfId="52870"/>
    <cellStyle name="Total 6 4 2 2" xfId="52871"/>
    <cellStyle name="Total 6 4 2 3" xfId="52872"/>
    <cellStyle name="Total 6 4 2 4" xfId="52873"/>
    <cellStyle name="Total 6 4 3" xfId="52874"/>
    <cellStyle name="Total 6 4 3 2" xfId="52875"/>
    <cellStyle name="Total 6 4 3 3" xfId="52876"/>
    <cellStyle name="Total 6 4 3 4" xfId="52877"/>
    <cellStyle name="Total 6 4 4" xfId="52878"/>
    <cellStyle name="Total 6 4 4 2" xfId="52879"/>
    <cellStyle name="Total 6 4 4 3" xfId="52880"/>
    <cellStyle name="Total 6 4 4 4" xfId="52881"/>
    <cellStyle name="Total 6 4 5" xfId="52882"/>
    <cellStyle name="Total 6 4 6" xfId="52883"/>
    <cellStyle name="Total 6 4 7" xfId="52884"/>
    <cellStyle name="Total 6 4 8" xfId="52885"/>
    <cellStyle name="Total 6 5" xfId="52886"/>
    <cellStyle name="Total 6 5 2" xfId="52887"/>
    <cellStyle name="Total 6 5 2 2" xfId="52888"/>
    <cellStyle name="Total 6 5 2 3" xfId="52889"/>
    <cellStyle name="Total 6 5 2 4" xfId="52890"/>
    <cellStyle name="Total 6 5 3" xfId="52891"/>
    <cellStyle name="Total 6 5 3 2" xfId="52892"/>
    <cellStyle name="Total 6 5 3 3" xfId="52893"/>
    <cellStyle name="Total 6 5 3 4" xfId="52894"/>
    <cellStyle name="Total 6 5 4" xfId="52895"/>
    <cellStyle name="Total 6 5 4 2" xfId="52896"/>
    <cellStyle name="Total 6 5 4 3" xfId="52897"/>
    <cellStyle name="Total 6 5 4 4" xfId="52898"/>
    <cellStyle name="Total 6 5 5" xfId="52899"/>
    <cellStyle name="Total 6 5 6" xfId="52900"/>
    <cellStyle name="Total 6 5 7" xfId="52901"/>
    <cellStyle name="Total 6 5 8" xfId="52902"/>
    <cellStyle name="Total 6 6" xfId="52903"/>
    <cellStyle name="Total 6 6 2" xfId="52904"/>
    <cellStyle name="Total 6 6 2 2" xfId="52905"/>
    <cellStyle name="Total 6 6 2 3" xfId="52906"/>
    <cellStyle name="Total 6 6 2 4" xfId="52907"/>
    <cellStyle name="Total 6 6 3" xfId="52908"/>
    <cellStyle name="Total 6 6 3 2" xfId="52909"/>
    <cellStyle name="Total 6 6 3 3" xfId="52910"/>
    <cellStyle name="Total 6 6 3 4" xfId="52911"/>
    <cellStyle name="Total 6 6 4" xfId="52912"/>
    <cellStyle name="Total 6 6 4 2" xfId="52913"/>
    <cellStyle name="Total 6 6 4 3" xfId="52914"/>
    <cellStyle name="Total 6 6 4 4" xfId="52915"/>
    <cellStyle name="Total 6 6 5" xfId="52916"/>
    <cellStyle name="Total 6 6 6" xfId="52917"/>
    <cellStyle name="Total 6 6 7" xfId="52918"/>
    <cellStyle name="Total 6 6 8" xfId="52919"/>
    <cellStyle name="Total 6 7" xfId="52920"/>
    <cellStyle name="Total 6 7 2" xfId="52921"/>
    <cellStyle name="Total 6 7 2 2" xfId="52922"/>
    <cellStyle name="Total 6 7 2 3" xfId="52923"/>
    <cellStyle name="Total 6 7 2 4" xfId="52924"/>
    <cellStyle name="Total 6 7 3" xfId="52925"/>
    <cellStyle name="Total 6 7 3 2" xfId="52926"/>
    <cellStyle name="Total 6 7 3 3" xfId="52927"/>
    <cellStyle name="Total 6 7 3 4" xfId="52928"/>
    <cellStyle name="Total 6 7 4" xfId="52929"/>
    <cellStyle name="Total 6 7 4 2" xfId="52930"/>
    <cellStyle name="Total 6 7 4 3" xfId="52931"/>
    <cellStyle name="Total 6 7 4 4" xfId="52932"/>
    <cellStyle name="Total 6 7 5" xfId="52933"/>
    <cellStyle name="Total 6 7 6" xfId="52934"/>
    <cellStyle name="Total 6 7 7" xfId="52935"/>
    <cellStyle name="Total 6 7 8" xfId="52936"/>
    <cellStyle name="Total 6 8" xfId="52937"/>
    <cellStyle name="Total 6 8 2" xfId="52938"/>
    <cellStyle name="Total 6 8 3" xfId="52939"/>
    <cellStyle name="Total 6 8 4" xfId="52940"/>
    <cellStyle name="Total 6 9" xfId="52941"/>
    <cellStyle name="Total 6 9 2" xfId="52942"/>
    <cellStyle name="Total 6 9 3" xfId="52943"/>
    <cellStyle name="Total 6 9 4" xfId="52944"/>
    <cellStyle name="TotalAgglo'" xfId="53990"/>
    <cellStyle name="TotalAgglo' 2" xfId="53991"/>
    <cellStyle name="TotalAggloCentre'" xfId="53992"/>
    <cellStyle name="TotalAggloCentre' 2" xfId="53993"/>
    <cellStyle name="TotalAggloCentreBlanc" xfId="53994"/>
    <cellStyle name="TotalAggloCentreBlanc 2" xfId="53995"/>
    <cellStyle name="TotalAggloGauche'" xfId="53996"/>
    <cellStyle name="TotalAggloGauche' 2" xfId="53997"/>
    <cellStyle name="TotalBordGras" xfId="53998"/>
    <cellStyle name="TotalBordHaut" xfId="53999"/>
    <cellStyle name="TotalBordHaut 2" xfId="54000"/>
    <cellStyle name="TotalCentre" xfId="54001"/>
    <cellStyle name="TotalCentre 2" xfId="54002"/>
    <cellStyle name="TotalGras" xfId="54003"/>
    <cellStyle name="TotalGras 2" xfId="54004"/>
    <cellStyle name="TotalMag" xfId="54005"/>
    <cellStyle name="TotalMag 2" xfId="54006"/>
    <cellStyle name="TotalMag 3" xfId="54007"/>
    <cellStyle name="TotalParme" xfId="54008"/>
    <cellStyle name="TotalParme 2" xfId="54009"/>
    <cellStyle name="TotalPourcent" xfId="54010"/>
    <cellStyle name="TotalPourcent 2" xfId="54011"/>
    <cellStyle name="TotalPourcentGris" xfId="54012"/>
    <cellStyle name="TotalPourcentGris 2" xfId="54013"/>
    <cellStyle name="TotalRecapFraisGauche" xfId="54014"/>
    <cellStyle name="TotalRecapFraisGauche 2" xfId="54015"/>
    <cellStyle name="TotalRecapFraisGauche 3" xfId="54016"/>
    <cellStyle name="TotalRecapPreTotal" xfId="54017"/>
    <cellStyle name="TotalRecapPreTotal 2" xfId="54018"/>
    <cellStyle name="TotalRecapPreTotal 3" xfId="54019"/>
    <cellStyle name="TotalRecapPreTotalCentre" xfId="54020"/>
    <cellStyle name="TotalRecapPreTotalCentre 2" xfId="54021"/>
    <cellStyle name="TotalRecapPreTotalCentre 3" xfId="54022"/>
    <cellStyle name="TotalRecapTotalNet" xfId="54023"/>
    <cellStyle name="TotalRecapTotalNet 2" xfId="54024"/>
    <cellStyle name="TotalRegionPreTotal" xfId="54025"/>
    <cellStyle name="TotalRegionPreTotal 2" xfId="54026"/>
    <cellStyle name="TotalRegionPreTotal 3" xfId="54027"/>
    <cellStyle name="TotalVilles" xfId="54028"/>
    <cellStyle name="TotalVilles 2" xfId="54029"/>
    <cellStyle name="TotalVillesCentre" xfId="54030"/>
    <cellStyle name="TotalVillesCentre 2" xfId="54031"/>
    <cellStyle name="TotalVillesCentreBlanc" xfId="54032"/>
    <cellStyle name="TotalVillesCentreBlanc 2" xfId="54033"/>
    <cellStyle name="TotalVillesGauche" xfId="54034"/>
    <cellStyle name="TotalVillesGauche 2" xfId="54035"/>
    <cellStyle name="TotalZonePreTotal" xfId="54036"/>
    <cellStyle name="TotalZonePreTotal 2" xfId="54037"/>
    <cellStyle name="TotalZonePreTotal 3" xfId="54038"/>
    <cellStyle name="Tusental (0)_BA value" xfId="52945"/>
    <cellStyle name="Tytuł" xfId="54039"/>
    <cellStyle name="Überschrift" xfId="52946"/>
    <cellStyle name="Überschrift 1" xfId="52947"/>
    <cellStyle name="Überschrift 2" xfId="52948"/>
    <cellStyle name="Überschrift 3" xfId="52949"/>
    <cellStyle name="Überschrift 3 2" xfId="52950"/>
    <cellStyle name="Überschrift 3 2 2" xfId="52951"/>
    <cellStyle name="Überschrift 3 2 2 2" xfId="52952"/>
    <cellStyle name="Überschrift 3 2 2 3" xfId="52953"/>
    <cellStyle name="Überschrift 3 2 2 4" xfId="52954"/>
    <cellStyle name="Überschrift 3 2 3" xfId="52955"/>
    <cellStyle name="Überschrift 3 2 4" xfId="52956"/>
    <cellStyle name="Überschrift 3 2 5" xfId="52957"/>
    <cellStyle name="Überschrift 3 3" xfId="52958"/>
    <cellStyle name="Überschrift 3 3 2" xfId="52959"/>
    <cellStyle name="Überschrift 3 3 3" xfId="52960"/>
    <cellStyle name="Überschrift 3 3 4" xfId="52961"/>
    <cellStyle name="Überschrift 3 4" xfId="52962"/>
    <cellStyle name="Überschrift 3 4 2" xfId="52963"/>
    <cellStyle name="Überschrift 3 4 3" xfId="52964"/>
    <cellStyle name="Überschrift 3 4 4" xfId="52965"/>
    <cellStyle name="Überschrift 3 5" xfId="52966"/>
    <cellStyle name="Überschrift 3 6" xfId="52967"/>
    <cellStyle name="Überschrift 3 7" xfId="52968"/>
    <cellStyle name="Überschrift 4" xfId="52969"/>
    <cellStyle name="Ugyldig" xfId="54040"/>
    <cellStyle name="Uwaga" xfId="54041"/>
    <cellStyle name="Uwaga 2" xfId="54042"/>
    <cellStyle name="Valuta (0)_BA value" xfId="52970"/>
    <cellStyle name="Valuta_CAL-GARA" xfId="54043"/>
    <cellStyle name="Vérification" xfId="54044"/>
    <cellStyle name="Vérification 2" xfId="54045"/>
    <cellStyle name="Verknüpfte Zelle" xfId="52971"/>
    <cellStyle name="Vide" xfId="54046"/>
    <cellStyle name="Vide 2" xfId="54047"/>
    <cellStyle name="Vide 3" xfId="54048"/>
    <cellStyle name="VideBarres" xfId="54049"/>
    <cellStyle name="VideBarres 2" xfId="54050"/>
    <cellStyle name="VideBarres 3" xfId="54051"/>
    <cellStyle name="Währung [0]_Germany" xfId="43"/>
    <cellStyle name="Währung 2" xfId="54052"/>
    <cellStyle name="Währung 2 2" xfId="54053"/>
    <cellStyle name="Währung 3" xfId="54054"/>
    <cellStyle name="Währung_Advertising Plan &amp; Fact Sheet_01-07-08" xfId="52972"/>
    <cellStyle name="Warnender Text" xfId="52973"/>
    <cellStyle name="Warning Text" xfId="52974"/>
    <cellStyle name="Warning Text 2" xfId="52975"/>
    <cellStyle name="Warning Text 3" xfId="52976"/>
    <cellStyle name="Warning Text_Plan Campaña Día de la Madre 2010 - v2" xfId="52977"/>
    <cellStyle name="Zelle überprüfen" xfId="52978"/>
    <cellStyle name="Złe" xfId="54055"/>
    <cellStyle name="ZoneBandeau" xfId="54056"/>
    <cellStyle name="ZoneBandeau 2" xfId="54057"/>
    <cellStyle name="千位[0]_laroux" xfId="54058"/>
    <cellStyle name="千位_laroux" xfId="54059"/>
    <cellStyle name="千位分隔_AF Central China Print media plan 0510" xfId="54060"/>
    <cellStyle name="千分位[0]_Action   (2)uur" xfId="54061"/>
    <cellStyle name="千分位_Action   (2))2)" xfId="54062"/>
    <cellStyle name="好" xfId="54063"/>
    <cellStyle name="差" xfId="54064"/>
    <cellStyle name="常规_(A增加市场明细东风雪铁龙.xsl" xfId="54065"/>
    <cellStyle name="强调文字颜色 1" xfId="54066"/>
    <cellStyle name="强调文字颜色 2" xfId="54067"/>
    <cellStyle name="强调文字颜色 3" xfId="54068"/>
    <cellStyle name="强调文字颜色 4" xfId="54069"/>
    <cellStyle name="强调文字颜色 5" xfId="54070"/>
    <cellStyle name="强调文字颜色 6" xfId="54071"/>
    <cellStyle name="普通_4City" xfId="54072"/>
    <cellStyle name="标题" xfId="54073"/>
    <cellStyle name="标题 1" xfId="54074"/>
    <cellStyle name="标题 2" xfId="54075"/>
    <cellStyle name="标题 3" xfId="54076"/>
    <cellStyle name="标题 3 2" xfId="54077"/>
    <cellStyle name="标题 3 2 2" xfId="54078"/>
    <cellStyle name="标题 3 2 2 2" xfId="54079"/>
    <cellStyle name="标题 3 2 2 3" xfId="54080"/>
    <cellStyle name="标题 3 2 2 4" xfId="54081"/>
    <cellStyle name="标题 3 2 3" xfId="54082"/>
    <cellStyle name="标题 3 2 4" xfId="54083"/>
    <cellStyle name="标题 3 2 5" xfId="54084"/>
    <cellStyle name="标题 3 2 6" xfId="54085"/>
    <cellStyle name="标题 3 2 7" xfId="54086"/>
    <cellStyle name="标题 3 3" xfId="54087"/>
    <cellStyle name="标题 3 3 2" xfId="54088"/>
    <cellStyle name="标题 3 3 2 2" xfId="54089"/>
    <cellStyle name="标题 3 3 2 3" xfId="54090"/>
    <cellStyle name="标题 3 3 2 4" xfId="54091"/>
    <cellStyle name="标题 3 3 3" xfId="54092"/>
    <cellStyle name="标题 3 3 4" xfId="54093"/>
    <cellStyle name="标题 3 3 5" xfId="54094"/>
    <cellStyle name="标题 3 3 6" xfId="54095"/>
    <cellStyle name="标题 3 3 7" xfId="54096"/>
    <cellStyle name="标题 3 4" xfId="54097"/>
    <cellStyle name="标题 3 4 2" xfId="54098"/>
    <cellStyle name="标题 3 4 3" xfId="54099"/>
    <cellStyle name="标题 3 4 4" xfId="54100"/>
    <cellStyle name="标题 3 4 5" xfId="54101"/>
    <cellStyle name="标题 3 5" xfId="54102"/>
    <cellStyle name="标题 3 5 2" xfId="54103"/>
    <cellStyle name="标题 3 5 3" xfId="54104"/>
    <cellStyle name="标题 3 5 4" xfId="54105"/>
    <cellStyle name="标题 3 6" xfId="54106"/>
    <cellStyle name="标题 3 6 2" xfId="54107"/>
    <cellStyle name="标题 3 6 3" xfId="54108"/>
    <cellStyle name="标题 3 6 4" xfId="54109"/>
    <cellStyle name="标题 3 7" xfId="54110"/>
    <cellStyle name="标题 3 7 2" xfId="54111"/>
    <cellStyle name="标题 3 7 3" xfId="54112"/>
    <cellStyle name="标题 3 7 4" xfId="54113"/>
    <cellStyle name="标题 3 8" xfId="54114"/>
    <cellStyle name="标题 3 9" xfId="54115"/>
    <cellStyle name="标题 4" xfId="54116"/>
    <cellStyle name="桁区切り_IcentivepenaltyJapan15032003" xfId="54117"/>
    <cellStyle name="检查单元格" xfId="54118"/>
    <cellStyle name="標準_Contract appendices 2003 - revised PJ" xfId="54119"/>
    <cellStyle name="汇总" xfId="54120"/>
    <cellStyle name="汇总 2" xfId="54121"/>
    <cellStyle name="注释" xfId="54122"/>
    <cellStyle name="注释 2" xfId="54123"/>
    <cellStyle name="解释性文本" xfId="54124"/>
    <cellStyle name="警告文本" xfId="54125"/>
    <cellStyle name="计算" xfId="54126"/>
    <cellStyle name="计算 2" xfId="54127"/>
    <cellStyle name="输入" xfId="54128"/>
    <cellStyle name="输入 2" xfId="54129"/>
    <cellStyle name="输出" xfId="54130"/>
    <cellStyle name="输出 2" xfId="54131"/>
    <cellStyle name="适中" xfId="54132"/>
    <cellStyle name="链接单元格" xfId="54133"/>
  </cellStyles>
  <dxfs count="219">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theme="0"/>
      </font>
      <fill>
        <patternFill>
          <fgColor indexed="64"/>
          <bgColor theme="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99FF"/>
      <color rgb="FF6600FF"/>
      <color rgb="FFCC66FF"/>
      <color rgb="FFCC0099"/>
      <color rgb="FF99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3" Type="http://schemas.openxmlformats.org/officeDocument/2006/relationships/worksheet" Target="worksheets/sheet3.xml"/><Relationship Id="rId21" Type="http://schemas.openxmlformats.org/officeDocument/2006/relationships/externalLink" Target="externalLinks/externalLink5.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externalLink" Target="externalLinks/externalLink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externalLink" Target="externalLinks/externalLink1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externalLink" Target="externalLinks/externalLink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externalLink" Target="externalLinks/externalLink14.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433052</xdr:colOff>
      <xdr:row>1</xdr:row>
      <xdr:rowOff>241300</xdr:rowOff>
    </xdr:from>
    <xdr:to>
      <xdr:col>6</xdr:col>
      <xdr:colOff>825499</xdr:colOff>
      <xdr:row>8</xdr:row>
      <xdr:rowOff>116038</xdr:rowOff>
    </xdr:to>
    <xdr:pic>
      <xdr:nvPicPr>
        <xdr:cNvPr id="9" name="Picture 727">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r="61" b="9"/>
        <a:stretch>
          <a:fillRect/>
        </a:stretch>
      </xdr:blipFill>
      <xdr:spPr bwMode="auto">
        <a:xfrm>
          <a:off x="433052" y="495300"/>
          <a:ext cx="4932697" cy="3652988"/>
        </a:xfrm>
        <a:prstGeom prst="rect">
          <a:avLst/>
        </a:prstGeom>
        <a:ln>
          <a:noFill/>
        </a:ln>
        <a:effectLst>
          <a:outerShdw blurRad="190500" algn="tl" rotWithShape="0">
            <a:srgbClr val="000000">
              <a:alpha val="70000"/>
            </a:srgbClr>
          </a:outerShdw>
        </a:effectLst>
      </xdr:spPr>
    </xdr:pic>
    <xdr:clientData/>
  </xdr:twoCellAnchor>
  <xdr:twoCellAnchor>
    <xdr:from>
      <xdr:col>2</xdr:col>
      <xdr:colOff>316431</xdr:colOff>
      <xdr:row>4</xdr:row>
      <xdr:rowOff>665065</xdr:rowOff>
    </xdr:from>
    <xdr:to>
      <xdr:col>3</xdr:col>
      <xdr:colOff>297915</xdr:colOff>
      <xdr:row>5</xdr:row>
      <xdr:rowOff>439013</xdr:rowOff>
    </xdr:to>
    <xdr:sp macro="" textlink="">
      <xdr:nvSpPr>
        <xdr:cNvPr id="10" name="3 CuadroTexto">
          <a:extLst>
            <a:ext uri="{FF2B5EF4-FFF2-40B4-BE49-F238E27FC236}">
              <a16:creationId xmlns:a16="http://schemas.microsoft.com/office/drawing/2014/main" id="{00000000-0008-0000-0000-00000A000000}"/>
            </a:ext>
          </a:extLst>
        </xdr:cNvPr>
        <xdr:cNvSpPr txBox="1"/>
      </xdr:nvSpPr>
      <xdr:spPr>
        <a:xfrm>
          <a:off x="967306" y="1712815"/>
          <a:ext cx="949859" cy="520073"/>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r>
            <a:rPr lang="es-ES" sz="1100" b="1">
              <a:latin typeface="+mn-lt"/>
            </a:rPr>
            <a:t>PLAN PRESTIGE</a:t>
          </a:r>
        </a:p>
        <a:p>
          <a:r>
            <a:rPr lang="es-ES" sz="1100" b="1">
              <a:latin typeface="+mn-lt"/>
            </a:rPr>
            <a:t>2016</a:t>
          </a:r>
        </a:p>
      </xdr:txBody>
    </xdr:sp>
    <xdr:clientData/>
  </xdr:twoCellAnchor>
  <xdr:twoCellAnchor>
    <xdr:from>
      <xdr:col>5</xdr:col>
      <xdr:colOff>219154</xdr:colOff>
      <xdr:row>6</xdr:row>
      <xdr:rowOff>191747</xdr:rowOff>
    </xdr:from>
    <xdr:to>
      <xdr:col>6</xdr:col>
      <xdr:colOff>473075</xdr:colOff>
      <xdr:row>7</xdr:row>
      <xdr:rowOff>41275</xdr:rowOff>
    </xdr:to>
    <xdr:pic>
      <xdr:nvPicPr>
        <xdr:cNvPr id="11" name="Picture 1">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3918029" y="2731747"/>
          <a:ext cx="1095296" cy="595653"/>
        </a:xfrm>
        <a:prstGeom prst="rect">
          <a:avLst/>
        </a:prstGeom>
        <a:noFill/>
        <a:ln w="9525">
          <a:noFill/>
          <a:miter lim="800000"/>
          <a:headEnd/>
          <a:tailEnd/>
        </a:ln>
      </xdr:spPr>
    </xdr:pic>
    <xdr:clientData/>
  </xdr:twoCellAnchor>
  <xdr:oneCellAnchor>
    <xdr:from>
      <xdr:col>2</xdr:col>
      <xdr:colOff>36871</xdr:colOff>
      <xdr:row>6</xdr:row>
      <xdr:rowOff>561072</xdr:rowOff>
    </xdr:from>
    <xdr:ext cx="1445854" cy="374077"/>
    <xdr:sp macro="" textlink="">
      <xdr:nvSpPr>
        <xdr:cNvPr id="12" name="4 CuadroTexto">
          <a:extLst>
            <a:ext uri="{FF2B5EF4-FFF2-40B4-BE49-F238E27FC236}">
              <a16:creationId xmlns:a16="http://schemas.microsoft.com/office/drawing/2014/main" id="{00000000-0008-0000-0000-00000C000000}"/>
            </a:ext>
          </a:extLst>
        </xdr:cNvPr>
        <xdr:cNvSpPr txBox="1"/>
      </xdr:nvSpPr>
      <xdr:spPr>
        <a:xfrm>
          <a:off x="687746" y="3101072"/>
          <a:ext cx="1445854" cy="37407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CL" sz="900">
              <a:solidFill>
                <a:schemeClr val="tx1">
                  <a:lumMod val="50000"/>
                  <a:lumOff val="50000"/>
                </a:schemeClr>
              </a:solidFill>
              <a:latin typeface="+mn-lt"/>
            </a:rPr>
            <a:t>Versión 12</a:t>
          </a:r>
        </a:p>
        <a:p>
          <a:r>
            <a:rPr lang="es-CL" sz="900">
              <a:solidFill>
                <a:schemeClr val="tx1">
                  <a:lumMod val="50000"/>
                  <a:lumOff val="50000"/>
                </a:schemeClr>
              </a:solidFill>
              <a:latin typeface="+mn-lt"/>
            </a:rPr>
            <a:t>20 de Noviembre</a:t>
          </a:r>
          <a:r>
            <a:rPr lang="es-CL" sz="900" baseline="0">
              <a:solidFill>
                <a:schemeClr val="tx1">
                  <a:lumMod val="50000"/>
                  <a:lumOff val="50000"/>
                </a:schemeClr>
              </a:solidFill>
              <a:latin typeface="+mn-lt"/>
            </a:rPr>
            <a:t> 2016</a:t>
          </a:r>
          <a:endParaRPr lang="es-CL" sz="900">
            <a:solidFill>
              <a:schemeClr val="tx1">
                <a:lumMod val="50000"/>
                <a:lumOff val="50000"/>
              </a:schemeClr>
            </a:solidFill>
            <a:latin typeface="+mn-lt"/>
          </a:endParaRPr>
        </a:p>
      </xdr:txBody>
    </xdr:sp>
    <xdr:clientData/>
  </xdr:oneCellAnchor>
  <xdr:twoCellAnchor>
    <xdr:from>
      <xdr:col>2</xdr:col>
      <xdr:colOff>135053</xdr:colOff>
      <xdr:row>4</xdr:row>
      <xdr:rowOff>712872</xdr:rowOff>
    </xdr:from>
    <xdr:to>
      <xdr:col>2</xdr:col>
      <xdr:colOff>292100</xdr:colOff>
      <xdr:row>5</xdr:row>
      <xdr:rowOff>330200</xdr:rowOff>
    </xdr:to>
    <xdr:grpSp>
      <xdr:nvGrpSpPr>
        <xdr:cNvPr id="13" name="2 Grupo">
          <a:extLst>
            <a:ext uri="{FF2B5EF4-FFF2-40B4-BE49-F238E27FC236}">
              <a16:creationId xmlns:a16="http://schemas.microsoft.com/office/drawing/2014/main" id="{00000000-0008-0000-0000-00000D000000}"/>
            </a:ext>
          </a:extLst>
        </xdr:cNvPr>
        <xdr:cNvGrpSpPr/>
      </xdr:nvGrpSpPr>
      <xdr:grpSpPr>
        <a:xfrm>
          <a:off x="792278" y="1741572"/>
          <a:ext cx="157047" cy="369803"/>
          <a:chOff x="1524000" y="666750"/>
          <a:chExt cx="190500" cy="628649"/>
        </a:xfrm>
        <a:solidFill>
          <a:srgbClr val="DC002E"/>
        </a:solidFill>
      </xdr:grpSpPr>
      <xdr:sp macro="" textlink="">
        <xdr:nvSpPr>
          <xdr:cNvPr id="14" name="6 Rectángulo">
            <a:extLst>
              <a:ext uri="{FF2B5EF4-FFF2-40B4-BE49-F238E27FC236}">
                <a16:creationId xmlns:a16="http://schemas.microsoft.com/office/drawing/2014/main" id="{00000000-0008-0000-0000-00000E000000}"/>
              </a:ext>
            </a:extLst>
          </xdr:cNvPr>
          <xdr:cNvSpPr/>
        </xdr:nvSpPr>
        <xdr:spPr>
          <a:xfrm>
            <a:off x="1409513" y="666000"/>
            <a:ext cx="190500" cy="317312"/>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s-CL"/>
          </a:p>
        </xdr:txBody>
      </xdr:sp>
      <xdr:sp macro="" textlink="">
        <xdr:nvSpPr>
          <xdr:cNvPr id="15" name="7 Rectángulo">
            <a:extLst>
              <a:ext uri="{FF2B5EF4-FFF2-40B4-BE49-F238E27FC236}">
                <a16:creationId xmlns:a16="http://schemas.microsoft.com/office/drawing/2014/main" id="{00000000-0008-0000-0000-00000F000000}"/>
              </a:ext>
            </a:extLst>
          </xdr:cNvPr>
          <xdr:cNvSpPr/>
        </xdr:nvSpPr>
        <xdr:spPr>
          <a:xfrm>
            <a:off x="1409513" y="1034082"/>
            <a:ext cx="190500" cy="266542"/>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s-CL"/>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57150</xdr:colOff>
      <xdr:row>8</xdr:row>
      <xdr:rowOff>114300</xdr:rowOff>
    </xdr:from>
    <xdr:to>
      <xdr:col>9</xdr:col>
      <xdr:colOff>409575</xdr:colOff>
      <xdr:row>24</xdr:row>
      <xdr:rowOff>104775</xdr:rowOff>
    </xdr:to>
    <xdr:pic>
      <xdr:nvPicPr>
        <xdr:cNvPr id="47117" name="Picture 1">
          <a:extLst>
            <a:ext uri="{FF2B5EF4-FFF2-40B4-BE49-F238E27FC236}">
              <a16:creationId xmlns:a16="http://schemas.microsoft.com/office/drawing/2014/main" id="{00000000-0008-0000-0100-00000DB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65364" y="1420586"/>
          <a:ext cx="6448425" cy="2603046"/>
        </a:xfrm>
        <a:prstGeom prst="rect">
          <a:avLst/>
        </a:prstGeom>
        <a:noFill/>
        <a:ln w="9525">
          <a:noFill/>
          <a:miter lim="800000"/>
          <a:headEnd/>
          <a:tailEnd/>
        </a:ln>
      </xdr:spPr>
    </xdr:pic>
    <xdr:clientData/>
  </xdr:twoCellAnchor>
  <xdr:twoCellAnchor editAs="oneCell">
    <xdr:from>
      <xdr:col>1</xdr:col>
      <xdr:colOff>186418</xdr:colOff>
      <xdr:row>2</xdr:row>
      <xdr:rowOff>6804</xdr:rowOff>
    </xdr:from>
    <xdr:to>
      <xdr:col>3</xdr:col>
      <xdr:colOff>253093</xdr:colOff>
      <xdr:row>6</xdr:row>
      <xdr:rowOff>122464</xdr:rowOff>
    </xdr:to>
    <xdr:pic>
      <xdr:nvPicPr>
        <xdr:cNvPr id="47118" name="Picture 1730">
          <a:extLst>
            <a:ext uri="{FF2B5EF4-FFF2-40B4-BE49-F238E27FC236}">
              <a16:creationId xmlns:a16="http://schemas.microsoft.com/office/drawing/2014/main" id="{00000000-0008-0000-0100-00000EB80000}"/>
            </a:ext>
          </a:extLst>
        </xdr:cNvPr>
        <xdr:cNvPicPr>
          <a:picLocks noChangeAspect="1" noChangeArrowheads="1"/>
        </xdr:cNvPicPr>
      </xdr:nvPicPr>
      <xdr:blipFill>
        <a:blip xmlns:r="http://schemas.openxmlformats.org/officeDocument/2006/relationships" r:embed="rId2"/>
        <a:srcRect r="-6" b="-397"/>
        <a:stretch>
          <a:fillRect/>
        </a:stretch>
      </xdr:blipFill>
      <xdr:spPr bwMode="auto">
        <a:xfrm>
          <a:off x="594632" y="333375"/>
          <a:ext cx="1590675" cy="768803"/>
        </a:xfrm>
        <a:prstGeom prst="rect">
          <a:avLst/>
        </a:prstGeom>
        <a:noFill/>
        <a:ln w="1">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0</xdr:colOff>
      <xdr:row>33</xdr:row>
      <xdr:rowOff>0</xdr:rowOff>
    </xdr:from>
    <xdr:to>
      <xdr:col>8</xdr:col>
      <xdr:colOff>475552</xdr:colOff>
      <xdr:row>39</xdr:row>
      <xdr:rowOff>114179</xdr:rowOff>
    </xdr:to>
    <xdr:pic>
      <xdr:nvPicPr>
        <xdr:cNvPr id="2" name="1 Imagen">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152900" y="6419850"/>
          <a:ext cx="5590477" cy="97142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104775</xdr:colOff>
          <xdr:row>6</xdr:row>
          <xdr:rowOff>152400</xdr:rowOff>
        </xdr:from>
        <xdr:to>
          <xdr:col>3</xdr:col>
          <xdr:colOff>581025</xdr:colOff>
          <xdr:row>10</xdr:row>
          <xdr:rowOff>76200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500-0000012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1000" b="0" i="0" u="none" strike="noStrike" baseline="0">
                  <a:solidFill>
                    <a:srgbClr val="000000"/>
                  </a:solidFill>
                  <a:latin typeface="Arial"/>
                  <a:cs typeface="Arial"/>
                </a:rPr>
                <a:t>Cargar Archivo Havas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152400</xdr:rowOff>
        </xdr:from>
        <xdr:to>
          <xdr:col>5</xdr:col>
          <xdr:colOff>733425</xdr:colOff>
          <xdr:row>10</xdr:row>
          <xdr:rowOff>95250</xdr:rowOff>
        </xdr:to>
        <xdr:sp macro="" textlink="">
          <xdr:nvSpPr>
            <xdr:cNvPr id="204802" name="Button 2" hidden="1">
              <a:extLst>
                <a:ext uri="{63B3BB69-23CF-44E3-9099-C40C66FF867C}">
                  <a14:compatExt spid="_x0000_s204802"/>
                </a:ext>
                <a:ext uri="{FF2B5EF4-FFF2-40B4-BE49-F238E27FC236}">
                  <a16:creationId xmlns:a16="http://schemas.microsoft.com/office/drawing/2014/main" id="{00000000-0008-0000-0500-0000022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1000" b="0" i="0" u="none" strike="noStrike" baseline="0">
                  <a:solidFill>
                    <a:srgbClr val="000000"/>
                  </a:solidFill>
                  <a:latin typeface="Arial"/>
                  <a:cs typeface="Arial"/>
                </a:rPr>
                <a:t>Cargar Archivo Externo</a:t>
              </a:r>
            </a:p>
          </xdr:txBody>
        </xdr:sp>
        <xdr:clientData fPrintsWithSheet="0"/>
      </xdr:twoCellAnchor>
    </mc:Choice>
    <mc:Fallback/>
  </mc:AlternateContent>
  <xdr:oneCellAnchor>
    <xdr:from>
      <xdr:col>2</xdr:col>
      <xdr:colOff>657225</xdr:colOff>
      <xdr:row>4</xdr:row>
      <xdr:rowOff>57150</xdr:rowOff>
    </xdr:from>
    <xdr:ext cx="2552700" cy="374141"/>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1657350" y="485775"/>
          <a:ext cx="255270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MX" sz="1800" u="sng"/>
            <a:t>Cargar</a:t>
          </a:r>
          <a:r>
            <a:rPr lang="es-MX" sz="1800" u="sng" baseline="0"/>
            <a:t> Campaña</a:t>
          </a:r>
          <a:endParaRPr lang="es-MX" sz="1800" u="sng"/>
        </a:p>
      </xdr:txBody>
    </xdr:sp>
    <xdr:clientData/>
  </xdr:oneCellAnchor>
  <mc:AlternateContent xmlns:mc="http://schemas.openxmlformats.org/markup-compatibility/2006">
    <mc:Choice xmlns:a14="http://schemas.microsoft.com/office/drawing/2010/main" Requires="a14">
      <xdr:twoCellAnchor editAs="oneCell">
        <xdr:from>
          <xdr:col>3</xdr:col>
          <xdr:colOff>19050</xdr:colOff>
          <xdr:row>15</xdr:row>
          <xdr:rowOff>76200</xdr:rowOff>
        </xdr:from>
        <xdr:to>
          <xdr:col>4</xdr:col>
          <xdr:colOff>723900</xdr:colOff>
          <xdr:row>20</xdr:row>
          <xdr:rowOff>9525</xdr:rowOff>
        </xdr:to>
        <xdr:sp macro="" textlink="">
          <xdr:nvSpPr>
            <xdr:cNvPr id="204803" name="Button 3" hidden="1">
              <a:extLst>
                <a:ext uri="{63B3BB69-23CF-44E3-9099-C40C66FF867C}">
                  <a14:compatExt spid="_x0000_s204803"/>
                </a:ext>
                <a:ext uri="{FF2B5EF4-FFF2-40B4-BE49-F238E27FC236}">
                  <a16:creationId xmlns:a16="http://schemas.microsoft.com/office/drawing/2014/main" id="{00000000-0008-0000-0500-0000032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1000" b="0" i="0" u="none" strike="noStrike" baseline="0">
                  <a:solidFill>
                    <a:srgbClr val="000000"/>
                  </a:solidFill>
                  <a:latin typeface="Arial"/>
                  <a:cs typeface="Arial"/>
                </a:rPr>
                <a:t>Generar o Actualizar Distribucion de Presupuestos</a:t>
              </a:r>
            </a:p>
          </xdr:txBody>
        </xdr:sp>
        <xdr:clientData fPrintsWithSheet="0"/>
      </xdr:twoCellAnchor>
    </mc:Choice>
    <mc:Fallback/>
  </mc:AlternateContent>
  <xdr:oneCellAnchor>
    <xdr:from>
      <xdr:col>2</xdr:col>
      <xdr:colOff>128058</xdr:colOff>
      <xdr:row>12</xdr:row>
      <xdr:rowOff>93134</xdr:rowOff>
    </xdr:from>
    <xdr:ext cx="3149935" cy="374141"/>
    <xdr:sp macro="" textlink="">
      <xdr:nvSpPr>
        <xdr:cNvPr id="6" name="CuadroTexto 5">
          <a:extLst>
            <a:ext uri="{FF2B5EF4-FFF2-40B4-BE49-F238E27FC236}">
              <a16:creationId xmlns:a16="http://schemas.microsoft.com/office/drawing/2014/main" id="{00000000-0008-0000-0500-000006000000}"/>
            </a:ext>
          </a:extLst>
        </xdr:cNvPr>
        <xdr:cNvSpPr txBox="1"/>
      </xdr:nvSpPr>
      <xdr:spPr>
        <a:xfrm>
          <a:off x="1133475" y="1955801"/>
          <a:ext cx="3149935"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MX" sz="1800" u="sng"/>
            <a:t>Distribucion de presupuestos</a:t>
          </a:r>
        </a:p>
      </xdr:txBody>
    </xdr:sp>
    <xdr:clientData/>
  </xdr:oneCellAnchor>
  <xdr:oneCellAnchor>
    <xdr:from>
      <xdr:col>3</xdr:col>
      <xdr:colOff>121709</xdr:colOff>
      <xdr:row>21</xdr:row>
      <xdr:rowOff>82550</xdr:rowOff>
    </xdr:from>
    <xdr:ext cx="1319698" cy="374141"/>
    <xdr:sp macro="" textlink="">
      <xdr:nvSpPr>
        <xdr:cNvPr id="7" name="CuadroTexto 6">
          <a:extLst>
            <a:ext uri="{FF2B5EF4-FFF2-40B4-BE49-F238E27FC236}">
              <a16:creationId xmlns:a16="http://schemas.microsoft.com/office/drawing/2014/main" id="{00000000-0008-0000-0500-000007000000}"/>
            </a:ext>
          </a:extLst>
        </xdr:cNvPr>
        <xdr:cNvSpPr txBox="1"/>
      </xdr:nvSpPr>
      <xdr:spPr>
        <a:xfrm>
          <a:off x="1889126" y="3373967"/>
          <a:ext cx="1319698"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MX" sz="1800" u="sng"/>
            <a:t>YTD 2017</a:t>
          </a:r>
        </a:p>
      </xdr:txBody>
    </xdr:sp>
    <xdr:clientData/>
  </xdr:oneCellAnchor>
  <mc:AlternateContent xmlns:mc="http://schemas.openxmlformats.org/markup-compatibility/2006">
    <mc:Choice xmlns:a14="http://schemas.microsoft.com/office/drawing/2010/main" Requires="a14">
      <xdr:twoCellAnchor editAs="oneCell">
        <xdr:from>
          <xdr:col>2</xdr:col>
          <xdr:colOff>762000</xdr:colOff>
          <xdr:row>24</xdr:row>
          <xdr:rowOff>9525</xdr:rowOff>
        </xdr:from>
        <xdr:to>
          <xdr:col>4</xdr:col>
          <xdr:colOff>609600</xdr:colOff>
          <xdr:row>27</xdr:row>
          <xdr:rowOff>76200</xdr:rowOff>
        </xdr:to>
        <xdr:sp macro="" textlink="">
          <xdr:nvSpPr>
            <xdr:cNvPr id="204804" name="Button 4" hidden="1">
              <a:extLst>
                <a:ext uri="{63B3BB69-23CF-44E3-9099-C40C66FF867C}">
                  <a14:compatExt spid="_x0000_s204804"/>
                </a:ext>
                <a:ext uri="{FF2B5EF4-FFF2-40B4-BE49-F238E27FC236}">
                  <a16:creationId xmlns:a16="http://schemas.microsoft.com/office/drawing/2014/main" id="{00000000-0008-0000-0500-0000042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1000" b="0" i="0" u="none" strike="noStrike" baseline="0">
                  <a:solidFill>
                    <a:srgbClr val="000000"/>
                  </a:solidFill>
                  <a:latin typeface="Arial"/>
                  <a:cs typeface="Arial"/>
                </a:rPr>
                <a:t>Generar o Actualizar YTD 2017</a:t>
              </a:r>
            </a:p>
          </xdr:txBody>
        </xdr:sp>
        <xdr:clientData fPrintsWithSheet="0"/>
      </xdr:twoCellAnchor>
    </mc:Choice>
    <mc:Fallback/>
  </mc:AlternateContent>
  <xdr:oneCellAnchor>
    <xdr:from>
      <xdr:col>2</xdr:col>
      <xdr:colOff>342899</xdr:colOff>
      <xdr:row>1</xdr:row>
      <xdr:rowOff>114300</xdr:rowOff>
    </xdr:from>
    <xdr:ext cx="2790825" cy="530658"/>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1343024" y="114300"/>
          <a:ext cx="2790825"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MX" sz="2800" b="1" u="none">
              <a:solidFill>
                <a:schemeClr val="bg1">
                  <a:lumMod val="50000"/>
                </a:schemeClr>
              </a:solidFill>
            </a:rPr>
            <a:t>Panel</a:t>
          </a:r>
          <a:r>
            <a:rPr lang="es-MX" sz="2800" b="1" u="none" baseline="0">
              <a:solidFill>
                <a:schemeClr val="bg1">
                  <a:lumMod val="50000"/>
                </a:schemeClr>
              </a:solidFill>
            </a:rPr>
            <a:t> de Control</a:t>
          </a:r>
          <a:endParaRPr lang="es-MX" sz="2800" b="1" u="none">
            <a:solidFill>
              <a:schemeClr val="bg1">
                <a:lumMod val="50000"/>
              </a:schemeClr>
            </a:solidFill>
          </a:endParaRPr>
        </a:p>
      </xdr:txBody>
    </xdr:sp>
    <xdr:clientData/>
  </xdr:oneCellAnchor>
  <xdr:oneCellAnchor>
    <xdr:from>
      <xdr:col>2</xdr:col>
      <xdr:colOff>195792</xdr:colOff>
      <xdr:row>29</xdr:row>
      <xdr:rowOff>50800</xdr:rowOff>
    </xdr:from>
    <xdr:ext cx="2743200" cy="374141"/>
    <xdr:sp macro="" textlink="">
      <xdr:nvSpPr>
        <xdr:cNvPr id="10" name="CuadroTexto 9">
          <a:extLst>
            <a:ext uri="{FF2B5EF4-FFF2-40B4-BE49-F238E27FC236}">
              <a16:creationId xmlns:a16="http://schemas.microsoft.com/office/drawing/2014/main" id="{00000000-0008-0000-0500-00000A000000}"/>
            </a:ext>
          </a:extLst>
        </xdr:cNvPr>
        <xdr:cNvSpPr txBox="1"/>
      </xdr:nvSpPr>
      <xdr:spPr>
        <a:xfrm>
          <a:off x="1201209" y="4612217"/>
          <a:ext cx="274320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MX" sz="1800" u="sng"/>
            <a:t>Generar</a:t>
          </a:r>
          <a:r>
            <a:rPr lang="es-MX" sz="1800" u="sng" baseline="0"/>
            <a:t> documento XLSX</a:t>
          </a:r>
          <a:endParaRPr lang="es-MX" sz="1800" u="sng"/>
        </a:p>
      </xdr:txBody>
    </xdr:sp>
    <xdr:clientData/>
  </xdr:oneCellAnchor>
  <mc:AlternateContent xmlns:mc="http://schemas.openxmlformats.org/markup-compatibility/2006">
    <mc:Choice xmlns:a14="http://schemas.microsoft.com/office/drawing/2010/main" Requires="a14">
      <xdr:twoCellAnchor editAs="oneCell">
        <xdr:from>
          <xdr:col>3</xdr:col>
          <xdr:colOff>104775</xdr:colOff>
          <xdr:row>32</xdr:row>
          <xdr:rowOff>9525</xdr:rowOff>
        </xdr:from>
        <xdr:to>
          <xdr:col>4</xdr:col>
          <xdr:colOff>561975</xdr:colOff>
          <xdr:row>36</xdr:row>
          <xdr:rowOff>123825</xdr:rowOff>
        </xdr:to>
        <xdr:sp macro="" textlink="">
          <xdr:nvSpPr>
            <xdr:cNvPr id="204805" name="Button 5" hidden="1">
              <a:extLst>
                <a:ext uri="{63B3BB69-23CF-44E3-9099-C40C66FF867C}">
                  <a14:compatExt spid="_x0000_s204805"/>
                </a:ext>
                <a:ext uri="{FF2B5EF4-FFF2-40B4-BE49-F238E27FC236}">
                  <a16:creationId xmlns:a16="http://schemas.microsoft.com/office/drawing/2014/main" id="{00000000-0008-0000-0500-0000052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1000" b="0" i="0" u="none" strike="noStrike" baseline="0">
                  <a:solidFill>
                    <a:srgbClr val="000000"/>
                  </a:solidFill>
                  <a:latin typeface="Arial"/>
                  <a:cs typeface="Arial"/>
                </a:rPr>
                <a:t>Generar archivo .xlsx</a:t>
              </a:r>
            </a:p>
          </xdr:txBody>
        </xdr:sp>
        <xdr:clientData fPrintsWithSheet="0"/>
      </xdr:twoCellAnchor>
    </mc:Choice>
    <mc:Fallback/>
  </mc:AlternateContent>
  <xdr:oneCellAnchor>
    <xdr:from>
      <xdr:col>7</xdr:col>
      <xdr:colOff>98424</xdr:colOff>
      <xdr:row>1</xdr:row>
      <xdr:rowOff>95249</xdr:rowOff>
    </xdr:from>
    <xdr:ext cx="9096375" cy="7218258"/>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5093757" y="253999"/>
          <a:ext cx="9096375" cy="7218258"/>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rtlCol="0" anchor="t">
          <a:spAutoFit/>
        </a:bodyPr>
        <a:lstStyle/>
        <a:p>
          <a:r>
            <a:rPr lang="es-MX" sz="1400" b="1" u="sng">
              <a:solidFill>
                <a:schemeClr val="tx1"/>
              </a:solidFill>
              <a:effectLst/>
              <a:latin typeface="Times New Roman" panose="02020603050405020304" pitchFamily="18" charset="0"/>
              <a:ea typeface="+mn-ea"/>
              <a:cs typeface="Times New Roman" panose="02020603050405020304" pitchFamily="18" charset="0"/>
            </a:rPr>
            <a:t>Instrucciones y Restricciones: </a:t>
          </a:r>
        </a:p>
        <a:p>
          <a:endParaRPr lang="es-MX" sz="1400">
            <a:solidFill>
              <a:schemeClr val="tx1"/>
            </a:solidFill>
            <a:effectLst/>
            <a:latin typeface="Times New Roman" panose="02020603050405020304" pitchFamily="18" charset="0"/>
            <a:ea typeface="+mn-ea"/>
            <a:cs typeface="Times New Roman" panose="02020603050405020304" pitchFamily="18" charset="0"/>
          </a:endParaRPr>
        </a:p>
        <a:p>
          <a:r>
            <a:rPr lang="es-MX" sz="1100">
              <a:solidFill>
                <a:schemeClr val="tx1"/>
              </a:solidFill>
              <a:effectLst/>
              <a:latin typeface="Times New Roman" panose="02020603050405020304" pitchFamily="18" charset="0"/>
              <a:ea typeface="+mn-ea"/>
              <a:cs typeface="Times New Roman" panose="02020603050405020304" pitchFamily="18" charset="0"/>
            </a:rPr>
            <a:t>1- Botón "Cargar Archivo Havas": Para ejecutar este procedimiento sin problemas, se debe escoger un archivo con formato Havas, </a:t>
          </a:r>
          <a:r>
            <a:rPr lang="es-MX" sz="1100" b="1">
              <a:solidFill>
                <a:srgbClr val="FF0000"/>
              </a:solidFill>
              <a:effectLst/>
              <a:latin typeface="Times New Roman" panose="02020603050405020304" pitchFamily="18" charset="0"/>
              <a:ea typeface="+mn-ea"/>
              <a:cs typeface="Times New Roman" panose="02020603050405020304" pitchFamily="18" charset="0"/>
            </a:rPr>
            <a:t>el archivo escogido no puede estar abierto previamente</a:t>
          </a:r>
          <a:r>
            <a:rPr lang="es-MX" sz="1100">
              <a:solidFill>
                <a:schemeClr val="tx1"/>
              </a:solidFill>
              <a:effectLst/>
              <a:latin typeface="Times New Roman" panose="02020603050405020304" pitchFamily="18" charset="0"/>
              <a:ea typeface="+mn-ea"/>
              <a:cs typeface="Times New Roman" panose="02020603050405020304" pitchFamily="18" charset="0"/>
            </a:rPr>
            <a:t>.</a:t>
          </a:r>
        </a:p>
        <a:p>
          <a:endParaRPr lang="es-MX" sz="1100">
            <a:solidFill>
              <a:schemeClr val="tx1"/>
            </a:solidFill>
            <a:effectLst/>
            <a:latin typeface="Times New Roman" panose="02020603050405020304" pitchFamily="18" charset="0"/>
            <a:ea typeface="+mn-ea"/>
            <a:cs typeface="Times New Roman" panose="02020603050405020304" pitchFamily="18" charset="0"/>
          </a:endParaRPr>
        </a:p>
        <a:p>
          <a:r>
            <a:rPr lang="es-MX" sz="1100">
              <a:solidFill>
                <a:schemeClr val="tx1"/>
              </a:solidFill>
              <a:effectLst/>
              <a:latin typeface="Times New Roman" panose="02020603050405020304" pitchFamily="18" charset="0"/>
              <a:ea typeface="+mn-ea"/>
              <a:cs typeface="Times New Roman" panose="02020603050405020304" pitchFamily="18" charset="0"/>
            </a:rPr>
            <a:t>2- Botón "Cargar Archivo Externo": Para ejecutar este procedimiento sin problemas, se debe escoger un archivo con formato Externo, </a:t>
          </a:r>
          <a:r>
            <a:rPr lang="es-MX" sz="1100" b="1">
              <a:solidFill>
                <a:srgbClr val="FF0000"/>
              </a:solidFill>
              <a:effectLst/>
              <a:latin typeface="Times New Roman" panose="02020603050405020304" pitchFamily="18" charset="0"/>
              <a:ea typeface="+mn-ea"/>
              <a:cs typeface="Times New Roman" panose="02020603050405020304" pitchFamily="18" charset="0"/>
            </a:rPr>
            <a:t>el archivo escogido no puede estar abierto previamente</a:t>
          </a:r>
          <a:r>
            <a:rPr lang="es-MX" sz="1100">
              <a:solidFill>
                <a:srgbClr val="FF0000"/>
              </a:solidFill>
              <a:effectLst/>
              <a:latin typeface="Times New Roman" panose="02020603050405020304" pitchFamily="18" charset="0"/>
              <a:ea typeface="+mn-ea"/>
              <a:cs typeface="Times New Roman" panose="02020603050405020304" pitchFamily="18" charset="0"/>
            </a:rPr>
            <a:t>.</a:t>
          </a:r>
        </a:p>
        <a:p>
          <a:endParaRPr lang="es-MX" sz="1100">
            <a:solidFill>
              <a:schemeClr val="tx1"/>
            </a:solidFill>
            <a:effectLst/>
            <a:latin typeface="Times New Roman" panose="02020603050405020304" pitchFamily="18" charset="0"/>
            <a:ea typeface="+mn-ea"/>
            <a:cs typeface="Times New Roman" panose="02020603050405020304" pitchFamily="18" charset="0"/>
          </a:endParaRPr>
        </a:p>
        <a:p>
          <a:r>
            <a:rPr lang="es-MX" sz="1100">
              <a:solidFill>
                <a:schemeClr val="tx1"/>
              </a:solidFill>
              <a:effectLst/>
              <a:latin typeface="Times New Roman" panose="02020603050405020304" pitchFamily="18" charset="0"/>
              <a:ea typeface="+mn-ea"/>
              <a:cs typeface="Times New Roman" panose="02020603050405020304" pitchFamily="18" charset="0"/>
            </a:rPr>
            <a:t>3- Botón "Generar o Actualizar Distribución de Presupuestos": Para un Buen funcionamiento de este procedimiento, se pide que se haya cargado previamente</a:t>
          </a:r>
          <a:r>
            <a:rPr lang="es-MX" sz="1100" baseline="0">
              <a:solidFill>
                <a:schemeClr val="tx1"/>
              </a:solidFill>
              <a:effectLst/>
              <a:latin typeface="Times New Roman" panose="02020603050405020304" pitchFamily="18" charset="0"/>
              <a:ea typeface="+mn-ea"/>
              <a:cs typeface="Times New Roman" panose="02020603050405020304" pitchFamily="18" charset="0"/>
            </a:rPr>
            <a:t> minimo un plan</a:t>
          </a:r>
          <a:r>
            <a:rPr lang="es-MX" sz="1100">
              <a:solidFill>
                <a:schemeClr val="tx1"/>
              </a:solidFill>
              <a:effectLst/>
              <a:latin typeface="Times New Roman" panose="02020603050405020304" pitchFamily="18" charset="0"/>
              <a:ea typeface="+mn-ea"/>
              <a:cs typeface="Times New Roman" panose="02020603050405020304" pitchFamily="18" charset="0"/>
            </a:rPr>
            <a:t>.</a:t>
          </a:r>
        </a:p>
        <a:p>
          <a:endParaRPr lang="es-MX" sz="1100">
            <a:solidFill>
              <a:schemeClr val="tx1"/>
            </a:solidFill>
            <a:effectLst/>
            <a:latin typeface="Times New Roman" panose="02020603050405020304" pitchFamily="18" charset="0"/>
            <a:ea typeface="+mn-ea"/>
            <a:cs typeface="Times New Roman" panose="02020603050405020304" pitchFamily="18" charset="0"/>
          </a:endParaRPr>
        </a:p>
        <a:p>
          <a:r>
            <a:rPr lang="es-MX" sz="1100">
              <a:solidFill>
                <a:schemeClr val="tx1"/>
              </a:solidFill>
              <a:effectLst/>
              <a:latin typeface="Times New Roman" panose="02020603050405020304" pitchFamily="18" charset="0"/>
              <a:ea typeface="+mn-ea"/>
              <a:cs typeface="Times New Roman" panose="02020603050405020304" pitchFamily="18" charset="0"/>
            </a:rPr>
            <a:t>4- Botón "Generar o Actualizar YTD 2017": Para un Buen funcionamiento de este procedimiento, se pide que se haya cargado previamente</a:t>
          </a:r>
          <a:r>
            <a:rPr lang="es-MX" sz="1100" baseline="0">
              <a:solidFill>
                <a:schemeClr val="tx1"/>
              </a:solidFill>
              <a:effectLst/>
              <a:latin typeface="Times New Roman" panose="02020603050405020304" pitchFamily="18" charset="0"/>
              <a:ea typeface="+mn-ea"/>
              <a:cs typeface="Times New Roman" panose="02020603050405020304" pitchFamily="18" charset="0"/>
            </a:rPr>
            <a:t> minimo un plan.</a:t>
          </a:r>
          <a:endParaRPr lang="es-MX" sz="1100">
            <a:solidFill>
              <a:schemeClr val="tx1"/>
            </a:solidFill>
            <a:effectLst/>
            <a:latin typeface="Times New Roman" panose="02020603050405020304" pitchFamily="18" charset="0"/>
            <a:ea typeface="+mn-ea"/>
            <a:cs typeface="Times New Roman" panose="02020603050405020304" pitchFamily="18" charset="0"/>
          </a:endParaRPr>
        </a:p>
        <a:p>
          <a:r>
            <a:rPr lang="es-MX" sz="1100">
              <a:solidFill>
                <a:schemeClr val="tx1"/>
              </a:solidFill>
              <a:effectLst/>
              <a:latin typeface="Times New Roman" panose="02020603050405020304" pitchFamily="18" charset="0"/>
              <a:ea typeface="+mn-ea"/>
              <a:cs typeface="Times New Roman" panose="02020603050405020304" pitchFamily="18" charset="0"/>
            </a:rPr>
            <a:t>5- Botón "Generar archivo .xlsx": Para Generar un documento Excel sin problemas, el documento generado previamente </a:t>
          </a:r>
          <a:r>
            <a:rPr lang="es-MX" sz="1100" b="1">
              <a:solidFill>
                <a:srgbClr val="FF0000"/>
              </a:solidFill>
              <a:effectLst/>
              <a:latin typeface="Times New Roman" panose="02020603050405020304" pitchFamily="18" charset="0"/>
              <a:ea typeface="+mn-ea"/>
              <a:cs typeface="Times New Roman" panose="02020603050405020304" pitchFamily="18" charset="0"/>
            </a:rPr>
            <a:t>no puede estar abierto </a:t>
          </a:r>
          <a:r>
            <a:rPr lang="es-MX" sz="1100">
              <a:solidFill>
                <a:schemeClr val="tx1"/>
              </a:solidFill>
              <a:effectLst/>
              <a:latin typeface="Times New Roman" panose="02020603050405020304" pitchFamily="18" charset="0"/>
              <a:ea typeface="+mn-ea"/>
              <a:cs typeface="Times New Roman" panose="02020603050405020304" pitchFamily="18" charset="0"/>
            </a:rPr>
            <a:t>o entregara un mensaje de error.</a:t>
          </a:r>
        </a:p>
        <a:p>
          <a:r>
            <a:rPr lang="es-MX" sz="1100">
              <a:solidFill>
                <a:schemeClr val="tx1"/>
              </a:solidFill>
              <a:effectLst/>
              <a:latin typeface="Times New Roman" panose="02020603050405020304" pitchFamily="18" charset="0"/>
              <a:ea typeface="+mn-ea"/>
              <a:cs typeface="Times New Roman" panose="02020603050405020304" pitchFamily="18" charset="0"/>
            </a:rPr>
            <a:t>Si al generar el documento el nombre no es cambiado, cuando se vuelva a generar el documento, este remplazara al anterior que tiene el mismo nombre.</a:t>
          </a:r>
        </a:p>
        <a:p>
          <a:r>
            <a:rPr lang="es-MX" sz="1100">
              <a:solidFill>
                <a:schemeClr val="tx1"/>
              </a:solidFill>
              <a:effectLst/>
              <a:latin typeface="Times New Roman" panose="02020603050405020304" pitchFamily="18" charset="0"/>
              <a:ea typeface="+mn-ea"/>
              <a:cs typeface="Times New Roman" panose="02020603050405020304" pitchFamily="18" charset="0"/>
            </a:rPr>
            <a:t>El archivo generado se mostrara previamente para ser revisado y el usuario pueda guardarlo, el archivo estará alojado en la misma ubicación que la macro que lo genera.</a:t>
          </a:r>
        </a:p>
        <a:p>
          <a:r>
            <a:rPr lang="es-MX" sz="1100">
              <a:solidFill>
                <a:schemeClr val="tx1"/>
              </a:solidFill>
              <a:effectLst/>
              <a:latin typeface="Times New Roman" panose="02020603050405020304" pitchFamily="18" charset="0"/>
              <a:ea typeface="+mn-ea"/>
              <a:cs typeface="Times New Roman" panose="02020603050405020304" pitchFamily="18" charset="0"/>
            </a:rPr>
            <a:t>Cuando se genera el documento ,el resumen</a:t>
          </a:r>
          <a:r>
            <a:rPr lang="es-MX" sz="1100" baseline="0">
              <a:solidFill>
                <a:schemeClr val="tx1"/>
              </a:solidFill>
              <a:effectLst/>
              <a:latin typeface="Times New Roman" panose="02020603050405020304" pitchFamily="18" charset="0"/>
              <a:ea typeface="+mn-ea"/>
              <a:cs typeface="Times New Roman" panose="02020603050405020304" pitchFamily="18" charset="0"/>
            </a:rPr>
            <a:t> Distribucion de presupuesto e YTD 2017, se actualizan automaticamente antes de la generacion.</a:t>
          </a:r>
          <a:endParaRPr lang="es-MX" sz="1100">
            <a:solidFill>
              <a:schemeClr val="tx1"/>
            </a:solidFill>
            <a:effectLst/>
            <a:latin typeface="Times New Roman" panose="02020603050405020304" pitchFamily="18" charset="0"/>
            <a:ea typeface="+mn-ea"/>
            <a:cs typeface="Times New Roman" panose="02020603050405020304" pitchFamily="18" charset="0"/>
          </a:endParaRPr>
        </a:p>
        <a:p>
          <a:endParaRPr lang="es-MX" sz="1100" b="1" u="sng">
            <a:solidFill>
              <a:schemeClr val="tx1"/>
            </a:solidFill>
            <a:effectLst/>
            <a:latin typeface="Times New Roman" panose="02020603050405020304" pitchFamily="18" charset="0"/>
            <a:ea typeface="+mn-ea"/>
            <a:cs typeface="Times New Roman" panose="02020603050405020304" pitchFamily="18" charset="0"/>
          </a:endParaRPr>
        </a:p>
        <a:p>
          <a:r>
            <a:rPr lang="es-MX" sz="1100" b="0" u="none">
              <a:solidFill>
                <a:schemeClr val="tx1"/>
              </a:solidFill>
              <a:effectLst/>
              <a:latin typeface="Times New Roman" panose="02020603050405020304" pitchFamily="18" charset="0"/>
              <a:ea typeface="+mn-ea"/>
              <a:cs typeface="Times New Roman" panose="02020603050405020304" pitchFamily="18" charset="0"/>
            </a:rPr>
            <a:t>6-</a:t>
          </a:r>
          <a:r>
            <a:rPr lang="es-MX" sz="1100" b="0" u="none" baseline="0">
              <a:solidFill>
                <a:schemeClr val="tx1"/>
              </a:solidFill>
              <a:effectLst/>
              <a:latin typeface="Times New Roman" panose="02020603050405020304" pitchFamily="18" charset="0"/>
              <a:ea typeface="+mn-ea"/>
              <a:cs typeface="Times New Roman" panose="02020603050405020304" pitchFamily="18" charset="0"/>
            </a:rPr>
            <a:t> Boton "Generar Hoja Plan Vacia": este boton genera un Plan vacio, para planes que no tengan archivos, para que el usuario pueda llenar e incluir  en los resumenes de distribucion de presupuesto e YTD, el usuario solo puede llenar manualmente  las casillas que contienen los datos del plan (Columna "F" , Filas de la 2 a la 7),  la casilla de presupuesto y los medios "Digital", "Compartidos", "Medios Regionales" y "Otros".</a:t>
          </a:r>
        </a:p>
        <a:p>
          <a:r>
            <a:rPr lang="es-MX" sz="1100" b="0" u="none">
              <a:solidFill>
                <a:schemeClr val="tx1"/>
              </a:solidFill>
              <a:effectLst/>
              <a:latin typeface="Times New Roman" panose="02020603050405020304" pitchFamily="18" charset="0"/>
              <a:ea typeface="+mn-ea"/>
              <a:cs typeface="Times New Roman" panose="02020603050405020304" pitchFamily="18" charset="0"/>
            </a:rPr>
            <a:t>Cuando</a:t>
          </a:r>
          <a:r>
            <a:rPr lang="es-MX" sz="1100" b="0" u="none" baseline="0">
              <a:solidFill>
                <a:schemeClr val="tx1"/>
              </a:solidFill>
              <a:effectLst/>
              <a:latin typeface="Times New Roman" panose="02020603050405020304" pitchFamily="18" charset="0"/>
              <a:ea typeface="+mn-ea"/>
              <a:cs typeface="Times New Roman" panose="02020603050405020304" pitchFamily="18" charset="0"/>
            </a:rPr>
            <a:t> genere el nuevo plan se le pedira un nombre distinto a los planes que ya existen.</a:t>
          </a:r>
          <a:r>
            <a:rPr lang="es-MX" sz="1100" b="1" u="none" baseline="0">
              <a:solidFill>
                <a:srgbClr val="FF0000"/>
              </a:solidFill>
              <a:effectLst/>
              <a:latin typeface="Times New Roman" panose="02020603050405020304" pitchFamily="18" charset="0"/>
              <a:ea typeface="+mn-ea"/>
              <a:cs typeface="Times New Roman" panose="02020603050405020304" pitchFamily="18" charset="0"/>
            </a:rPr>
            <a:t> si no ingresa un nombre o presiona cancelar, la hora no sera creada.</a:t>
          </a:r>
        </a:p>
        <a:p>
          <a:endParaRPr lang="es-MX" sz="1100" b="0" u="none">
            <a:solidFill>
              <a:schemeClr val="tx1"/>
            </a:solidFill>
            <a:effectLst/>
            <a:latin typeface="Times New Roman" panose="02020603050405020304" pitchFamily="18" charset="0"/>
            <a:ea typeface="+mn-ea"/>
            <a:cs typeface="Times New Roman" panose="02020603050405020304" pitchFamily="18" charset="0"/>
          </a:endParaRPr>
        </a:p>
        <a:p>
          <a:r>
            <a:rPr lang="es-MX" sz="1100" b="0" u="none">
              <a:solidFill>
                <a:schemeClr val="tx1"/>
              </a:solidFill>
              <a:effectLst/>
              <a:latin typeface="Times New Roman" panose="02020603050405020304" pitchFamily="18" charset="0"/>
              <a:ea typeface="+mn-ea"/>
              <a:cs typeface="Times New Roman" panose="02020603050405020304" pitchFamily="18" charset="0"/>
            </a:rPr>
            <a:t>7- Boton "Generar Hoja Vacia": Este boton solo genera una hoja</a:t>
          </a:r>
          <a:r>
            <a:rPr lang="es-MX" sz="1100" b="0" u="none" baseline="0">
              <a:solidFill>
                <a:schemeClr val="tx1"/>
              </a:solidFill>
              <a:effectLst/>
              <a:latin typeface="Times New Roman" panose="02020603050405020304" pitchFamily="18" charset="0"/>
              <a:ea typeface="+mn-ea"/>
              <a:cs typeface="Times New Roman" panose="02020603050405020304" pitchFamily="18" charset="0"/>
            </a:rPr>
            <a:t> vacia, la cual le pedira un nombre de hoja,</a:t>
          </a:r>
          <a:r>
            <a:rPr lang="es-MX" sz="1100" b="1" baseline="0">
              <a:solidFill>
                <a:srgbClr val="FF0000"/>
              </a:solidFill>
              <a:effectLst/>
              <a:latin typeface="+mn-lt"/>
              <a:ea typeface="+mn-ea"/>
              <a:cs typeface="+mn-cs"/>
            </a:rPr>
            <a:t> si no ingresa un nombre o presiona cancelar, la hora no sera creada</a:t>
          </a:r>
          <a:r>
            <a:rPr lang="es-MX" sz="1100" b="0" u="none" baseline="0">
              <a:solidFill>
                <a:schemeClr val="tx1"/>
              </a:solidFill>
              <a:effectLst/>
              <a:latin typeface="Times New Roman" panose="02020603050405020304" pitchFamily="18" charset="0"/>
              <a:ea typeface="+mn-ea"/>
              <a:cs typeface="Times New Roman" panose="02020603050405020304" pitchFamily="18" charset="0"/>
            </a:rPr>
            <a:t>, a cualquier nombre que se  escoja se antepondra un "1 " automaticamente para no generar problemas al funcionamiento de la macro.</a:t>
          </a:r>
        </a:p>
        <a:p>
          <a:endParaRPr lang="es-MX" sz="1100" b="0" u="none">
            <a:solidFill>
              <a:schemeClr val="tx1"/>
            </a:solidFill>
            <a:effectLst/>
            <a:latin typeface="Times New Roman" panose="02020603050405020304" pitchFamily="18" charset="0"/>
            <a:ea typeface="+mn-ea"/>
            <a:cs typeface="Times New Roman" panose="02020603050405020304" pitchFamily="18" charset="0"/>
          </a:endParaRPr>
        </a:p>
        <a:p>
          <a:r>
            <a:rPr lang="es-MX" sz="1400" b="1" u="sng">
              <a:solidFill>
                <a:schemeClr val="tx1"/>
              </a:solidFill>
              <a:effectLst/>
              <a:latin typeface="Times New Roman" panose="02020603050405020304" pitchFamily="18" charset="0"/>
              <a:ea typeface="+mn-ea"/>
              <a:cs typeface="Times New Roman" panose="02020603050405020304" pitchFamily="18" charset="0"/>
            </a:rPr>
            <a:t>Restricciones Generales</a:t>
          </a:r>
          <a:endParaRPr lang="es-MX" sz="1400">
            <a:solidFill>
              <a:schemeClr val="tx1"/>
            </a:solidFill>
            <a:effectLst/>
            <a:latin typeface="Times New Roman" panose="02020603050405020304" pitchFamily="18" charset="0"/>
            <a:ea typeface="+mn-ea"/>
            <a:cs typeface="Times New Roman" panose="02020603050405020304" pitchFamily="18" charset="0"/>
          </a:endParaRPr>
        </a:p>
        <a:p>
          <a:r>
            <a:rPr lang="es-MX" sz="1100">
              <a:solidFill>
                <a:schemeClr val="tx1"/>
              </a:solidFill>
              <a:effectLst/>
              <a:latin typeface="Times New Roman" panose="02020603050405020304" pitchFamily="18" charset="0"/>
              <a:ea typeface="+mn-ea"/>
              <a:cs typeface="Times New Roman" panose="02020603050405020304" pitchFamily="18" charset="0"/>
            </a:rPr>
            <a:t>-Se pide al usuario por favor </a:t>
          </a:r>
          <a:r>
            <a:rPr lang="es-MX" sz="1100" b="1">
              <a:solidFill>
                <a:srgbClr val="FF0000"/>
              </a:solidFill>
              <a:effectLst/>
              <a:latin typeface="Times New Roman" panose="02020603050405020304" pitchFamily="18" charset="0"/>
              <a:ea typeface="+mn-ea"/>
              <a:cs typeface="Times New Roman" panose="02020603050405020304" pitchFamily="18" charset="0"/>
            </a:rPr>
            <a:t>no modificar o borrar </a:t>
          </a:r>
          <a:r>
            <a:rPr lang="es-MX" sz="1100">
              <a:solidFill>
                <a:schemeClr val="tx1"/>
              </a:solidFill>
              <a:effectLst/>
              <a:latin typeface="Times New Roman" panose="02020603050405020304" pitchFamily="18" charset="0"/>
              <a:ea typeface="+mn-ea"/>
              <a:cs typeface="Times New Roman" panose="02020603050405020304" pitchFamily="18" charset="0"/>
            </a:rPr>
            <a:t>absolutamente nada de los archivos auxiliares, bases o nombres de pestañas en la macro, cualquier modificación que el usuario haga puede generar problemas con los procedimientos entregando información errónea, dificultando el funcionamiento e integridad de la Macro.</a:t>
          </a:r>
        </a:p>
        <a:p>
          <a:r>
            <a:rPr lang="es-MX" sz="1100">
              <a:solidFill>
                <a:schemeClr val="tx1"/>
              </a:solidFill>
              <a:effectLst/>
              <a:latin typeface="Times New Roman" panose="02020603050405020304" pitchFamily="18" charset="0"/>
              <a:ea typeface="+mn-ea"/>
              <a:cs typeface="Times New Roman" panose="02020603050405020304" pitchFamily="18" charset="0"/>
            </a:rPr>
            <a:t>-El usuario puede llenar manualmente la pestaña "1 lista" (Para más información de esta pestaña diríjase a ella), la pestaña "1 distribución de presupuestos" donde solo puede rellenar PPTO RECORTADO (el cual será respaldado cada vez que se actualice la distribución) y las pestañas de los planes generados donde solo podrá llenar manualmente el presupuesto y los siguientes medios:</a:t>
          </a:r>
        </a:p>
        <a:p>
          <a:r>
            <a:rPr lang="es-MX" sz="1100">
              <a:solidFill>
                <a:schemeClr val="tx1"/>
              </a:solidFill>
              <a:effectLst/>
              <a:latin typeface="Times New Roman" panose="02020603050405020304" pitchFamily="18" charset="0"/>
              <a:ea typeface="+mn-ea"/>
              <a:cs typeface="Times New Roman" panose="02020603050405020304" pitchFamily="18" charset="0"/>
            </a:rPr>
            <a:t>*COMPARTIDOS</a:t>
          </a:r>
        </a:p>
        <a:p>
          <a:r>
            <a:rPr lang="es-MX" sz="1100">
              <a:solidFill>
                <a:schemeClr val="tx1"/>
              </a:solidFill>
              <a:effectLst/>
              <a:latin typeface="Times New Roman" panose="02020603050405020304" pitchFamily="18" charset="0"/>
              <a:ea typeface="+mn-ea"/>
              <a:cs typeface="Times New Roman" panose="02020603050405020304" pitchFamily="18" charset="0"/>
            </a:rPr>
            <a:t>*MEDIOS REGIONALES</a:t>
          </a:r>
        </a:p>
        <a:p>
          <a:r>
            <a:rPr lang="es-MX" sz="1100">
              <a:solidFill>
                <a:schemeClr val="tx1"/>
              </a:solidFill>
              <a:effectLst/>
              <a:latin typeface="Times New Roman" panose="02020603050405020304" pitchFamily="18" charset="0"/>
              <a:ea typeface="+mn-ea"/>
              <a:cs typeface="Times New Roman" panose="02020603050405020304" pitchFamily="18" charset="0"/>
            </a:rPr>
            <a:t>*OTROS</a:t>
          </a:r>
        </a:p>
        <a:p>
          <a:r>
            <a:rPr lang="es-MX" sz="1100">
              <a:solidFill>
                <a:schemeClr val="tx1"/>
              </a:solidFill>
              <a:effectLst/>
              <a:latin typeface="Times New Roman" panose="02020603050405020304" pitchFamily="18" charset="0"/>
              <a:ea typeface="+mn-ea"/>
              <a:cs typeface="Times New Roman" panose="02020603050405020304" pitchFamily="18" charset="0"/>
            </a:rPr>
            <a:t>La información ingresada en estos medios será respaldada, si el usuario necesita más filas para ingresar datos, se pide estrictamente </a:t>
          </a:r>
          <a:r>
            <a:rPr lang="es-MX" sz="1100" b="1">
              <a:solidFill>
                <a:srgbClr val="FF0000"/>
              </a:solidFill>
              <a:effectLst/>
              <a:latin typeface="Times New Roman" panose="02020603050405020304" pitchFamily="18" charset="0"/>
              <a:ea typeface="+mn-ea"/>
              <a:cs typeface="Times New Roman" panose="02020603050405020304" pitchFamily="18" charset="0"/>
            </a:rPr>
            <a:t>insertar filas en el centro del medio y no en los extremos.</a:t>
          </a:r>
          <a:r>
            <a:rPr lang="es-MX" sz="1100" b="0" baseline="0">
              <a:solidFill>
                <a:sysClr val="windowText" lastClr="000000"/>
              </a:solidFill>
              <a:effectLst/>
              <a:latin typeface="Times New Roman" panose="02020603050405020304" pitchFamily="18" charset="0"/>
              <a:ea typeface="+mn-ea"/>
              <a:cs typeface="Times New Roman" panose="02020603050405020304" pitchFamily="18" charset="0"/>
            </a:rPr>
            <a:t> Cuando haya ingresado todos los datos debe presionar el boton Calculasr Comision que estara en la parte inferior de cada plan, lado derecho de "presupuesto", este boton calculara comision, pintara el calendario y generara un calendario de resumen mensual de los medios Digital, Compartidos y Otros, que sera utilizado mas tarde para llenar el resumen "YTD 2017",</a:t>
          </a:r>
          <a:r>
            <a:rPr lang="es-MX" sz="1100" b="1" baseline="0">
              <a:solidFill>
                <a:srgbClr val="FF0000"/>
              </a:solidFill>
              <a:effectLst/>
              <a:latin typeface="Times New Roman" panose="02020603050405020304" pitchFamily="18" charset="0"/>
              <a:ea typeface="+mn-ea"/>
              <a:cs typeface="Times New Roman" panose="02020603050405020304" pitchFamily="18" charset="0"/>
            </a:rPr>
            <a:t> si este boton no es presionado, los datos manuales solo seran calculados una vez que se generen los resumenes distribucion de presupuesto e YTD</a:t>
          </a:r>
          <a:endParaRPr lang="es-MX" sz="1100" b="1">
            <a:solidFill>
              <a:srgbClr val="FF0000"/>
            </a:solidFill>
            <a:effectLst/>
            <a:latin typeface="Times New Roman" panose="02020603050405020304" pitchFamily="18" charset="0"/>
            <a:ea typeface="+mn-ea"/>
            <a:cs typeface="Times New Roman" panose="02020603050405020304" pitchFamily="18" charset="0"/>
          </a:endParaRPr>
        </a:p>
      </xdr:txBody>
    </xdr:sp>
    <xdr:clientData/>
  </xdr:oneCellAnchor>
  <xdr:oneCellAnchor>
    <xdr:from>
      <xdr:col>2</xdr:col>
      <xdr:colOff>719667</xdr:colOff>
      <xdr:row>38</xdr:row>
      <xdr:rowOff>21166</xdr:rowOff>
    </xdr:from>
    <xdr:ext cx="2743200" cy="374141"/>
    <xdr:sp macro="" textlink="">
      <xdr:nvSpPr>
        <xdr:cNvPr id="13" name="CuadroTexto 12">
          <a:extLst>
            <a:ext uri="{FF2B5EF4-FFF2-40B4-BE49-F238E27FC236}">
              <a16:creationId xmlns:a16="http://schemas.microsoft.com/office/drawing/2014/main" id="{00000000-0008-0000-0500-00000D000000}"/>
            </a:ext>
          </a:extLst>
        </xdr:cNvPr>
        <xdr:cNvSpPr txBox="1"/>
      </xdr:nvSpPr>
      <xdr:spPr>
        <a:xfrm>
          <a:off x="1725084" y="5947833"/>
          <a:ext cx="274320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MX" sz="1800" u="sng"/>
            <a:t>Generar</a:t>
          </a:r>
          <a:r>
            <a:rPr lang="es-MX" sz="1800" u="sng" baseline="0"/>
            <a:t> Hojas</a:t>
          </a:r>
          <a:endParaRPr lang="es-MX" sz="1800" u="sng"/>
        </a:p>
      </xdr:txBody>
    </xdr:sp>
    <xdr:clientData/>
  </xdr:oneCellAnchor>
  <mc:AlternateContent xmlns:mc="http://schemas.openxmlformats.org/markup-compatibility/2006">
    <mc:Choice xmlns:a14="http://schemas.microsoft.com/office/drawing/2010/main" Requires="a14">
      <xdr:twoCellAnchor editAs="oneCell">
        <xdr:from>
          <xdr:col>2</xdr:col>
          <xdr:colOff>28575</xdr:colOff>
          <xdr:row>40</xdr:row>
          <xdr:rowOff>142875</xdr:rowOff>
        </xdr:from>
        <xdr:to>
          <xdr:col>3</xdr:col>
          <xdr:colOff>457200</xdr:colOff>
          <xdr:row>44</xdr:row>
          <xdr:rowOff>104775</xdr:rowOff>
        </xdr:to>
        <xdr:sp macro="" textlink="">
          <xdr:nvSpPr>
            <xdr:cNvPr id="204806" name="Button 6" hidden="1">
              <a:extLst>
                <a:ext uri="{63B3BB69-23CF-44E3-9099-C40C66FF867C}">
                  <a14:compatExt spid="_x0000_s204806"/>
                </a:ext>
                <a:ext uri="{FF2B5EF4-FFF2-40B4-BE49-F238E27FC236}">
                  <a16:creationId xmlns:a16="http://schemas.microsoft.com/office/drawing/2014/main" id="{00000000-0008-0000-0500-0000062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1000" b="0" i="0" u="none" strike="noStrike" baseline="0">
                  <a:solidFill>
                    <a:srgbClr val="000000"/>
                  </a:solidFill>
                  <a:latin typeface="Arial"/>
                  <a:cs typeface="Arial"/>
                </a:rPr>
                <a:t>Generar Hoja Plan Vacia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40</xdr:row>
          <xdr:rowOff>133350</xdr:rowOff>
        </xdr:from>
        <xdr:to>
          <xdr:col>5</xdr:col>
          <xdr:colOff>457200</xdr:colOff>
          <xdr:row>44</xdr:row>
          <xdr:rowOff>123825</xdr:rowOff>
        </xdr:to>
        <xdr:sp macro="" textlink="">
          <xdr:nvSpPr>
            <xdr:cNvPr id="204807" name="Button 7" hidden="1">
              <a:extLst>
                <a:ext uri="{63B3BB69-23CF-44E3-9099-C40C66FF867C}">
                  <a14:compatExt spid="_x0000_s204807"/>
                </a:ext>
                <a:ext uri="{FF2B5EF4-FFF2-40B4-BE49-F238E27FC236}">
                  <a16:creationId xmlns:a16="http://schemas.microsoft.com/office/drawing/2014/main" id="{00000000-0008-0000-0500-0000072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1000" b="0" i="0" u="none" strike="noStrike" baseline="0">
                  <a:solidFill>
                    <a:srgbClr val="000000"/>
                  </a:solidFill>
                  <a:latin typeface="Arial"/>
                  <a:cs typeface="Arial"/>
                </a:rPr>
                <a:t>Generar Hoja Vacia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2</xdr:col>
      <xdr:colOff>190500</xdr:colOff>
      <xdr:row>10</xdr:row>
      <xdr:rowOff>95250</xdr:rowOff>
    </xdr:from>
    <xdr:ext cx="5372100" cy="3217676"/>
    <xdr:sp macro="" textlink="">
      <xdr:nvSpPr>
        <xdr:cNvPr id="2" name="CuadroTexto 1">
          <a:extLst>
            <a:ext uri="{FF2B5EF4-FFF2-40B4-BE49-F238E27FC236}">
              <a16:creationId xmlns:a16="http://schemas.microsoft.com/office/drawing/2014/main" id="{00000000-0008-0000-0C00-000002000000}"/>
            </a:ext>
          </a:extLst>
        </xdr:cNvPr>
        <xdr:cNvSpPr txBox="1"/>
      </xdr:nvSpPr>
      <xdr:spPr>
        <a:xfrm>
          <a:off x="5114925" y="1714500"/>
          <a:ext cx="5372100" cy="3217676"/>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spAutoFit/>
        </a:bodyPr>
        <a:lstStyle/>
        <a:p>
          <a:r>
            <a:rPr lang="es-MX" sz="1400" b="1" u="sng">
              <a:solidFill>
                <a:schemeClr val="dk1"/>
              </a:solidFill>
              <a:effectLst/>
              <a:latin typeface="Times New Roman" panose="02020603050405020304" pitchFamily="18" charset="0"/>
              <a:ea typeface="+mn-ea"/>
              <a:cs typeface="Times New Roman" panose="02020603050405020304" pitchFamily="18" charset="0"/>
            </a:rPr>
            <a:t>Instrucciones de uso:</a:t>
          </a:r>
          <a:endParaRPr lang="es-MX" sz="1400">
            <a:solidFill>
              <a:schemeClr val="dk1"/>
            </a:solidFill>
            <a:effectLst/>
            <a:latin typeface="Times New Roman" panose="02020603050405020304" pitchFamily="18" charset="0"/>
            <a:ea typeface="+mn-ea"/>
            <a:cs typeface="Times New Roman" panose="02020603050405020304" pitchFamily="18" charset="0"/>
          </a:endParaRPr>
        </a:p>
        <a:p>
          <a:r>
            <a:rPr lang="es-MX" sz="1100">
              <a:solidFill>
                <a:schemeClr val="dk1"/>
              </a:solidFill>
              <a:effectLst/>
              <a:latin typeface="Times New Roman" panose="02020603050405020304" pitchFamily="18" charset="0"/>
              <a:ea typeface="+mn-ea"/>
              <a:cs typeface="Times New Roman" panose="02020603050405020304" pitchFamily="18" charset="0"/>
            </a:rPr>
            <a:t>1-SUPLEMENTOS y CINE: en estas celdas se deben agregar los nombres de los Soporte, que corresponden a estos medios, se sugiere copiar el nombre del soporte directamente del archivo que se importara, </a:t>
          </a:r>
          <a:r>
            <a:rPr lang="es-MX" sz="1100" b="1">
              <a:solidFill>
                <a:srgbClr val="FF0000"/>
              </a:solidFill>
              <a:effectLst/>
              <a:latin typeface="Times New Roman" panose="02020603050405020304" pitchFamily="18" charset="0"/>
              <a:ea typeface="+mn-ea"/>
              <a:cs typeface="Times New Roman" panose="02020603050405020304" pitchFamily="18" charset="0"/>
            </a:rPr>
            <a:t>desde la fila N° 2 se deben ingresar en orden y sin dejar espacios hacia abajo</a:t>
          </a:r>
          <a:r>
            <a:rPr lang="es-MX" sz="1100">
              <a:solidFill>
                <a:schemeClr val="dk1"/>
              </a:solidFill>
              <a:effectLst/>
              <a:latin typeface="Times New Roman" panose="02020603050405020304" pitchFamily="18" charset="0"/>
              <a:ea typeface="+mn-ea"/>
              <a:cs typeface="Times New Roman" panose="02020603050405020304" pitchFamily="18" charset="0"/>
            </a:rPr>
            <a:t>, el espacio que deje definirá el </a:t>
          </a:r>
          <a:r>
            <a:rPr lang="es-MX" sz="1100" b="1">
              <a:solidFill>
                <a:schemeClr val="dk1"/>
              </a:solidFill>
              <a:effectLst/>
              <a:latin typeface="Times New Roman" panose="02020603050405020304" pitchFamily="18" charset="0"/>
              <a:ea typeface="+mn-ea"/>
              <a:cs typeface="Times New Roman" panose="02020603050405020304" pitchFamily="18" charset="0"/>
            </a:rPr>
            <a:t>Final</a:t>
          </a:r>
          <a:r>
            <a:rPr lang="es-MX" sz="1100">
              <a:solidFill>
                <a:schemeClr val="dk1"/>
              </a:solidFill>
              <a:effectLst/>
              <a:latin typeface="Times New Roman" panose="02020603050405020304" pitchFamily="18" charset="0"/>
              <a:ea typeface="+mn-ea"/>
              <a:cs typeface="Times New Roman" panose="02020603050405020304" pitchFamily="18" charset="0"/>
            </a:rPr>
            <a:t> de la lista.</a:t>
          </a:r>
        </a:p>
        <a:p>
          <a:r>
            <a:rPr lang="es-MX" sz="1100">
              <a:solidFill>
                <a:schemeClr val="dk1"/>
              </a:solidFill>
              <a:effectLst/>
              <a:latin typeface="Times New Roman" panose="02020603050405020304" pitchFamily="18" charset="0"/>
              <a:ea typeface="+mn-ea"/>
              <a:cs typeface="Times New Roman" panose="02020603050405020304" pitchFamily="18" charset="0"/>
            </a:rPr>
            <a:t>2-Comision digital y Comisión otros medios: Desde estos campos se obtendrá el porcentaje de comisión para la agencia en cada plan, en la comisión se debe ingresar el porcentaje separado por una Coma (“, ") y </a:t>
          </a:r>
          <a:r>
            <a:rPr lang="es-MX" sz="1100" b="1">
              <a:solidFill>
                <a:srgbClr val="FF0000"/>
              </a:solidFill>
              <a:effectLst/>
              <a:latin typeface="Times New Roman" panose="02020603050405020304" pitchFamily="18" charset="0"/>
              <a:ea typeface="+mn-ea"/>
              <a:cs typeface="Times New Roman" panose="02020603050405020304" pitchFamily="18" charset="0"/>
            </a:rPr>
            <a:t>no por un punto</a:t>
          </a:r>
          <a:r>
            <a:rPr lang="es-MX" sz="1100">
              <a:solidFill>
                <a:schemeClr val="dk1"/>
              </a:solidFill>
              <a:effectLst/>
              <a:latin typeface="Times New Roman" panose="02020603050405020304" pitchFamily="18" charset="0"/>
              <a:ea typeface="+mn-ea"/>
              <a:cs typeface="Times New Roman" panose="02020603050405020304" pitchFamily="18" charset="0"/>
            </a:rPr>
            <a:t>.</a:t>
          </a:r>
        </a:p>
        <a:p>
          <a:r>
            <a:rPr lang="es-MX" sz="1100">
              <a:solidFill>
                <a:schemeClr val="dk1"/>
              </a:solidFill>
              <a:effectLst/>
              <a:latin typeface="Times New Roman" panose="02020603050405020304" pitchFamily="18" charset="0"/>
              <a:ea typeface="+mn-ea"/>
              <a:cs typeface="Times New Roman" panose="02020603050405020304" pitchFamily="18" charset="0"/>
            </a:rPr>
            <a:t>3-Palabra Original y Palabra Modificación: En estas columnas lo que ingrese en palabra original, será la palabra que el sistema buscara para cambiarla por la palabra</a:t>
          </a:r>
          <a:r>
            <a:rPr lang="es-MX" sz="1100" baseline="0">
              <a:solidFill>
                <a:schemeClr val="dk1"/>
              </a:solidFill>
              <a:effectLst/>
              <a:latin typeface="Times New Roman" panose="02020603050405020304" pitchFamily="18" charset="0"/>
              <a:ea typeface="+mn-ea"/>
              <a:cs typeface="Times New Roman" panose="02020603050405020304" pitchFamily="18" charset="0"/>
            </a:rPr>
            <a:t> </a:t>
          </a:r>
          <a:r>
            <a:rPr lang="es-MX" sz="1100">
              <a:solidFill>
                <a:schemeClr val="dk1"/>
              </a:solidFill>
              <a:effectLst/>
              <a:latin typeface="Times New Roman" panose="02020603050405020304" pitchFamily="18" charset="0"/>
              <a:ea typeface="+mn-ea"/>
              <a:cs typeface="Times New Roman" panose="02020603050405020304" pitchFamily="18" charset="0"/>
            </a:rPr>
            <a:t>modificación.</a:t>
          </a:r>
        </a:p>
        <a:p>
          <a:r>
            <a:rPr lang="es-MX" sz="1100" i="1">
              <a:solidFill>
                <a:schemeClr val="dk1"/>
              </a:solidFill>
              <a:effectLst/>
              <a:latin typeface="Times New Roman" panose="02020603050405020304" pitchFamily="18" charset="0"/>
              <a:ea typeface="+mn-ea"/>
              <a:cs typeface="Times New Roman" panose="02020603050405020304" pitchFamily="18" charset="0"/>
            </a:rPr>
            <a:t>Ejemplo:</a:t>
          </a:r>
        </a:p>
        <a:p>
          <a:r>
            <a:rPr lang="es-MX" sz="1100" i="1">
              <a:solidFill>
                <a:schemeClr val="dk1"/>
              </a:solidFill>
              <a:effectLst/>
              <a:latin typeface="Times New Roman" panose="02020603050405020304" pitchFamily="18" charset="0"/>
              <a:ea typeface="+mn-ea"/>
              <a:cs typeface="Times New Roman" panose="02020603050405020304" pitchFamily="18" charset="0"/>
            </a:rPr>
            <a:t>Si se ingresa "uno" en la columna "Palabra Original" y en la misma posición en la columna "Palabra Modificación" ingresa "dos" el sistema cuando genere un plan y vea la palabra "uno" intercambiara esta palabra por "dos" y la mostrara como "dos" en el plan.</a:t>
          </a:r>
        </a:p>
        <a:p>
          <a:r>
            <a:rPr lang="es-MX" sz="1100">
              <a:solidFill>
                <a:schemeClr val="dk1"/>
              </a:solidFill>
              <a:effectLst/>
              <a:latin typeface="Times New Roman" panose="02020603050405020304" pitchFamily="18" charset="0"/>
              <a:ea typeface="+mn-ea"/>
              <a:cs typeface="Times New Roman" panose="02020603050405020304" pitchFamily="18" charset="0"/>
            </a:rPr>
            <a:t>Estas columnas </a:t>
          </a:r>
          <a:r>
            <a:rPr lang="es-MX" sz="1100" b="1">
              <a:solidFill>
                <a:srgbClr val="FF0000"/>
              </a:solidFill>
              <a:effectLst/>
              <a:latin typeface="Times New Roman" panose="02020603050405020304" pitchFamily="18" charset="0"/>
              <a:ea typeface="+mn-ea"/>
              <a:cs typeface="Times New Roman" panose="02020603050405020304" pitchFamily="18" charset="0"/>
            </a:rPr>
            <a:t>deben ser llenadas desde la fila N° 2, se deben ingresar en orden y sin dejar espacios hacia abajo</a:t>
          </a:r>
          <a:r>
            <a:rPr lang="es-MX" sz="1100">
              <a:solidFill>
                <a:schemeClr val="dk1"/>
              </a:solidFill>
              <a:effectLst/>
              <a:latin typeface="Times New Roman" panose="02020603050405020304" pitchFamily="18" charset="0"/>
              <a:ea typeface="+mn-ea"/>
              <a:cs typeface="Times New Roman" panose="02020603050405020304" pitchFamily="18" charset="0"/>
            </a:rPr>
            <a:t>, el espacio que deje definirá el </a:t>
          </a:r>
          <a:r>
            <a:rPr lang="es-MX" sz="1100" b="1">
              <a:solidFill>
                <a:schemeClr val="dk1"/>
              </a:solidFill>
              <a:effectLst/>
              <a:latin typeface="Times New Roman" panose="02020603050405020304" pitchFamily="18" charset="0"/>
              <a:ea typeface="+mn-ea"/>
              <a:cs typeface="Times New Roman" panose="02020603050405020304" pitchFamily="18" charset="0"/>
            </a:rPr>
            <a:t>Final</a:t>
          </a:r>
          <a:r>
            <a:rPr lang="es-MX" sz="1100">
              <a:solidFill>
                <a:schemeClr val="dk1"/>
              </a:solidFill>
              <a:effectLst/>
              <a:latin typeface="Times New Roman" panose="02020603050405020304" pitchFamily="18" charset="0"/>
              <a:ea typeface="+mn-ea"/>
              <a:cs typeface="Times New Roman" panose="02020603050405020304" pitchFamily="18" charset="0"/>
            </a:rPr>
            <a:t> de la lista.</a:t>
          </a:r>
        </a:p>
        <a:p>
          <a:r>
            <a:rPr lang="es-MX" sz="1100">
              <a:solidFill>
                <a:schemeClr val="dk1"/>
              </a:solidFill>
              <a:effectLst/>
              <a:latin typeface="Times New Roman" panose="02020603050405020304" pitchFamily="18" charset="0"/>
              <a:ea typeface="+mn-ea"/>
              <a:cs typeface="Times New Roman" panose="02020603050405020304" pitchFamily="18" charset="0"/>
            </a:rPr>
            <a:t>Estas columnas solo afectaran a los medios "REVISTAS", "PRENSA" y "SUPLEMENTOS" en la columna "UBICACION".</a:t>
          </a:r>
        </a:p>
        <a:p>
          <a:r>
            <a:rPr lang="es-MX" sz="1100">
              <a:solidFill>
                <a:schemeClr val="dk1"/>
              </a:solidFill>
              <a:effectLst/>
              <a:latin typeface="Times New Roman" panose="02020603050405020304" pitchFamily="18" charset="0"/>
              <a:ea typeface="+mn-ea"/>
              <a:cs typeface="Times New Roman" panose="02020603050405020304" pitchFamily="18" charset="0"/>
            </a:rPr>
            <a:t>4- </a:t>
          </a:r>
          <a:r>
            <a:rPr lang="es-MX" sz="1100" b="1">
              <a:solidFill>
                <a:srgbClr val="FF0000"/>
              </a:solidFill>
              <a:effectLst/>
              <a:latin typeface="Times New Roman" panose="02020603050405020304" pitchFamily="18" charset="0"/>
              <a:ea typeface="+mn-ea"/>
              <a:cs typeface="Times New Roman" panose="02020603050405020304" pitchFamily="18" charset="0"/>
            </a:rPr>
            <a:t>Casilla1 y Casilla2 no deben ser modificados.</a:t>
          </a:r>
          <a:endParaRPr lang="es-MX" sz="1100">
            <a:solidFill>
              <a:srgbClr val="FF0000"/>
            </a:solidFill>
            <a:effectLst/>
            <a:latin typeface="Times New Roman" panose="02020603050405020304" pitchFamily="18" charset="0"/>
            <a:ea typeface="+mn-ea"/>
            <a:cs typeface="Times New Roman" panose="02020603050405020304" pitchFamily="18" charset="0"/>
          </a:endParaRP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63</xdr:col>
          <xdr:colOff>200025</xdr:colOff>
          <xdr:row>93</xdr:row>
          <xdr:rowOff>228600</xdr:rowOff>
        </xdr:from>
        <xdr:to>
          <xdr:col>64</xdr:col>
          <xdr:colOff>1019175</xdr:colOff>
          <xdr:row>96</xdr:row>
          <xdr:rowOff>219075</xdr:rowOff>
        </xdr:to>
        <xdr:sp macro="" textlink="">
          <xdr:nvSpPr>
            <xdr:cNvPr id="214017" name="Button 1" hidden="1">
              <a:extLst>
                <a:ext uri="{63B3BB69-23CF-44E3-9099-C40C66FF867C}">
                  <a14:compatExt spid="_x0000_s214017"/>
                </a:ext>
                <a:ext uri="{FF2B5EF4-FFF2-40B4-BE49-F238E27FC236}">
                  <a16:creationId xmlns:a16="http://schemas.microsoft.com/office/drawing/2014/main" id="{00000000-0008-0000-0D00-0000014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1000" b="0" i="0" u="none" strike="noStrike" baseline="0">
                  <a:solidFill>
                    <a:srgbClr val="000000"/>
                  </a:solidFill>
                  <a:latin typeface="Arial"/>
                  <a:cs typeface="Arial"/>
                </a:rPr>
                <a:t>Calcular Comision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63</xdr:col>
          <xdr:colOff>200025</xdr:colOff>
          <xdr:row>97</xdr:row>
          <xdr:rowOff>228600</xdr:rowOff>
        </xdr:from>
        <xdr:to>
          <xdr:col>64</xdr:col>
          <xdr:colOff>1028700</xdr:colOff>
          <xdr:row>100</xdr:row>
          <xdr:rowOff>219075</xdr:rowOff>
        </xdr:to>
        <xdr:sp macro="" textlink="">
          <xdr:nvSpPr>
            <xdr:cNvPr id="262145" name="Button 1" hidden="1">
              <a:extLst>
                <a:ext uri="{63B3BB69-23CF-44E3-9099-C40C66FF867C}">
                  <a14:compatExt spid="_x0000_s262145"/>
                </a:ext>
                <a:ext uri="{FF2B5EF4-FFF2-40B4-BE49-F238E27FC236}">
                  <a16:creationId xmlns:a16="http://schemas.microsoft.com/office/drawing/2014/main" id="{00000000-0008-0000-0E00-0000010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1000" b="0" i="0" u="none" strike="noStrike" baseline="0">
                  <a:solidFill>
                    <a:srgbClr val="000000"/>
                  </a:solidFill>
                  <a:latin typeface="Arial"/>
                  <a:cs typeface="Arial"/>
                </a:rPr>
                <a:t>Calcular Comision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63</xdr:col>
          <xdr:colOff>200025</xdr:colOff>
          <xdr:row>108</xdr:row>
          <xdr:rowOff>228600</xdr:rowOff>
        </xdr:from>
        <xdr:to>
          <xdr:col>64</xdr:col>
          <xdr:colOff>1028700</xdr:colOff>
          <xdr:row>111</xdr:row>
          <xdr:rowOff>219075</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F00-00000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1000" b="0" i="0" u="none" strike="noStrike" baseline="0">
                  <a:solidFill>
                    <a:srgbClr val="000000"/>
                  </a:solidFill>
                  <a:latin typeface="Arial"/>
                  <a:cs typeface="Arial"/>
                </a:rPr>
                <a:t>Calcular Comision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CAROZZI/SAN-REMO/REMO.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MEDIA-TERMINAL\DISCO%20E\Vtr-sebastian\2000\An&#225;lisis\Televisi&#243;n\Variacion%20rating%20verano%20a&#241;o%201998_199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MEDIA-TERMINAL\DISCO%20E\Vtr-sebastian\2000\An&#225;lisis\Televisi&#243;n\Variacion%20rating%20verano%20a&#241;o%201999_200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erver-ls\datos\WKS\CUANT-GO\A-BASE.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Server-ls\datos\WKS\CUANT-GO\_CGO.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Server-ls\datos\WKS\CLAUDIO\CMPC\ABOLENGO\ENC.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Server-ls\datos\WKS\ENC-REV\DIC'96.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Public_exg\datos\WKS\CUANT-GO\_CGO.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Server-ls\datos\WKS\CLAUDIO\DIC'96.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Server-ls\datos\WKS\CLAUDIO\CAROZZI\CAROZI\FIDEO95\PL-DIC95.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Server-ls\datos\WKS\ENC-REV\JUN'95.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Public_exg\datos\WKS\VERO-E\CAROZZI\SAN-REMO\REMO.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Fsscl03\planificacion\DOCUME~1\fcorrea\CONFIG~1\Temp\notesE1EF34\Scotiabank%20-%20Pauta%20Tipo%20Agosto%202007%20060807.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Users/ppinto/Desktop/D/WINDOWS/TEMP/Prop-Medios-Planes/TV%20Superwiken.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PUBLIC_EXG\DATOS\WKS\WALDO\WATT'S\1997\PLANES\JUG-FRES.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Clobos\departamento\Mis%20documentos\Departamento%20de%20Medios\Estudios\Cuantificador%20Total%20pa&#237;s.xlt"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O."/>
      <sheetName val="plan"/>
      <sheetName val="GRAFICA"/>
      <sheetName val="#G_O_"/>
      <sheetName val="#G_O_1"/>
      <sheetName val="an-r"/>
      <sheetName val="Analisis"/>
      <sheetName val="Rk"/>
      <sheetName val="ventas"/>
      <sheetName val="REMO"/>
      <sheetName val="#G_O_2"/>
      <sheetName val="01_1999"/>
      <sheetName val="01_2000"/>
      <sheetName val="Anunciantes"/>
      <sheetName val="Caras"/>
      <sheetName val="Tablas"/>
      <sheetName val="Marcas"/>
      <sheetName val="MarcasCli"/>
      <sheetName val="DatosTP"/>
      <sheetName val="Rubros"/>
      <sheetName val="Salas_2"/>
      <sheetName val="resumen campaña"/>
      <sheetName val="Resultados"/>
      <sheetName val="Alc_y_Fr_Nin"/>
      <sheetName val="Diario"/>
      <sheetName val="Alc_y_Fre_Amas"/>
      <sheetName val="POST_EVALUACION"/>
      <sheetName val="Alcan_y_Frec_TOTAL_3_Semanas"/>
      <sheetName val="Análisis"/>
      <sheetName val="#G_O_3"/>
      <sheetName val="_G_O_"/>
      <sheetName val="#G_O_4"/>
      <sheetName val="#G_O_5"/>
      <sheetName val="resumen_campaña"/>
      <sheetName val="#G_O_6"/>
      <sheetName val="resumen_campaña1"/>
      <sheetName val="#G_O_7"/>
      <sheetName val="resumen_campaña2"/>
      <sheetName val="Seguimiento"/>
      <sheetName val="Post-Evaluacion"/>
      <sheetName val="Effet PRF"/>
      <sheetName val="Decade2Feb2002"/>
      <sheetName val="LOGO"/>
      <sheetName val="AUXILIAR"/>
    </sheetNames>
    <sheetDataSet>
      <sheetData sheetId="0"/>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sheetData sheetId="37"/>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ráfico1"/>
      <sheetName val="Hoja1"/>
      <sheetName val="01_1999"/>
      <sheetName val="Programas Ene 1999"/>
      <sheetName val="Programas Feb 1999"/>
      <sheetName val="Variacion rating verano año 199"/>
      <sheetName val="Setup"/>
      <sheetName val="rat2"/>
      <sheetName val="Programas_Ene_1999"/>
      <sheetName val="Programas_Feb_1999"/>
      <sheetName val="Variacion_rating_verano_año_199"/>
      <sheetName val="Programas_Ene_19991"/>
      <sheetName val="Programas_Feb_19991"/>
      <sheetName val="Variacion_rating_verano_año_191"/>
      <sheetName val="ENERO 2008"/>
      <sheetName val="rating (2)"/>
      <sheetName val="01_2000"/>
      <sheetName val="Pre Evaluacion"/>
      <sheetName val="Nov 01"/>
      <sheetName val="Rk Target"/>
      <sheetName val="Neg"/>
      <sheetName val="Programas_Ene_19992"/>
      <sheetName val="Programas_Feb_19992"/>
      <sheetName val="Variacion_rating_verano_año_192"/>
      <sheetName val="ENERO_2008"/>
      <sheetName val="rating_(2)"/>
      <sheetName val="Pre_Evaluacion"/>
      <sheetName val="45"/>
      <sheetName val="Programas_Ene_19993"/>
      <sheetName val="Programas_Feb_19993"/>
      <sheetName val="Variacion_rating_verano_año_193"/>
      <sheetName val="Pre_Evaluacion1"/>
      <sheetName val="ENERO_20081"/>
      <sheetName val="rating_(2)1"/>
      <sheetName val="Nov_01"/>
      <sheetName val="Rk_Target"/>
      <sheetName val="Programas_Ene_19994"/>
      <sheetName val="Programas_Feb_19994"/>
      <sheetName val="Variacion_rating_verano_año_194"/>
      <sheetName val="Pre_Evaluacion2"/>
      <sheetName val="ENERO_20082"/>
      <sheetName val="rating_(2)2"/>
      <sheetName val="Nov_011"/>
      <sheetName val="Rk_Target1"/>
      <sheetName val="Programas_Ene_19995"/>
      <sheetName val="Programas_Feb_19995"/>
      <sheetName val="Variacion_rating_verano_año_195"/>
      <sheetName val="Pre_Evaluacion3"/>
      <sheetName val="ENERO_20083"/>
      <sheetName val="rating_(2)3"/>
      <sheetName val="Nov_012"/>
      <sheetName val="Rk_Target2"/>
      <sheetName val="Variacion%20rating%20verano%20a"/>
    </sheetNames>
    <sheetDataSet>
      <sheetData sheetId="0" refreshError="1"/>
      <sheetData sheetId="1" refreshError="1"/>
      <sheetData sheetId="2" refreshError="1">
        <row r="1">
          <cell r="B1" t="str">
            <v>S</v>
          </cell>
          <cell r="C1" t="str">
            <v>Can</v>
          </cell>
          <cell r="D1" t="str">
            <v>Genero</v>
          </cell>
          <cell r="E1" t="str">
            <v>Programa</v>
          </cell>
          <cell r="F1" t="str">
            <v>Rat</v>
          </cell>
          <cell r="G1" t="str">
            <v>Personas</v>
          </cell>
          <cell r="H1" t="str">
            <v>Lun</v>
          </cell>
          <cell r="I1" t="str">
            <v>Mar</v>
          </cell>
          <cell r="J1" t="str">
            <v>Mie</v>
          </cell>
          <cell r="K1" t="str">
            <v>Jue</v>
          </cell>
          <cell r="L1" t="str">
            <v>Vie</v>
          </cell>
          <cell r="M1" t="str">
            <v>Sab</v>
          </cell>
          <cell r="N1" t="str">
            <v>Dom</v>
          </cell>
          <cell r="O1" t="str">
            <v>HoraI</v>
          </cell>
          <cell r="P1" t="str">
            <v>HoraF</v>
          </cell>
          <cell r="Q1" t="str">
            <v>Costo</v>
          </cell>
          <cell r="R1" t="str">
            <v>CtoPto</v>
          </cell>
          <cell r="S1" t="str">
            <v>TPE</v>
          </cell>
        </row>
        <row r="2">
          <cell r="B2" t="str">
            <v>0</v>
          </cell>
          <cell r="C2" t="str">
            <v>07</v>
          </cell>
          <cell r="D2" t="str">
            <v>VARIEDAD</v>
          </cell>
          <cell r="E2" t="str">
            <v>EL ULTIMO VERANO DEL SIGLO</v>
          </cell>
          <cell r="F2">
            <v>8.3000000000000007</v>
          </cell>
          <cell r="G2">
            <v>118932</v>
          </cell>
          <cell r="J2">
            <v>8.3000000000000007</v>
          </cell>
          <cell r="O2" t="str">
            <v>21:54</v>
          </cell>
          <cell r="P2" t="str">
            <v>00:34</v>
          </cell>
          <cell r="Q2">
            <v>0</v>
          </cell>
          <cell r="R2">
            <v>0</v>
          </cell>
          <cell r="S2">
            <v>4</v>
          </cell>
        </row>
        <row r="3">
          <cell r="B3" t="str">
            <v>0</v>
          </cell>
          <cell r="C3" t="str">
            <v>07</v>
          </cell>
          <cell r="D3" t="str">
            <v>REPORTAJE</v>
          </cell>
          <cell r="E3" t="str">
            <v>VIDA 2000</v>
          </cell>
          <cell r="F3">
            <v>8.1999999999999993</v>
          </cell>
          <cell r="G3">
            <v>117853</v>
          </cell>
          <cell r="I3">
            <v>8.1999999999999993</v>
          </cell>
          <cell r="O3" t="str">
            <v>22:07</v>
          </cell>
          <cell r="P3" t="str">
            <v>23:17</v>
          </cell>
          <cell r="Q3">
            <v>0</v>
          </cell>
          <cell r="R3">
            <v>0</v>
          </cell>
          <cell r="S3">
            <v>1</v>
          </cell>
        </row>
        <row r="4">
          <cell r="B4" t="str">
            <v>0</v>
          </cell>
          <cell r="C4" t="str">
            <v>07</v>
          </cell>
          <cell r="D4" t="str">
            <v>REALITY SHOW</v>
          </cell>
          <cell r="E4" t="str">
            <v>MEA CULPA</v>
          </cell>
          <cell r="F4">
            <v>7.8</v>
          </cell>
          <cell r="G4">
            <v>111074</v>
          </cell>
          <cell r="I4">
            <v>7.8</v>
          </cell>
          <cell r="O4" t="str">
            <v>22:01</v>
          </cell>
          <cell r="P4" t="str">
            <v>23:32</v>
          </cell>
          <cell r="Q4">
            <v>0</v>
          </cell>
          <cell r="R4">
            <v>0</v>
          </cell>
          <cell r="S4">
            <v>4</v>
          </cell>
        </row>
        <row r="5">
          <cell r="B5" t="str">
            <v>0</v>
          </cell>
          <cell r="C5" t="str">
            <v>07</v>
          </cell>
          <cell r="D5" t="str">
            <v>TELENOVELA</v>
          </cell>
          <cell r="E5" t="str">
            <v>BORRON Y CUENTA NUEVA</v>
          </cell>
          <cell r="F5">
            <v>7.6</v>
          </cell>
          <cell r="G5">
            <v>108745</v>
          </cell>
          <cell r="H5">
            <v>6.1</v>
          </cell>
          <cell r="I5">
            <v>7.8</v>
          </cell>
          <cell r="J5">
            <v>8.9</v>
          </cell>
          <cell r="O5" t="str">
            <v>19:34</v>
          </cell>
          <cell r="P5" t="str">
            <v>23:54</v>
          </cell>
          <cell r="Q5">
            <v>0</v>
          </cell>
          <cell r="R5">
            <v>0</v>
          </cell>
          <cell r="S5">
            <v>4</v>
          </cell>
        </row>
        <row r="6">
          <cell r="B6" t="str">
            <v>0</v>
          </cell>
          <cell r="C6" t="str">
            <v>07</v>
          </cell>
          <cell r="D6" t="str">
            <v>INFORMATIVO</v>
          </cell>
          <cell r="E6" t="str">
            <v>EL CATALEJO</v>
          </cell>
          <cell r="F6">
            <v>7.5</v>
          </cell>
          <cell r="G6">
            <v>107538</v>
          </cell>
          <cell r="I6">
            <v>7.5</v>
          </cell>
          <cell r="O6" t="str">
            <v>23:18</v>
          </cell>
          <cell r="P6" t="str">
            <v>00:10</v>
          </cell>
          <cell r="Q6">
            <v>0</v>
          </cell>
          <cell r="R6">
            <v>0</v>
          </cell>
          <cell r="S6">
            <v>1</v>
          </cell>
        </row>
        <row r="7">
          <cell r="B7" t="str">
            <v>0</v>
          </cell>
          <cell r="C7" t="str">
            <v>07</v>
          </cell>
          <cell r="D7" t="str">
            <v>INFORMATIVO</v>
          </cell>
          <cell r="E7" t="str">
            <v>TV TIEMPO</v>
          </cell>
          <cell r="F7">
            <v>7.4</v>
          </cell>
          <cell r="G7">
            <v>105099</v>
          </cell>
          <cell r="H7">
            <v>6.5</v>
          </cell>
          <cell r="I7">
            <v>10.6</v>
          </cell>
          <cell r="J7">
            <v>7.4</v>
          </cell>
          <cell r="K7">
            <v>7.2</v>
          </cell>
          <cell r="L7">
            <v>7.5</v>
          </cell>
          <cell r="M7">
            <v>5.4</v>
          </cell>
          <cell r="N7">
            <v>6.9</v>
          </cell>
          <cell r="O7" t="str">
            <v>21:51</v>
          </cell>
          <cell r="P7" t="str">
            <v>22:08</v>
          </cell>
          <cell r="Q7">
            <v>0</v>
          </cell>
          <cell r="R7">
            <v>0</v>
          </cell>
          <cell r="S7">
            <v>35</v>
          </cell>
        </row>
        <row r="8">
          <cell r="B8" t="str">
            <v>0</v>
          </cell>
          <cell r="C8" t="str">
            <v>07</v>
          </cell>
          <cell r="D8" t="str">
            <v>INFORMATIVO</v>
          </cell>
          <cell r="E8" t="str">
            <v>RED NACIONAL</v>
          </cell>
          <cell r="F8">
            <v>7.2</v>
          </cell>
          <cell r="G8">
            <v>103051</v>
          </cell>
          <cell r="J8">
            <v>7.2</v>
          </cell>
          <cell r="O8" t="str">
            <v>20:59</v>
          </cell>
          <cell r="P8" t="str">
            <v>21:12</v>
          </cell>
          <cell r="Q8">
            <v>0</v>
          </cell>
          <cell r="R8">
            <v>0</v>
          </cell>
          <cell r="S8">
            <v>1</v>
          </cell>
        </row>
        <row r="9">
          <cell r="B9" t="str">
            <v>0</v>
          </cell>
          <cell r="C9" t="str">
            <v>07</v>
          </cell>
          <cell r="D9" t="str">
            <v>CONVERSACION</v>
          </cell>
          <cell r="E9" t="str">
            <v>SUPER SALVAJE</v>
          </cell>
          <cell r="F9">
            <v>7</v>
          </cell>
          <cell r="G9">
            <v>99943</v>
          </cell>
          <cell r="N9">
            <v>7</v>
          </cell>
          <cell r="O9" t="str">
            <v>22:01</v>
          </cell>
          <cell r="P9" t="str">
            <v>00:12</v>
          </cell>
          <cell r="Q9">
            <v>0</v>
          </cell>
          <cell r="R9">
            <v>0</v>
          </cell>
          <cell r="S9">
            <v>5</v>
          </cell>
        </row>
        <row r="10">
          <cell r="B10" t="str">
            <v>0</v>
          </cell>
          <cell r="C10" t="str">
            <v>07</v>
          </cell>
          <cell r="D10" t="str">
            <v>REPORTAJE</v>
          </cell>
          <cell r="E10" t="str">
            <v>INFORME ESPECIAL</v>
          </cell>
          <cell r="F10">
            <v>6.8</v>
          </cell>
          <cell r="G10">
            <v>96699</v>
          </cell>
          <cell r="L10">
            <v>6.8</v>
          </cell>
          <cell r="O10" t="str">
            <v>22:00</v>
          </cell>
          <cell r="P10" t="str">
            <v>23:47</v>
          </cell>
          <cell r="Q10">
            <v>0</v>
          </cell>
          <cell r="R10">
            <v>0</v>
          </cell>
          <cell r="S10">
            <v>4</v>
          </cell>
        </row>
        <row r="11">
          <cell r="B11" t="str">
            <v>0</v>
          </cell>
          <cell r="C11" t="str">
            <v>07</v>
          </cell>
          <cell r="D11" t="str">
            <v>NOTICIERO</v>
          </cell>
          <cell r="E11" t="str">
            <v>24 HORAS</v>
          </cell>
          <cell r="F11">
            <v>6.7</v>
          </cell>
          <cell r="G11">
            <v>96093</v>
          </cell>
          <cell r="H11">
            <v>7.3</v>
          </cell>
          <cell r="I11">
            <v>8</v>
          </cell>
          <cell r="J11">
            <v>7.3</v>
          </cell>
          <cell r="K11">
            <v>6.8</v>
          </cell>
          <cell r="L11">
            <v>6.3</v>
          </cell>
          <cell r="M11">
            <v>5.6</v>
          </cell>
          <cell r="N11">
            <v>5.8</v>
          </cell>
          <cell r="O11" t="str">
            <v>20:57</v>
          </cell>
          <cell r="P11" t="str">
            <v>22:03</v>
          </cell>
          <cell r="Q11">
            <v>0</v>
          </cell>
          <cell r="R11">
            <v>0</v>
          </cell>
          <cell r="S11">
            <v>35</v>
          </cell>
        </row>
        <row r="12">
          <cell r="B12" t="str">
            <v>0</v>
          </cell>
          <cell r="C12" t="str">
            <v>07</v>
          </cell>
          <cell r="D12" t="str">
            <v>REPORTAJE</v>
          </cell>
          <cell r="E12" t="str">
            <v>LOS PATIPERROS</v>
          </cell>
          <cell r="F12">
            <v>4.7</v>
          </cell>
          <cell r="G12">
            <v>66659</v>
          </cell>
          <cell r="K12">
            <v>9.1</v>
          </cell>
          <cell r="M12">
            <v>0.2</v>
          </cell>
          <cell r="O12" t="str">
            <v>12:15</v>
          </cell>
          <cell r="P12" t="str">
            <v>23:22</v>
          </cell>
          <cell r="Q12">
            <v>0</v>
          </cell>
          <cell r="R12">
            <v>0</v>
          </cell>
          <cell r="S12">
            <v>5</v>
          </cell>
        </row>
        <row r="13">
          <cell r="B13" t="str">
            <v>0</v>
          </cell>
          <cell r="C13" t="str">
            <v>07</v>
          </cell>
          <cell r="D13" t="str">
            <v>SERIE</v>
          </cell>
          <cell r="E13" t="str">
            <v>EL VISITANTE</v>
          </cell>
          <cell r="F13">
            <v>4.7</v>
          </cell>
          <cell r="G13">
            <v>67399</v>
          </cell>
          <cell r="I13">
            <v>4.7</v>
          </cell>
          <cell r="O13" t="str">
            <v>23:20</v>
          </cell>
          <cell r="P13" t="str">
            <v>00:34</v>
          </cell>
          <cell r="Q13">
            <v>0</v>
          </cell>
          <cell r="R13">
            <v>0</v>
          </cell>
          <cell r="S13">
            <v>4</v>
          </cell>
        </row>
        <row r="14">
          <cell r="B14" t="str">
            <v>0</v>
          </cell>
          <cell r="C14" t="str">
            <v>07</v>
          </cell>
          <cell r="D14" t="str">
            <v>SERIE</v>
          </cell>
          <cell r="E14" t="str">
            <v>LOS ARCHIVOS SECRETOS X</v>
          </cell>
          <cell r="F14">
            <v>4.5</v>
          </cell>
          <cell r="G14">
            <v>64805</v>
          </cell>
          <cell r="K14">
            <v>4.5</v>
          </cell>
          <cell r="O14" t="str">
            <v>23:06</v>
          </cell>
          <cell r="P14" t="str">
            <v>00:25</v>
          </cell>
          <cell r="Q14">
            <v>0</v>
          </cell>
          <cell r="R14">
            <v>0</v>
          </cell>
          <cell r="S14">
            <v>4</v>
          </cell>
        </row>
        <row r="15">
          <cell r="B15" t="str">
            <v>0</v>
          </cell>
          <cell r="C15" t="str">
            <v>07</v>
          </cell>
          <cell r="D15" t="str">
            <v>TELENOVELA</v>
          </cell>
          <cell r="E15" t="str">
            <v>CAFE CON AROMA DE MUJER</v>
          </cell>
          <cell r="F15">
            <v>4.3</v>
          </cell>
          <cell r="G15">
            <v>61320</v>
          </cell>
          <cell r="H15">
            <v>5.0999999999999996</v>
          </cell>
          <cell r="I15">
            <v>5.4</v>
          </cell>
          <cell r="J15">
            <v>5.0999999999999996</v>
          </cell>
          <cell r="K15">
            <v>1.6</v>
          </cell>
          <cell r="O15" t="str">
            <v>14:46</v>
          </cell>
          <cell r="P15" t="str">
            <v>16:41</v>
          </cell>
          <cell r="Q15">
            <v>0</v>
          </cell>
          <cell r="R15">
            <v>0</v>
          </cell>
          <cell r="S15">
            <v>4</v>
          </cell>
        </row>
        <row r="16">
          <cell r="B16" t="str">
            <v>0</v>
          </cell>
          <cell r="C16" t="str">
            <v>07</v>
          </cell>
          <cell r="D16" t="str">
            <v>P_ESPECIAL</v>
          </cell>
          <cell r="E16" t="str">
            <v>ESPECIAL JAMBOREE</v>
          </cell>
          <cell r="F16">
            <v>4.2</v>
          </cell>
          <cell r="G16">
            <v>59540</v>
          </cell>
          <cell r="H16">
            <v>4.2</v>
          </cell>
          <cell r="O16" t="str">
            <v>22:03</v>
          </cell>
          <cell r="P16" t="str">
            <v>00:05</v>
          </cell>
          <cell r="Q16">
            <v>0</v>
          </cell>
          <cell r="R16">
            <v>0</v>
          </cell>
          <cell r="S16">
            <v>1</v>
          </cell>
        </row>
        <row r="17">
          <cell r="B17" t="str">
            <v>0</v>
          </cell>
          <cell r="C17" t="str">
            <v>07</v>
          </cell>
          <cell r="D17" t="str">
            <v>TELENOVELA</v>
          </cell>
          <cell r="E17" t="str">
            <v>BORRON Y CUENTA NUEVA (R)</v>
          </cell>
          <cell r="F17">
            <v>4.0999999999999996</v>
          </cell>
          <cell r="G17">
            <v>59271</v>
          </cell>
          <cell r="K17">
            <v>4.0999999999999996</v>
          </cell>
          <cell r="O17" t="str">
            <v>19:19</v>
          </cell>
          <cell r="P17" t="str">
            <v>20:57</v>
          </cell>
          <cell r="Q17">
            <v>0</v>
          </cell>
          <cell r="R17">
            <v>0</v>
          </cell>
          <cell r="S17">
            <v>1</v>
          </cell>
        </row>
        <row r="18">
          <cell r="B18" t="str">
            <v>0</v>
          </cell>
          <cell r="C18" t="str">
            <v>07</v>
          </cell>
          <cell r="D18" t="str">
            <v>SERIE</v>
          </cell>
          <cell r="E18" t="str">
            <v>BUFFY LA CAZA VAMPIROS</v>
          </cell>
          <cell r="F18">
            <v>4</v>
          </cell>
          <cell r="G18">
            <v>57528</v>
          </cell>
          <cell r="M18">
            <v>4</v>
          </cell>
          <cell r="O18" t="str">
            <v>21:55</v>
          </cell>
          <cell r="P18" t="str">
            <v>23:15</v>
          </cell>
          <cell r="Q18">
            <v>0</v>
          </cell>
          <cell r="R18">
            <v>0</v>
          </cell>
          <cell r="S18">
            <v>4</v>
          </cell>
        </row>
        <row r="19">
          <cell r="B19" t="str">
            <v>0</v>
          </cell>
          <cell r="C19" t="str">
            <v>07</v>
          </cell>
          <cell r="D19" t="str">
            <v>INFORMATIVO</v>
          </cell>
          <cell r="E19" t="str">
            <v>MEDIA NOCHE</v>
          </cell>
          <cell r="F19">
            <v>4</v>
          </cell>
          <cell r="G19">
            <v>57421</v>
          </cell>
          <cell r="H19">
            <v>3.8</v>
          </cell>
          <cell r="I19">
            <v>4.7</v>
          </cell>
          <cell r="J19">
            <v>5.8</v>
          </cell>
          <cell r="K19">
            <v>4.4000000000000004</v>
          </cell>
          <cell r="L19">
            <v>3.5</v>
          </cell>
          <cell r="M19">
            <v>1.8</v>
          </cell>
          <cell r="O19" t="str">
            <v>23:42</v>
          </cell>
          <cell r="P19" t="str">
            <v>01:45</v>
          </cell>
          <cell r="Q19">
            <v>0</v>
          </cell>
          <cell r="R19">
            <v>0</v>
          </cell>
          <cell r="S19">
            <v>28</v>
          </cell>
        </row>
        <row r="20">
          <cell r="B20" t="str">
            <v>0</v>
          </cell>
          <cell r="C20" t="str">
            <v>07</v>
          </cell>
          <cell r="D20" t="str">
            <v>TELENOVELA</v>
          </cell>
          <cell r="E20" t="str">
            <v>ESTUPIDO CUPIDO</v>
          </cell>
          <cell r="F20">
            <v>3.6</v>
          </cell>
          <cell r="G20">
            <v>51805</v>
          </cell>
          <cell r="H20">
            <v>4.2</v>
          </cell>
          <cell r="I20">
            <v>3.9</v>
          </cell>
          <cell r="J20">
            <v>4</v>
          </cell>
          <cell r="K20">
            <v>3.8</v>
          </cell>
          <cell r="L20">
            <v>4</v>
          </cell>
          <cell r="M20">
            <v>2.2999999999999998</v>
          </cell>
          <cell r="N20">
            <v>3.2</v>
          </cell>
          <cell r="O20" t="str">
            <v>18:50</v>
          </cell>
          <cell r="P20" t="str">
            <v>20:59</v>
          </cell>
          <cell r="Q20">
            <v>0</v>
          </cell>
          <cell r="R20">
            <v>0</v>
          </cell>
          <cell r="S20">
            <v>22</v>
          </cell>
        </row>
        <row r="21">
          <cell r="B21" t="str">
            <v>0</v>
          </cell>
          <cell r="C21" t="str">
            <v>07</v>
          </cell>
          <cell r="D21" t="str">
            <v>MISCELANEO</v>
          </cell>
          <cell r="E21" t="str">
            <v>BUENOS DIAS A TODOS (A)</v>
          </cell>
          <cell r="F21">
            <v>3.6</v>
          </cell>
          <cell r="G21">
            <v>51845</v>
          </cell>
          <cell r="H21">
            <v>3.4</v>
          </cell>
          <cell r="I21">
            <v>3.6</v>
          </cell>
          <cell r="J21">
            <v>3.9</v>
          </cell>
          <cell r="K21">
            <v>3.8</v>
          </cell>
          <cell r="L21">
            <v>3.5</v>
          </cell>
          <cell r="O21" t="str">
            <v>07:59</v>
          </cell>
          <cell r="P21" t="str">
            <v>08:59</v>
          </cell>
          <cell r="Q21">
            <v>0</v>
          </cell>
          <cell r="R21">
            <v>0</v>
          </cell>
          <cell r="S21">
            <v>24</v>
          </cell>
        </row>
        <row r="22">
          <cell r="B22" t="str">
            <v>0</v>
          </cell>
          <cell r="C22" t="str">
            <v>09</v>
          </cell>
          <cell r="D22" t="str">
            <v>HUMOR</v>
          </cell>
          <cell r="E22" t="str">
            <v>JAPPENING CON JA</v>
          </cell>
          <cell r="F22">
            <v>8.8000000000000007</v>
          </cell>
          <cell r="G22">
            <v>126479</v>
          </cell>
          <cell r="I22">
            <v>8.8000000000000007</v>
          </cell>
          <cell r="O22" t="str">
            <v>22:03</v>
          </cell>
          <cell r="P22" t="str">
            <v>23:47</v>
          </cell>
          <cell r="Q22">
            <v>0</v>
          </cell>
          <cell r="R22">
            <v>0</v>
          </cell>
          <cell r="S22">
            <v>1</v>
          </cell>
        </row>
        <row r="23">
          <cell r="B23" t="str">
            <v>0</v>
          </cell>
          <cell r="C23" t="str">
            <v>09</v>
          </cell>
          <cell r="D23" t="str">
            <v>TELENOVELA</v>
          </cell>
          <cell r="E23" t="str">
            <v>LA USURPADORA</v>
          </cell>
          <cell r="F23">
            <v>7</v>
          </cell>
          <cell r="G23">
            <v>99716</v>
          </cell>
          <cell r="H23">
            <v>7.3</v>
          </cell>
          <cell r="I23">
            <v>7.2</v>
          </cell>
          <cell r="J23">
            <v>5.9</v>
          </cell>
          <cell r="K23">
            <v>7.6</v>
          </cell>
          <cell r="O23" t="str">
            <v>14:42</v>
          </cell>
          <cell r="P23" t="str">
            <v>15:44</v>
          </cell>
          <cell r="Q23">
            <v>0</v>
          </cell>
          <cell r="R23">
            <v>0</v>
          </cell>
          <cell r="S23">
            <v>4</v>
          </cell>
        </row>
        <row r="24">
          <cell r="B24" t="str">
            <v>0</v>
          </cell>
          <cell r="C24" t="str">
            <v>09</v>
          </cell>
          <cell r="D24" t="str">
            <v>TELENOVELA</v>
          </cell>
          <cell r="E24" t="str">
            <v>LA USURPADORA (R)</v>
          </cell>
          <cell r="F24">
            <v>6.2</v>
          </cell>
          <cell r="G24">
            <v>88471</v>
          </cell>
          <cell r="L24">
            <v>6.2</v>
          </cell>
          <cell r="O24" t="str">
            <v>14:46</v>
          </cell>
          <cell r="P24" t="str">
            <v>17:03</v>
          </cell>
          <cell r="Q24">
            <v>0</v>
          </cell>
          <cell r="R24">
            <v>0</v>
          </cell>
          <cell r="S24">
            <v>1</v>
          </cell>
        </row>
        <row r="25">
          <cell r="B25" t="str">
            <v>0</v>
          </cell>
          <cell r="C25" t="str">
            <v>09</v>
          </cell>
          <cell r="D25" t="str">
            <v>CONCURSO</v>
          </cell>
          <cell r="E25" t="str">
            <v>VIDEOS Y PENITENCIA</v>
          </cell>
          <cell r="F25">
            <v>5.6</v>
          </cell>
          <cell r="G25">
            <v>80691</v>
          </cell>
          <cell r="J25">
            <v>5.6</v>
          </cell>
          <cell r="O25" t="str">
            <v>22:02</v>
          </cell>
          <cell r="P25" t="str">
            <v>00:04</v>
          </cell>
          <cell r="Q25">
            <v>0</v>
          </cell>
          <cell r="R25">
            <v>0</v>
          </cell>
          <cell r="S25">
            <v>3</v>
          </cell>
        </row>
        <row r="26">
          <cell r="B26" t="str">
            <v>0</v>
          </cell>
          <cell r="C26" t="str">
            <v>09</v>
          </cell>
          <cell r="D26" t="str">
            <v>TELENOVELA</v>
          </cell>
          <cell r="E26" t="str">
            <v>ALGUNA VEZ TENDREMOS ALAS</v>
          </cell>
          <cell r="F26">
            <v>4.8</v>
          </cell>
          <cell r="G26">
            <v>68613</v>
          </cell>
          <cell r="H26">
            <v>5.9</v>
          </cell>
          <cell r="I26">
            <v>4.8</v>
          </cell>
          <cell r="J26">
            <v>4.5999999999999996</v>
          </cell>
          <cell r="K26">
            <v>5.6</v>
          </cell>
          <cell r="L26">
            <v>3.1</v>
          </cell>
          <cell r="O26" t="str">
            <v>13:58</v>
          </cell>
          <cell r="P26" t="str">
            <v>14:59</v>
          </cell>
          <cell r="Q26">
            <v>0</v>
          </cell>
          <cell r="R26">
            <v>0</v>
          </cell>
          <cell r="S26">
            <v>14</v>
          </cell>
        </row>
        <row r="27">
          <cell r="B27" t="str">
            <v>0</v>
          </cell>
          <cell r="C27" t="str">
            <v>09</v>
          </cell>
          <cell r="D27" t="str">
            <v>TELENOVELA</v>
          </cell>
          <cell r="E27" t="str">
            <v>ALGUNA VEZ TENDREMOS ALAS (R)</v>
          </cell>
          <cell r="F27">
            <v>4.0999999999999996</v>
          </cell>
          <cell r="G27">
            <v>59159</v>
          </cell>
          <cell r="L27">
            <v>4.0999999999999996</v>
          </cell>
          <cell r="O27" t="str">
            <v>14:02</v>
          </cell>
          <cell r="P27" t="str">
            <v>14:46</v>
          </cell>
          <cell r="Q27">
            <v>0</v>
          </cell>
          <cell r="R27">
            <v>0</v>
          </cell>
          <cell r="S27">
            <v>1</v>
          </cell>
        </row>
        <row r="28">
          <cell r="B28" t="str">
            <v>0</v>
          </cell>
          <cell r="C28" t="str">
            <v>09</v>
          </cell>
          <cell r="D28" t="str">
            <v>PELICULA</v>
          </cell>
          <cell r="E28" t="str">
            <v>GRANDES ESTRENOS</v>
          </cell>
          <cell r="F28">
            <v>3.9</v>
          </cell>
          <cell r="G28">
            <v>55165</v>
          </cell>
          <cell r="N28">
            <v>3.9</v>
          </cell>
          <cell r="O28" t="str">
            <v>21:56</v>
          </cell>
          <cell r="P28" t="str">
            <v>23:55</v>
          </cell>
          <cell r="Q28">
            <v>0</v>
          </cell>
          <cell r="R28">
            <v>0</v>
          </cell>
          <cell r="S28">
            <v>5</v>
          </cell>
        </row>
        <row r="29">
          <cell r="B29" t="str">
            <v>0</v>
          </cell>
          <cell r="C29" t="str">
            <v>09</v>
          </cell>
          <cell r="D29" t="str">
            <v>MISCELANEO</v>
          </cell>
          <cell r="E29" t="str">
            <v>BUENAS TARDES ELI</v>
          </cell>
          <cell r="F29">
            <v>3.8</v>
          </cell>
          <cell r="G29">
            <v>54508</v>
          </cell>
          <cell r="H29">
            <v>3.8</v>
          </cell>
          <cell r="I29">
            <v>3.2</v>
          </cell>
          <cell r="J29">
            <v>4.3</v>
          </cell>
          <cell r="K29">
            <v>4</v>
          </cell>
          <cell r="O29" t="str">
            <v>15:44</v>
          </cell>
          <cell r="P29" t="str">
            <v>17:08</v>
          </cell>
          <cell r="Q29">
            <v>0</v>
          </cell>
          <cell r="R29">
            <v>0</v>
          </cell>
          <cell r="S29">
            <v>4</v>
          </cell>
        </row>
        <row r="30">
          <cell r="B30" t="str">
            <v>0</v>
          </cell>
          <cell r="C30" t="str">
            <v>09</v>
          </cell>
          <cell r="D30" t="str">
            <v>NOTICIERO</v>
          </cell>
          <cell r="E30" t="str">
            <v>MEGANOTICIAS</v>
          </cell>
          <cell r="F30">
            <v>3.5</v>
          </cell>
          <cell r="G30">
            <v>50394</v>
          </cell>
          <cell r="H30">
            <v>3.2</v>
          </cell>
          <cell r="I30">
            <v>3.7</v>
          </cell>
          <cell r="J30">
            <v>3.6</v>
          </cell>
          <cell r="K30">
            <v>3.9</v>
          </cell>
          <cell r="L30">
            <v>3.3</v>
          </cell>
          <cell r="O30" t="str">
            <v>20:58</v>
          </cell>
          <cell r="P30" t="str">
            <v>22:10</v>
          </cell>
          <cell r="Q30">
            <v>0</v>
          </cell>
          <cell r="R30">
            <v>0</v>
          </cell>
          <cell r="S30">
            <v>25</v>
          </cell>
        </row>
        <row r="31">
          <cell r="B31" t="str">
            <v>0</v>
          </cell>
          <cell r="C31" t="str">
            <v>09</v>
          </cell>
          <cell r="D31" t="str">
            <v>NOTICIERO</v>
          </cell>
          <cell r="E31" t="str">
            <v>MEGANOTICIAS HORA CERO</v>
          </cell>
          <cell r="F31">
            <v>3.3</v>
          </cell>
          <cell r="G31">
            <v>47539</v>
          </cell>
          <cell r="H31">
            <v>2.9</v>
          </cell>
          <cell r="I31">
            <v>3.8</v>
          </cell>
          <cell r="J31">
            <v>4.3</v>
          </cell>
          <cell r="K31">
            <v>2.5</v>
          </cell>
          <cell r="L31">
            <v>3.2</v>
          </cell>
          <cell r="O31" t="str">
            <v>23:57</v>
          </cell>
          <cell r="P31" t="str">
            <v>00:23</v>
          </cell>
          <cell r="Q31">
            <v>0</v>
          </cell>
          <cell r="R31">
            <v>0</v>
          </cell>
          <cell r="S31">
            <v>23</v>
          </cell>
        </row>
        <row r="32">
          <cell r="B32" t="str">
            <v>0</v>
          </cell>
          <cell r="C32" t="str">
            <v>09</v>
          </cell>
          <cell r="D32" t="str">
            <v>INFORMATIVO</v>
          </cell>
          <cell r="E32" t="str">
            <v>EL TIEMPO (R)</v>
          </cell>
          <cell r="F32">
            <v>3.2</v>
          </cell>
          <cell r="G32">
            <v>45632</v>
          </cell>
          <cell r="H32">
            <v>2.9</v>
          </cell>
          <cell r="I32">
            <v>2.9</v>
          </cell>
          <cell r="J32">
            <v>3.6</v>
          </cell>
          <cell r="K32">
            <v>3.2</v>
          </cell>
          <cell r="L32">
            <v>3.3</v>
          </cell>
          <cell r="O32" t="str">
            <v>00:08</v>
          </cell>
          <cell r="P32" t="str">
            <v>00:26</v>
          </cell>
          <cell r="Q32">
            <v>0</v>
          </cell>
          <cell r="R32">
            <v>0</v>
          </cell>
          <cell r="S32">
            <v>22</v>
          </cell>
        </row>
        <row r="33">
          <cell r="B33" t="str">
            <v>0</v>
          </cell>
          <cell r="C33" t="str">
            <v>09</v>
          </cell>
          <cell r="D33" t="str">
            <v>PELICULA</v>
          </cell>
          <cell r="E33" t="str">
            <v>HECHOS DE LA VIDA REAL</v>
          </cell>
          <cell r="F33">
            <v>3.1</v>
          </cell>
          <cell r="G33">
            <v>44407</v>
          </cell>
          <cell r="I33">
            <v>3.1</v>
          </cell>
          <cell r="O33" t="str">
            <v>22:02</v>
          </cell>
          <cell r="P33" t="str">
            <v>00:52</v>
          </cell>
          <cell r="Q33">
            <v>0</v>
          </cell>
          <cell r="R33">
            <v>0</v>
          </cell>
          <cell r="S33">
            <v>4</v>
          </cell>
        </row>
        <row r="34">
          <cell r="B34" t="str">
            <v>0</v>
          </cell>
          <cell r="C34" t="str">
            <v>09</v>
          </cell>
          <cell r="D34" t="str">
            <v>SERIE</v>
          </cell>
          <cell r="E34" t="str">
            <v>MILAGROS</v>
          </cell>
          <cell r="F34">
            <v>3.1</v>
          </cell>
          <cell r="G34">
            <v>43595</v>
          </cell>
          <cell r="H34">
            <v>3.1</v>
          </cell>
          <cell r="O34" t="str">
            <v>22:02</v>
          </cell>
          <cell r="P34" t="str">
            <v>23:02</v>
          </cell>
          <cell r="Q34">
            <v>0</v>
          </cell>
          <cell r="R34">
            <v>0</v>
          </cell>
          <cell r="S34">
            <v>4</v>
          </cell>
        </row>
        <row r="35">
          <cell r="B35" t="str">
            <v>0</v>
          </cell>
          <cell r="C35" t="str">
            <v>09</v>
          </cell>
          <cell r="D35" t="str">
            <v>TELENOVELA</v>
          </cell>
          <cell r="E35" t="str">
            <v>MARIA MERCEDES</v>
          </cell>
          <cell r="F35">
            <v>3</v>
          </cell>
          <cell r="G35">
            <v>43052</v>
          </cell>
          <cell r="H35">
            <v>3.1</v>
          </cell>
          <cell r="I35">
            <v>3.1</v>
          </cell>
          <cell r="J35">
            <v>3.1</v>
          </cell>
          <cell r="K35">
            <v>3</v>
          </cell>
          <cell r="L35">
            <v>2.8</v>
          </cell>
          <cell r="O35" t="str">
            <v>19:48</v>
          </cell>
          <cell r="P35" t="str">
            <v>20:59</v>
          </cell>
          <cell r="Q35">
            <v>0</v>
          </cell>
          <cell r="R35">
            <v>0</v>
          </cell>
          <cell r="S35">
            <v>25</v>
          </cell>
        </row>
        <row r="36">
          <cell r="B36" t="str">
            <v>0</v>
          </cell>
          <cell r="C36" t="str">
            <v>09</v>
          </cell>
          <cell r="D36" t="str">
            <v>D_ANIMADOS</v>
          </cell>
          <cell r="E36" t="str">
            <v>CONFIDENTE DE SECUNDARIA</v>
          </cell>
          <cell r="F36">
            <v>2.9</v>
          </cell>
          <cell r="G36">
            <v>41554</v>
          </cell>
          <cell r="H36">
            <v>3</v>
          </cell>
          <cell r="I36">
            <v>2.4</v>
          </cell>
          <cell r="J36">
            <v>2.7</v>
          </cell>
          <cell r="K36">
            <v>3.3</v>
          </cell>
          <cell r="L36">
            <v>3.1</v>
          </cell>
          <cell r="O36" t="str">
            <v>14:47</v>
          </cell>
          <cell r="P36" t="str">
            <v>16:43</v>
          </cell>
          <cell r="Q36">
            <v>0</v>
          </cell>
          <cell r="R36">
            <v>0</v>
          </cell>
          <cell r="S36">
            <v>20</v>
          </cell>
        </row>
        <row r="37">
          <cell r="B37" t="str">
            <v>0</v>
          </cell>
          <cell r="C37" t="str">
            <v>09</v>
          </cell>
          <cell r="D37" t="str">
            <v>PELICULA</v>
          </cell>
          <cell r="E37" t="str">
            <v>AVANT PREMIER</v>
          </cell>
          <cell r="F37">
            <v>2.9</v>
          </cell>
          <cell r="G37">
            <v>41162</v>
          </cell>
          <cell r="L37">
            <v>2.9</v>
          </cell>
          <cell r="O37" t="str">
            <v>21:58</v>
          </cell>
          <cell r="P37" t="str">
            <v>23:58</v>
          </cell>
          <cell r="Q37">
            <v>0</v>
          </cell>
          <cell r="R37">
            <v>0</v>
          </cell>
          <cell r="S37">
            <v>5</v>
          </cell>
        </row>
        <row r="38">
          <cell r="B38" t="str">
            <v>0</v>
          </cell>
          <cell r="C38" t="str">
            <v>09</v>
          </cell>
          <cell r="D38" t="str">
            <v>NOTICIERO</v>
          </cell>
          <cell r="E38" t="str">
            <v>MEGANOTICIAS SINTESIS DOMINGO</v>
          </cell>
          <cell r="F38">
            <v>2.9</v>
          </cell>
          <cell r="G38">
            <v>40972</v>
          </cell>
          <cell r="N38">
            <v>2.9</v>
          </cell>
          <cell r="O38" t="str">
            <v>20:57</v>
          </cell>
          <cell r="P38" t="str">
            <v>21:52</v>
          </cell>
          <cell r="Q38">
            <v>0</v>
          </cell>
          <cell r="R38">
            <v>0</v>
          </cell>
          <cell r="S38">
            <v>5</v>
          </cell>
        </row>
        <row r="39">
          <cell r="B39" t="str">
            <v>0</v>
          </cell>
          <cell r="C39" t="str">
            <v>09</v>
          </cell>
          <cell r="D39" t="str">
            <v>SERIE</v>
          </cell>
          <cell r="E39" t="str">
            <v>GUANTES DE SEDA</v>
          </cell>
          <cell r="F39">
            <v>2.8</v>
          </cell>
          <cell r="G39">
            <v>39943</v>
          </cell>
          <cell r="H39">
            <v>3.7</v>
          </cell>
          <cell r="I39">
            <v>4.2</v>
          </cell>
          <cell r="J39">
            <v>3.5</v>
          </cell>
          <cell r="K39">
            <v>0.8</v>
          </cell>
          <cell r="L39">
            <v>1.9</v>
          </cell>
          <cell r="O39" t="str">
            <v>23:08</v>
          </cell>
          <cell r="P39" t="str">
            <v>01:28</v>
          </cell>
          <cell r="Q39">
            <v>0</v>
          </cell>
          <cell r="R39">
            <v>0</v>
          </cell>
          <cell r="S39">
            <v>5</v>
          </cell>
        </row>
        <row r="40">
          <cell r="B40" t="str">
            <v>0</v>
          </cell>
          <cell r="C40" t="str">
            <v>09</v>
          </cell>
          <cell r="D40" t="str">
            <v>INFORMATIVO</v>
          </cell>
          <cell r="E40" t="str">
            <v>EL TIEMPO</v>
          </cell>
          <cell r="F40">
            <v>2.6</v>
          </cell>
          <cell r="G40">
            <v>36983</v>
          </cell>
          <cell r="H40">
            <v>2.7</v>
          </cell>
          <cell r="I40">
            <v>2.1</v>
          </cell>
          <cell r="J40">
            <v>3</v>
          </cell>
          <cell r="K40">
            <v>3</v>
          </cell>
          <cell r="L40">
            <v>2.5</v>
          </cell>
          <cell r="M40">
            <v>1.6</v>
          </cell>
          <cell r="N40">
            <v>3.1</v>
          </cell>
          <cell r="O40" t="str">
            <v>21:50</v>
          </cell>
          <cell r="P40" t="str">
            <v>22:15</v>
          </cell>
          <cell r="Q40">
            <v>0</v>
          </cell>
          <cell r="R40">
            <v>0</v>
          </cell>
          <cell r="S40">
            <v>35</v>
          </cell>
        </row>
        <row r="41">
          <cell r="B41" t="str">
            <v>0</v>
          </cell>
          <cell r="C41" t="str">
            <v>09</v>
          </cell>
          <cell r="D41" t="str">
            <v>TELENOVELA</v>
          </cell>
          <cell r="E41" t="str">
            <v>SIN TI</v>
          </cell>
          <cell r="F41">
            <v>2.6</v>
          </cell>
          <cell r="G41">
            <v>36652</v>
          </cell>
          <cell r="H41">
            <v>2.4</v>
          </cell>
          <cell r="I41">
            <v>2</v>
          </cell>
          <cell r="J41">
            <v>2.2000000000000002</v>
          </cell>
          <cell r="K41">
            <v>3.7</v>
          </cell>
          <cell r="L41">
            <v>2.5</v>
          </cell>
          <cell r="O41" t="str">
            <v>14:00</v>
          </cell>
          <cell r="P41" t="str">
            <v>14:58</v>
          </cell>
          <cell r="Q41">
            <v>0</v>
          </cell>
          <cell r="R41">
            <v>0</v>
          </cell>
          <cell r="S41">
            <v>10</v>
          </cell>
        </row>
        <row r="42">
          <cell r="B42" t="str">
            <v>0</v>
          </cell>
          <cell r="C42" t="str">
            <v>11</v>
          </cell>
          <cell r="D42" t="str">
            <v>CONVERSACION</v>
          </cell>
          <cell r="E42" t="str">
            <v>DE AQUI NO SALE</v>
          </cell>
          <cell r="F42">
            <v>5.8</v>
          </cell>
          <cell r="G42">
            <v>83146</v>
          </cell>
          <cell r="J42">
            <v>5.8</v>
          </cell>
          <cell r="O42" t="str">
            <v>22:03</v>
          </cell>
          <cell r="P42" t="str">
            <v>00:22</v>
          </cell>
          <cell r="Q42">
            <v>0</v>
          </cell>
          <cell r="R42">
            <v>0</v>
          </cell>
          <cell r="S42">
            <v>4</v>
          </cell>
        </row>
        <row r="43">
          <cell r="B43" t="str">
            <v>0</v>
          </cell>
          <cell r="C43" t="str">
            <v>11</v>
          </cell>
          <cell r="D43" t="str">
            <v>SERIE</v>
          </cell>
          <cell r="E43" t="str">
            <v>MILLENIUM</v>
          </cell>
          <cell r="F43">
            <v>4.3</v>
          </cell>
          <cell r="G43">
            <v>62087</v>
          </cell>
          <cell r="L43">
            <v>4.3</v>
          </cell>
          <cell r="O43" t="str">
            <v>23:51</v>
          </cell>
          <cell r="P43" t="str">
            <v>00:39</v>
          </cell>
          <cell r="Q43">
            <v>0</v>
          </cell>
          <cell r="R43">
            <v>0</v>
          </cell>
          <cell r="S43">
            <v>1</v>
          </cell>
        </row>
        <row r="44">
          <cell r="B44" t="str">
            <v>0</v>
          </cell>
          <cell r="C44" t="str">
            <v>11</v>
          </cell>
          <cell r="D44" t="str">
            <v>PELICULA</v>
          </cell>
          <cell r="E44" t="str">
            <v>CINE ACCION</v>
          </cell>
          <cell r="F44">
            <v>3.9</v>
          </cell>
          <cell r="G44">
            <v>55085</v>
          </cell>
          <cell r="L44">
            <v>3.9</v>
          </cell>
          <cell r="O44" t="str">
            <v>22:13</v>
          </cell>
          <cell r="P44" t="str">
            <v>23:50</v>
          </cell>
          <cell r="Q44">
            <v>0</v>
          </cell>
          <cell r="R44">
            <v>0</v>
          </cell>
          <cell r="S44">
            <v>1</v>
          </cell>
        </row>
        <row r="45">
          <cell r="B45" t="str">
            <v>0</v>
          </cell>
          <cell r="C45" t="str">
            <v>11</v>
          </cell>
          <cell r="D45" t="str">
            <v>SERIE</v>
          </cell>
          <cell r="E45" t="str">
            <v>DE ANGELES Y MISTERIOS</v>
          </cell>
          <cell r="F45">
            <v>3</v>
          </cell>
          <cell r="G45">
            <v>42229</v>
          </cell>
          <cell r="L45">
            <v>3</v>
          </cell>
          <cell r="O45" t="str">
            <v>21:59</v>
          </cell>
          <cell r="P45" t="str">
            <v>23:11</v>
          </cell>
          <cell r="Q45">
            <v>0</v>
          </cell>
          <cell r="R45">
            <v>0</v>
          </cell>
          <cell r="S45">
            <v>4</v>
          </cell>
        </row>
        <row r="46">
          <cell r="B46" t="str">
            <v>0</v>
          </cell>
          <cell r="C46" t="str">
            <v>11</v>
          </cell>
          <cell r="D46" t="str">
            <v>PELICULA</v>
          </cell>
          <cell r="E46" t="str">
            <v>CINE AVENTURA</v>
          </cell>
          <cell r="F46">
            <v>3</v>
          </cell>
          <cell r="G46">
            <v>42208</v>
          </cell>
          <cell r="M46">
            <v>3</v>
          </cell>
          <cell r="O46" t="str">
            <v>16:10</v>
          </cell>
          <cell r="P46" t="str">
            <v>17:53</v>
          </cell>
          <cell r="Q46">
            <v>0</v>
          </cell>
          <cell r="R46">
            <v>0</v>
          </cell>
          <cell r="S46">
            <v>1</v>
          </cell>
        </row>
        <row r="47">
          <cell r="B47" t="str">
            <v>0</v>
          </cell>
          <cell r="C47" t="str">
            <v>11</v>
          </cell>
          <cell r="D47" t="str">
            <v>HUMOR</v>
          </cell>
          <cell r="E47" t="str">
            <v>TV CONDORO NIGHTS</v>
          </cell>
          <cell r="F47">
            <v>3</v>
          </cell>
          <cell r="G47">
            <v>42999</v>
          </cell>
          <cell r="H47">
            <v>3</v>
          </cell>
          <cell r="O47" t="str">
            <v>22:01</v>
          </cell>
          <cell r="P47" t="str">
            <v>23:09</v>
          </cell>
          <cell r="Q47">
            <v>0</v>
          </cell>
          <cell r="R47">
            <v>0</v>
          </cell>
          <cell r="S47">
            <v>5</v>
          </cell>
        </row>
        <row r="48">
          <cell r="B48" t="str">
            <v>0</v>
          </cell>
          <cell r="C48" t="str">
            <v>11</v>
          </cell>
          <cell r="D48" t="str">
            <v>PELICULA</v>
          </cell>
          <cell r="E48" t="str">
            <v>CINE DE TRASNOCHE</v>
          </cell>
          <cell r="F48">
            <v>2.9</v>
          </cell>
          <cell r="G48">
            <v>42069</v>
          </cell>
          <cell r="N48">
            <v>2.9</v>
          </cell>
          <cell r="O48" t="str">
            <v>00:11</v>
          </cell>
          <cell r="P48" t="str">
            <v>01:45</v>
          </cell>
          <cell r="Q48">
            <v>0</v>
          </cell>
          <cell r="R48">
            <v>0</v>
          </cell>
          <cell r="S48">
            <v>1</v>
          </cell>
        </row>
        <row r="49">
          <cell r="B49" t="str">
            <v>0</v>
          </cell>
          <cell r="C49" t="str">
            <v>11</v>
          </cell>
          <cell r="D49" t="str">
            <v>REPORTAJE</v>
          </cell>
          <cell r="E49" t="str">
            <v>LAS VUELTAS DE LA VIDA</v>
          </cell>
          <cell r="F49">
            <v>2.8</v>
          </cell>
          <cell r="G49">
            <v>40155</v>
          </cell>
          <cell r="L49">
            <v>2.8</v>
          </cell>
          <cell r="O49" t="str">
            <v>23:09</v>
          </cell>
          <cell r="P49" t="str">
            <v>00:14</v>
          </cell>
          <cell r="Q49">
            <v>0</v>
          </cell>
          <cell r="R49">
            <v>0</v>
          </cell>
          <cell r="S49">
            <v>4</v>
          </cell>
        </row>
        <row r="50">
          <cell r="B50" t="str">
            <v>0</v>
          </cell>
          <cell r="C50" t="str">
            <v>11</v>
          </cell>
          <cell r="D50" t="str">
            <v>POLITICO</v>
          </cell>
          <cell r="E50" t="str">
            <v>A PROPOSITO</v>
          </cell>
          <cell r="F50">
            <v>2.6</v>
          </cell>
          <cell r="G50">
            <v>37456</v>
          </cell>
          <cell r="N50">
            <v>2.6</v>
          </cell>
          <cell r="O50" t="str">
            <v>22:05</v>
          </cell>
          <cell r="P50" t="str">
            <v>23:14</v>
          </cell>
          <cell r="Q50">
            <v>0</v>
          </cell>
          <cell r="R50">
            <v>0</v>
          </cell>
          <cell r="S50">
            <v>1</v>
          </cell>
        </row>
        <row r="51">
          <cell r="B51" t="str">
            <v>0</v>
          </cell>
          <cell r="C51" t="str">
            <v>11</v>
          </cell>
          <cell r="D51" t="str">
            <v>JUVENIL</v>
          </cell>
          <cell r="E51" t="str">
            <v>LUNATICOS</v>
          </cell>
          <cell r="F51">
            <v>2.5</v>
          </cell>
          <cell r="G51">
            <v>36000</v>
          </cell>
          <cell r="M51">
            <v>2.5</v>
          </cell>
          <cell r="O51" t="str">
            <v>23:41</v>
          </cell>
          <cell r="P51" t="str">
            <v>01:37</v>
          </cell>
          <cell r="Q51">
            <v>0</v>
          </cell>
          <cell r="R51">
            <v>0</v>
          </cell>
          <cell r="S51">
            <v>5</v>
          </cell>
        </row>
        <row r="52">
          <cell r="B52" t="str">
            <v>0</v>
          </cell>
          <cell r="C52" t="str">
            <v>11</v>
          </cell>
          <cell r="D52" t="str">
            <v>SERIE</v>
          </cell>
          <cell r="E52" t="str">
            <v>LAS FACETAS DEL AMOR</v>
          </cell>
          <cell r="F52">
            <v>2.5</v>
          </cell>
          <cell r="G52">
            <v>35990</v>
          </cell>
          <cell r="I52">
            <v>2.5</v>
          </cell>
          <cell r="O52" t="str">
            <v>22:03</v>
          </cell>
          <cell r="P52" t="str">
            <v>23:43</v>
          </cell>
          <cell r="Q52">
            <v>0</v>
          </cell>
          <cell r="R52">
            <v>0</v>
          </cell>
          <cell r="S52">
            <v>4</v>
          </cell>
        </row>
        <row r="53">
          <cell r="B53" t="str">
            <v>0</v>
          </cell>
          <cell r="C53" t="str">
            <v>11</v>
          </cell>
          <cell r="D53" t="str">
            <v>PELICULA</v>
          </cell>
          <cell r="E53" t="str">
            <v>GRAN PREMIER</v>
          </cell>
          <cell r="F53">
            <v>2.4</v>
          </cell>
          <cell r="G53">
            <v>34658</v>
          </cell>
          <cell r="K53">
            <v>2.4</v>
          </cell>
          <cell r="O53" t="str">
            <v>22:00</v>
          </cell>
          <cell r="P53" t="str">
            <v>00:01</v>
          </cell>
          <cell r="Q53">
            <v>0</v>
          </cell>
          <cell r="R53">
            <v>0</v>
          </cell>
          <cell r="S53">
            <v>4</v>
          </cell>
        </row>
        <row r="54">
          <cell r="B54" t="str">
            <v>0</v>
          </cell>
          <cell r="C54" t="str">
            <v>11</v>
          </cell>
          <cell r="D54" t="str">
            <v>INFORMATIVO</v>
          </cell>
          <cell r="E54" t="str">
            <v>EL TIEMPO EN CHV (C)</v>
          </cell>
          <cell r="F54">
            <v>2.2000000000000002</v>
          </cell>
          <cell r="G54">
            <v>31325</v>
          </cell>
          <cell r="H54">
            <v>2.2000000000000002</v>
          </cell>
          <cell r="I54">
            <v>2.4</v>
          </cell>
          <cell r="J54">
            <v>2.5</v>
          </cell>
          <cell r="K54">
            <v>2.2000000000000002</v>
          </cell>
          <cell r="L54">
            <v>2.1</v>
          </cell>
          <cell r="M54">
            <v>2</v>
          </cell>
          <cell r="N54">
            <v>1.9</v>
          </cell>
          <cell r="O54" t="str">
            <v>21:58</v>
          </cell>
          <cell r="P54" t="str">
            <v>22:09</v>
          </cell>
          <cell r="Q54">
            <v>0</v>
          </cell>
          <cell r="R54">
            <v>0</v>
          </cell>
          <cell r="S54">
            <v>35</v>
          </cell>
        </row>
        <row r="55">
          <cell r="B55" t="str">
            <v>0</v>
          </cell>
          <cell r="C55" t="str">
            <v>11</v>
          </cell>
          <cell r="D55" t="str">
            <v>CONVERSACION</v>
          </cell>
          <cell r="E55" t="str">
            <v>AMIGAS Y AMIGOS</v>
          </cell>
          <cell r="F55">
            <v>2.2000000000000002</v>
          </cell>
          <cell r="G55">
            <v>30749</v>
          </cell>
          <cell r="H55">
            <v>1.9</v>
          </cell>
          <cell r="I55">
            <v>2.2999999999999998</v>
          </cell>
          <cell r="J55">
            <v>2.1</v>
          </cell>
          <cell r="K55">
            <v>1.8</v>
          </cell>
          <cell r="L55">
            <v>2.7</v>
          </cell>
          <cell r="O55" t="str">
            <v>23:34</v>
          </cell>
          <cell r="P55" t="str">
            <v>01:29</v>
          </cell>
          <cell r="Q55">
            <v>0</v>
          </cell>
          <cell r="R55">
            <v>0</v>
          </cell>
          <cell r="S55">
            <v>18</v>
          </cell>
        </row>
        <row r="56">
          <cell r="B56" t="str">
            <v>0</v>
          </cell>
          <cell r="C56" t="str">
            <v>11</v>
          </cell>
          <cell r="D56" t="str">
            <v>PELICULA</v>
          </cell>
          <cell r="E56" t="str">
            <v>CINE JUVENIL</v>
          </cell>
          <cell r="F56">
            <v>2.1</v>
          </cell>
          <cell r="G56">
            <v>30230</v>
          </cell>
          <cell r="L56">
            <v>2.1</v>
          </cell>
          <cell r="O56" t="str">
            <v>18:50</v>
          </cell>
          <cell r="P56" t="str">
            <v>20:31</v>
          </cell>
          <cell r="Q56">
            <v>0</v>
          </cell>
          <cell r="R56">
            <v>0</v>
          </cell>
          <cell r="S56">
            <v>1</v>
          </cell>
        </row>
        <row r="57">
          <cell r="B57" t="str">
            <v>0</v>
          </cell>
          <cell r="C57" t="str">
            <v>11</v>
          </cell>
          <cell r="D57" t="str">
            <v>SERIE</v>
          </cell>
          <cell r="E57" t="str">
            <v>NASH BRIDGES</v>
          </cell>
          <cell r="F57">
            <v>2.1</v>
          </cell>
          <cell r="G57">
            <v>29707</v>
          </cell>
          <cell r="N57">
            <v>2.1</v>
          </cell>
          <cell r="O57" t="str">
            <v>16:04</v>
          </cell>
          <cell r="P57" t="str">
            <v>17:09</v>
          </cell>
          <cell r="Q57">
            <v>0</v>
          </cell>
          <cell r="R57">
            <v>0</v>
          </cell>
          <cell r="S57">
            <v>5</v>
          </cell>
        </row>
        <row r="58">
          <cell r="B58" t="str">
            <v>0</v>
          </cell>
          <cell r="C58" t="str">
            <v>11</v>
          </cell>
          <cell r="D58" t="str">
            <v>PELICULA</v>
          </cell>
          <cell r="E58" t="str">
            <v>NOCHE DE CINE</v>
          </cell>
          <cell r="F58">
            <v>2.1</v>
          </cell>
          <cell r="G58">
            <v>29538</v>
          </cell>
          <cell r="M58">
            <v>2.1</v>
          </cell>
          <cell r="O58" t="str">
            <v>22:02</v>
          </cell>
          <cell r="P58" t="str">
            <v>23:58</v>
          </cell>
          <cell r="Q58">
            <v>0</v>
          </cell>
          <cell r="R58">
            <v>0</v>
          </cell>
          <cell r="S58">
            <v>5</v>
          </cell>
        </row>
        <row r="59">
          <cell r="B59" t="str">
            <v>0</v>
          </cell>
          <cell r="C59" t="str">
            <v>11</v>
          </cell>
          <cell r="D59" t="str">
            <v>PELICULA</v>
          </cell>
          <cell r="E59" t="str">
            <v>DOMINGO DE PELICULA</v>
          </cell>
          <cell r="F59">
            <v>2.1</v>
          </cell>
          <cell r="G59">
            <v>29481</v>
          </cell>
          <cell r="N59">
            <v>2.1</v>
          </cell>
          <cell r="O59" t="str">
            <v>22:01</v>
          </cell>
          <cell r="P59" t="str">
            <v>00:00</v>
          </cell>
          <cell r="Q59">
            <v>0</v>
          </cell>
          <cell r="R59">
            <v>0</v>
          </cell>
          <cell r="S59">
            <v>4</v>
          </cell>
        </row>
        <row r="60">
          <cell r="B60" t="str">
            <v>0</v>
          </cell>
          <cell r="C60" t="str">
            <v>11</v>
          </cell>
          <cell r="D60" t="str">
            <v>NOTICIERO</v>
          </cell>
          <cell r="E60" t="str">
            <v>CHV NOTICIAS NOCHE</v>
          </cell>
          <cell r="F60">
            <v>2</v>
          </cell>
          <cell r="G60">
            <v>28368</v>
          </cell>
          <cell r="H60">
            <v>1.8</v>
          </cell>
          <cell r="I60">
            <v>2</v>
          </cell>
          <cell r="J60">
            <v>2.2999999999999998</v>
          </cell>
          <cell r="K60">
            <v>2.1</v>
          </cell>
          <cell r="L60">
            <v>1.7</v>
          </cell>
          <cell r="O60" t="str">
            <v>23:42</v>
          </cell>
          <cell r="P60" t="str">
            <v>02:15</v>
          </cell>
          <cell r="Q60">
            <v>0</v>
          </cell>
          <cell r="R60">
            <v>0</v>
          </cell>
          <cell r="S60">
            <v>23</v>
          </cell>
        </row>
        <row r="61">
          <cell r="B61" t="str">
            <v>0</v>
          </cell>
          <cell r="C61" t="str">
            <v>11</v>
          </cell>
          <cell r="D61" t="str">
            <v>SERIE</v>
          </cell>
          <cell r="E61" t="str">
            <v>MISION DEL DEBER</v>
          </cell>
          <cell r="F61">
            <v>1.9</v>
          </cell>
          <cell r="G61">
            <v>27279</v>
          </cell>
          <cell r="N61">
            <v>1.9</v>
          </cell>
          <cell r="O61" t="str">
            <v>23:15</v>
          </cell>
          <cell r="P61" t="str">
            <v>00:54</v>
          </cell>
          <cell r="Q61">
            <v>0</v>
          </cell>
          <cell r="R61">
            <v>0</v>
          </cell>
          <cell r="S61">
            <v>5</v>
          </cell>
        </row>
        <row r="62">
          <cell r="B62" t="str">
            <v>0</v>
          </cell>
          <cell r="C62" t="str">
            <v>13</v>
          </cell>
          <cell r="D62" t="str">
            <v>CONVERSACION</v>
          </cell>
          <cell r="E62" t="str">
            <v>VIVA EL LUNES</v>
          </cell>
          <cell r="F62">
            <v>16.399999999999999</v>
          </cell>
          <cell r="G62">
            <v>234178</v>
          </cell>
          <cell r="H62">
            <v>16.399999999999999</v>
          </cell>
          <cell r="O62" t="str">
            <v>21:58</v>
          </cell>
          <cell r="P62" t="str">
            <v>01:14</v>
          </cell>
          <cell r="Q62">
            <v>0</v>
          </cell>
          <cell r="R62">
            <v>0</v>
          </cell>
          <cell r="S62">
            <v>4</v>
          </cell>
        </row>
        <row r="63">
          <cell r="B63" t="str">
            <v>0</v>
          </cell>
          <cell r="C63" t="str">
            <v>13</v>
          </cell>
          <cell r="D63" t="str">
            <v>CONVERSACION</v>
          </cell>
          <cell r="E63" t="str">
            <v>REVIVA EL LUNES</v>
          </cell>
          <cell r="F63">
            <v>15.4</v>
          </cell>
          <cell r="G63">
            <v>220018</v>
          </cell>
          <cell r="H63">
            <v>15.4</v>
          </cell>
          <cell r="O63" t="str">
            <v>22:05</v>
          </cell>
          <cell r="P63" t="str">
            <v>00:25</v>
          </cell>
          <cell r="Q63">
            <v>0</v>
          </cell>
          <cell r="R63">
            <v>0</v>
          </cell>
          <cell r="S63">
            <v>1</v>
          </cell>
        </row>
        <row r="64">
          <cell r="B64" t="str">
            <v>0</v>
          </cell>
          <cell r="C64" t="str">
            <v>13</v>
          </cell>
          <cell r="D64" t="str">
            <v>FUTBOL</v>
          </cell>
          <cell r="E64" t="str">
            <v>FUTBOL</v>
          </cell>
          <cell r="F64">
            <v>8.6999999999999993</v>
          </cell>
          <cell r="G64">
            <v>124118</v>
          </cell>
          <cell r="N64">
            <v>8.6999999999999993</v>
          </cell>
          <cell r="O64" t="str">
            <v>21:54</v>
          </cell>
          <cell r="P64" t="str">
            <v>00:23</v>
          </cell>
          <cell r="Q64">
            <v>0</v>
          </cell>
          <cell r="R64">
            <v>0</v>
          </cell>
          <cell r="S64">
            <v>1</v>
          </cell>
        </row>
        <row r="65">
          <cell r="B65" t="str">
            <v>0</v>
          </cell>
          <cell r="C65" t="str">
            <v>13</v>
          </cell>
          <cell r="D65" t="str">
            <v>MUSICAL</v>
          </cell>
          <cell r="E65" t="str">
            <v>FESTIVAL DEL HUASO DE OLMUE</v>
          </cell>
          <cell r="F65">
            <v>8.6</v>
          </cell>
          <cell r="G65">
            <v>123572</v>
          </cell>
          <cell r="L65">
            <v>7.5</v>
          </cell>
          <cell r="M65">
            <v>9.1999999999999993</v>
          </cell>
          <cell r="N65">
            <v>9.1999999999999993</v>
          </cell>
          <cell r="O65" t="str">
            <v>21:59</v>
          </cell>
          <cell r="P65" t="str">
            <v>02:16</v>
          </cell>
          <cell r="Q65">
            <v>0</v>
          </cell>
          <cell r="R65">
            <v>0</v>
          </cell>
          <cell r="S65">
            <v>3</v>
          </cell>
        </row>
        <row r="66">
          <cell r="B66" t="str">
            <v>0</v>
          </cell>
          <cell r="C66" t="str">
            <v>13</v>
          </cell>
          <cell r="D66" t="str">
            <v>VARIEDAD</v>
          </cell>
          <cell r="E66" t="str">
            <v>VENGA CONMIGO</v>
          </cell>
          <cell r="F66">
            <v>8.6</v>
          </cell>
          <cell r="G66">
            <v>122524</v>
          </cell>
          <cell r="J66">
            <v>6.3</v>
          </cell>
          <cell r="K66">
            <v>10.8</v>
          </cell>
          <cell r="O66" t="str">
            <v>21:58</v>
          </cell>
          <cell r="P66" t="str">
            <v>00:49</v>
          </cell>
          <cell r="Q66">
            <v>0</v>
          </cell>
          <cell r="R66">
            <v>0</v>
          </cell>
          <cell r="S66">
            <v>4</v>
          </cell>
        </row>
        <row r="67">
          <cell r="B67" t="str">
            <v>0</v>
          </cell>
          <cell r="C67" t="str">
            <v>13</v>
          </cell>
          <cell r="D67" t="str">
            <v>FUTBOL</v>
          </cell>
          <cell r="E67" t="str">
            <v>FUTBOL SUB-20</v>
          </cell>
          <cell r="F67">
            <v>7.7</v>
          </cell>
          <cell r="G67">
            <v>110258</v>
          </cell>
          <cell r="H67">
            <v>7.3</v>
          </cell>
          <cell r="I67">
            <v>9.6999999999999993</v>
          </cell>
          <cell r="J67">
            <v>9</v>
          </cell>
          <cell r="K67">
            <v>5.7</v>
          </cell>
          <cell r="L67">
            <v>2.6</v>
          </cell>
          <cell r="M67">
            <v>9.4</v>
          </cell>
          <cell r="N67">
            <v>10.3</v>
          </cell>
          <cell r="O67" t="str">
            <v>16:50</v>
          </cell>
          <cell r="P67" t="str">
            <v>03:48</v>
          </cell>
          <cell r="Q67">
            <v>0</v>
          </cell>
          <cell r="R67">
            <v>0</v>
          </cell>
          <cell r="S67">
            <v>14</v>
          </cell>
        </row>
        <row r="68">
          <cell r="B68" t="str">
            <v>0</v>
          </cell>
          <cell r="C68" t="str">
            <v>13</v>
          </cell>
          <cell r="D68" t="str">
            <v>VARIEDAD</v>
          </cell>
          <cell r="E68" t="str">
            <v>PARA ESO ESTAMOS</v>
          </cell>
          <cell r="F68">
            <v>7.2</v>
          </cell>
          <cell r="G68">
            <v>103416</v>
          </cell>
          <cell r="J68">
            <v>7.2</v>
          </cell>
          <cell r="O68" t="str">
            <v>22:45</v>
          </cell>
          <cell r="P68" t="str">
            <v>00:43</v>
          </cell>
          <cell r="Q68">
            <v>0</v>
          </cell>
          <cell r="R68">
            <v>0</v>
          </cell>
          <cell r="S68">
            <v>1</v>
          </cell>
        </row>
        <row r="69">
          <cell r="B69" t="str">
            <v>0</v>
          </cell>
          <cell r="C69" t="str">
            <v>13</v>
          </cell>
          <cell r="D69" t="str">
            <v>VARIEDAD</v>
          </cell>
          <cell r="E69" t="str">
            <v>VENGA CONMIGO (RECUENTO 1998)</v>
          </cell>
          <cell r="F69">
            <v>7</v>
          </cell>
          <cell r="G69">
            <v>100057</v>
          </cell>
          <cell r="L69">
            <v>7</v>
          </cell>
          <cell r="O69" t="str">
            <v>22:06</v>
          </cell>
          <cell r="P69" t="str">
            <v>00:13</v>
          </cell>
          <cell r="Q69">
            <v>0</v>
          </cell>
          <cell r="R69">
            <v>0</v>
          </cell>
          <cell r="S69">
            <v>1</v>
          </cell>
        </row>
        <row r="70">
          <cell r="B70" t="str">
            <v>0</v>
          </cell>
          <cell r="C70" t="str">
            <v>13</v>
          </cell>
          <cell r="D70" t="str">
            <v>INFORMATIVO</v>
          </cell>
          <cell r="E70" t="str">
            <v>EL TIEMPO</v>
          </cell>
          <cell r="F70">
            <v>6.8</v>
          </cell>
          <cell r="G70">
            <v>97871</v>
          </cell>
          <cell r="H70">
            <v>7</v>
          </cell>
          <cell r="I70">
            <v>8.5</v>
          </cell>
          <cell r="J70">
            <v>7</v>
          </cell>
          <cell r="K70">
            <v>6.2</v>
          </cell>
          <cell r="L70">
            <v>5.9</v>
          </cell>
          <cell r="M70">
            <v>6.1</v>
          </cell>
          <cell r="N70">
            <v>7.2</v>
          </cell>
          <cell r="O70" t="str">
            <v>21:48</v>
          </cell>
          <cell r="P70" t="str">
            <v>23:09</v>
          </cell>
          <cell r="Q70">
            <v>0</v>
          </cell>
          <cell r="R70">
            <v>0</v>
          </cell>
          <cell r="S70">
            <v>35</v>
          </cell>
        </row>
        <row r="71">
          <cell r="B71" t="str">
            <v>0</v>
          </cell>
          <cell r="C71" t="str">
            <v>13</v>
          </cell>
          <cell r="D71" t="str">
            <v>NOTICIERO</v>
          </cell>
          <cell r="E71" t="str">
            <v>TELETRECE</v>
          </cell>
          <cell r="F71">
            <v>6.8</v>
          </cell>
          <cell r="G71">
            <v>97062</v>
          </cell>
          <cell r="H71">
            <v>7.6</v>
          </cell>
          <cell r="I71">
            <v>8.5</v>
          </cell>
          <cell r="J71">
            <v>6.9</v>
          </cell>
          <cell r="K71">
            <v>6.3</v>
          </cell>
          <cell r="L71">
            <v>5.6</v>
          </cell>
          <cell r="M71">
            <v>5.9</v>
          </cell>
          <cell r="N71">
            <v>6.7</v>
          </cell>
          <cell r="O71" t="str">
            <v>20:59</v>
          </cell>
          <cell r="P71" t="str">
            <v>23:04</v>
          </cell>
          <cell r="Q71">
            <v>0</v>
          </cell>
          <cell r="R71">
            <v>0</v>
          </cell>
          <cell r="S71">
            <v>35</v>
          </cell>
        </row>
        <row r="72">
          <cell r="B72" t="str">
            <v>0</v>
          </cell>
          <cell r="C72" t="str">
            <v>13</v>
          </cell>
          <cell r="D72" t="str">
            <v>CONCURSO</v>
          </cell>
          <cell r="E72" t="str">
            <v>JUGANDO A SABER</v>
          </cell>
          <cell r="F72">
            <v>6.2</v>
          </cell>
          <cell r="G72">
            <v>88339</v>
          </cell>
          <cell r="L72">
            <v>6.2</v>
          </cell>
          <cell r="O72" t="str">
            <v>22:01</v>
          </cell>
          <cell r="P72" t="str">
            <v>00:01</v>
          </cell>
          <cell r="Q72">
            <v>0</v>
          </cell>
          <cell r="R72">
            <v>0</v>
          </cell>
          <cell r="S72">
            <v>3</v>
          </cell>
        </row>
        <row r="73">
          <cell r="B73" t="str">
            <v>0</v>
          </cell>
          <cell r="C73" t="str">
            <v>13</v>
          </cell>
          <cell r="D73" t="str">
            <v>P_ESPECIAL</v>
          </cell>
          <cell r="E73" t="str">
            <v>VIVA EL 99</v>
          </cell>
          <cell r="F73">
            <v>6</v>
          </cell>
          <cell r="G73">
            <v>86009</v>
          </cell>
          <cell r="K73">
            <v>6</v>
          </cell>
          <cell r="O73" t="str">
            <v>22:04</v>
          </cell>
          <cell r="P73" t="str">
            <v>00:35</v>
          </cell>
          <cell r="Q73">
            <v>0</v>
          </cell>
          <cell r="R73">
            <v>0</v>
          </cell>
          <cell r="S73">
            <v>1</v>
          </cell>
        </row>
        <row r="74">
          <cell r="B74" t="str">
            <v>0</v>
          </cell>
          <cell r="C74" t="str">
            <v>13</v>
          </cell>
          <cell r="D74" t="str">
            <v>VARIEDAD</v>
          </cell>
          <cell r="E74" t="str">
            <v>SABADO GIGANTE INTERNACIONAL</v>
          </cell>
          <cell r="F74">
            <v>5.7</v>
          </cell>
          <cell r="G74">
            <v>81473</v>
          </cell>
          <cell r="M74">
            <v>5.7</v>
          </cell>
          <cell r="O74" t="str">
            <v>17:22</v>
          </cell>
          <cell r="P74" t="str">
            <v>00:36</v>
          </cell>
          <cell r="Q74">
            <v>0</v>
          </cell>
          <cell r="R74">
            <v>0</v>
          </cell>
          <cell r="S74">
            <v>5</v>
          </cell>
        </row>
        <row r="75">
          <cell r="B75" t="str">
            <v>0</v>
          </cell>
          <cell r="C75" t="str">
            <v>13</v>
          </cell>
          <cell r="D75" t="str">
            <v>PELICULA</v>
          </cell>
          <cell r="E75" t="str">
            <v>DOMINGO EN LA NOCHE</v>
          </cell>
          <cell r="F75">
            <v>5.6</v>
          </cell>
          <cell r="G75">
            <v>79422</v>
          </cell>
          <cell r="N75">
            <v>5.6</v>
          </cell>
          <cell r="O75" t="str">
            <v>22:03</v>
          </cell>
          <cell r="P75" t="str">
            <v>01:11</v>
          </cell>
          <cell r="Q75">
            <v>0</v>
          </cell>
          <cell r="R75">
            <v>0</v>
          </cell>
          <cell r="S75">
            <v>2</v>
          </cell>
        </row>
        <row r="76">
          <cell r="B76" t="str">
            <v>0</v>
          </cell>
          <cell r="C76" t="str">
            <v>13</v>
          </cell>
          <cell r="D76" t="str">
            <v>DEPORTIVO</v>
          </cell>
          <cell r="E76" t="str">
            <v>ESPECIAL DEL AREA DEPORTIVA</v>
          </cell>
          <cell r="F76">
            <v>5.5</v>
          </cell>
          <cell r="G76">
            <v>78028</v>
          </cell>
          <cell r="I76">
            <v>5.5</v>
          </cell>
          <cell r="O76" t="str">
            <v>19:56</v>
          </cell>
          <cell r="P76" t="str">
            <v>20:58</v>
          </cell>
          <cell r="Q76">
            <v>0</v>
          </cell>
          <cell r="R76">
            <v>0</v>
          </cell>
          <cell r="S76">
            <v>1</v>
          </cell>
        </row>
        <row r="77">
          <cell r="B77" t="str">
            <v>0</v>
          </cell>
          <cell r="C77" t="str">
            <v>13</v>
          </cell>
          <cell r="D77" t="str">
            <v>NOTICIERO</v>
          </cell>
          <cell r="E77" t="str">
            <v>TELENOCHE</v>
          </cell>
          <cell r="F77">
            <v>5.2</v>
          </cell>
          <cell r="G77">
            <v>74856</v>
          </cell>
          <cell r="H77">
            <v>5.8</v>
          </cell>
          <cell r="I77">
            <v>4.2</v>
          </cell>
          <cell r="J77">
            <v>5.0999999999999996</v>
          </cell>
          <cell r="K77">
            <v>5.5</v>
          </cell>
          <cell r="L77">
            <v>5.5</v>
          </cell>
          <cell r="O77" t="str">
            <v>23:59</v>
          </cell>
          <cell r="P77" t="str">
            <v>02:52</v>
          </cell>
          <cell r="Q77">
            <v>0</v>
          </cell>
          <cell r="R77">
            <v>0</v>
          </cell>
          <cell r="S77">
            <v>24</v>
          </cell>
        </row>
        <row r="78">
          <cell r="B78" t="str">
            <v>0</v>
          </cell>
          <cell r="C78" t="str">
            <v>13</v>
          </cell>
          <cell r="D78" t="str">
            <v>NOTICIERO</v>
          </cell>
          <cell r="E78" t="str">
            <v>TELETARDE</v>
          </cell>
          <cell r="F78">
            <v>4.5999999999999996</v>
          </cell>
          <cell r="G78">
            <v>65769</v>
          </cell>
          <cell r="H78">
            <v>4.5999999999999996</v>
          </cell>
          <cell r="I78">
            <v>4.7</v>
          </cell>
          <cell r="J78">
            <v>4.2</v>
          </cell>
          <cell r="K78">
            <v>5</v>
          </cell>
          <cell r="L78">
            <v>4.5</v>
          </cell>
          <cell r="O78" t="str">
            <v>13:59</v>
          </cell>
          <cell r="P78" t="str">
            <v>14:33</v>
          </cell>
          <cell r="Q78">
            <v>0</v>
          </cell>
          <cell r="R78">
            <v>0</v>
          </cell>
          <cell r="S78">
            <v>24</v>
          </cell>
        </row>
        <row r="79">
          <cell r="B79" t="str">
            <v>0</v>
          </cell>
          <cell r="C79" t="str">
            <v>13</v>
          </cell>
          <cell r="D79" t="str">
            <v>CULTURAL</v>
          </cell>
          <cell r="E79" t="str">
            <v>AL SUR DEL MUNDO</v>
          </cell>
          <cell r="F79">
            <v>4.0999999999999996</v>
          </cell>
          <cell r="G79">
            <v>58783</v>
          </cell>
          <cell r="I79">
            <v>4.0999999999999996</v>
          </cell>
          <cell r="O79" t="str">
            <v>22:04</v>
          </cell>
          <cell r="P79" t="str">
            <v>23:00</v>
          </cell>
          <cell r="Q79">
            <v>0</v>
          </cell>
          <cell r="R79">
            <v>0</v>
          </cell>
          <cell r="S79">
            <v>1</v>
          </cell>
        </row>
        <row r="80">
          <cell r="B80" t="str">
            <v>0</v>
          </cell>
          <cell r="C80" t="str">
            <v>13</v>
          </cell>
          <cell r="D80" t="str">
            <v>P_ESPECIAL</v>
          </cell>
          <cell r="E80" t="str">
            <v>19 JAMBOREE SCOUT MUNDIAL</v>
          </cell>
          <cell r="F80">
            <v>3.9</v>
          </cell>
          <cell r="G80">
            <v>55809</v>
          </cell>
          <cell r="I80">
            <v>6.3</v>
          </cell>
          <cell r="L80">
            <v>1.5</v>
          </cell>
          <cell r="O80" t="str">
            <v>18:36</v>
          </cell>
          <cell r="P80" t="str">
            <v>00:13</v>
          </cell>
          <cell r="Q80">
            <v>0</v>
          </cell>
          <cell r="R80">
            <v>0</v>
          </cell>
          <cell r="S80">
            <v>2</v>
          </cell>
        </row>
        <row r="81">
          <cell r="B81" t="str">
            <v>0</v>
          </cell>
          <cell r="C81" t="str">
            <v>13</v>
          </cell>
          <cell r="D81" t="str">
            <v>MISCELANEO</v>
          </cell>
          <cell r="E81" t="str">
            <v>LA MANANA DEL TRECE</v>
          </cell>
          <cell r="F81">
            <v>3.4</v>
          </cell>
          <cell r="G81">
            <v>48427</v>
          </cell>
          <cell r="H81">
            <v>4.2</v>
          </cell>
          <cell r="I81">
            <v>3.7</v>
          </cell>
          <cell r="J81">
            <v>3.1</v>
          </cell>
          <cell r="K81">
            <v>3</v>
          </cell>
          <cell r="L81">
            <v>2.9</v>
          </cell>
          <cell r="O81" t="str">
            <v>08:00</v>
          </cell>
          <cell r="P81" t="str">
            <v>11:25</v>
          </cell>
          <cell r="Q81">
            <v>0</v>
          </cell>
          <cell r="R81">
            <v>0</v>
          </cell>
          <cell r="S81">
            <v>10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refreshError="1"/>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refreshError="1"/>
      <sheetData sheetId="5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ráfico2"/>
      <sheetName val="Hoja1"/>
      <sheetName val="01_2000"/>
      <sheetName val="Programas Ene 2000"/>
      <sheetName val="Programas Feb 2000"/>
      <sheetName val="01_1999"/>
      <sheetName val="Programas_Ene_2000"/>
      <sheetName val="Programas_Feb_2000"/>
      <sheetName val="PLAN"/>
      <sheetName val="Programas_Ene_20001"/>
      <sheetName val="Programas_Feb_20001"/>
      <sheetName val="#G.O."/>
      <sheetName val="rat2"/>
      <sheetName val="Programas_Ene_20002"/>
      <sheetName val="Programas_Feb_20002"/>
      <sheetName val="#G_O_"/>
      <sheetName val="Programas_Ene_20003"/>
      <sheetName val="Programas_Feb_20003"/>
      <sheetName val="#G_O_1"/>
      <sheetName val="Programas_Ene_20004"/>
      <sheetName val="Programas_Feb_20004"/>
      <sheetName val="#G_O_2"/>
      <sheetName val="Programas_Ene_20005"/>
      <sheetName val="Programas_Feb_20005"/>
      <sheetName val="#G_O_3"/>
    </sheetNames>
    <sheetDataSet>
      <sheetData sheetId="0" refreshError="1"/>
      <sheetData sheetId="1" refreshError="1"/>
      <sheetData sheetId="2" refreshError="1">
        <row r="1">
          <cell r="B1" t="str">
            <v>S</v>
          </cell>
          <cell r="C1" t="str">
            <v>Can</v>
          </cell>
          <cell r="D1" t="str">
            <v>Genero</v>
          </cell>
          <cell r="E1" t="str">
            <v>Programa</v>
          </cell>
          <cell r="F1" t="str">
            <v>Rat</v>
          </cell>
          <cell r="G1" t="str">
            <v>Personas</v>
          </cell>
          <cell r="H1" t="str">
            <v>Lun</v>
          </cell>
          <cell r="I1" t="str">
            <v>Mar</v>
          </cell>
          <cell r="J1" t="str">
            <v>Mie</v>
          </cell>
          <cell r="K1" t="str">
            <v>Jue</v>
          </cell>
          <cell r="L1" t="str">
            <v>Vie</v>
          </cell>
          <cell r="M1" t="str">
            <v>Sab</v>
          </cell>
          <cell r="N1" t="str">
            <v>Dom</v>
          </cell>
          <cell r="O1" t="str">
            <v>HoraI</v>
          </cell>
          <cell r="P1" t="str">
            <v>HoraF</v>
          </cell>
          <cell r="Q1" t="str">
            <v>Costo</v>
          </cell>
          <cell r="R1" t="str">
            <v>CtoPto</v>
          </cell>
          <cell r="S1" t="str">
            <v>TPE</v>
          </cell>
        </row>
        <row r="2">
          <cell r="B2" t="str">
            <v>0</v>
          </cell>
          <cell r="C2" t="str">
            <v>07</v>
          </cell>
          <cell r="D2" t="str">
            <v>TELENOVELA</v>
          </cell>
          <cell r="E2" t="str">
            <v>AQUELARRE</v>
          </cell>
          <cell r="F2">
            <v>14.5</v>
          </cell>
          <cell r="G2">
            <v>207653</v>
          </cell>
          <cell r="H2">
            <v>14.4</v>
          </cell>
          <cell r="I2">
            <v>14.9</v>
          </cell>
          <cell r="J2">
            <v>14.4</v>
          </cell>
          <cell r="O2" t="str">
            <v>19:51</v>
          </cell>
          <cell r="P2" t="str">
            <v>20:59</v>
          </cell>
          <cell r="Q2">
            <v>0</v>
          </cell>
          <cell r="R2">
            <v>0</v>
          </cell>
          <cell r="S2">
            <v>3</v>
          </cell>
        </row>
        <row r="3">
          <cell r="B3" t="str">
            <v>0</v>
          </cell>
          <cell r="C3" t="str">
            <v>07</v>
          </cell>
          <cell r="D3" t="str">
            <v>CONVERSACION</v>
          </cell>
          <cell r="E3" t="str">
            <v>DE PE A PA</v>
          </cell>
          <cell r="F3">
            <v>13.3</v>
          </cell>
          <cell r="G3">
            <v>189476</v>
          </cell>
          <cell r="J3">
            <v>13.3</v>
          </cell>
          <cell r="O3" t="str">
            <v>22:06</v>
          </cell>
          <cell r="P3" t="str">
            <v>00:31</v>
          </cell>
          <cell r="Q3">
            <v>0</v>
          </cell>
          <cell r="R3">
            <v>0</v>
          </cell>
          <cell r="S3">
            <v>1</v>
          </cell>
        </row>
        <row r="4">
          <cell r="B4" t="str">
            <v>0</v>
          </cell>
          <cell r="C4" t="str">
            <v>07</v>
          </cell>
          <cell r="D4" t="str">
            <v>MISCELANEO</v>
          </cell>
          <cell r="E4" t="str">
            <v>CORAZON PARTIO</v>
          </cell>
          <cell r="F4">
            <v>10.3</v>
          </cell>
          <cell r="G4">
            <v>146832</v>
          </cell>
          <cell r="H4">
            <v>12.6</v>
          </cell>
          <cell r="N4">
            <v>8</v>
          </cell>
          <cell r="O4" t="str">
            <v>22:00</v>
          </cell>
          <cell r="P4" t="str">
            <v>01:20</v>
          </cell>
          <cell r="Q4">
            <v>0</v>
          </cell>
          <cell r="R4">
            <v>0</v>
          </cell>
          <cell r="S4">
            <v>4</v>
          </cell>
        </row>
        <row r="5">
          <cell r="B5" t="str">
            <v>0</v>
          </cell>
          <cell r="C5" t="str">
            <v>07</v>
          </cell>
          <cell r="D5" t="str">
            <v>PELICULA</v>
          </cell>
          <cell r="E5" t="str">
            <v>BEST SELLER</v>
          </cell>
          <cell r="F5">
            <v>7.9</v>
          </cell>
          <cell r="G5">
            <v>113421</v>
          </cell>
          <cell r="H5">
            <v>7.9</v>
          </cell>
          <cell r="O5" t="str">
            <v>22:05</v>
          </cell>
          <cell r="P5" t="str">
            <v>23:50</v>
          </cell>
          <cell r="Q5">
            <v>0</v>
          </cell>
          <cell r="R5">
            <v>0</v>
          </cell>
          <cell r="S5">
            <v>1</v>
          </cell>
        </row>
        <row r="6">
          <cell r="B6" t="str">
            <v>0</v>
          </cell>
          <cell r="C6" t="str">
            <v>07</v>
          </cell>
          <cell r="D6" t="str">
            <v>FUTBOL</v>
          </cell>
          <cell r="E6" t="str">
            <v>FUTBOL INTERNACIONAL</v>
          </cell>
          <cell r="F6">
            <v>7.8</v>
          </cell>
          <cell r="G6">
            <v>112104</v>
          </cell>
          <cell r="J6">
            <v>9.8000000000000007</v>
          </cell>
          <cell r="M6">
            <v>5.9</v>
          </cell>
          <cell r="O6" t="str">
            <v>21:57</v>
          </cell>
          <cell r="P6" t="str">
            <v>01:06</v>
          </cell>
          <cell r="Q6">
            <v>0</v>
          </cell>
          <cell r="R6">
            <v>0</v>
          </cell>
          <cell r="S6">
            <v>2</v>
          </cell>
        </row>
        <row r="7">
          <cell r="B7" t="str">
            <v>0</v>
          </cell>
          <cell r="C7" t="str">
            <v>07</v>
          </cell>
          <cell r="D7" t="str">
            <v>REALITY SHOW</v>
          </cell>
          <cell r="E7" t="str">
            <v>MEA CULPA</v>
          </cell>
          <cell r="F7">
            <v>7.8</v>
          </cell>
          <cell r="G7">
            <v>110805</v>
          </cell>
          <cell r="K7">
            <v>7.8</v>
          </cell>
          <cell r="O7" t="str">
            <v>22:08</v>
          </cell>
          <cell r="P7" t="str">
            <v>23:36</v>
          </cell>
          <cell r="Q7">
            <v>0</v>
          </cell>
          <cell r="R7">
            <v>0</v>
          </cell>
          <cell r="S7">
            <v>3</v>
          </cell>
        </row>
        <row r="8">
          <cell r="B8" t="str">
            <v>0</v>
          </cell>
          <cell r="C8" t="str">
            <v>07</v>
          </cell>
          <cell r="D8" t="str">
            <v>TELENOVELA</v>
          </cell>
          <cell r="E8" t="str">
            <v>AQUELARRE (R)</v>
          </cell>
          <cell r="F8">
            <v>7</v>
          </cell>
          <cell r="G8">
            <v>99515</v>
          </cell>
          <cell r="K8">
            <v>7</v>
          </cell>
          <cell r="O8" t="str">
            <v>19:40</v>
          </cell>
          <cell r="P8" t="str">
            <v>20:49</v>
          </cell>
          <cell r="Q8">
            <v>0</v>
          </cell>
          <cell r="R8">
            <v>0</v>
          </cell>
          <cell r="S8">
            <v>1</v>
          </cell>
        </row>
        <row r="9">
          <cell r="B9" t="str">
            <v>0</v>
          </cell>
          <cell r="C9" t="str">
            <v>07</v>
          </cell>
          <cell r="D9" t="str">
            <v>TELENOVELA</v>
          </cell>
          <cell r="E9" t="str">
            <v>AQUELARRE (RESUMEN)</v>
          </cell>
          <cell r="F9">
            <v>6.8</v>
          </cell>
          <cell r="G9">
            <v>97834</v>
          </cell>
          <cell r="H9">
            <v>9.1</v>
          </cell>
          <cell r="I9">
            <v>6.1</v>
          </cell>
          <cell r="J9">
            <v>6.3</v>
          </cell>
          <cell r="K9">
            <v>5.9</v>
          </cell>
          <cell r="O9" t="str">
            <v>19:37</v>
          </cell>
          <cell r="P9" t="str">
            <v>00:48</v>
          </cell>
          <cell r="Q9">
            <v>0</v>
          </cell>
          <cell r="R9">
            <v>0</v>
          </cell>
          <cell r="S9">
            <v>5</v>
          </cell>
        </row>
        <row r="10">
          <cell r="B10" t="str">
            <v>0</v>
          </cell>
          <cell r="C10" t="str">
            <v>07</v>
          </cell>
          <cell r="D10" t="str">
            <v>P_ESPECIAL</v>
          </cell>
          <cell r="E10" t="str">
            <v>PASE LO QUE PASE 2000 HOY</v>
          </cell>
          <cell r="F10">
            <v>6.5</v>
          </cell>
          <cell r="G10">
            <v>92493</v>
          </cell>
          <cell r="L10">
            <v>6.5</v>
          </cell>
          <cell r="O10" t="str">
            <v>14:35</v>
          </cell>
          <cell r="P10" t="str">
            <v>21:00</v>
          </cell>
          <cell r="Q10">
            <v>0</v>
          </cell>
          <cell r="R10">
            <v>0</v>
          </cell>
          <cell r="S10">
            <v>1</v>
          </cell>
        </row>
        <row r="11">
          <cell r="B11" t="str">
            <v>0</v>
          </cell>
          <cell r="C11" t="str">
            <v>07</v>
          </cell>
          <cell r="D11" t="str">
            <v>P_ESPECIAL</v>
          </cell>
          <cell r="E11" t="str">
            <v>ESPECIAL ELECCIONES</v>
          </cell>
          <cell r="F11">
            <v>6.4</v>
          </cell>
          <cell r="G11">
            <v>91244</v>
          </cell>
          <cell r="N11">
            <v>6.4</v>
          </cell>
          <cell r="O11" t="str">
            <v>14:56</v>
          </cell>
          <cell r="P11" t="str">
            <v>16:05</v>
          </cell>
          <cell r="Q11">
            <v>0</v>
          </cell>
          <cell r="R11">
            <v>0</v>
          </cell>
          <cell r="S11">
            <v>1</v>
          </cell>
        </row>
        <row r="12">
          <cell r="B12" t="str">
            <v>0</v>
          </cell>
          <cell r="C12" t="str">
            <v>07</v>
          </cell>
          <cell r="D12" t="str">
            <v>INFORMATIVO</v>
          </cell>
          <cell r="E12" t="str">
            <v>TV TIEMPO</v>
          </cell>
          <cell r="F12">
            <v>6.1</v>
          </cell>
          <cell r="G12">
            <v>87560</v>
          </cell>
          <cell r="H12">
            <v>8.5</v>
          </cell>
          <cell r="I12">
            <v>6.5</v>
          </cell>
          <cell r="J12">
            <v>7.4</v>
          </cell>
          <cell r="K12">
            <v>6</v>
          </cell>
          <cell r="L12">
            <v>5.4</v>
          </cell>
          <cell r="M12">
            <v>4</v>
          </cell>
          <cell r="N12">
            <v>5</v>
          </cell>
          <cell r="O12" t="str">
            <v>21:42</v>
          </cell>
          <cell r="P12" t="str">
            <v>22:42</v>
          </cell>
          <cell r="Q12">
            <v>0</v>
          </cell>
          <cell r="R12">
            <v>0</v>
          </cell>
          <cell r="S12">
            <v>42</v>
          </cell>
        </row>
        <row r="13">
          <cell r="B13" t="str">
            <v>0</v>
          </cell>
          <cell r="C13" t="str">
            <v>07</v>
          </cell>
          <cell r="D13" t="str">
            <v>PELICULA</v>
          </cell>
          <cell r="E13" t="str">
            <v>CINE DEL DOMINGO</v>
          </cell>
          <cell r="F13">
            <v>6.1</v>
          </cell>
          <cell r="G13">
            <v>87183</v>
          </cell>
          <cell r="N13">
            <v>6.1</v>
          </cell>
          <cell r="O13" t="str">
            <v>22:02</v>
          </cell>
          <cell r="P13" t="str">
            <v>23:46</v>
          </cell>
          <cell r="Q13">
            <v>0</v>
          </cell>
          <cell r="R13">
            <v>0</v>
          </cell>
          <cell r="S13">
            <v>1</v>
          </cell>
        </row>
        <row r="14">
          <cell r="B14" t="str">
            <v>0</v>
          </cell>
          <cell r="C14" t="str">
            <v>07</v>
          </cell>
          <cell r="D14" t="str">
            <v>ENTREVISTA</v>
          </cell>
          <cell r="E14" t="str">
            <v>LA ENTREVISTA DEL DOMINGO</v>
          </cell>
          <cell r="F14">
            <v>5.9</v>
          </cell>
          <cell r="G14">
            <v>84330</v>
          </cell>
          <cell r="I14">
            <v>7.4</v>
          </cell>
          <cell r="N14">
            <v>4.4000000000000004</v>
          </cell>
          <cell r="O14" t="str">
            <v>21:30</v>
          </cell>
          <cell r="P14" t="str">
            <v>22:11</v>
          </cell>
          <cell r="Q14">
            <v>0</v>
          </cell>
          <cell r="R14">
            <v>0</v>
          </cell>
          <cell r="S14">
            <v>5</v>
          </cell>
        </row>
        <row r="15">
          <cell r="B15" t="str">
            <v>0</v>
          </cell>
          <cell r="C15" t="str">
            <v>07</v>
          </cell>
          <cell r="D15" t="str">
            <v>FUTBOL</v>
          </cell>
          <cell r="E15" t="str">
            <v>FUTBOL NACIONAL</v>
          </cell>
          <cell r="F15">
            <v>5.9</v>
          </cell>
          <cell r="G15">
            <v>83773</v>
          </cell>
          <cell r="L15">
            <v>5.9</v>
          </cell>
          <cell r="O15" t="str">
            <v>22:02</v>
          </cell>
          <cell r="P15" t="str">
            <v>00:05</v>
          </cell>
          <cell r="Q15">
            <v>0</v>
          </cell>
          <cell r="R15">
            <v>0</v>
          </cell>
          <cell r="S15">
            <v>1</v>
          </cell>
        </row>
        <row r="16">
          <cell r="B16" t="str">
            <v>0</v>
          </cell>
          <cell r="C16" t="str">
            <v>07</v>
          </cell>
          <cell r="D16" t="str">
            <v>INFORMATIVO</v>
          </cell>
          <cell r="E16" t="str">
            <v>MEDIA NOCHE</v>
          </cell>
          <cell r="F16">
            <v>5.8</v>
          </cell>
          <cell r="G16">
            <v>82456</v>
          </cell>
          <cell r="H16">
            <v>5.5</v>
          </cell>
          <cell r="I16">
            <v>6.2</v>
          </cell>
          <cell r="J16">
            <v>5.9</v>
          </cell>
          <cell r="K16">
            <v>5.5</v>
          </cell>
          <cell r="L16">
            <v>4.3</v>
          </cell>
          <cell r="M16">
            <v>3.3</v>
          </cell>
          <cell r="N16">
            <v>9.6999999999999993</v>
          </cell>
          <cell r="O16" t="str">
            <v>23:51</v>
          </cell>
          <cell r="P16" t="str">
            <v>01:47</v>
          </cell>
          <cell r="Q16">
            <v>0</v>
          </cell>
          <cell r="R16">
            <v>0</v>
          </cell>
          <cell r="S16">
            <v>31</v>
          </cell>
        </row>
        <row r="17">
          <cell r="B17" t="str">
            <v>0</v>
          </cell>
          <cell r="C17" t="str">
            <v>07</v>
          </cell>
          <cell r="D17" t="str">
            <v>NOTICIERO</v>
          </cell>
          <cell r="E17" t="str">
            <v>24 HORAS</v>
          </cell>
          <cell r="F17">
            <v>5.8</v>
          </cell>
          <cell r="G17">
            <v>83596</v>
          </cell>
          <cell r="H17">
            <v>7.2</v>
          </cell>
          <cell r="I17">
            <v>7</v>
          </cell>
          <cell r="J17">
            <v>6.7</v>
          </cell>
          <cell r="K17">
            <v>6</v>
          </cell>
          <cell r="L17">
            <v>5.4</v>
          </cell>
          <cell r="M17">
            <v>3.6</v>
          </cell>
          <cell r="N17">
            <v>5.0999999999999996</v>
          </cell>
          <cell r="O17" t="str">
            <v>20:59</v>
          </cell>
          <cell r="P17" t="str">
            <v>22:37</v>
          </cell>
          <cell r="Q17">
            <v>0</v>
          </cell>
          <cell r="R17">
            <v>0</v>
          </cell>
          <cell r="S17">
            <v>42</v>
          </cell>
        </row>
        <row r="18">
          <cell r="B18" t="str">
            <v>0</v>
          </cell>
          <cell r="C18" t="str">
            <v>07</v>
          </cell>
          <cell r="D18" t="str">
            <v>INFORMATIVO</v>
          </cell>
          <cell r="E18" t="str">
            <v>RED NACIONAL</v>
          </cell>
          <cell r="F18">
            <v>5.6</v>
          </cell>
          <cell r="G18">
            <v>79832</v>
          </cell>
          <cell r="K18">
            <v>5.6</v>
          </cell>
          <cell r="O18" t="str">
            <v>20:50</v>
          </cell>
          <cell r="P18" t="str">
            <v>21:17</v>
          </cell>
          <cell r="Q18">
            <v>0</v>
          </cell>
          <cell r="R18">
            <v>0</v>
          </cell>
          <cell r="S18">
            <v>1</v>
          </cell>
        </row>
        <row r="19">
          <cell r="B19" t="str">
            <v>0</v>
          </cell>
          <cell r="C19" t="str">
            <v>07</v>
          </cell>
          <cell r="D19" t="str">
            <v>P_ESPECIAL</v>
          </cell>
          <cell r="E19" t="str">
            <v>BUENOS DIAS 2000 HOY</v>
          </cell>
          <cell r="F19">
            <v>5.5</v>
          </cell>
          <cell r="G19">
            <v>78872</v>
          </cell>
          <cell r="L19">
            <v>5.5</v>
          </cell>
          <cell r="O19" t="str">
            <v>08:00</v>
          </cell>
          <cell r="P19" t="str">
            <v>14:00</v>
          </cell>
          <cell r="Q19">
            <v>0</v>
          </cell>
          <cell r="R19">
            <v>0</v>
          </cell>
          <cell r="S19">
            <v>1</v>
          </cell>
        </row>
        <row r="20">
          <cell r="B20" t="str">
            <v>0</v>
          </cell>
          <cell r="C20" t="str">
            <v>07</v>
          </cell>
          <cell r="D20" t="str">
            <v>FUTBOL</v>
          </cell>
          <cell r="E20" t="str">
            <v>FUTBOL DE VERANO</v>
          </cell>
          <cell r="F20">
            <v>5.2</v>
          </cell>
          <cell r="G20">
            <v>74919</v>
          </cell>
          <cell r="H20">
            <v>8.5</v>
          </cell>
          <cell r="J20">
            <v>2.4</v>
          </cell>
          <cell r="K20">
            <v>5.3</v>
          </cell>
          <cell r="L20">
            <v>4.7</v>
          </cell>
          <cell r="O20" t="str">
            <v>22:00</v>
          </cell>
          <cell r="P20" t="str">
            <v>00:20</v>
          </cell>
          <cell r="Q20">
            <v>0</v>
          </cell>
          <cell r="R20">
            <v>0</v>
          </cell>
          <cell r="S20">
            <v>5</v>
          </cell>
        </row>
        <row r="21">
          <cell r="B21" t="str">
            <v>0</v>
          </cell>
          <cell r="C21" t="str">
            <v>07</v>
          </cell>
          <cell r="D21" t="str">
            <v>P_ESPECIAL</v>
          </cell>
          <cell r="E21" t="str">
            <v>ELECCIONES 2000</v>
          </cell>
          <cell r="F21">
            <v>5.0999999999999996</v>
          </cell>
          <cell r="G21">
            <v>73256</v>
          </cell>
          <cell r="N21">
            <v>5.0999999999999996</v>
          </cell>
          <cell r="O21" t="str">
            <v>08:05</v>
          </cell>
          <cell r="P21" t="str">
            <v>23:55</v>
          </cell>
          <cell r="Q21">
            <v>0</v>
          </cell>
          <cell r="R21">
            <v>0</v>
          </cell>
          <cell r="S21">
            <v>3</v>
          </cell>
        </row>
        <row r="22">
          <cell r="B22" t="str">
            <v>0</v>
          </cell>
          <cell r="C22" t="str">
            <v>09</v>
          </cell>
          <cell r="D22" t="str">
            <v>ENTREVISTA</v>
          </cell>
          <cell r="E22" t="str">
            <v>HUMANAMENTE HABLANDO</v>
          </cell>
          <cell r="F22">
            <v>5.2</v>
          </cell>
          <cell r="G22">
            <v>73748</v>
          </cell>
          <cell r="K22">
            <v>5.2</v>
          </cell>
          <cell r="O22" t="str">
            <v>23:31</v>
          </cell>
          <cell r="P22" t="str">
            <v>00:25</v>
          </cell>
          <cell r="Q22">
            <v>0</v>
          </cell>
          <cell r="R22">
            <v>0</v>
          </cell>
          <cell r="S22">
            <v>3</v>
          </cell>
        </row>
        <row r="23">
          <cell r="B23" t="str">
            <v>0</v>
          </cell>
          <cell r="C23" t="str">
            <v>09</v>
          </cell>
          <cell r="D23" t="str">
            <v>INFORMATIVO</v>
          </cell>
          <cell r="E23" t="str">
            <v>AQUI EN VIVO</v>
          </cell>
          <cell r="F23">
            <v>4.9000000000000004</v>
          </cell>
          <cell r="G23">
            <v>69943</v>
          </cell>
          <cell r="K23">
            <v>4.9000000000000004</v>
          </cell>
          <cell r="O23" t="str">
            <v>22:06</v>
          </cell>
          <cell r="P23" t="str">
            <v>23:38</v>
          </cell>
          <cell r="Q23">
            <v>0</v>
          </cell>
          <cell r="R23">
            <v>0</v>
          </cell>
          <cell r="S23">
            <v>3</v>
          </cell>
        </row>
        <row r="24">
          <cell r="B24" t="str">
            <v>0</v>
          </cell>
          <cell r="C24" t="str">
            <v>09</v>
          </cell>
          <cell r="D24" t="str">
            <v>HUMOR</v>
          </cell>
          <cell r="E24" t="str">
            <v>CHILE TU DAY</v>
          </cell>
          <cell r="F24">
            <v>4.7</v>
          </cell>
          <cell r="G24">
            <v>67654</v>
          </cell>
          <cell r="I24">
            <v>4.7</v>
          </cell>
          <cell r="O24" t="str">
            <v>22:00</v>
          </cell>
          <cell r="P24" t="str">
            <v>23:57</v>
          </cell>
          <cell r="Q24">
            <v>0</v>
          </cell>
          <cell r="R24">
            <v>0</v>
          </cell>
          <cell r="S24">
            <v>6</v>
          </cell>
        </row>
        <row r="25">
          <cell r="B25" t="str">
            <v>0</v>
          </cell>
          <cell r="C25" t="str">
            <v>09</v>
          </cell>
          <cell r="D25" t="str">
            <v>PELICULA</v>
          </cell>
          <cell r="E25" t="str">
            <v>EL SHOW DEL TERROR</v>
          </cell>
          <cell r="F25">
            <v>4.3</v>
          </cell>
          <cell r="G25">
            <v>61299</v>
          </cell>
          <cell r="J25">
            <v>4.3</v>
          </cell>
          <cell r="O25" t="str">
            <v>22:07</v>
          </cell>
          <cell r="P25" t="str">
            <v>00:50</v>
          </cell>
          <cell r="Q25">
            <v>0</v>
          </cell>
          <cell r="R25">
            <v>0</v>
          </cell>
          <cell r="S25">
            <v>3</v>
          </cell>
        </row>
        <row r="26">
          <cell r="B26" t="str">
            <v>0</v>
          </cell>
          <cell r="C26" t="str">
            <v>09</v>
          </cell>
          <cell r="D26" t="str">
            <v>NOTICIERO</v>
          </cell>
          <cell r="E26" t="str">
            <v>CERO HORAS</v>
          </cell>
          <cell r="F26">
            <v>3.5</v>
          </cell>
          <cell r="G26">
            <v>49997</v>
          </cell>
          <cell r="H26">
            <v>3.1</v>
          </cell>
          <cell r="I26">
            <v>4.3</v>
          </cell>
          <cell r="J26">
            <v>4</v>
          </cell>
          <cell r="K26">
            <v>3.5</v>
          </cell>
          <cell r="L26">
            <v>2.6</v>
          </cell>
          <cell r="O26" t="str">
            <v>23:58</v>
          </cell>
          <cell r="P26" t="str">
            <v>00:34</v>
          </cell>
          <cell r="Q26">
            <v>0</v>
          </cell>
          <cell r="R26">
            <v>0</v>
          </cell>
          <cell r="S26">
            <v>29</v>
          </cell>
        </row>
        <row r="27">
          <cell r="B27" t="str">
            <v>0</v>
          </cell>
          <cell r="C27" t="str">
            <v>09</v>
          </cell>
          <cell r="D27" t="str">
            <v>TELENOVELA</v>
          </cell>
          <cell r="E27" t="str">
            <v>POR TU AMOR</v>
          </cell>
          <cell r="F27">
            <v>3.5</v>
          </cell>
          <cell r="G27">
            <v>49347</v>
          </cell>
          <cell r="H27">
            <v>3.6</v>
          </cell>
          <cell r="I27">
            <v>3.6</v>
          </cell>
          <cell r="J27">
            <v>3.5</v>
          </cell>
          <cell r="K27">
            <v>3</v>
          </cell>
          <cell r="L27">
            <v>3.6</v>
          </cell>
          <cell r="O27" t="str">
            <v>14:36</v>
          </cell>
          <cell r="P27" t="str">
            <v>16:09</v>
          </cell>
          <cell r="Q27">
            <v>0</v>
          </cell>
          <cell r="R27">
            <v>0</v>
          </cell>
          <cell r="S27">
            <v>30</v>
          </cell>
        </row>
        <row r="28">
          <cell r="B28" t="str">
            <v>0</v>
          </cell>
          <cell r="C28" t="str">
            <v>09</v>
          </cell>
          <cell r="D28" t="str">
            <v>PELICULA</v>
          </cell>
          <cell r="E28" t="str">
            <v>HECHOS DE LA VIDA REAL</v>
          </cell>
          <cell r="F28">
            <v>3.3</v>
          </cell>
          <cell r="G28">
            <v>47150</v>
          </cell>
          <cell r="H28">
            <v>3.3</v>
          </cell>
          <cell r="O28" t="str">
            <v>22:01</v>
          </cell>
          <cell r="P28" t="str">
            <v>23:56</v>
          </cell>
          <cell r="Q28">
            <v>0</v>
          </cell>
          <cell r="R28">
            <v>0</v>
          </cell>
          <cell r="S28">
            <v>6</v>
          </cell>
        </row>
        <row r="29">
          <cell r="B29" t="str">
            <v>0</v>
          </cell>
          <cell r="C29" t="str">
            <v>09</v>
          </cell>
          <cell r="D29" t="str">
            <v>TELENOVELA</v>
          </cell>
          <cell r="E29" t="str">
            <v>EL PRIVILEGIO DE AMAR</v>
          </cell>
          <cell r="F29">
            <v>3.3</v>
          </cell>
          <cell r="G29">
            <v>46711</v>
          </cell>
          <cell r="H29">
            <v>3.2</v>
          </cell>
          <cell r="I29">
            <v>3</v>
          </cell>
          <cell r="J29">
            <v>3.8</v>
          </cell>
          <cell r="K29">
            <v>3.3</v>
          </cell>
          <cell r="L29">
            <v>3</v>
          </cell>
          <cell r="O29" t="str">
            <v>14:00</v>
          </cell>
          <cell r="P29" t="str">
            <v>15:05</v>
          </cell>
          <cell r="Q29">
            <v>0</v>
          </cell>
          <cell r="R29">
            <v>0</v>
          </cell>
          <cell r="S29">
            <v>30</v>
          </cell>
        </row>
        <row r="30">
          <cell r="B30" t="str">
            <v>0</v>
          </cell>
          <cell r="C30" t="str">
            <v>09</v>
          </cell>
          <cell r="D30" t="str">
            <v>REPORTAJE</v>
          </cell>
          <cell r="E30" t="str">
            <v>A CORAZON ABIERTO</v>
          </cell>
          <cell r="F30">
            <v>3.2</v>
          </cell>
          <cell r="G30">
            <v>45320</v>
          </cell>
          <cell r="J30">
            <v>3.2</v>
          </cell>
          <cell r="O30" t="str">
            <v>22:03</v>
          </cell>
          <cell r="P30" t="str">
            <v>23:03</v>
          </cell>
          <cell r="Q30">
            <v>0</v>
          </cell>
          <cell r="R30">
            <v>0</v>
          </cell>
          <cell r="S30">
            <v>2</v>
          </cell>
        </row>
        <row r="31">
          <cell r="B31" t="str">
            <v>0</v>
          </cell>
          <cell r="C31" t="str">
            <v>09</v>
          </cell>
          <cell r="D31" t="str">
            <v>MISCELANEO</v>
          </cell>
          <cell r="E31" t="str">
            <v>BUENAS TARDES ELI</v>
          </cell>
          <cell r="F31">
            <v>3</v>
          </cell>
          <cell r="G31">
            <v>43141</v>
          </cell>
          <cell r="H31">
            <v>4.3</v>
          </cell>
          <cell r="I31">
            <v>4.0999999999999996</v>
          </cell>
          <cell r="J31">
            <v>3</v>
          </cell>
          <cell r="K31">
            <v>2.7</v>
          </cell>
          <cell r="L31">
            <v>1.1000000000000001</v>
          </cell>
          <cell r="O31" t="str">
            <v>15:44</v>
          </cell>
          <cell r="P31" t="str">
            <v>17:36</v>
          </cell>
          <cell r="Q31">
            <v>0</v>
          </cell>
          <cell r="R31">
            <v>0</v>
          </cell>
          <cell r="S31">
            <v>5</v>
          </cell>
        </row>
        <row r="32">
          <cell r="B32" t="str">
            <v>0</v>
          </cell>
          <cell r="C32" t="str">
            <v>09</v>
          </cell>
          <cell r="D32" t="str">
            <v>FUTBOL</v>
          </cell>
          <cell r="E32" t="str">
            <v>COPA CIUDAD DE SANTIAGO</v>
          </cell>
          <cell r="F32">
            <v>3</v>
          </cell>
          <cell r="G32">
            <v>42503</v>
          </cell>
          <cell r="H32">
            <v>2.4</v>
          </cell>
          <cell r="J32">
            <v>4.0999999999999996</v>
          </cell>
          <cell r="K32">
            <v>2.8</v>
          </cell>
          <cell r="N32">
            <v>2.7</v>
          </cell>
          <cell r="O32" t="str">
            <v>18:37</v>
          </cell>
          <cell r="P32" t="str">
            <v>00:21</v>
          </cell>
          <cell r="Q32">
            <v>0</v>
          </cell>
          <cell r="R32">
            <v>0</v>
          </cell>
          <cell r="S32">
            <v>6</v>
          </cell>
        </row>
        <row r="33">
          <cell r="B33" t="str">
            <v>0</v>
          </cell>
          <cell r="C33" t="str">
            <v>09</v>
          </cell>
          <cell r="D33" t="str">
            <v>SERIE</v>
          </cell>
          <cell r="E33" t="str">
            <v>SUNSET BEAT</v>
          </cell>
          <cell r="F33">
            <v>3</v>
          </cell>
          <cell r="G33">
            <v>42287</v>
          </cell>
          <cell r="H33">
            <v>2.4</v>
          </cell>
          <cell r="I33">
            <v>4.4000000000000004</v>
          </cell>
          <cell r="J33">
            <v>2.2000000000000002</v>
          </cell>
          <cell r="K33">
            <v>2.9</v>
          </cell>
          <cell r="L33">
            <v>2.8</v>
          </cell>
          <cell r="O33" t="str">
            <v>23:44</v>
          </cell>
          <cell r="P33" t="str">
            <v>01:46</v>
          </cell>
          <cell r="Q33">
            <v>0</v>
          </cell>
          <cell r="R33">
            <v>0</v>
          </cell>
          <cell r="S33">
            <v>13</v>
          </cell>
        </row>
        <row r="34">
          <cell r="B34" t="str">
            <v>0</v>
          </cell>
          <cell r="C34" t="str">
            <v>09</v>
          </cell>
          <cell r="D34" t="str">
            <v>PELICULA</v>
          </cell>
          <cell r="E34" t="str">
            <v>AVANT PREMIER</v>
          </cell>
          <cell r="F34">
            <v>2.8</v>
          </cell>
          <cell r="G34">
            <v>39984</v>
          </cell>
          <cell r="L34">
            <v>2.8</v>
          </cell>
          <cell r="O34" t="str">
            <v>21:59</v>
          </cell>
          <cell r="P34" t="str">
            <v>23:56</v>
          </cell>
          <cell r="Q34">
            <v>0</v>
          </cell>
          <cell r="R34">
            <v>0</v>
          </cell>
          <cell r="S34">
            <v>5</v>
          </cell>
        </row>
        <row r="35">
          <cell r="B35" t="str">
            <v>0</v>
          </cell>
          <cell r="C35" t="str">
            <v>09</v>
          </cell>
          <cell r="D35" t="str">
            <v>NOTICIERO</v>
          </cell>
          <cell r="E35" t="str">
            <v>MEGANOTICIAS</v>
          </cell>
          <cell r="F35">
            <v>2.7</v>
          </cell>
          <cell r="G35">
            <v>39266</v>
          </cell>
          <cell r="H35">
            <v>2.5</v>
          </cell>
          <cell r="I35">
            <v>3.2</v>
          </cell>
          <cell r="J35">
            <v>3.3</v>
          </cell>
          <cell r="K35">
            <v>2.8</v>
          </cell>
          <cell r="L35">
            <v>1.9</v>
          </cell>
          <cell r="O35" t="str">
            <v>20:59</v>
          </cell>
          <cell r="P35" t="str">
            <v>22:09</v>
          </cell>
          <cell r="Q35">
            <v>0</v>
          </cell>
          <cell r="R35">
            <v>0</v>
          </cell>
          <cell r="S35">
            <v>30</v>
          </cell>
        </row>
        <row r="36">
          <cell r="B36" t="str">
            <v>0</v>
          </cell>
          <cell r="C36" t="str">
            <v>09</v>
          </cell>
          <cell r="D36" t="str">
            <v>REPORTAJE</v>
          </cell>
          <cell r="E36" t="str">
            <v>IN SITU</v>
          </cell>
          <cell r="F36">
            <v>2.7</v>
          </cell>
          <cell r="G36">
            <v>38730</v>
          </cell>
          <cell r="J36">
            <v>2.7</v>
          </cell>
          <cell r="O36" t="str">
            <v>22:03</v>
          </cell>
          <cell r="P36" t="str">
            <v>23:14</v>
          </cell>
          <cell r="Q36">
            <v>0</v>
          </cell>
          <cell r="R36">
            <v>0</v>
          </cell>
          <cell r="S36">
            <v>1</v>
          </cell>
        </row>
        <row r="37">
          <cell r="B37" t="str">
            <v>0</v>
          </cell>
          <cell r="C37" t="str">
            <v>09</v>
          </cell>
          <cell r="D37" t="str">
            <v>TELENOVELA</v>
          </cell>
          <cell r="E37" t="str">
            <v>NUNCA TE OLVIDARE</v>
          </cell>
          <cell r="F37">
            <v>2.6</v>
          </cell>
          <cell r="G37">
            <v>37140</v>
          </cell>
          <cell r="H37">
            <v>2.9</v>
          </cell>
          <cell r="I37">
            <v>2.6</v>
          </cell>
          <cell r="J37">
            <v>2.6</v>
          </cell>
          <cell r="K37">
            <v>2.6</v>
          </cell>
          <cell r="L37">
            <v>2.2999999999999998</v>
          </cell>
          <cell r="O37" t="str">
            <v>19:39</v>
          </cell>
          <cell r="P37" t="str">
            <v>20:59</v>
          </cell>
          <cell r="Q37">
            <v>0</v>
          </cell>
          <cell r="R37">
            <v>0</v>
          </cell>
          <cell r="S37">
            <v>24</v>
          </cell>
        </row>
        <row r="38">
          <cell r="B38" t="str">
            <v>0</v>
          </cell>
          <cell r="C38" t="str">
            <v>09</v>
          </cell>
          <cell r="D38" t="str">
            <v>NOTICIERO</v>
          </cell>
          <cell r="E38" t="str">
            <v>MEGANOTICIAS EDICION TARDE</v>
          </cell>
          <cell r="F38">
            <v>2.5</v>
          </cell>
          <cell r="G38">
            <v>35066</v>
          </cell>
          <cell r="H38">
            <v>2.8</v>
          </cell>
          <cell r="I38">
            <v>2.4</v>
          </cell>
          <cell r="J38">
            <v>3.2</v>
          </cell>
          <cell r="K38">
            <v>3</v>
          </cell>
          <cell r="L38">
            <v>2.4</v>
          </cell>
          <cell r="N38">
            <v>0.8</v>
          </cell>
          <cell r="O38" t="str">
            <v>13:03</v>
          </cell>
          <cell r="P38" t="str">
            <v>14:03</v>
          </cell>
          <cell r="Q38">
            <v>0</v>
          </cell>
          <cell r="R38">
            <v>0</v>
          </cell>
          <cell r="S38">
            <v>30</v>
          </cell>
        </row>
        <row r="39">
          <cell r="B39" t="str">
            <v>0</v>
          </cell>
          <cell r="C39" t="str">
            <v>09</v>
          </cell>
          <cell r="D39" t="str">
            <v>NOTICIERO</v>
          </cell>
          <cell r="E39" t="str">
            <v>MEGANOTICIAS SINTESIS DOMINGO</v>
          </cell>
          <cell r="F39">
            <v>2.4</v>
          </cell>
          <cell r="G39">
            <v>34744</v>
          </cell>
          <cell r="N39">
            <v>2.4</v>
          </cell>
          <cell r="O39" t="str">
            <v>20:58</v>
          </cell>
          <cell r="P39" t="str">
            <v>22:28</v>
          </cell>
          <cell r="Q39">
            <v>0</v>
          </cell>
          <cell r="R39">
            <v>0</v>
          </cell>
          <cell r="S39">
            <v>6</v>
          </cell>
        </row>
        <row r="40">
          <cell r="B40" t="str">
            <v>0</v>
          </cell>
          <cell r="C40" t="str">
            <v>09</v>
          </cell>
          <cell r="D40" t="str">
            <v>POLITICO</v>
          </cell>
          <cell r="E40" t="str">
            <v>FRANJA POLITICA 2</v>
          </cell>
          <cell r="F40">
            <v>2.4</v>
          </cell>
          <cell r="G40">
            <v>33919</v>
          </cell>
          <cell r="H40">
            <v>3.8</v>
          </cell>
          <cell r="I40">
            <v>2.7</v>
          </cell>
          <cell r="J40">
            <v>3.1</v>
          </cell>
          <cell r="K40">
            <v>2.2999999999999998</v>
          </cell>
          <cell r="L40">
            <v>2.2000000000000002</v>
          </cell>
          <cell r="M40">
            <v>1.7</v>
          </cell>
          <cell r="N40">
            <v>0.9</v>
          </cell>
          <cell r="O40" t="str">
            <v>20:54</v>
          </cell>
          <cell r="P40" t="str">
            <v>21:00</v>
          </cell>
          <cell r="Q40">
            <v>0</v>
          </cell>
          <cell r="R40">
            <v>0</v>
          </cell>
          <cell r="S40">
            <v>11</v>
          </cell>
        </row>
        <row r="41">
          <cell r="B41" t="str">
            <v>0</v>
          </cell>
          <cell r="C41" t="str">
            <v>09</v>
          </cell>
          <cell r="D41" t="str">
            <v>TELENOVELA</v>
          </cell>
          <cell r="E41" t="str">
            <v>GOTITA DE AMOR</v>
          </cell>
          <cell r="F41">
            <v>2.2999999999999998</v>
          </cell>
          <cell r="G41">
            <v>32560</v>
          </cell>
          <cell r="I41">
            <v>2.2000000000000002</v>
          </cell>
          <cell r="J41">
            <v>2.5</v>
          </cell>
          <cell r="K41">
            <v>2.5</v>
          </cell>
          <cell r="L41">
            <v>2</v>
          </cell>
          <cell r="O41" t="str">
            <v>20:08</v>
          </cell>
          <cell r="P41" t="str">
            <v>20:59</v>
          </cell>
          <cell r="Q41">
            <v>0</v>
          </cell>
          <cell r="R41">
            <v>0</v>
          </cell>
          <cell r="S41">
            <v>4</v>
          </cell>
        </row>
        <row r="42">
          <cell r="B42" t="str">
            <v>0</v>
          </cell>
          <cell r="C42" t="str">
            <v>11</v>
          </cell>
          <cell r="D42" t="str">
            <v>CONVERSACION</v>
          </cell>
          <cell r="E42" t="str">
            <v>DE AQUI NO SALE</v>
          </cell>
          <cell r="F42">
            <v>6.2</v>
          </cell>
          <cell r="G42">
            <v>89056</v>
          </cell>
          <cell r="J42">
            <v>6.2</v>
          </cell>
          <cell r="O42" t="str">
            <v>22:00</v>
          </cell>
          <cell r="P42" t="str">
            <v>00:15</v>
          </cell>
          <cell r="Q42">
            <v>0</v>
          </cell>
          <cell r="R42">
            <v>0</v>
          </cell>
          <cell r="S42">
            <v>5</v>
          </cell>
        </row>
        <row r="43">
          <cell r="B43" t="str">
            <v>0</v>
          </cell>
          <cell r="C43" t="str">
            <v>11</v>
          </cell>
          <cell r="D43" t="str">
            <v>PELICULA</v>
          </cell>
          <cell r="E43" t="str">
            <v>PREMIUM</v>
          </cell>
          <cell r="F43">
            <v>5.0999999999999996</v>
          </cell>
          <cell r="G43">
            <v>72390</v>
          </cell>
          <cell r="I43">
            <v>5.4</v>
          </cell>
          <cell r="J43">
            <v>4.7</v>
          </cell>
          <cell r="O43" t="str">
            <v>22:00</v>
          </cell>
          <cell r="P43" t="str">
            <v>00:05</v>
          </cell>
          <cell r="Q43">
            <v>0</v>
          </cell>
          <cell r="R43">
            <v>0</v>
          </cell>
          <cell r="S43">
            <v>7</v>
          </cell>
        </row>
        <row r="44">
          <cell r="B44" t="str">
            <v>0</v>
          </cell>
          <cell r="C44" t="str">
            <v>11</v>
          </cell>
          <cell r="D44" t="str">
            <v>MUSICAL</v>
          </cell>
          <cell r="E44" t="str">
            <v>ABBA Y A-TEENS</v>
          </cell>
          <cell r="F44">
            <v>3.1</v>
          </cell>
          <cell r="G44">
            <v>44764</v>
          </cell>
          <cell r="L44">
            <v>3.1</v>
          </cell>
          <cell r="O44" t="str">
            <v>23:12</v>
          </cell>
          <cell r="P44" t="str">
            <v>00:02</v>
          </cell>
          <cell r="Q44">
            <v>0</v>
          </cell>
          <cell r="R44">
            <v>0</v>
          </cell>
          <cell r="S44">
            <v>1</v>
          </cell>
        </row>
        <row r="45">
          <cell r="B45" t="str">
            <v>0</v>
          </cell>
          <cell r="C45" t="str">
            <v>11</v>
          </cell>
          <cell r="D45" t="str">
            <v>JUVENIL</v>
          </cell>
          <cell r="E45" t="str">
            <v>LUNATICOS</v>
          </cell>
          <cell r="F45">
            <v>2.9</v>
          </cell>
          <cell r="G45">
            <v>41184</v>
          </cell>
          <cell r="M45">
            <v>2.9</v>
          </cell>
          <cell r="O45" t="str">
            <v>23:51</v>
          </cell>
          <cell r="P45" t="str">
            <v>01:50</v>
          </cell>
          <cell r="Q45">
            <v>0</v>
          </cell>
          <cell r="R45">
            <v>0</v>
          </cell>
          <cell r="S45">
            <v>5</v>
          </cell>
        </row>
        <row r="46">
          <cell r="B46" t="str">
            <v>0</v>
          </cell>
          <cell r="C46" t="str">
            <v>11</v>
          </cell>
          <cell r="D46" t="str">
            <v>PELICULA</v>
          </cell>
          <cell r="E46" t="str">
            <v>NOCHE DE CINE</v>
          </cell>
          <cell r="F46">
            <v>2.8</v>
          </cell>
          <cell r="G46">
            <v>39900</v>
          </cell>
          <cell r="M46">
            <v>2.8</v>
          </cell>
          <cell r="O46" t="str">
            <v>21:56</v>
          </cell>
          <cell r="P46" t="str">
            <v>00:01</v>
          </cell>
          <cell r="Q46">
            <v>0</v>
          </cell>
          <cell r="R46">
            <v>0</v>
          </cell>
          <cell r="S46">
            <v>3</v>
          </cell>
        </row>
        <row r="47">
          <cell r="B47" t="str">
            <v>0</v>
          </cell>
          <cell r="C47" t="str">
            <v>11</v>
          </cell>
          <cell r="D47" t="str">
            <v>FUTBOL</v>
          </cell>
          <cell r="E47" t="str">
            <v>FUTBOL INTERNACIONAL</v>
          </cell>
          <cell r="F47">
            <v>2.7</v>
          </cell>
          <cell r="G47">
            <v>38732</v>
          </cell>
          <cell r="L47">
            <v>2.7</v>
          </cell>
          <cell r="O47" t="str">
            <v>22:01</v>
          </cell>
          <cell r="P47" t="str">
            <v>00:17</v>
          </cell>
          <cell r="Q47">
            <v>0</v>
          </cell>
          <cell r="R47">
            <v>0</v>
          </cell>
          <cell r="S47">
            <v>1</v>
          </cell>
        </row>
        <row r="48">
          <cell r="B48" t="str">
            <v>0</v>
          </cell>
          <cell r="C48" t="str">
            <v>11</v>
          </cell>
          <cell r="D48" t="str">
            <v>NOTICIERO</v>
          </cell>
          <cell r="E48" t="str">
            <v>CHV NOTICIAS NOCHE</v>
          </cell>
          <cell r="F48">
            <v>2.5</v>
          </cell>
          <cell r="G48">
            <v>35486</v>
          </cell>
          <cell r="H48">
            <v>2.2000000000000002</v>
          </cell>
          <cell r="I48">
            <v>3.7</v>
          </cell>
          <cell r="J48">
            <v>3.3</v>
          </cell>
          <cell r="K48">
            <v>2.1</v>
          </cell>
          <cell r="L48">
            <v>1.7</v>
          </cell>
          <cell r="N48">
            <v>1.9</v>
          </cell>
          <cell r="O48" t="str">
            <v>23:45</v>
          </cell>
          <cell r="P48" t="str">
            <v>00:53</v>
          </cell>
          <cell r="Q48">
            <v>0</v>
          </cell>
          <cell r="R48">
            <v>0</v>
          </cell>
          <cell r="S48">
            <v>30</v>
          </cell>
        </row>
        <row r="49">
          <cell r="B49" t="str">
            <v>0</v>
          </cell>
          <cell r="C49" t="str">
            <v>11</v>
          </cell>
          <cell r="D49" t="str">
            <v>CONVERSACION</v>
          </cell>
          <cell r="E49" t="str">
            <v>CELEDON VILLEGAS Y CIA</v>
          </cell>
          <cell r="F49">
            <v>2.5</v>
          </cell>
          <cell r="G49">
            <v>35422</v>
          </cell>
          <cell r="H49">
            <v>2.5</v>
          </cell>
          <cell r="O49" t="str">
            <v>22:03</v>
          </cell>
          <cell r="P49" t="str">
            <v>23:17</v>
          </cell>
          <cell r="Q49">
            <v>0</v>
          </cell>
          <cell r="R49">
            <v>0</v>
          </cell>
          <cell r="S49">
            <v>1</v>
          </cell>
        </row>
        <row r="50">
          <cell r="B50" t="str">
            <v>0</v>
          </cell>
          <cell r="C50" t="str">
            <v>11</v>
          </cell>
          <cell r="D50" t="str">
            <v>MISCELANEO</v>
          </cell>
          <cell r="E50" t="str">
            <v>DE VEZ EN CUANDO LA VIDA</v>
          </cell>
          <cell r="F50">
            <v>2.2999999999999998</v>
          </cell>
          <cell r="G50">
            <v>32893</v>
          </cell>
          <cell r="H50">
            <v>2.2999999999999998</v>
          </cell>
          <cell r="O50" t="str">
            <v>21:59</v>
          </cell>
          <cell r="P50" t="str">
            <v>23:18</v>
          </cell>
          <cell r="Q50">
            <v>0</v>
          </cell>
          <cell r="R50">
            <v>0</v>
          </cell>
          <cell r="S50">
            <v>5</v>
          </cell>
        </row>
        <row r="51">
          <cell r="B51" t="str">
            <v>0</v>
          </cell>
          <cell r="C51" t="str">
            <v>11</v>
          </cell>
          <cell r="D51" t="str">
            <v>PELICULA</v>
          </cell>
          <cell r="E51" t="str">
            <v>DOMINGO DE PELICULA</v>
          </cell>
          <cell r="F51">
            <v>2.2999999999999998</v>
          </cell>
          <cell r="G51">
            <v>32717</v>
          </cell>
          <cell r="N51">
            <v>2.2999999999999998</v>
          </cell>
          <cell r="O51" t="str">
            <v>21:59</v>
          </cell>
          <cell r="P51" t="str">
            <v>00:45</v>
          </cell>
          <cell r="Q51">
            <v>0</v>
          </cell>
          <cell r="R51">
            <v>0</v>
          </cell>
          <cell r="S51">
            <v>6</v>
          </cell>
        </row>
        <row r="52">
          <cell r="B52" t="str">
            <v>0</v>
          </cell>
          <cell r="C52" t="str">
            <v>11</v>
          </cell>
          <cell r="D52" t="str">
            <v>SE_INFANTIL</v>
          </cell>
          <cell r="E52" t="str">
            <v>CONAN</v>
          </cell>
          <cell r="F52">
            <v>2.2000000000000002</v>
          </cell>
          <cell r="G52">
            <v>31729</v>
          </cell>
          <cell r="N52">
            <v>2.2000000000000002</v>
          </cell>
          <cell r="O52" t="str">
            <v>14:38</v>
          </cell>
          <cell r="P52" t="str">
            <v>15:31</v>
          </cell>
          <cell r="Q52">
            <v>0</v>
          </cell>
          <cell r="R52">
            <v>0</v>
          </cell>
          <cell r="S52">
            <v>1</v>
          </cell>
        </row>
        <row r="53">
          <cell r="B53" t="str">
            <v>0</v>
          </cell>
          <cell r="C53" t="str">
            <v>11</v>
          </cell>
          <cell r="D53" t="str">
            <v>MUSICAL</v>
          </cell>
          <cell r="E53" t="str">
            <v>EL SABOR DE LA NOCHE</v>
          </cell>
          <cell r="F53">
            <v>2.2000000000000002</v>
          </cell>
          <cell r="G53">
            <v>30743</v>
          </cell>
          <cell r="M53">
            <v>2.2000000000000002</v>
          </cell>
          <cell r="O53" t="str">
            <v>21:58</v>
          </cell>
          <cell r="P53" t="str">
            <v>00:00</v>
          </cell>
          <cell r="Q53">
            <v>0</v>
          </cell>
          <cell r="R53">
            <v>0</v>
          </cell>
          <cell r="S53">
            <v>3</v>
          </cell>
        </row>
        <row r="54">
          <cell r="B54" t="str">
            <v>0</v>
          </cell>
          <cell r="C54" t="str">
            <v>11</v>
          </cell>
          <cell r="D54" t="str">
            <v>MISCELANEO</v>
          </cell>
          <cell r="E54" t="str">
            <v>CRONICAS DE LO PARANORMAL</v>
          </cell>
          <cell r="F54">
            <v>2.1</v>
          </cell>
          <cell r="G54">
            <v>30302</v>
          </cell>
          <cell r="H54">
            <v>2.1</v>
          </cell>
          <cell r="O54" t="str">
            <v>23:11</v>
          </cell>
          <cell r="P54" t="str">
            <v>00:08</v>
          </cell>
          <cell r="Q54">
            <v>0</v>
          </cell>
          <cell r="R54">
            <v>0</v>
          </cell>
          <cell r="S54">
            <v>5</v>
          </cell>
        </row>
        <row r="55">
          <cell r="B55" t="str">
            <v>0</v>
          </cell>
          <cell r="C55" t="str">
            <v>11</v>
          </cell>
          <cell r="D55" t="str">
            <v>PELICULA</v>
          </cell>
          <cell r="E55" t="str">
            <v>GRAN PREMIER</v>
          </cell>
          <cell r="F55">
            <v>2.1</v>
          </cell>
          <cell r="G55">
            <v>30234</v>
          </cell>
          <cell r="K55">
            <v>2.1</v>
          </cell>
          <cell r="O55" t="str">
            <v>22:02</v>
          </cell>
          <cell r="P55" t="str">
            <v>00:09</v>
          </cell>
          <cell r="Q55">
            <v>0</v>
          </cell>
          <cell r="R55">
            <v>0</v>
          </cell>
          <cell r="S55">
            <v>5</v>
          </cell>
        </row>
        <row r="56">
          <cell r="B56" t="str">
            <v>0</v>
          </cell>
          <cell r="C56" t="str">
            <v>11</v>
          </cell>
          <cell r="D56" t="str">
            <v>SERIE</v>
          </cell>
          <cell r="E56" t="str">
            <v>NASH BRIDGES</v>
          </cell>
          <cell r="F56">
            <v>1.9</v>
          </cell>
          <cell r="G56">
            <v>27246</v>
          </cell>
          <cell r="N56">
            <v>1.9</v>
          </cell>
          <cell r="O56" t="str">
            <v>17:53</v>
          </cell>
          <cell r="P56" t="str">
            <v>19:14</v>
          </cell>
          <cell r="Q56">
            <v>0</v>
          </cell>
          <cell r="R56">
            <v>0</v>
          </cell>
          <cell r="S56">
            <v>5</v>
          </cell>
        </row>
        <row r="57">
          <cell r="B57" t="str">
            <v>0</v>
          </cell>
          <cell r="C57" t="str">
            <v>11</v>
          </cell>
          <cell r="D57" t="str">
            <v>MISCELANEO</v>
          </cell>
          <cell r="E57" t="str">
            <v>DR. SPOT</v>
          </cell>
          <cell r="F57">
            <v>1.9</v>
          </cell>
          <cell r="G57">
            <v>26541</v>
          </cell>
          <cell r="L57">
            <v>1.9</v>
          </cell>
          <cell r="O57" t="str">
            <v>21:58</v>
          </cell>
          <cell r="P57" t="str">
            <v>23:11</v>
          </cell>
          <cell r="Q57">
            <v>0</v>
          </cell>
          <cell r="R57">
            <v>0</v>
          </cell>
          <cell r="S57">
            <v>4</v>
          </cell>
        </row>
        <row r="58">
          <cell r="B58" t="str">
            <v>0</v>
          </cell>
          <cell r="C58" t="str">
            <v>11</v>
          </cell>
          <cell r="D58" t="str">
            <v>MISCELANEO</v>
          </cell>
          <cell r="E58" t="str">
            <v>BOHEMIA</v>
          </cell>
          <cell r="F58">
            <v>1.9</v>
          </cell>
          <cell r="G58">
            <v>27255</v>
          </cell>
          <cell r="H58">
            <v>1.8</v>
          </cell>
          <cell r="I58">
            <v>1.8</v>
          </cell>
          <cell r="J58">
            <v>2.4</v>
          </cell>
          <cell r="K58">
            <v>2.1</v>
          </cell>
          <cell r="L58">
            <v>1.4</v>
          </cell>
          <cell r="O58" t="str">
            <v>00:27</v>
          </cell>
          <cell r="P58" t="str">
            <v>02:06</v>
          </cell>
          <cell r="Q58">
            <v>0</v>
          </cell>
          <cell r="R58">
            <v>0</v>
          </cell>
          <cell r="S58">
            <v>25</v>
          </cell>
        </row>
        <row r="59">
          <cell r="B59" t="str">
            <v>0</v>
          </cell>
          <cell r="C59" t="str">
            <v>11</v>
          </cell>
          <cell r="D59" t="str">
            <v>EV_MUSICAL</v>
          </cell>
          <cell r="E59" t="str">
            <v>ESPECIALES MUSICALES</v>
          </cell>
          <cell r="F59">
            <v>1.8</v>
          </cell>
          <cell r="G59">
            <v>26266</v>
          </cell>
          <cell r="L59">
            <v>1.8</v>
          </cell>
          <cell r="O59" t="str">
            <v>22:58</v>
          </cell>
          <cell r="P59" t="str">
            <v>00:06</v>
          </cell>
          <cell r="Q59">
            <v>0</v>
          </cell>
          <cell r="R59">
            <v>0</v>
          </cell>
          <cell r="S59">
            <v>3</v>
          </cell>
        </row>
        <row r="60">
          <cell r="B60" t="str">
            <v>0</v>
          </cell>
          <cell r="C60" t="str">
            <v>11</v>
          </cell>
          <cell r="D60" t="str">
            <v>DEPORTIVO</v>
          </cell>
          <cell r="E60" t="str">
            <v>FUERA DE JUEGO</v>
          </cell>
          <cell r="F60">
            <v>1.8</v>
          </cell>
          <cell r="G60">
            <v>26185</v>
          </cell>
          <cell r="H60">
            <v>1.8</v>
          </cell>
          <cell r="O60" t="str">
            <v>23:18</v>
          </cell>
          <cell r="P60" t="str">
            <v>00:24</v>
          </cell>
          <cell r="Q60">
            <v>0</v>
          </cell>
          <cell r="R60">
            <v>0</v>
          </cell>
          <cell r="S60">
            <v>1</v>
          </cell>
        </row>
        <row r="61">
          <cell r="B61" t="str">
            <v>0</v>
          </cell>
          <cell r="C61" t="str">
            <v>11</v>
          </cell>
          <cell r="D61" t="str">
            <v>INFORMATIVO</v>
          </cell>
          <cell r="E61" t="str">
            <v>EL TIEMPO EN CHV (N)</v>
          </cell>
          <cell r="F61">
            <v>1.8</v>
          </cell>
          <cell r="G61">
            <v>26149</v>
          </cell>
          <cell r="H61">
            <v>1.4</v>
          </cell>
          <cell r="I61">
            <v>2.2000000000000002</v>
          </cell>
          <cell r="J61">
            <v>2.4</v>
          </cell>
          <cell r="K61">
            <v>1.5</v>
          </cell>
          <cell r="L61">
            <v>1.2</v>
          </cell>
          <cell r="N61">
            <v>2.2999999999999998</v>
          </cell>
          <cell r="O61" t="str">
            <v>00:25</v>
          </cell>
          <cell r="P61" t="str">
            <v>00:55</v>
          </cell>
          <cell r="Q61">
            <v>0</v>
          </cell>
          <cell r="R61">
            <v>0</v>
          </cell>
          <cell r="S61">
            <v>30</v>
          </cell>
        </row>
        <row r="62">
          <cell r="B62" t="str">
            <v>0</v>
          </cell>
          <cell r="C62" t="str">
            <v>13</v>
          </cell>
          <cell r="D62" t="str">
            <v>CONVERSACION</v>
          </cell>
          <cell r="E62" t="str">
            <v>VIVA EL LUNES</v>
          </cell>
          <cell r="F62">
            <v>17.399999999999999</v>
          </cell>
          <cell r="G62">
            <v>248972</v>
          </cell>
          <cell r="H62">
            <v>17.399999999999999</v>
          </cell>
          <cell r="O62" t="str">
            <v>22:02</v>
          </cell>
          <cell r="P62" t="str">
            <v>00:19</v>
          </cell>
          <cell r="Q62">
            <v>0</v>
          </cell>
          <cell r="R62">
            <v>0</v>
          </cell>
          <cell r="S62">
            <v>1</v>
          </cell>
        </row>
        <row r="63">
          <cell r="B63" t="str">
            <v>0</v>
          </cell>
          <cell r="C63" t="str">
            <v>13</v>
          </cell>
          <cell r="D63" t="str">
            <v>VARIEDAD</v>
          </cell>
          <cell r="E63" t="str">
            <v>VENGA CONMIGO (LO MEJOR)</v>
          </cell>
          <cell r="F63">
            <v>10.8</v>
          </cell>
          <cell r="G63">
            <v>154920</v>
          </cell>
          <cell r="N63">
            <v>10.8</v>
          </cell>
          <cell r="O63" t="str">
            <v>22:07</v>
          </cell>
          <cell r="P63" t="str">
            <v>00:49</v>
          </cell>
          <cell r="Q63">
            <v>0</v>
          </cell>
          <cell r="R63">
            <v>0</v>
          </cell>
          <cell r="S63">
            <v>1</v>
          </cell>
        </row>
        <row r="64">
          <cell r="B64" t="str">
            <v>0</v>
          </cell>
          <cell r="C64" t="str">
            <v>13</v>
          </cell>
          <cell r="D64" t="str">
            <v>P_ESPECIAL</v>
          </cell>
          <cell r="E64" t="str">
            <v>PROGRAMA ESPECIAL</v>
          </cell>
          <cell r="F64">
            <v>10.8</v>
          </cell>
          <cell r="G64">
            <v>154073</v>
          </cell>
          <cell r="H64">
            <v>10.8</v>
          </cell>
          <cell r="O64" t="str">
            <v>22:04</v>
          </cell>
          <cell r="P64" t="str">
            <v>22:42</v>
          </cell>
          <cell r="Q64">
            <v>0</v>
          </cell>
          <cell r="R64">
            <v>0</v>
          </cell>
          <cell r="S64">
            <v>1</v>
          </cell>
        </row>
        <row r="65">
          <cell r="B65" t="str">
            <v>0</v>
          </cell>
          <cell r="C65" t="str">
            <v>13</v>
          </cell>
          <cell r="D65" t="str">
            <v>VARIEDAD</v>
          </cell>
          <cell r="E65" t="str">
            <v>VENGA CONMIGO</v>
          </cell>
          <cell r="F65">
            <v>10.3</v>
          </cell>
          <cell r="G65">
            <v>147672</v>
          </cell>
          <cell r="K65">
            <v>10.3</v>
          </cell>
          <cell r="O65" t="str">
            <v>22:04</v>
          </cell>
          <cell r="P65" t="str">
            <v>00:53</v>
          </cell>
          <cell r="Q65">
            <v>0</v>
          </cell>
          <cell r="R65">
            <v>0</v>
          </cell>
          <cell r="S65">
            <v>5</v>
          </cell>
        </row>
        <row r="66">
          <cell r="B66" t="str">
            <v>0</v>
          </cell>
          <cell r="C66" t="str">
            <v>13</v>
          </cell>
          <cell r="D66" t="str">
            <v>MUSICAL</v>
          </cell>
          <cell r="E66" t="str">
            <v>FESTIVAL DEL HUASO OLMUE 2000</v>
          </cell>
          <cell r="F66">
            <v>9.9</v>
          </cell>
          <cell r="G66">
            <v>141572</v>
          </cell>
          <cell r="L66">
            <v>9.8000000000000007</v>
          </cell>
          <cell r="M66">
            <v>8.3000000000000007</v>
          </cell>
          <cell r="N66">
            <v>11.6</v>
          </cell>
          <cell r="O66" t="str">
            <v>21:58</v>
          </cell>
          <cell r="P66" t="str">
            <v>02:05</v>
          </cell>
          <cell r="Q66">
            <v>0</v>
          </cell>
          <cell r="R66">
            <v>0</v>
          </cell>
          <cell r="S66">
            <v>3</v>
          </cell>
        </row>
        <row r="67">
          <cell r="B67" t="str">
            <v>0</v>
          </cell>
          <cell r="C67" t="str">
            <v>13</v>
          </cell>
          <cell r="D67" t="str">
            <v>P_ESPECIAL</v>
          </cell>
          <cell r="E67" t="str">
            <v>PRESIDENTE 2000,LA DEFINICION2</v>
          </cell>
          <cell r="F67">
            <v>9.6999999999999993</v>
          </cell>
          <cell r="G67">
            <v>139148</v>
          </cell>
          <cell r="N67">
            <v>9.6999999999999993</v>
          </cell>
          <cell r="O67" t="str">
            <v>19:12</v>
          </cell>
          <cell r="P67" t="str">
            <v>20:59</v>
          </cell>
          <cell r="Q67">
            <v>0</v>
          </cell>
          <cell r="R67">
            <v>0</v>
          </cell>
          <cell r="S67">
            <v>1</v>
          </cell>
        </row>
        <row r="68">
          <cell r="B68" t="str">
            <v>0</v>
          </cell>
          <cell r="C68" t="str">
            <v>13</v>
          </cell>
          <cell r="D68" t="str">
            <v>PELICULA</v>
          </cell>
          <cell r="E68" t="str">
            <v>GRANDES EVENTOS</v>
          </cell>
          <cell r="F68">
            <v>9.4</v>
          </cell>
          <cell r="G68">
            <v>133789</v>
          </cell>
          <cell r="N68">
            <v>9.4</v>
          </cell>
          <cell r="O68" t="str">
            <v>22:04</v>
          </cell>
          <cell r="P68" t="str">
            <v>00:24</v>
          </cell>
          <cell r="Q68">
            <v>0</v>
          </cell>
          <cell r="R68">
            <v>0</v>
          </cell>
          <cell r="S68">
            <v>3</v>
          </cell>
        </row>
        <row r="69">
          <cell r="B69" t="str">
            <v>0</v>
          </cell>
          <cell r="C69" t="str">
            <v>13</v>
          </cell>
          <cell r="D69" t="str">
            <v>P_ESPECIAL</v>
          </cell>
          <cell r="E69" t="str">
            <v>PRESIDENTE 2000,LA DEFINICION3</v>
          </cell>
          <cell r="F69">
            <v>8.6999999999999993</v>
          </cell>
          <cell r="G69">
            <v>124203</v>
          </cell>
          <cell r="N69">
            <v>8.6999999999999993</v>
          </cell>
          <cell r="O69" t="str">
            <v>23:16</v>
          </cell>
          <cell r="P69" t="str">
            <v>23:39</v>
          </cell>
          <cell r="Q69">
            <v>0</v>
          </cell>
          <cell r="R69">
            <v>0</v>
          </cell>
          <cell r="S69">
            <v>1</v>
          </cell>
        </row>
        <row r="70">
          <cell r="B70" t="str">
            <v>0</v>
          </cell>
          <cell r="C70" t="str">
            <v>13</v>
          </cell>
          <cell r="D70" t="str">
            <v>MISCELANEO</v>
          </cell>
          <cell r="E70" t="str">
            <v>DESDE LA TERRAZA</v>
          </cell>
          <cell r="F70">
            <v>8.5</v>
          </cell>
          <cell r="G70">
            <v>122115</v>
          </cell>
          <cell r="L70">
            <v>8.5</v>
          </cell>
          <cell r="O70" t="str">
            <v>22:08</v>
          </cell>
          <cell r="P70" t="str">
            <v>00:07</v>
          </cell>
          <cell r="Q70">
            <v>0</v>
          </cell>
          <cell r="R70">
            <v>0</v>
          </cell>
          <cell r="S70">
            <v>3</v>
          </cell>
        </row>
        <row r="71">
          <cell r="B71" t="str">
            <v>0</v>
          </cell>
          <cell r="C71" t="str">
            <v>13</v>
          </cell>
          <cell r="D71" t="str">
            <v>P_ESPECIAL</v>
          </cell>
          <cell r="E71" t="str">
            <v>ANO 2000 72 HORAS</v>
          </cell>
          <cell r="F71">
            <v>7.9</v>
          </cell>
          <cell r="G71">
            <v>112838</v>
          </cell>
          <cell r="I71">
            <v>7.9</v>
          </cell>
          <cell r="O71" t="str">
            <v>22:08</v>
          </cell>
          <cell r="P71" t="str">
            <v>23:15</v>
          </cell>
          <cell r="Q71">
            <v>0</v>
          </cell>
          <cell r="R71">
            <v>0</v>
          </cell>
          <cell r="S71">
            <v>1</v>
          </cell>
        </row>
        <row r="72">
          <cell r="B72" t="str">
            <v>0</v>
          </cell>
          <cell r="C72" t="str">
            <v>13</v>
          </cell>
          <cell r="D72" t="str">
            <v>P_ESPECIAL</v>
          </cell>
          <cell r="E72" t="str">
            <v>PRESIDENTE 2000,LA DEFINICION1</v>
          </cell>
          <cell r="F72">
            <v>7.7</v>
          </cell>
          <cell r="G72">
            <v>110761</v>
          </cell>
          <cell r="N72">
            <v>7.7</v>
          </cell>
          <cell r="O72" t="str">
            <v>16:08</v>
          </cell>
          <cell r="P72" t="str">
            <v>19:08</v>
          </cell>
          <cell r="Q72">
            <v>0</v>
          </cell>
          <cell r="R72">
            <v>0</v>
          </cell>
          <cell r="S72">
            <v>1</v>
          </cell>
        </row>
        <row r="73">
          <cell r="B73" t="str">
            <v>0</v>
          </cell>
          <cell r="C73" t="str">
            <v>13</v>
          </cell>
          <cell r="D73" t="str">
            <v>INFORMATIVO</v>
          </cell>
          <cell r="E73" t="str">
            <v>EL TIEMPO</v>
          </cell>
          <cell r="F73">
            <v>7.5</v>
          </cell>
          <cell r="G73">
            <v>107373</v>
          </cell>
          <cell r="H73">
            <v>9</v>
          </cell>
          <cell r="I73">
            <v>7.5</v>
          </cell>
          <cell r="J73">
            <v>7</v>
          </cell>
          <cell r="K73">
            <v>7.7</v>
          </cell>
          <cell r="L73">
            <v>5.9</v>
          </cell>
          <cell r="M73">
            <v>6.4</v>
          </cell>
          <cell r="N73">
            <v>9.1</v>
          </cell>
          <cell r="O73" t="str">
            <v>21:48</v>
          </cell>
          <cell r="P73" t="str">
            <v>23:50</v>
          </cell>
          <cell r="Q73">
            <v>0</v>
          </cell>
          <cell r="R73">
            <v>0</v>
          </cell>
          <cell r="S73">
            <v>42</v>
          </cell>
        </row>
        <row r="74">
          <cell r="B74" t="str">
            <v>0</v>
          </cell>
          <cell r="C74" t="str">
            <v>13</v>
          </cell>
          <cell r="D74" t="str">
            <v>NOTICIERO</v>
          </cell>
          <cell r="E74" t="str">
            <v>TELETRECE</v>
          </cell>
          <cell r="F74">
            <v>7.3</v>
          </cell>
          <cell r="G74">
            <v>104251</v>
          </cell>
          <cell r="H74">
            <v>7.8</v>
          </cell>
          <cell r="I74">
            <v>6.9</v>
          </cell>
          <cell r="J74">
            <v>7.5</v>
          </cell>
          <cell r="K74">
            <v>7</v>
          </cell>
          <cell r="L74">
            <v>7.3</v>
          </cell>
          <cell r="M74">
            <v>6.3</v>
          </cell>
          <cell r="N74">
            <v>8.1999999999999993</v>
          </cell>
          <cell r="O74" t="str">
            <v>20:59</v>
          </cell>
          <cell r="P74" t="str">
            <v>23:45</v>
          </cell>
          <cell r="Q74">
            <v>0</v>
          </cell>
          <cell r="R74">
            <v>0</v>
          </cell>
          <cell r="S74">
            <v>42</v>
          </cell>
        </row>
        <row r="75">
          <cell r="B75" t="str">
            <v>0</v>
          </cell>
          <cell r="C75" t="str">
            <v>13</v>
          </cell>
          <cell r="D75" t="str">
            <v>HUMOR</v>
          </cell>
          <cell r="E75" t="str">
            <v>TEATRO EN CANAL 13</v>
          </cell>
          <cell r="F75">
            <v>7.1</v>
          </cell>
          <cell r="G75">
            <v>101124</v>
          </cell>
          <cell r="I75">
            <v>7.1</v>
          </cell>
          <cell r="O75" t="str">
            <v>22:08</v>
          </cell>
          <cell r="P75" t="str">
            <v>23:41</v>
          </cell>
          <cell r="Q75">
            <v>0</v>
          </cell>
          <cell r="R75">
            <v>0</v>
          </cell>
          <cell r="S75">
            <v>3</v>
          </cell>
        </row>
        <row r="76">
          <cell r="B76" t="str">
            <v>0</v>
          </cell>
          <cell r="C76" t="str">
            <v>13</v>
          </cell>
          <cell r="D76" t="str">
            <v>CONCURSO</v>
          </cell>
          <cell r="E76" t="str">
            <v>JUGANDO A SABER</v>
          </cell>
          <cell r="F76">
            <v>7</v>
          </cell>
          <cell r="G76">
            <v>99943</v>
          </cell>
          <cell r="H76">
            <v>7</v>
          </cell>
          <cell r="O76" t="str">
            <v>22:06</v>
          </cell>
          <cell r="P76" t="str">
            <v>00:37</v>
          </cell>
          <cell r="Q76">
            <v>0</v>
          </cell>
          <cell r="R76">
            <v>0</v>
          </cell>
          <cell r="S76">
            <v>5</v>
          </cell>
        </row>
        <row r="77">
          <cell r="B77" t="str">
            <v>0</v>
          </cell>
          <cell r="C77" t="str">
            <v>13</v>
          </cell>
          <cell r="D77" t="str">
            <v>P_ESPECIAL</v>
          </cell>
          <cell r="E77" t="str">
            <v>MESA 13</v>
          </cell>
          <cell r="F77">
            <v>6.7</v>
          </cell>
          <cell r="G77">
            <v>95300</v>
          </cell>
          <cell r="N77">
            <v>6.7</v>
          </cell>
          <cell r="O77" t="str">
            <v>14:20</v>
          </cell>
          <cell r="P77" t="str">
            <v>16:07</v>
          </cell>
          <cell r="Q77">
            <v>0</v>
          </cell>
          <cell r="R77">
            <v>0</v>
          </cell>
          <cell r="S77">
            <v>1</v>
          </cell>
        </row>
        <row r="78">
          <cell r="B78" t="str">
            <v>0</v>
          </cell>
          <cell r="C78" t="str">
            <v>13</v>
          </cell>
          <cell r="D78" t="str">
            <v>P_ESPECIAL</v>
          </cell>
          <cell r="E78" t="str">
            <v>PRESIDENTE 2000, EL RESUMEN</v>
          </cell>
          <cell r="F78">
            <v>6.1</v>
          </cell>
          <cell r="G78">
            <v>87502</v>
          </cell>
          <cell r="N78">
            <v>6.1</v>
          </cell>
          <cell r="O78" t="str">
            <v>23:42</v>
          </cell>
          <cell r="P78" t="str">
            <v>23:58</v>
          </cell>
          <cell r="Q78">
            <v>0</v>
          </cell>
          <cell r="R78">
            <v>0</v>
          </cell>
          <cell r="S78">
            <v>1</v>
          </cell>
        </row>
        <row r="79">
          <cell r="B79" t="str">
            <v>0</v>
          </cell>
          <cell r="C79" t="str">
            <v>13</v>
          </cell>
          <cell r="D79" t="str">
            <v>MUSICAL</v>
          </cell>
          <cell r="E79" t="str">
            <v>LO MEJOR DE OLMUE 2000</v>
          </cell>
          <cell r="F79">
            <v>6.1</v>
          </cell>
          <cell r="G79">
            <v>87325</v>
          </cell>
          <cell r="J79">
            <v>6.1</v>
          </cell>
          <cell r="O79" t="str">
            <v>22:07</v>
          </cell>
          <cell r="P79" t="str">
            <v>23:36</v>
          </cell>
          <cell r="Q79">
            <v>0</v>
          </cell>
          <cell r="R79">
            <v>0</v>
          </cell>
          <cell r="S79">
            <v>1</v>
          </cell>
        </row>
        <row r="80">
          <cell r="B80" t="str">
            <v>0</v>
          </cell>
          <cell r="C80" t="str">
            <v>13</v>
          </cell>
          <cell r="D80" t="str">
            <v>DEPORTIVO</v>
          </cell>
          <cell r="E80" t="str">
            <v>CAMINO A SIDNEY 2000</v>
          </cell>
          <cell r="F80">
            <v>5.7</v>
          </cell>
          <cell r="G80">
            <v>81120</v>
          </cell>
          <cell r="L80">
            <v>5.7</v>
          </cell>
          <cell r="O80" t="str">
            <v>20:29</v>
          </cell>
          <cell r="P80" t="str">
            <v>20:59</v>
          </cell>
          <cell r="Q80">
            <v>0</v>
          </cell>
          <cell r="R80">
            <v>0</v>
          </cell>
          <cell r="S80">
            <v>1</v>
          </cell>
        </row>
        <row r="81">
          <cell r="B81" t="str">
            <v>0</v>
          </cell>
          <cell r="C81" t="str">
            <v>13</v>
          </cell>
          <cell r="D81" t="str">
            <v>P_ESPECIAL</v>
          </cell>
          <cell r="E81" t="str">
            <v>ANO NUEVO 2000</v>
          </cell>
          <cell r="F81">
            <v>5.4</v>
          </cell>
          <cell r="G81">
            <v>76751</v>
          </cell>
          <cell r="L81">
            <v>5.4</v>
          </cell>
          <cell r="O81" t="str">
            <v>22:01</v>
          </cell>
          <cell r="P81" t="str">
            <v>02:28</v>
          </cell>
          <cell r="Q81">
            <v>0</v>
          </cell>
          <cell r="R81">
            <v>0</v>
          </cell>
          <cell r="S81">
            <v>1</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pa"/>
      <sheetName val="JORGE"/>
      <sheetName val="Country Review"/>
      <sheetName val="negociaciones1"/>
      <sheetName val="TV2549ABC"/>
      <sheetName val="TV2564ABC"/>
      <sheetName val="resumen campaña"/>
      <sheetName val="Country_Review"/>
      <sheetName val="Rating"/>
      <sheetName val="ENERO 2008"/>
      <sheetName val="rating (2)"/>
      <sheetName val="#G.O."/>
      <sheetName val="01_2000"/>
      <sheetName val="Country_Review1"/>
      <sheetName val="ENERO_2008"/>
      <sheetName val="rating_(2)"/>
      <sheetName val="resumen_campaña"/>
      <sheetName val="Tarifario"/>
      <sheetName val="PAUTA"/>
      <sheetName val="A-BASE"/>
      <sheetName val="A&amp;F MAN 2DO"/>
      <sheetName val="A&amp;F MAN 1ER"/>
      <sheetName val="Hoja1"/>
      <sheetName val="A&amp;F_MAN_2DO"/>
      <sheetName val="A&amp;F_MAN_1ER"/>
      <sheetName val="RK TV"/>
      <sheetName val="A&amp;F_MAN_2DO1"/>
      <sheetName val="A&amp;F_MAN_1ER1"/>
      <sheetName val="Alc y Fr Nin"/>
      <sheetName val="Alc y Fre Amas"/>
      <sheetName val="Country_Review2"/>
      <sheetName val="resumen_campaña1"/>
      <sheetName val="ENERO_20081"/>
      <sheetName val="rating_(2)1"/>
      <sheetName val="#G_O_"/>
      <sheetName val="Planejamento"/>
      <sheetName val="Country_Review3"/>
      <sheetName val="resumen_campaña2"/>
      <sheetName val="ENERO_20082"/>
      <sheetName val="rating_(2)2"/>
      <sheetName val="#G_O_1"/>
      <sheetName val="A&amp;F_MAN_2DO2"/>
      <sheetName val="A&amp;F_MAN_1ER2"/>
      <sheetName val="RK_TV"/>
      <sheetName val="Alc_y_Fr_Nin"/>
      <sheetName val="Alc_y_Fre_Amas"/>
      <sheetName val="Country_Review4"/>
      <sheetName val="resumen_campaña3"/>
      <sheetName val="ENERO_20083"/>
      <sheetName val="rating_(2)3"/>
      <sheetName val="#G_O_2"/>
      <sheetName val="A&amp;F_MAN_2DO3"/>
      <sheetName val="A&amp;F_MAN_1ER3"/>
      <sheetName val="RK_TV1"/>
      <sheetName val="Alc_y_Fr_Nin1"/>
      <sheetName val="Alc_y_Fre_Amas1"/>
      <sheetName val="aca-"/>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 sheetId="33"/>
      <sheetData sheetId="34" refreshError="1"/>
      <sheetData sheetId="35" refreshError="1"/>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ule1"/>
      <sheetName val="Dialog1"/>
      <sheetName val="Fuente"/>
      <sheetName val="_CGO"/>
      <sheetName val="Anunciantes"/>
      <sheetName val="MarcasCli"/>
      <sheetName val="Tablas"/>
      <sheetName val="Rubros"/>
      <sheetName val="expertisse"/>
      <sheetName val="#REF"/>
      <sheetName val="01_2000"/>
      <sheetName val="Plan"/>
      <sheetName val="Tarifas Enero 2009"/>
      <sheetName val="Rating"/>
      <sheetName val="tablas final 1°sem 2008"/>
      <sheetName val="Tapa"/>
      <sheetName val="Plan Tv Cable"/>
      <sheetName val="Tarifas_Enero_2009"/>
      <sheetName val="tablas_final_1°sem_2008"/>
      <sheetName val="regiones"/>
      <sheetName val="datos universos"/>
      <sheetName val="Resumen anual acumulado"/>
      <sheetName val="Caras"/>
      <sheetName val="Contratos"/>
      <sheetName val="Data"/>
      <sheetName val="Marcas"/>
      <sheetName val="Salas 2"/>
      <sheetName val="datos_universos"/>
      <sheetName val="datos_universos1"/>
      <sheetName val="Resumen_anual_acumulado"/>
      <sheetName val="#¡REF"/>
      <sheetName val="rating "/>
      <sheetName val="Parámetros"/>
      <sheetName val="P_Diarios Santiago"/>
      <sheetName val="RANKING"/>
      <sheetName val="Schedule"/>
      <sheetName val="analisis"/>
      <sheetName val="negociaciones1"/>
      <sheetName val="KPMG"/>
      <sheetName val="negociaciones"/>
      <sheetName val="Rk"/>
      <sheetName val="Tablas Base"/>
      <sheetName val="P&amp;L x Pdto (Procesado)"/>
      <sheetName val="_CGO.XLS"/>
      <sheetName val="1"/>
      <sheetName val="Regiones Noviembre 2002"/>
      <sheetName val="\\Public_exg\datos\WKS\CUANT-GO"/>
      <sheetName val="Sheet1"/>
      <sheetName val="Tarifas_Enero_20091"/>
      <sheetName val="tablas_final_1°sem_20081"/>
      <sheetName val="Plan_Tv_Cable"/>
      <sheetName val="datos_universos2"/>
      <sheetName val="Resumen_anual_acumulado1"/>
      <sheetName val="rating_"/>
      <sheetName val="Salas_2"/>
      <sheetName val="_CGO_XLS"/>
      <sheetName val="GRAFPROM"/>
      <sheetName val="2_4"/>
      <sheetName val="2_5"/>
      <sheetName val="2_3"/>
      <sheetName val="Tarifas_Enero_20092"/>
      <sheetName val="tablas_final_1°sem_20082"/>
      <sheetName val="Plan_Tv_Cable1"/>
      <sheetName val="datos_universos3"/>
      <sheetName val="Resumen_anual_acumulado2"/>
      <sheetName val="Salas_21"/>
      <sheetName val="rating_1"/>
      <sheetName val="P_Diarios_Santiago"/>
      <sheetName val="Tablas_Base"/>
      <sheetName val="P&amp;L_x_Pdto_(Procesado)"/>
      <sheetName val="_CGO_XLS1"/>
      <sheetName val="Regiones_Noviembre_2002"/>
      <sheetName val="Tarifas_Enero_20093"/>
      <sheetName val="tablas_final_1°sem_20083"/>
      <sheetName val="Plan_Tv_Cable2"/>
      <sheetName val="datos_universos4"/>
      <sheetName val="Resumen_anual_acumulado3"/>
      <sheetName val="Salas_22"/>
      <sheetName val="rating_2"/>
      <sheetName val="P_Diarios_Santiago1"/>
      <sheetName val="Tablas_Base1"/>
      <sheetName val="P&amp;L_x_Pdto_(Procesado)1"/>
      <sheetName val="_CGO_XLS2"/>
      <sheetName val="Regiones_Noviembre_20021"/>
      <sheetName val="Tarifas_Enero_20094"/>
      <sheetName val="tablas_final_1°sem_20084"/>
      <sheetName val="Plan_Tv_Cable3"/>
      <sheetName val="datos_universos5"/>
      <sheetName val="Resumen_anual_acumulado4"/>
      <sheetName val="Salas_23"/>
      <sheetName val="rating_3"/>
      <sheetName val="P_Diarios_Santiago2"/>
      <sheetName val="Tablas_Base2"/>
      <sheetName val="P&amp;L_x_Pdto_(Procesado)2"/>
      <sheetName val="_CGO_XLS3"/>
      <sheetName val="Regiones_Noviembre_20022"/>
    </sheetNames>
    <definedNames>
      <definedName name="calcula" sheetId="0"/>
    </defined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sheetData sheetId="49"/>
      <sheetData sheetId="50"/>
      <sheetData sheetId="51"/>
      <sheetData sheetId="52"/>
      <sheetData sheetId="53" refreshError="1"/>
      <sheetData sheetId="54" refreshError="1"/>
      <sheetData sheetId="55" refreshError="1"/>
      <sheetData sheetId="56" refreshError="1"/>
      <sheetData sheetId="57" refreshError="1"/>
      <sheetData sheetId="58" refreshError="1"/>
      <sheetData sheetId="59" refreshError="1"/>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refreshError="1"/>
      <sheetData sheetId="93" refreshError="1"/>
      <sheetData sheetId="94" refreshError="1"/>
      <sheetData sheetId="9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C"/>
      <sheetName val="JORGE"/>
      <sheetName val="Parámetros"/>
      <sheetName val="Module1"/>
      <sheetName val="ENC.XLS"/>
      <sheetName val="Rating"/>
      <sheetName val="\\Server-ls\datos\WKS\CLAUDIO\C"/>
      <sheetName val="\Users\administrator\Desktop\Re"/>
    </sheetNames>
    <definedNames>
      <definedName name="Calcula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_Diarios Santiago"/>
      <sheetName val="P_Revistas"/>
      <sheetName val="Plantilla Gráfica"/>
      <sheetName val="P_Suplementos"/>
      <sheetName val="P_Gráfica"/>
      <sheetName val="Venta"/>
      <sheetName val="Parámetros"/>
      <sheetName val="Calcular"/>
      <sheetName val="Diarios"/>
      <sheetName val="Revistas"/>
      <sheetName val="Suplementos"/>
      <sheetName val="d_Target"/>
      <sheetName val="Ingreso de GSE y +"/>
      <sheetName val="L x E, revistas"/>
      <sheetName val="LxE-Sup-LV"/>
      <sheetName val="LxE-Sup-Sáb"/>
      <sheetName val="LxE-Sup-Dom"/>
      <sheetName val="L x E, Diarios"/>
      <sheetName val="Borradorcillo"/>
      <sheetName val="Duende2"/>
      <sheetName val="Módulo1"/>
      <sheetName val="DIC'96"/>
      <sheetName val="Module1"/>
      <sheetName val="P_Diarios_Santiago"/>
      <sheetName val="Plantilla_Gráfica"/>
      <sheetName val="Ingreso_de_GSE_y_+"/>
      <sheetName val="L_x_E,_revistas"/>
      <sheetName val="L_x_E,_Diarios"/>
      <sheetName val="P_Diarios_Santiago1"/>
      <sheetName val="Plantilla_Gráfica1"/>
      <sheetName val="Ingreso_de_GSE_y_+1"/>
      <sheetName val="L_x_E,_revistas1"/>
      <sheetName val="L_x_E,_Diarios1"/>
      <sheetName val="Setup"/>
      <sheetName val="Resumen anual acumulado"/>
      <sheetName val="DIC'96.XLS"/>
      <sheetName val="Resumen_anual_acumulado"/>
      <sheetName val="Resumen_anual_acumulado1"/>
      <sheetName val="Base para buscarv"/>
      <sheetName val="PLANGENERAL"/>
      <sheetName val="\\Server-ls\datos\WKS\CLAUDIO\D"/>
      <sheetName val="Rk"/>
      <sheetName val="DATA BASE"/>
      <sheetName val="Notas"/>
      <sheetName val="Regiones Noviembre 2002"/>
      <sheetName val="Factura"/>
      <sheetName val="Personalizar"/>
      <sheetName val="\\Server-ls\datos\WKS\ENC-REV\D"/>
      <sheetName val="DATA_BASE"/>
      <sheetName val="P_Diarios_Santiago2"/>
      <sheetName val="Plantilla_Gráfica2"/>
      <sheetName val="Ingreso_de_GSE_y_+2"/>
      <sheetName val="L_x_E,_revistas2"/>
      <sheetName val="L_x_E,_Diarios2"/>
      <sheetName val="Resumen_anual_acumulado2"/>
      <sheetName val="DIC'96_XLS"/>
      <sheetName val="Base_para_buscarv"/>
      <sheetName val="DATA_BASE1"/>
      <sheetName val="\Users\administrator\Desktop\Re"/>
      <sheetName val="P_Diarios_Santiago3"/>
      <sheetName val="Plantilla_Gráfica3"/>
      <sheetName val="Ingreso_de_GSE_y_+3"/>
      <sheetName val="L_x_E,_revistas3"/>
      <sheetName val="L_x_E,_Diarios3"/>
      <sheetName val="Resumen_anual_acumulado3"/>
      <sheetName val="DIC'96_XLS1"/>
      <sheetName val="Base_para_buscarv1"/>
      <sheetName val="DATA_BASE2"/>
      <sheetName val="Regiones_Noviembre_2002"/>
      <sheetName val="P_Diarios_Santiago4"/>
      <sheetName val="Plantilla_Gráfica4"/>
      <sheetName val="Ingreso_de_GSE_y_+4"/>
      <sheetName val="L_x_E,_revistas4"/>
      <sheetName val="L_x_E,_Diarios4"/>
      <sheetName val="Resumen_anual_acumulado4"/>
      <sheetName val="DIC'96_XLS2"/>
      <sheetName val="Base_para_buscarv2"/>
      <sheetName val="DATA_BASE3"/>
      <sheetName val="Regiones_Noviembre_20021"/>
      <sheetName val="P_Diarios_Santiago5"/>
      <sheetName val="Plantilla_Gráfica5"/>
      <sheetName val="Ingreso_de_GSE_y_+5"/>
      <sheetName val="L_x_E,_revistas5"/>
      <sheetName val="L_x_E,_Diarios5"/>
      <sheetName val="Resumen_anual_acumulado5"/>
      <sheetName val="DIC'96_XLS3"/>
      <sheetName val="Base_para_buscarv3"/>
      <sheetName val="DATA_BASE4"/>
      <sheetName val="Regiones_Noviembre_20022"/>
    </sheetNames>
    <definedNames>
      <definedName name="Calcular.Calcular" sheetId="0"/>
    </definedNames>
    <sheetDataSet>
      <sheetData sheetId="0"/>
      <sheetData sheetId="1"/>
      <sheetData sheetId="2"/>
      <sheetData sheetId="3"/>
      <sheetData sheetId="4"/>
      <sheetData sheetId="5"/>
      <sheetData sheetId="6"/>
      <sheetData sheetId="7" refreshError="1"/>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sheetData sheetId="51"/>
      <sheetData sheetId="52"/>
      <sheetData sheetId="53" refreshError="1"/>
      <sheetData sheetId="54" refreshError="1"/>
      <sheetData sheetId="55" refreshError="1"/>
      <sheetData sheetId="56" refreshError="1"/>
      <sheetData sheetId="57" refreshError="1"/>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ule1"/>
      <sheetName val="Dialog1"/>
      <sheetName val="Fuente"/>
      <sheetName val="_CGO"/>
      <sheetName val="datos universos"/>
      <sheetName val="rating"/>
      <sheetName val="Resumen anual acumulado"/>
      <sheetName val="Contratos"/>
      <sheetName val="Tablas"/>
      <sheetName val="Marcas"/>
      <sheetName val="Anunciantes"/>
      <sheetName val="Salas 2"/>
      <sheetName val="Caras"/>
      <sheetName val="#¡REF"/>
      <sheetName val="rating "/>
      <sheetName val="Parámetros"/>
      <sheetName val="datos_universos"/>
      <sheetName val="datos_universos1"/>
      <sheetName val="Resumen_anual_acumulado"/>
      <sheetName val="Data"/>
      <sheetName val="P_Diarios Santiago"/>
      <sheetName val="MarcasCli"/>
      <sheetName val="Rubros"/>
      <sheetName val="expertisse"/>
      <sheetName val="#REF"/>
      <sheetName val="01_2000"/>
      <sheetName val="Plan"/>
      <sheetName val="Tarifas Enero 2009"/>
      <sheetName val="tablas final 1°sem 2008"/>
      <sheetName val="Plan Tv Cable"/>
      <sheetName val="Tarifas_Enero_2009"/>
      <sheetName val="tablas_final_1°sem_2008"/>
      <sheetName val="Tapa"/>
      <sheetName val="regiones"/>
      <sheetName val="Rk"/>
      <sheetName val="Tablas Base"/>
      <sheetName val="P&amp;L x Pdto (Procesado)"/>
      <sheetName val="RANKING"/>
      <sheetName val="Schedule"/>
      <sheetName val="analisis"/>
      <sheetName val="negociaciones1"/>
      <sheetName val="KPMG"/>
      <sheetName val="negociaciones"/>
      <sheetName val="_CGO.XLS"/>
      <sheetName val="1"/>
      <sheetName val="Regiones Noviembre 2002"/>
      <sheetName val="Sheet1"/>
      <sheetName val="\\Public_exg\datos\WKS\CUANT-GO"/>
      <sheetName val="Tarifas_Enero_20091"/>
      <sheetName val="tablas_final_1°sem_20081"/>
      <sheetName val="Plan_Tv_Cable"/>
      <sheetName val="datos_universos2"/>
      <sheetName val="Resumen_anual_acumulado1"/>
      <sheetName val="rating_"/>
      <sheetName val="Salas_2"/>
      <sheetName val="_CGO_XLS"/>
      <sheetName val="GRAFPROM"/>
      <sheetName val="2_4"/>
      <sheetName val="2_5"/>
      <sheetName val="2_3"/>
      <sheetName val="Tarifas_Enero_20092"/>
      <sheetName val="tablas_final_1°sem_20082"/>
      <sheetName val="Plan_Tv_Cable1"/>
      <sheetName val="datos_universos3"/>
      <sheetName val="Resumen_anual_acumulado2"/>
      <sheetName val="Salas_21"/>
      <sheetName val="rating_1"/>
      <sheetName val="P_Diarios_Santiago"/>
      <sheetName val="Tablas_Base"/>
      <sheetName val="P&amp;L_x_Pdto_(Procesado)"/>
      <sheetName val="_CGO_XLS1"/>
      <sheetName val="Regiones_Noviembre_2002"/>
      <sheetName val="Tarifas_Enero_20093"/>
      <sheetName val="tablas_final_1°sem_20083"/>
      <sheetName val="Plan_Tv_Cable2"/>
      <sheetName val="datos_universos4"/>
      <sheetName val="Resumen_anual_acumulado3"/>
      <sheetName val="Salas_22"/>
      <sheetName val="rating_2"/>
      <sheetName val="P_Diarios_Santiago1"/>
      <sheetName val="Tablas_Base1"/>
      <sheetName val="P&amp;L_x_Pdto_(Procesado)1"/>
      <sheetName val="_CGO_XLS2"/>
      <sheetName val="Regiones_Noviembre_20021"/>
      <sheetName val="Tarifas_Enero_20094"/>
      <sheetName val="tablas_final_1°sem_20084"/>
      <sheetName val="Plan_Tv_Cable3"/>
      <sheetName val="datos_universos5"/>
      <sheetName val="Resumen_anual_acumulado4"/>
      <sheetName val="Salas_23"/>
      <sheetName val="rating_3"/>
      <sheetName val="P_Diarios_Santiago2"/>
      <sheetName val="Tablas_Base2"/>
      <sheetName val="P&amp;L_x_Pdto_(Procesado)2"/>
      <sheetName val="_CGO_XLS3"/>
      <sheetName val="Regiones_Noviembre_20022"/>
    </sheetNames>
    <definedNames>
      <definedName name="calcula" sheetId="0"/>
    </defined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sheetData sheetId="49"/>
      <sheetData sheetId="50"/>
      <sheetData sheetId="51"/>
      <sheetData sheetId="52"/>
      <sheetData sheetId="53" refreshError="1"/>
      <sheetData sheetId="54" refreshError="1"/>
      <sheetData sheetId="55" refreshError="1"/>
      <sheetData sheetId="56" refreshError="1"/>
      <sheetData sheetId="57" refreshError="1"/>
      <sheetData sheetId="58" refreshError="1"/>
      <sheetData sheetId="59" refreshError="1"/>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refreshError="1"/>
      <sheetData sheetId="93" refreshError="1"/>
      <sheetData sheetId="94" refreshError="1"/>
      <sheetData sheetId="95"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96"/>
      <sheetName val="Module1"/>
      <sheetName val="Setup"/>
      <sheetName val="Resumen anual acumulado"/>
      <sheetName val="Resumen_anual_acumulado"/>
      <sheetName val="Resumen_anual_acumulado1"/>
      <sheetName val="Base para buscarv"/>
      <sheetName val="P_Diarios Santiago"/>
      <sheetName val="P_Revistas"/>
      <sheetName val="Plantilla Gráfica"/>
      <sheetName val="P_Suplementos"/>
      <sheetName val="P_Gráfica"/>
      <sheetName val="Venta"/>
      <sheetName val="Parámetros"/>
      <sheetName val="Calcular"/>
      <sheetName val="Diarios"/>
      <sheetName val="Revistas"/>
      <sheetName val="Suplementos"/>
      <sheetName val="d_Target"/>
      <sheetName val="Ingreso de GSE y +"/>
      <sheetName val="L x E, revistas"/>
      <sheetName val="LxE-Sup-LV"/>
      <sheetName val="LxE-Sup-Sáb"/>
      <sheetName val="LxE-Sup-Dom"/>
      <sheetName val="L x E, Diarios"/>
      <sheetName val="Borradorcillo"/>
      <sheetName val="Duende2"/>
      <sheetName val="Módulo1"/>
      <sheetName val="P_Diarios_Santiago"/>
      <sheetName val="Plantilla_Gráfica"/>
      <sheetName val="Ingreso_de_GSE_y_+"/>
      <sheetName val="L_x_E,_revistas"/>
      <sheetName val="L_x_E,_Diarios"/>
      <sheetName val="DIC'96.XLS"/>
      <sheetName val="PLANGENERAL"/>
      <sheetName val="Rk"/>
      <sheetName val="DATA BASE"/>
      <sheetName val="Factura"/>
      <sheetName val="Personalizar"/>
      <sheetName val="P_Diarios_Santiago1"/>
      <sheetName val="Plantilla_Gráfica1"/>
      <sheetName val="Ingreso_de_GSE_y_+1"/>
      <sheetName val="L_x_E,_revistas1"/>
      <sheetName val="L_x_E,_Diarios1"/>
      <sheetName val="\\Server-ls\datos\WKS\CLAUDIO\D"/>
      <sheetName val="Notas"/>
      <sheetName val="Regiones Noviembre 2002"/>
      <sheetName val="\\Server-ls\datos\WKS\ENC-REV\D"/>
      <sheetName val="DATA_BASE"/>
      <sheetName val="DATA_BASE1"/>
      <sheetName val="\Users\administrator\Desktop\Re"/>
      <sheetName val="Cadencement Main d'Oeuvre Franc"/>
      <sheetName val="P_Diarios_Santiago2"/>
      <sheetName val="Plantilla_Gráfica2"/>
      <sheetName val="Ingreso_de_GSE_y_+2"/>
      <sheetName val="L_x_E,_revistas2"/>
      <sheetName val="L_x_E,_Diarios2"/>
      <sheetName val="Resumen_anual_acumulado2"/>
      <sheetName val="DIC'96_XLS"/>
      <sheetName val="Base_para_buscarv"/>
      <sheetName val="P_Diarios_Santiago3"/>
      <sheetName val="Plantilla_Gráfica3"/>
      <sheetName val="Ingreso_de_GSE_y_+3"/>
      <sheetName val="L_x_E,_revistas3"/>
      <sheetName val="L_x_E,_Diarios3"/>
      <sheetName val="Resumen_anual_acumulado3"/>
      <sheetName val="DIC'96_XLS1"/>
      <sheetName val="Base_para_buscarv1"/>
      <sheetName val="DATA_BASE2"/>
      <sheetName val="Regiones_Noviembre_2002"/>
      <sheetName val="P_Diarios_Santiago4"/>
      <sheetName val="Plantilla_Gráfica4"/>
      <sheetName val="Ingreso_de_GSE_y_+4"/>
      <sheetName val="L_x_E,_revistas4"/>
      <sheetName val="L_x_E,_Diarios4"/>
      <sheetName val="Resumen_anual_acumulado4"/>
      <sheetName val="DIC'96_XLS2"/>
      <sheetName val="Base_para_buscarv2"/>
      <sheetName val="DATA_BASE3"/>
      <sheetName val="Regiones_Noviembre_20021"/>
      <sheetName val="P_Diarios_Santiago5"/>
      <sheetName val="Plantilla_Gráfica5"/>
      <sheetName val="Ingreso_de_GSE_y_+5"/>
      <sheetName val="L_x_E,_revistas5"/>
      <sheetName val="L_x_E,_Diarios5"/>
      <sheetName val="Resumen_anual_acumulado5"/>
      <sheetName val="DIC'96_XLS3"/>
      <sheetName val="Base_para_buscarv3"/>
      <sheetName val="DATA_BASE4"/>
      <sheetName val="Regiones_Noviembre_20022"/>
    </sheetNames>
    <definedNames>
      <definedName name="Define_target"/>
      <definedName name="Ordena"/>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sheetData sheetId="54"/>
      <sheetData sheetId="55"/>
      <sheetData sheetId="56" refreshError="1"/>
      <sheetData sheetId="57" refreshError="1"/>
      <sheetData sheetId="58" refreshError="1"/>
      <sheetData sheetId="59" refreshError="1"/>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 sheetId="82"/>
      <sheetData sheetId="83"/>
      <sheetData sheetId="84"/>
      <sheetData sheetId="85"/>
      <sheetData sheetId="86"/>
      <sheetData sheetId="87"/>
      <sheetData sheetId="88"/>
      <sheetData sheetId="89"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PA"/>
      <sheetName val="Pnavidad"/>
      <sheetName val="P45&quot;L"/>
      <sheetName val="P30&quot;M"/>
      <sheetName val="PLAN"/>
      <sheetName val="Codigo"/>
      <sheetName val="Hoja1"/>
      <sheetName val="Horas"/>
      <sheetName val="PASO 1"/>
      <sheetName val="JORGE"/>
      <sheetName val="TV3 2"/>
      <sheetName val="PL-DIC95"/>
      <sheetName val="channel"/>
      <sheetName val="POST EVALUACION"/>
      <sheetName val="Alcan y Frec TOTAL 3 Semanas"/>
      <sheetName val="IPCs"/>
      <sheetName val="POST_EVALUACION"/>
      <sheetName val="Alcan_y_Frec_TOTAL_3_Semanas"/>
      <sheetName val="#G.O."/>
      <sheetName val="Rk"/>
      <sheetName val="M.Super-1"/>
      <sheetName val="Jef99m"/>
      <sheetName val="Marcas"/>
      <sheetName val="Anunciantes"/>
      <sheetName val="Tablas"/>
      <sheetName val="POST_EVALUACION1"/>
      <sheetName val="Alcan_y_Frec_TOTAL_3_Semanas1"/>
      <sheetName val="Griglia Mondo - Mix (2)"/>
      <sheetName val="PASO_1"/>
      <sheetName val="TV3_2"/>
      <sheetName val="POST_EVALUACION2"/>
      <sheetName val="Alcan_y_Frec_TOTAL_3_Semanas2"/>
      <sheetName val="#G_O_"/>
      <sheetName val="M_Super-1"/>
      <sheetName val="PASO_11"/>
      <sheetName val="TV3_21"/>
      <sheetName val="POST_EVALUACION3"/>
      <sheetName val="Alcan_y_Frec_TOTAL_3_Semanas3"/>
      <sheetName val="#G_O_1"/>
      <sheetName val="M_Super-11"/>
      <sheetName val="PASO_12"/>
      <sheetName val="TV3_22"/>
      <sheetName val="POST_EVALUACION4"/>
      <sheetName val="Alcan_y_Frec_TOTAL_3_Semanas4"/>
      <sheetName val="#G_O_2"/>
      <sheetName val="M_Super-12"/>
      <sheetName val="Auxiliar"/>
    </sheetNames>
    <sheetDataSet>
      <sheetData sheetId="0"/>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refreshError="1"/>
      <sheetData sheetId="46"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as"/>
      <sheetName val="Notita"/>
      <sheetName val="Plantilla Gráfica"/>
      <sheetName val="Plantilla Diarios"/>
      <sheetName val="Plantilla Revistas"/>
      <sheetName val="Parámetros"/>
      <sheetName val="Posposlangmenomenos"/>
      <sheetName val="Base Diarios"/>
      <sheetName val="Base Suplementos"/>
      <sheetName val="Base Revistas"/>
      <sheetName val="GSE de revistas"/>
      <sheetName val="Macrillo"/>
      <sheetName val="Deuteronomio"/>
      <sheetName val="Duende"/>
      <sheetName val="Duende2"/>
      <sheetName val="JUN'95"/>
      <sheetName val="Module1"/>
      <sheetName val="PLAN"/>
      <sheetName val="JUN'95.XLS"/>
      <sheetName val="1"/>
      <sheetName val="\\Server-ls\datos\WKS\ENC-REV\J"/>
    </sheetNames>
    <definedNames>
      <definedName name="notita" sheetId="0"/>
    </definedNames>
    <sheetDataSet>
      <sheetData sheetId="0" refreshError="1"/>
      <sheetData sheetId="1"/>
      <sheetData sheetId="2"/>
      <sheetData sheetId="3"/>
      <sheetData sheetId="4"/>
      <sheetData sheetId="5"/>
      <sheetData sheetId="6"/>
      <sheetData sheetId="7"/>
      <sheetData sheetId="8"/>
      <sheetData sheetId="9"/>
      <sheetData sheetId="10"/>
      <sheetData sheetId="11" refreshError="1"/>
      <sheetData sheetId="12"/>
      <sheetData sheetId="13"/>
      <sheetData sheetId="14"/>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
      <sheetName val="GRAFICA"/>
      <sheetName val="#G.O."/>
      <sheetName val="Analisis"/>
      <sheetName val="#G_O_"/>
      <sheetName val="Rk"/>
      <sheetName val="#G_O_1"/>
      <sheetName val="ventas"/>
      <sheetName val="REMO"/>
      <sheetName val="resumen campaña"/>
      <sheetName val="an-r"/>
      <sheetName val="Resultados"/>
      <sheetName val="Alc_y_Fr_Nin"/>
      <sheetName val="Diario"/>
      <sheetName val="Alc_y_Fre_Amas"/>
      <sheetName val="POST_EVALUACION"/>
      <sheetName val="Alcan_y_Frec_TOTAL_3_Semanas"/>
      <sheetName val="Análisis"/>
      <sheetName val="#G_O_2"/>
      <sheetName val="#G_O_3"/>
      <sheetName val="01_1999"/>
      <sheetName val="01_2000"/>
      <sheetName val="Anunciantes"/>
      <sheetName val="Caras"/>
      <sheetName val="Tablas"/>
      <sheetName val="Marcas"/>
      <sheetName val="MarcasCli"/>
      <sheetName val="DatosTP"/>
      <sheetName val="Rubros"/>
      <sheetName val="Salas_2"/>
      <sheetName val="Effet PRF"/>
      <sheetName val="Decade2Feb2002"/>
      <sheetName val="#G_O_4"/>
      <sheetName val="resumen_campaña"/>
      <sheetName val="#G_O_5"/>
      <sheetName val="resumen_campaña1"/>
      <sheetName val="#G_O_6"/>
      <sheetName val="resumen_campaña2"/>
      <sheetName val="_G_O_"/>
      <sheetName val="#G_O_7"/>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refreshError="1"/>
      <sheetData sheetId="37" refreshError="1"/>
      <sheetData sheetId="38" refreshError="1"/>
      <sheetData sheetId="39"/>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RM"/>
      <sheetName val="Cuantificador RM"/>
      <sheetName val="DatosTP"/>
      <sheetName val="Cuantificador TP"/>
      <sheetName val="Tarifa Especial (2)"/>
      <sheetName val="Tarifa Especial"/>
      <sheetName val="Tarifa Preferencial (2)"/>
      <sheetName val="rating"/>
      <sheetName val="ANEXOS"/>
      <sheetName val="Tapa"/>
      <sheetName val="Antecedentes"/>
      <sheetName val="AGOSTO"/>
    </sheetNames>
    <sheetDataSet>
      <sheetData sheetId="0" refreshError="1"/>
      <sheetData sheetId="1" refreshError="1"/>
      <sheetData sheetId="2" refreshError="1"/>
      <sheetData sheetId="3" refreshError="1"/>
      <sheetData sheetId="4" refreshError="1"/>
      <sheetData sheetId="5" refreshError="1"/>
      <sheetData sheetId="6">
        <row r="10">
          <cell r="A10" t="str">
            <v>Valor por segundaje</v>
          </cell>
          <cell r="B10" t="str">
            <v>5''</v>
          </cell>
          <cell r="C10" t="str">
            <v>10''</v>
          </cell>
          <cell r="D10" t="str">
            <v>15''</v>
          </cell>
          <cell r="E10" t="str">
            <v>20"</v>
          </cell>
          <cell r="F10" t="str">
            <v>25"</v>
          </cell>
          <cell r="G10" t="str">
            <v>30"</v>
          </cell>
          <cell r="H10" t="str">
            <v>35"</v>
          </cell>
          <cell r="I10" t="str">
            <v>40"</v>
          </cell>
          <cell r="J10" t="str">
            <v>45"</v>
          </cell>
          <cell r="K10" t="str">
            <v>50"</v>
          </cell>
          <cell r="L10" t="str">
            <v>55"</v>
          </cell>
          <cell r="M10" t="str">
            <v>60"</v>
          </cell>
          <cell r="N10" t="str">
            <v>65"</v>
          </cell>
        </row>
        <row r="11">
          <cell r="A11" t="str">
            <v>Prime 20:00 a 24:00 hrs.</v>
          </cell>
        </row>
        <row r="13">
          <cell r="A13" t="str">
            <v xml:space="preserve">CORAZON DE MARIA </v>
          </cell>
          <cell r="B13">
            <v>564000</v>
          </cell>
          <cell r="C13">
            <v>1127000</v>
          </cell>
          <cell r="D13">
            <v>1291000</v>
          </cell>
          <cell r="E13">
            <v>1543000</v>
          </cell>
          <cell r="F13">
            <v>1661000</v>
          </cell>
          <cell r="G13">
            <v>1780000</v>
          </cell>
          <cell r="H13">
            <v>2077000</v>
          </cell>
          <cell r="I13">
            <v>2373000</v>
          </cell>
          <cell r="J13">
            <v>2670000</v>
          </cell>
          <cell r="K13">
            <v>3115000</v>
          </cell>
          <cell r="L13">
            <v>3590000</v>
          </cell>
          <cell r="M13">
            <v>4094000</v>
          </cell>
          <cell r="N13">
            <v>4435000</v>
          </cell>
        </row>
        <row r="14">
          <cell r="A14">
            <v>0</v>
          </cell>
          <cell r="B14">
            <v>0</v>
          </cell>
          <cell r="C14">
            <v>0</v>
          </cell>
          <cell r="D14">
            <v>0</v>
          </cell>
          <cell r="E14">
            <v>0</v>
          </cell>
          <cell r="F14">
            <v>0</v>
          </cell>
          <cell r="G14">
            <v>0</v>
          </cell>
          <cell r="H14">
            <v>0</v>
          </cell>
          <cell r="I14">
            <v>0</v>
          </cell>
          <cell r="J14">
            <v>0</v>
          </cell>
          <cell r="K14">
            <v>0</v>
          </cell>
          <cell r="L14">
            <v>0</v>
          </cell>
          <cell r="M14">
            <v>0</v>
          </cell>
          <cell r="N14">
            <v>0</v>
          </cell>
        </row>
        <row r="15">
          <cell r="A15" t="str">
            <v>24 HORAS CENTRAL L-V</v>
          </cell>
          <cell r="B15">
            <v>627000</v>
          </cell>
          <cell r="C15">
            <v>1254000</v>
          </cell>
          <cell r="D15">
            <v>1436000</v>
          </cell>
          <cell r="E15">
            <v>1716000</v>
          </cell>
          <cell r="F15">
            <v>1848000</v>
          </cell>
          <cell r="G15">
            <v>1980000</v>
          </cell>
          <cell r="H15">
            <v>2310000</v>
          </cell>
          <cell r="I15">
            <v>2640000</v>
          </cell>
          <cell r="J15">
            <v>2970000</v>
          </cell>
          <cell r="K15">
            <v>3465000</v>
          </cell>
          <cell r="L15">
            <v>3993000</v>
          </cell>
          <cell r="M15">
            <v>4554000</v>
          </cell>
          <cell r="N15">
            <v>4934000</v>
          </cell>
        </row>
        <row r="16">
          <cell r="A16" t="str">
            <v>24 HORAS CENTRAL S</v>
          </cell>
          <cell r="B16">
            <v>317000</v>
          </cell>
          <cell r="C16">
            <v>633000</v>
          </cell>
          <cell r="D16">
            <v>725000</v>
          </cell>
          <cell r="E16">
            <v>867000</v>
          </cell>
          <cell r="F16">
            <v>933000</v>
          </cell>
          <cell r="G16">
            <v>1000000</v>
          </cell>
          <cell r="H16">
            <v>1167000</v>
          </cell>
          <cell r="I16">
            <v>1333000</v>
          </cell>
          <cell r="J16">
            <v>1500000</v>
          </cell>
          <cell r="K16">
            <v>1750000</v>
          </cell>
          <cell r="L16">
            <v>2017000</v>
          </cell>
          <cell r="M16">
            <v>2300000</v>
          </cell>
          <cell r="N16">
            <v>2492000</v>
          </cell>
        </row>
        <row r="17">
          <cell r="A17" t="str">
            <v>24 HORAS CENTRAL D</v>
          </cell>
          <cell r="B17">
            <v>586000</v>
          </cell>
          <cell r="C17">
            <v>1172000</v>
          </cell>
          <cell r="D17">
            <v>1341000</v>
          </cell>
          <cell r="E17">
            <v>1603000</v>
          </cell>
          <cell r="F17">
            <v>1727000</v>
          </cell>
          <cell r="G17">
            <v>1850000</v>
          </cell>
          <cell r="H17">
            <v>2158000</v>
          </cell>
          <cell r="I17">
            <v>2467000</v>
          </cell>
          <cell r="J17">
            <v>2775000</v>
          </cell>
          <cell r="K17">
            <v>3238000</v>
          </cell>
          <cell r="L17">
            <v>3731000</v>
          </cell>
          <cell r="M17">
            <v>4255000</v>
          </cell>
          <cell r="N17">
            <v>4610000</v>
          </cell>
        </row>
        <row r="18">
          <cell r="A18" t="str">
            <v>Tanda Prime L-V</v>
          </cell>
          <cell r="B18">
            <v>665000</v>
          </cell>
          <cell r="C18">
            <v>1330000</v>
          </cell>
          <cell r="D18">
            <v>1523000</v>
          </cell>
          <cell r="E18">
            <v>1820000</v>
          </cell>
          <cell r="F18">
            <v>1960000</v>
          </cell>
          <cell r="G18">
            <v>2100000</v>
          </cell>
          <cell r="H18">
            <v>2450000</v>
          </cell>
          <cell r="I18">
            <v>2800000</v>
          </cell>
          <cell r="J18">
            <v>3150000</v>
          </cell>
          <cell r="K18">
            <v>3675000</v>
          </cell>
          <cell r="L18">
            <v>4235000</v>
          </cell>
          <cell r="M18">
            <v>4830000</v>
          </cell>
          <cell r="N18">
            <v>5233000</v>
          </cell>
        </row>
        <row r="19">
          <cell r="A19" t="str">
            <v>TANDA PRIME S</v>
          </cell>
          <cell r="B19">
            <v>443000</v>
          </cell>
          <cell r="C19">
            <v>887000</v>
          </cell>
          <cell r="D19">
            <v>1015000</v>
          </cell>
          <cell r="E19">
            <v>1213000</v>
          </cell>
          <cell r="F19">
            <v>1307000</v>
          </cell>
          <cell r="G19">
            <v>1400000</v>
          </cell>
          <cell r="H19">
            <v>1633000</v>
          </cell>
          <cell r="I19">
            <v>1867000</v>
          </cell>
          <cell r="J19">
            <v>2100000</v>
          </cell>
          <cell r="K19">
            <v>2450000</v>
          </cell>
          <cell r="L19">
            <v>2823000</v>
          </cell>
          <cell r="M19">
            <v>3220000</v>
          </cell>
          <cell r="N19">
            <v>3488000</v>
          </cell>
        </row>
        <row r="20">
          <cell r="A20" t="str">
            <v>TANDA PRIME D</v>
          </cell>
          <cell r="B20">
            <v>697000</v>
          </cell>
          <cell r="C20">
            <v>1393000</v>
          </cell>
          <cell r="D20">
            <v>1595000</v>
          </cell>
          <cell r="E20">
            <v>1907000</v>
          </cell>
          <cell r="F20">
            <v>2053000</v>
          </cell>
          <cell r="G20">
            <v>2200000</v>
          </cell>
          <cell r="H20">
            <v>2567000</v>
          </cell>
          <cell r="I20">
            <v>2933000</v>
          </cell>
          <cell r="J20">
            <v>3300000</v>
          </cell>
          <cell r="K20">
            <v>3850000</v>
          </cell>
          <cell r="L20">
            <v>4437000</v>
          </cell>
          <cell r="M20">
            <v>5060000</v>
          </cell>
          <cell r="N20">
            <v>5482000</v>
          </cell>
        </row>
        <row r="21">
          <cell r="A21">
            <v>0</v>
          </cell>
          <cell r="B21">
            <v>0</v>
          </cell>
          <cell r="C21">
            <v>0</v>
          </cell>
          <cell r="D21">
            <v>0</v>
          </cell>
          <cell r="E21">
            <v>0</v>
          </cell>
          <cell r="F21">
            <v>0</v>
          </cell>
          <cell r="G21">
            <v>0</v>
          </cell>
          <cell r="H21">
            <v>0</v>
          </cell>
          <cell r="I21">
            <v>0</v>
          </cell>
          <cell r="J21">
            <v>0</v>
          </cell>
          <cell r="K21">
            <v>0</v>
          </cell>
          <cell r="L21">
            <v>0</v>
          </cell>
          <cell r="M21">
            <v>0</v>
          </cell>
          <cell r="N21">
            <v>0</v>
          </cell>
        </row>
        <row r="22">
          <cell r="A22" t="str">
            <v>ALGUIEN TE MIRA A</v>
          </cell>
          <cell r="B22">
            <v>760000</v>
          </cell>
          <cell r="C22">
            <v>1520000</v>
          </cell>
          <cell r="D22">
            <v>1740000</v>
          </cell>
          <cell r="E22">
            <v>2080000</v>
          </cell>
          <cell r="F22">
            <v>2240000</v>
          </cell>
          <cell r="G22">
            <v>2400000</v>
          </cell>
          <cell r="H22">
            <v>2800000</v>
          </cell>
          <cell r="I22">
            <v>3200000</v>
          </cell>
          <cell r="J22">
            <v>3600000</v>
          </cell>
          <cell r="K22">
            <v>4200000</v>
          </cell>
          <cell r="L22">
            <v>4840000</v>
          </cell>
          <cell r="M22">
            <v>5520000</v>
          </cell>
          <cell r="N22">
            <v>5980000</v>
          </cell>
        </row>
        <row r="23">
          <cell r="A23" t="str">
            <v>ALGUIEN TE MIRA B</v>
          </cell>
          <cell r="B23">
            <v>855000</v>
          </cell>
          <cell r="C23">
            <v>1710000</v>
          </cell>
          <cell r="D23">
            <v>1958000</v>
          </cell>
          <cell r="E23">
            <v>2340000</v>
          </cell>
          <cell r="F23">
            <v>2520000</v>
          </cell>
          <cell r="G23">
            <v>2700000</v>
          </cell>
          <cell r="H23">
            <v>3150000</v>
          </cell>
          <cell r="I23">
            <v>3600000</v>
          </cell>
          <cell r="J23">
            <v>4050000</v>
          </cell>
          <cell r="K23">
            <v>4725000</v>
          </cell>
          <cell r="L23">
            <v>5445000</v>
          </cell>
          <cell r="M23">
            <v>6210000</v>
          </cell>
          <cell r="N23">
            <v>6728000</v>
          </cell>
        </row>
        <row r="24">
          <cell r="A24" t="str">
            <v>Informe Especial</v>
          </cell>
          <cell r="B24">
            <v>697000</v>
          </cell>
          <cell r="C24">
            <v>1393000</v>
          </cell>
          <cell r="D24">
            <v>1595000</v>
          </cell>
          <cell r="E24">
            <v>1907000</v>
          </cell>
          <cell r="F24">
            <v>2053000</v>
          </cell>
          <cell r="G24">
            <v>2200000</v>
          </cell>
          <cell r="H24">
            <v>2567000</v>
          </cell>
          <cell r="I24">
            <v>2933000</v>
          </cell>
          <cell r="J24">
            <v>3300000</v>
          </cell>
          <cell r="K24">
            <v>3850000</v>
          </cell>
          <cell r="L24">
            <v>4437000</v>
          </cell>
          <cell r="M24">
            <v>5060000</v>
          </cell>
          <cell r="N24">
            <v>5482000</v>
          </cell>
        </row>
        <row r="25">
          <cell r="A25" t="str">
            <v>Mea Culpa, lo mejor</v>
          </cell>
          <cell r="B25">
            <v>443000</v>
          </cell>
          <cell r="C25">
            <v>887000</v>
          </cell>
          <cell r="D25">
            <v>1015000</v>
          </cell>
          <cell r="E25">
            <v>1213000</v>
          </cell>
          <cell r="F25">
            <v>1307000</v>
          </cell>
          <cell r="G25">
            <v>1400000</v>
          </cell>
          <cell r="H25">
            <v>1633000</v>
          </cell>
          <cell r="I25">
            <v>1867000</v>
          </cell>
          <cell r="J25">
            <v>2100000</v>
          </cell>
          <cell r="K25">
            <v>2450000</v>
          </cell>
          <cell r="L25">
            <v>2823000</v>
          </cell>
          <cell r="M25">
            <v>3220000</v>
          </cell>
          <cell r="N25">
            <v>3488000</v>
          </cell>
        </row>
        <row r="26">
          <cell r="A26" t="str">
            <v>Herederos</v>
          </cell>
          <cell r="B26">
            <v>380000</v>
          </cell>
          <cell r="C26">
            <v>760000</v>
          </cell>
          <cell r="D26">
            <v>870000</v>
          </cell>
          <cell r="E26">
            <v>1040000</v>
          </cell>
          <cell r="F26">
            <v>1120000</v>
          </cell>
          <cell r="G26">
            <v>1200000</v>
          </cell>
          <cell r="H26">
            <v>1400000</v>
          </cell>
          <cell r="I26">
            <v>1600000</v>
          </cell>
          <cell r="J26">
            <v>1800000</v>
          </cell>
          <cell r="K26">
            <v>2100000</v>
          </cell>
          <cell r="L26">
            <v>2420000</v>
          </cell>
          <cell r="M26">
            <v>2760000</v>
          </cell>
          <cell r="N26">
            <v>2990000</v>
          </cell>
        </row>
        <row r="27">
          <cell r="A27" t="str">
            <v>EL DIA MENOS PENSADO</v>
          </cell>
          <cell r="B27">
            <v>586000</v>
          </cell>
          <cell r="C27">
            <v>1172000</v>
          </cell>
          <cell r="D27">
            <v>1341000</v>
          </cell>
          <cell r="E27">
            <v>1603000</v>
          </cell>
          <cell r="F27">
            <v>1727000</v>
          </cell>
          <cell r="G27">
            <v>1850000</v>
          </cell>
          <cell r="H27">
            <v>2158000</v>
          </cell>
          <cell r="I27">
            <v>2467000</v>
          </cell>
          <cell r="J27">
            <v>2775000</v>
          </cell>
          <cell r="K27">
            <v>3238000</v>
          </cell>
          <cell r="L27">
            <v>3731000</v>
          </cell>
          <cell r="M27">
            <v>4255000</v>
          </cell>
          <cell r="N27">
            <v>4610000</v>
          </cell>
        </row>
        <row r="28">
          <cell r="A28" t="str">
            <v>El Baile</v>
          </cell>
          <cell r="B28">
            <v>602000</v>
          </cell>
          <cell r="C28">
            <v>1203000</v>
          </cell>
          <cell r="D28">
            <v>1378000</v>
          </cell>
          <cell r="E28">
            <v>1647000</v>
          </cell>
          <cell r="F28">
            <v>1773000</v>
          </cell>
          <cell r="G28">
            <v>1900000</v>
          </cell>
          <cell r="H28">
            <v>2217000</v>
          </cell>
          <cell r="I28">
            <v>2533000</v>
          </cell>
          <cell r="J28">
            <v>2850000</v>
          </cell>
          <cell r="K28">
            <v>3325000</v>
          </cell>
          <cell r="L28">
            <v>3832000</v>
          </cell>
          <cell r="M28">
            <v>4370000</v>
          </cell>
          <cell r="N28">
            <v>4734000</v>
          </cell>
        </row>
        <row r="29">
          <cell r="A29" t="str">
            <v>BEST SELLERS</v>
          </cell>
          <cell r="B29">
            <v>317000</v>
          </cell>
          <cell r="C29">
            <v>633000</v>
          </cell>
          <cell r="D29">
            <v>725000</v>
          </cell>
          <cell r="E29">
            <v>867000</v>
          </cell>
          <cell r="F29">
            <v>933000</v>
          </cell>
          <cell r="G29">
            <v>1000000</v>
          </cell>
          <cell r="H29">
            <v>1167000</v>
          </cell>
          <cell r="I29">
            <v>1333000</v>
          </cell>
          <cell r="J29">
            <v>1500000</v>
          </cell>
          <cell r="K29">
            <v>1750000</v>
          </cell>
          <cell r="L29">
            <v>2017000</v>
          </cell>
          <cell r="M29">
            <v>2300000</v>
          </cell>
          <cell r="N29">
            <v>2492000</v>
          </cell>
        </row>
        <row r="30">
          <cell r="A30" t="str">
            <v>Superdupla</v>
          </cell>
          <cell r="B30">
            <v>380000</v>
          </cell>
          <cell r="C30">
            <v>760000</v>
          </cell>
          <cell r="D30">
            <v>870000</v>
          </cell>
          <cell r="E30">
            <v>1040000</v>
          </cell>
          <cell r="F30">
            <v>1120000</v>
          </cell>
          <cell r="G30">
            <v>1200000</v>
          </cell>
          <cell r="H30">
            <v>1400000</v>
          </cell>
          <cell r="I30">
            <v>1600000</v>
          </cell>
          <cell r="J30">
            <v>1800000</v>
          </cell>
          <cell r="K30">
            <v>2100000</v>
          </cell>
          <cell r="L30">
            <v>2420000</v>
          </cell>
          <cell r="M30">
            <v>2760000</v>
          </cell>
          <cell r="N30">
            <v>2990000</v>
          </cell>
        </row>
        <row r="31">
          <cell r="A31" t="str">
            <v>Animal Nocturno</v>
          </cell>
          <cell r="B31">
            <v>602000</v>
          </cell>
          <cell r="C31">
            <v>1203000</v>
          </cell>
          <cell r="D31">
            <v>1378000</v>
          </cell>
          <cell r="E31">
            <v>1647000</v>
          </cell>
          <cell r="F31">
            <v>1773000</v>
          </cell>
          <cell r="G31">
            <v>1900000</v>
          </cell>
          <cell r="H31">
            <v>2217000</v>
          </cell>
          <cell r="I31">
            <v>2533000</v>
          </cell>
          <cell r="J31">
            <v>2850000</v>
          </cell>
          <cell r="K31">
            <v>3325000</v>
          </cell>
          <cell r="L31">
            <v>3832000</v>
          </cell>
          <cell r="M31">
            <v>4370000</v>
          </cell>
          <cell r="N31">
            <v>4734000</v>
          </cell>
        </row>
        <row r="32">
          <cell r="A32" t="str">
            <v>La ruta de Chile</v>
          </cell>
          <cell r="B32">
            <v>412000</v>
          </cell>
          <cell r="C32">
            <v>823000</v>
          </cell>
          <cell r="D32">
            <v>943000</v>
          </cell>
          <cell r="E32">
            <v>1127000</v>
          </cell>
          <cell r="F32">
            <v>1213000</v>
          </cell>
          <cell r="G32">
            <v>1300000</v>
          </cell>
          <cell r="H32">
            <v>1517000</v>
          </cell>
          <cell r="I32">
            <v>1733000</v>
          </cell>
          <cell r="J32">
            <v>1950000</v>
          </cell>
          <cell r="K32">
            <v>2275000</v>
          </cell>
          <cell r="L32">
            <v>2622000</v>
          </cell>
          <cell r="M32">
            <v>2990000</v>
          </cell>
          <cell r="N32">
            <v>3239000</v>
          </cell>
        </row>
        <row r="33">
          <cell r="A33" t="str">
            <v>CARCEL DE MUJERES</v>
          </cell>
          <cell r="B33">
            <v>507000</v>
          </cell>
          <cell r="C33">
            <v>1013000</v>
          </cell>
          <cell r="D33">
            <v>1160000</v>
          </cell>
          <cell r="E33">
            <v>1387000</v>
          </cell>
          <cell r="F33">
            <v>1493000</v>
          </cell>
          <cell r="G33">
            <v>1600000</v>
          </cell>
          <cell r="H33">
            <v>1867000</v>
          </cell>
          <cell r="I33">
            <v>2133000</v>
          </cell>
          <cell r="J33">
            <v>2400000</v>
          </cell>
          <cell r="K33">
            <v>2800000</v>
          </cell>
          <cell r="L33">
            <v>3227000</v>
          </cell>
          <cell r="M33">
            <v>3680000</v>
          </cell>
          <cell r="N33">
            <v>3987000</v>
          </cell>
        </row>
        <row r="34">
          <cell r="A34">
            <v>0</v>
          </cell>
          <cell r="B34">
            <v>0</v>
          </cell>
          <cell r="C34">
            <v>0</v>
          </cell>
          <cell r="D34">
            <v>0</v>
          </cell>
          <cell r="E34">
            <v>0</v>
          </cell>
          <cell r="F34">
            <v>0</v>
          </cell>
          <cell r="G34">
            <v>0</v>
          </cell>
          <cell r="H34">
            <v>0</v>
          </cell>
          <cell r="I34">
            <v>0</v>
          </cell>
          <cell r="J34">
            <v>0</v>
          </cell>
          <cell r="K34">
            <v>0</v>
          </cell>
          <cell r="L34">
            <v>0</v>
          </cell>
          <cell r="M34">
            <v>0</v>
          </cell>
          <cell r="N34">
            <v>0</v>
          </cell>
        </row>
        <row r="35">
          <cell r="A35" t="str">
            <v>DR HOUSE</v>
          </cell>
          <cell r="B35">
            <v>348000</v>
          </cell>
          <cell r="C35">
            <v>697000</v>
          </cell>
          <cell r="D35">
            <v>798000</v>
          </cell>
          <cell r="E35">
            <v>953000</v>
          </cell>
          <cell r="F35">
            <v>1027000</v>
          </cell>
          <cell r="G35">
            <v>1100000</v>
          </cell>
          <cell r="H35">
            <v>1283000</v>
          </cell>
          <cell r="I35">
            <v>1467000</v>
          </cell>
          <cell r="J35">
            <v>1650000</v>
          </cell>
          <cell r="K35">
            <v>1925000</v>
          </cell>
          <cell r="L35">
            <v>2218000</v>
          </cell>
          <cell r="M35">
            <v>2530000</v>
          </cell>
          <cell r="N35">
            <v>2741000</v>
          </cell>
        </row>
        <row r="36">
          <cell r="A36" t="str">
            <v>MOTRIOSHKI</v>
          </cell>
          <cell r="B36">
            <v>111000</v>
          </cell>
          <cell r="C36">
            <v>222000</v>
          </cell>
          <cell r="D36">
            <v>254000</v>
          </cell>
          <cell r="E36">
            <v>303000</v>
          </cell>
          <cell r="F36">
            <v>327000</v>
          </cell>
          <cell r="G36">
            <v>350000</v>
          </cell>
          <cell r="H36">
            <v>408000</v>
          </cell>
          <cell r="I36">
            <v>467000</v>
          </cell>
          <cell r="J36">
            <v>525000</v>
          </cell>
          <cell r="K36">
            <v>613000</v>
          </cell>
          <cell r="L36">
            <v>706000</v>
          </cell>
          <cell r="M36">
            <v>805000</v>
          </cell>
          <cell r="N36">
            <v>872000</v>
          </cell>
        </row>
        <row r="37">
          <cell r="A37" t="str">
            <v>StandOff</v>
          </cell>
          <cell r="B37">
            <v>111000</v>
          </cell>
          <cell r="C37">
            <v>222000</v>
          </cell>
          <cell r="D37">
            <v>254000</v>
          </cell>
          <cell r="E37">
            <v>303000</v>
          </cell>
          <cell r="F37">
            <v>327000</v>
          </cell>
          <cell r="G37">
            <v>350000</v>
          </cell>
          <cell r="H37">
            <v>408000</v>
          </cell>
          <cell r="I37">
            <v>467000</v>
          </cell>
          <cell r="J37">
            <v>525000</v>
          </cell>
          <cell r="K37">
            <v>613000</v>
          </cell>
          <cell r="L37">
            <v>706000</v>
          </cell>
          <cell r="M37">
            <v>805000</v>
          </cell>
          <cell r="N37">
            <v>872000</v>
          </cell>
        </row>
        <row r="38">
          <cell r="A38" t="str">
            <v>Recta Provincia</v>
          </cell>
          <cell r="B38">
            <v>285000</v>
          </cell>
          <cell r="C38">
            <v>570000</v>
          </cell>
          <cell r="D38">
            <v>653000</v>
          </cell>
          <cell r="E38">
            <v>780000</v>
          </cell>
          <cell r="F38">
            <v>840000</v>
          </cell>
          <cell r="G38">
            <v>900000</v>
          </cell>
          <cell r="H38">
            <v>1050000</v>
          </cell>
          <cell r="I38">
            <v>1200000</v>
          </cell>
          <cell r="J38">
            <v>1350000</v>
          </cell>
          <cell r="K38">
            <v>1575000</v>
          </cell>
          <cell r="L38">
            <v>1815000</v>
          </cell>
          <cell r="M38">
            <v>2070000</v>
          </cell>
          <cell r="N38">
            <v>2243000</v>
          </cell>
        </row>
        <row r="39">
          <cell r="A39" t="str">
            <v>Cuentos de Mujeres ®</v>
          </cell>
          <cell r="B39">
            <v>238000</v>
          </cell>
          <cell r="C39">
            <v>475000</v>
          </cell>
          <cell r="D39">
            <v>544000</v>
          </cell>
          <cell r="E39">
            <v>650000</v>
          </cell>
          <cell r="F39">
            <v>700000</v>
          </cell>
          <cell r="G39">
            <v>750000</v>
          </cell>
          <cell r="H39">
            <v>875000</v>
          </cell>
          <cell r="I39">
            <v>1000000</v>
          </cell>
          <cell r="J39">
            <v>1125000</v>
          </cell>
          <cell r="K39">
            <v>1313000</v>
          </cell>
          <cell r="L39">
            <v>1513000</v>
          </cell>
          <cell r="M39">
            <v>1725000</v>
          </cell>
          <cell r="N39">
            <v>1869000</v>
          </cell>
        </row>
        <row r="40">
          <cell r="A40" t="str">
            <v>Grey´s Anatomy</v>
          </cell>
          <cell r="B40">
            <v>190000</v>
          </cell>
          <cell r="C40">
            <v>380000</v>
          </cell>
          <cell r="D40">
            <v>435000</v>
          </cell>
          <cell r="E40">
            <v>520000</v>
          </cell>
          <cell r="F40">
            <v>560000</v>
          </cell>
          <cell r="G40">
            <v>600000</v>
          </cell>
          <cell r="H40">
            <v>700000</v>
          </cell>
          <cell r="I40">
            <v>800000</v>
          </cell>
          <cell r="J40">
            <v>900000</v>
          </cell>
          <cell r="K40">
            <v>1050000</v>
          </cell>
          <cell r="L40">
            <v>1210000</v>
          </cell>
          <cell r="M40">
            <v>1380000</v>
          </cell>
          <cell r="N40">
            <v>1495000</v>
          </cell>
        </row>
        <row r="41">
          <cell r="A41" t="str">
            <v>Medianoche</v>
          </cell>
          <cell r="B41">
            <v>206000</v>
          </cell>
          <cell r="C41">
            <v>412000</v>
          </cell>
          <cell r="D41">
            <v>471000</v>
          </cell>
          <cell r="E41">
            <v>563000</v>
          </cell>
          <cell r="F41">
            <v>607000</v>
          </cell>
          <cell r="G41">
            <v>650000</v>
          </cell>
          <cell r="H41">
            <v>758000</v>
          </cell>
          <cell r="I41">
            <v>867000</v>
          </cell>
          <cell r="J41">
            <v>975000</v>
          </cell>
          <cell r="K41">
            <v>1138000</v>
          </cell>
          <cell r="L41">
            <v>1311000</v>
          </cell>
          <cell r="M41">
            <v>1495000</v>
          </cell>
          <cell r="N41">
            <v>1620000</v>
          </cell>
        </row>
        <row r="42">
          <cell r="A42" t="str">
            <v>TV Tiempo Final</v>
          </cell>
          <cell r="B42">
            <v>190000</v>
          </cell>
          <cell r="C42">
            <v>380000</v>
          </cell>
          <cell r="D42">
            <v>435000</v>
          </cell>
          <cell r="E42">
            <v>520000</v>
          </cell>
          <cell r="F42">
            <v>560000</v>
          </cell>
          <cell r="G42">
            <v>600000</v>
          </cell>
          <cell r="H42">
            <v>700000</v>
          </cell>
          <cell r="I42">
            <v>800000</v>
          </cell>
          <cell r="J42">
            <v>900000</v>
          </cell>
          <cell r="K42">
            <v>1050000</v>
          </cell>
          <cell r="L42">
            <v>1210000</v>
          </cell>
          <cell r="M42">
            <v>1380000</v>
          </cell>
          <cell r="N42">
            <v>1495000</v>
          </cell>
        </row>
        <row r="43">
          <cell r="A43" t="str">
            <v>ALGUIEN TE MIRA REP</v>
          </cell>
          <cell r="B43">
            <v>111000</v>
          </cell>
          <cell r="C43">
            <v>222000</v>
          </cell>
          <cell r="D43">
            <v>254000</v>
          </cell>
          <cell r="E43">
            <v>303000</v>
          </cell>
          <cell r="F43">
            <v>327000</v>
          </cell>
          <cell r="G43">
            <v>350000</v>
          </cell>
          <cell r="H43">
            <v>408000</v>
          </cell>
          <cell r="I43">
            <v>467000</v>
          </cell>
          <cell r="J43">
            <v>525000</v>
          </cell>
          <cell r="K43">
            <v>613000</v>
          </cell>
          <cell r="L43">
            <v>706000</v>
          </cell>
          <cell r="M43">
            <v>805000</v>
          </cell>
          <cell r="N43">
            <v>872000</v>
          </cell>
        </row>
        <row r="44">
          <cell r="A44" t="str">
            <v>Pasiones ®</v>
          </cell>
          <cell r="B44">
            <v>111000</v>
          </cell>
          <cell r="C44">
            <v>222000</v>
          </cell>
          <cell r="D44">
            <v>254000</v>
          </cell>
          <cell r="E44">
            <v>303000</v>
          </cell>
          <cell r="F44">
            <v>327000</v>
          </cell>
          <cell r="G44">
            <v>350000</v>
          </cell>
          <cell r="H44">
            <v>408000</v>
          </cell>
          <cell r="I44">
            <v>467000</v>
          </cell>
          <cell r="J44">
            <v>525000</v>
          </cell>
          <cell r="K44">
            <v>613000</v>
          </cell>
          <cell r="L44">
            <v>706000</v>
          </cell>
          <cell r="M44">
            <v>805000</v>
          </cell>
          <cell r="N44">
            <v>872000</v>
          </cell>
        </row>
        <row r="45">
          <cell r="A45" t="str">
            <v>HORA 25 R</v>
          </cell>
          <cell r="B45">
            <v>63000</v>
          </cell>
          <cell r="C45">
            <v>127000</v>
          </cell>
          <cell r="D45">
            <v>145000</v>
          </cell>
          <cell r="E45">
            <v>173000</v>
          </cell>
          <cell r="F45">
            <v>187000</v>
          </cell>
          <cell r="G45">
            <v>200000</v>
          </cell>
          <cell r="H45">
            <v>233000</v>
          </cell>
          <cell r="I45">
            <v>267000</v>
          </cell>
          <cell r="J45">
            <v>300000</v>
          </cell>
          <cell r="K45">
            <v>350000</v>
          </cell>
          <cell r="L45">
            <v>403000</v>
          </cell>
          <cell r="M45">
            <v>460000</v>
          </cell>
          <cell r="N45">
            <v>498000</v>
          </cell>
        </row>
        <row r="46">
          <cell r="A46" t="str">
            <v>Lo mejor de Alguien te mira</v>
          </cell>
          <cell r="B46">
            <v>95000</v>
          </cell>
          <cell r="C46">
            <v>190000</v>
          </cell>
          <cell r="D46">
            <v>218000</v>
          </cell>
          <cell r="E46">
            <v>260000</v>
          </cell>
          <cell r="F46">
            <v>280000</v>
          </cell>
          <cell r="G46">
            <v>300000</v>
          </cell>
          <cell r="H46">
            <v>350000</v>
          </cell>
          <cell r="I46">
            <v>400000</v>
          </cell>
          <cell r="J46">
            <v>450000</v>
          </cell>
          <cell r="K46">
            <v>525000</v>
          </cell>
          <cell r="L46">
            <v>605000</v>
          </cell>
          <cell r="M46">
            <v>690000</v>
          </cell>
          <cell r="N46">
            <v>748000</v>
          </cell>
        </row>
        <row r="47">
          <cell r="A47" t="str">
            <v>Cine Nocturno</v>
          </cell>
          <cell r="B47">
            <v>127000</v>
          </cell>
          <cell r="C47">
            <v>253000</v>
          </cell>
          <cell r="D47">
            <v>290000</v>
          </cell>
          <cell r="E47">
            <v>347000</v>
          </cell>
          <cell r="F47">
            <v>373000</v>
          </cell>
          <cell r="G47">
            <v>400000</v>
          </cell>
          <cell r="H47">
            <v>467000</v>
          </cell>
          <cell r="I47">
            <v>533000</v>
          </cell>
          <cell r="J47">
            <v>600000</v>
          </cell>
          <cell r="K47">
            <v>700000</v>
          </cell>
          <cell r="L47">
            <v>807000</v>
          </cell>
          <cell r="M47">
            <v>920000</v>
          </cell>
          <cell r="N47">
            <v>997000</v>
          </cell>
        </row>
        <row r="48">
          <cell r="A48" t="str">
            <v>Zoom Deportivo</v>
          </cell>
          <cell r="B48">
            <v>92000</v>
          </cell>
          <cell r="C48">
            <v>184000</v>
          </cell>
          <cell r="D48">
            <v>210000</v>
          </cell>
          <cell r="E48">
            <v>251000</v>
          </cell>
          <cell r="F48">
            <v>271000</v>
          </cell>
          <cell r="G48">
            <v>290000</v>
          </cell>
          <cell r="H48">
            <v>338000</v>
          </cell>
          <cell r="I48">
            <v>387000</v>
          </cell>
          <cell r="J48">
            <v>435000</v>
          </cell>
          <cell r="K48">
            <v>508000</v>
          </cell>
          <cell r="L48">
            <v>585000</v>
          </cell>
          <cell r="M48">
            <v>667000</v>
          </cell>
          <cell r="N48">
            <v>723000</v>
          </cell>
        </row>
        <row r="49">
          <cell r="A49" t="str">
            <v>Estado Nacional ®</v>
          </cell>
          <cell r="B49">
            <v>63000</v>
          </cell>
          <cell r="C49">
            <v>127000</v>
          </cell>
          <cell r="D49">
            <v>145000</v>
          </cell>
          <cell r="E49">
            <v>173000</v>
          </cell>
          <cell r="F49">
            <v>187000</v>
          </cell>
          <cell r="G49">
            <v>200000</v>
          </cell>
          <cell r="H49">
            <v>233000</v>
          </cell>
          <cell r="I49">
            <v>267000</v>
          </cell>
          <cell r="J49">
            <v>300000</v>
          </cell>
          <cell r="K49">
            <v>350000</v>
          </cell>
          <cell r="L49">
            <v>403000</v>
          </cell>
          <cell r="M49">
            <v>460000</v>
          </cell>
          <cell r="N49">
            <v>498000</v>
          </cell>
        </row>
        <row r="50">
          <cell r="A50">
            <v>0</v>
          </cell>
          <cell r="B50">
            <v>0</v>
          </cell>
          <cell r="C50">
            <v>0</v>
          </cell>
          <cell r="D50">
            <v>0</v>
          </cell>
          <cell r="E50">
            <v>0</v>
          </cell>
          <cell r="F50">
            <v>0</v>
          </cell>
          <cell r="G50">
            <v>0</v>
          </cell>
          <cell r="H50">
            <v>0</v>
          </cell>
          <cell r="I50">
            <v>0</v>
          </cell>
          <cell r="J50">
            <v>0</v>
          </cell>
          <cell r="K50">
            <v>0</v>
          </cell>
          <cell r="L50">
            <v>0</v>
          </cell>
          <cell r="M50">
            <v>0</v>
          </cell>
          <cell r="N50">
            <v>0</v>
          </cell>
        </row>
        <row r="51">
          <cell r="A51" t="str">
            <v>Lunes a Viernes</v>
          </cell>
        </row>
        <row r="53">
          <cell r="A53" t="str">
            <v>TVN al despertar</v>
          </cell>
          <cell r="B53">
            <v>51000</v>
          </cell>
          <cell r="C53">
            <v>101000</v>
          </cell>
          <cell r="D53">
            <v>116000</v>
          </cell>
          <cell r="E53">
            <v>139000</v>
          </cell>
          <cell r="F53">
            <v>149000</v>
          </cell>
          <cell r="G53">
            <v>160000</v>
          </cell>
          <cell r="H53">
            <v>187000</v>
          </cell>
          <cell r="I53">
            <v>213000</v>
          </cell>
          <cell r="J53">
            <v>240000</v>
          </cell>
          <cell r="K53">
            <v>280000</v>
          </cell>
          <cell r="L53">
            <v>323000</v>
          </cell>
          <cell r="M53">
            <v>368000</v>
          </cell>
          <cell r="N53">
            <v>399000</v>
          </cell>
        </row>
        <row r="54">
          <cell r="A54" t="str">
            <v>24 Horas en la Mañana</v>
          </cell>
          <cell r="B54">
            <v>127000</v>
          </cell>
          <cell r="C54">
            <v>253000</v>
          </cell>
          <cell r="D54">
            <v>290000</v>
          </cell>
          <cell r="E54">
            <v>347000</v>
          </cell>
          <cell r="F54">
            <v>373000</v>
          </cell>
          <cell r="G54">
            <v>400000</v>
          </cell>
          <cell r="H54">
            <v>467000</v>
          </cell>
          <cell r="I54">
            <v>533000</v>
          </cell>
          <cell r="J54">
            <v>600000</v>
          </cell>
          <cell r="K54">
            <v>700000</v>
          </cell>
          <cell r="L54">
            <v>807000</v>
          </cell>
          <cell r="M54">
            <v>920000</v>
          </cell>
          <cell r="N54">
            <v>997000</v>
          </cell>
        </row>
        <row r="55">
          <cell r="A55" t="str">
            <v>BUENOS DIAS A TODOS (A)</v>
          </cell>
          <cell r="B55">
            <v>174000</v>
          </cell>
          <cell r="C55">
            <v>348000</v>
          </cell>
          <cell r="D55">
            <v>399000</v>
          </cell>
          <cell r="E55">
            <v>477000</v>
          </cell>
          <cell r="F55">
            <v>513000</v>
          </cell>
          <cell r="G55">
            <v>550000</v>
          </cell>
          <cell r="H55">
            <v>642000</v>
          </cell>
          <cell r="I55">
            <v>733000</v>
          </cell>
          <cell r="J55">
            <v>825000</v>
          </cell>
          <cell r="K55">
            <v>963000</v>
          </cell>
          <cell r="L55">
            <v>1109000</v>
          </cell>
          <cell r="M55">
            <v>1265000</v>
          </cell>
          <cell r="N55">
            <v>1370000</v>
          </cell>
        </row>
        <row r="56">
          <cell r="A56" t="str">
            <v>BUENOS DIAS A TODOS (B)</v>
          </cell>
          <cell r="B56">
            <v>158000</v>
          </cell>
          <cell r="C56">
            <v>317000</v>
          </cell>
          <cell r="D56">
            <v>363000</v>
          </cell>
          <cell r="E56">
            <v>433000</v>
          </cell>
          <cell r="F56">
            <v>467000</v>
          </cell>
          <cell r="G56">
            <v>500000</v>
          </cell>
          <cell r="H56">
            <v>583000</v>
          </cell>
          <cell r="I56">
            <v>667000</v>
          </cell>
          <cell r="J56">
            <v>750000</v>
          </cell>
          <cell r="K56">
            <v>875000</v>
          </cell>
          <cell r="L56">
            <v>1008000</v>
          </cell>
          <cell r="M56">
            <v>1150000</v>
          </cell>
          <cell r="N56">
            <v>1246000</v>
          </cell>
        </row>
        <row r="57">
          <cell r="A57" t="str">
            <v>BUENOS DIAS A TODOS (C)</v>
          </cell>
          <cell r="B57">
            <v>158000</v>
          </cell>
          <cell r="C57">
            <v>317000</v>
          </cell>
          <cell r="D57">
            <v>363000</v>
          </cell>
          <cell r="E57">
            <v>433000</v>
          </cell>
          <cell r="F57">
            <v>467000</v>
          </cell>
          <cell r="G57">
            <v>500000</v>
          </cell>
          <cell r="H57">
            <v>583000</v>
          </cell>
          <cell r="I57">
            <v>667000</v>
          </cell>
          <cell r="J57">
            <v>750000</v>
          </cell>
          <cell r="K57">
            <v>875000</v>
          </cell>
          <cell r="L57">
            <v>1008000</v>
          </cell>
          <cell r="M57">
            <v>1150000</v>
          </cell>
          <cell r="N57">
            <v>1246000</v>
          </cell>
        </row>
        <row r="58">
          <cell r="A58" t="str">
            <v>BUENOS DIAS A TODOS (D)</v>
          </cell>
          <cell r="B58">
            <v>103000</v>
          </cell>
          <cell r="C58">
            <v>206000</v>
          </cell>
          <cell r="D58">
            <v>236000</v>
          </cell>
          <cell r="E58">
            <v>282000</v>
          </cell>
          <cell r="F58">
            <v>303000</v>
          </cell>
          <cell r="G58">
            <v>325000</v>
          </cell>
          <cell r="H58">
            <v>379000</v>
          </cell>
          <cell r="I58">
            <v>433000</v>
          </cell>
          <cell r="J58">
            <v>488000</v>
          </cell>
          <cell r="K58">
            <v>569000</v>
          </cell>
          <cell r="L58">
            <v>655000</v>
          </cell>
          <cell r="M58">
            <v>748000</v>
          </cell>
          <cell r="N58">
            <v>810000</v>
          </cell>
        </row>
        <row r="59">
          <cell r="A59" t="str">
            <v>Lonney Tunes</v>
          </cell>
          <cell r="B59">
            <v>35000</v>
          </cell>
          <cell r="C59">
            <v>70000</v>
          </cell>
          <cell r="D59">
            <v>80000</v>
          </cell>
          <cell r="E59">
            <v>95000</v>
          </cell>
          <cell r="F59">
            <v>103000</v>
          </cell>
          <cell r="G59">
            <v>110000</v>
          </cell>
          <cell r="H59">
            <v>128000</v>
          </cell>
          <cell r="I59">
            <v>147000</v>
          </cell>
          <cell r="J59">
            <v>165000</v>
          </cell>
          <cell r="K59">
            <v>193000</v>
          </cell>
          <cell r="L59">
            <v>222000</v>
          </cell>
          <cell r="M59">
            <v>253000</v>
          </cell>
          <cell r="N59">
            <v>274000</v>
          </cell>
        </row>
        <row r="60">
          <cell r="A60" t="str">
            <v>KARKU RR</v>
          </cell>
          <cell r="B60">
            <v>103000</v>
          </cell>
          <cell r="C60">
            <v>206000</v>
          </cell>
          <cell r="D60">
            <v>236000</v>
          </cell>
          <cell r="E60">
            <v>282000</v>
          </cell>
          <cell r="F60">
            <v>303000</v>
          </cell>
          <cell r="G60">
            <v>325000</v>
          </cell>
          <cell r="H60">
            <v>379000</v>
          </cell>
          <cell r="I60">
            <v>433000</v>
          </cell>
          <cell r="J60">
            <v>488000</v>
          </cell>
          <cell r="K60">
            <v>569000</v>
          </cell>
          <cell r="L60">
            <v>655000</v>
          </cell>
          <cell r="M60">
            <v>748000</v>
          </cell>
          <cell r="N60">
            <v>810000</v>
          </cell>
        </row>
        <row r="61">
          <cell r="A61" t="str">
            <v>LOS PADRINOS MAGICOS</v>
          </cell>
          <cell r="B61">
            <v>35000</v>
          </cell>
          <cell r="C61">
            <v>70000</v>
          </cell>
          <cell r="D61">
            <v>80000</v>
          </cell>
          <cell r="E61">
            <v>95000</v>
          </cell>
          <cell r="F61">
            <v>103000</v>
          </cell>
          <cell r="G61">
            <v>110000</v>
          </cell>
          <cell r="H61">
            <v>128000</v>
          </cell>
          <cell r="I61">
            <v>147000</v>
          </cell>
          <cell r="J61">
            <v>165000</v>
          </cell>
          <cell r="K61">
            <v>193000</v>
          </cell>
          <cell r="L61">
            <v>222000</v>
          </cell>
          <cell r="M61">
            <v>253000</v>
          </cell>
          <cell r="N61">
            <v>274000</v>
          </cell>
        </row>
        <row r="62">
          <cell r="A62" t="str">
            <v>Musitronia</v>
          </cell>
          <cell r="B62">
            <v>35000</v>
          </cell>
          <cell r="C62">
            <v>70000</v>
          </cell>
          <cell r="D62">
            <v>80000</v>
          </cell>
          <cell r="E62">
            <v>95000</v>
          </cell>
          <cell r="F62">
            <v>103000</v>
          </cell>
          <cell r="G62">
            <v>110000</v>
          </cell>
          <cell r="H62">
            <v>128000</v>
          </cell>
          <cell r="I62">
            <v>147000</v>
          </cell>
          <cell r="J62">
            <v>165000</v>
          </cell>
          <cell r="K62">
            <v>193000</v>
          </cell>
          <cell r="L62">
            <v>222000</v>
          </cell>
          <cell r="M62">
            <v>253000</v>
          </cell>
          <cell r="N62">
            <v>274000</v>
          </cell>
        </row>
        <row r="63">
          <cell r="A63" t="str">
            <v>24 HORAS AL DIA L-V</v>
          </cell>
          <cell r="B63">
            <v>111000</v>
          </cell>
          <cell r="C63">
            <v>222000</v>
          </cell>
          <cell r="D63">
            <v>254000</v>
          </cell>
          <cell r="E63">
            <v>303000</v>
          </cell>
          <cell r="F63">
            <v>327000</v>
          </cell>
          <cell r="G63">
            <v>350000</v>
          </cell>
          <cell r="H63">
            <v>408000</v>
          </cell>
          <cell r="I63">
            <v>467000</v>
          </cell>
          <cell r="J63">
            <v>525000</v>
          </cell>
          <cell r="K63">
            <v>613000</v>
          </cell>
          <cell r="L63">
            <v>706000</v>
          </cell>
          <cell r="M63">
            <v>805000</v>
          </cell>
          <cell r="N63">
            <v>872000</v>
          </cell>
        </row>
        <row r="64">
          <cell r="A64" t="str">
            <v>Los Venegas</v>
          </cell>
          <cell r="B64">
            <v>111000</v>
          </cell>
          <cell r="C64">
            <v>222000</v>
          </cell>
          <cell r="D64">
            <v>254000</v>
          </cell>
          <cell r="E64">
            <v>303000</v>
          </cell>
          <cell r="F64">
            <v>327000</v>
          </cell>
          <cell r="G64">
            <v>350000</v>
          </cell>
          <cell r="H64">
            <v>408000</v>
          </cell>
          <cell r="I64">
            <v>467000</v>
          </cell>
          <cell r="J64">
            <v>525000</v>
          </cell>
          <cell r="K64">
            <v>613000</v>
          </cell>
          <cell r="L64">
            <v>706000</v>
          </cell>
          <cell r="M64">
            <v>805000</v>
          </cell>
          <cell r="N64">
            <v>872000</v>
          </cell>
        </row>
        <row r="65">
          <cell r="A65" t="str">
            <v>ROMANE</v>
          </cell>
          <cell r="B65">
            <v>111000</v>
          </cell>
          <cell r="C65">
            <v>222000</v>
          </cell>
          <cell r="D65">
            <v>254000</v>
          </cell>
          <cell r="E65">
            <v>303000</v>
          </cell>
          <cell r="F65">
            <v>327000</v>
          </cell>
          <cell r="G65">
            <v>350000</v>
          </cell>
          <cell r="H65">
            <v>408000</v>
          </cell>
          <cell r="I65">
            <v>467000</v>
          </cell>
          <cell r="J65">
            <v>525000</v>
          </cell>
          <cell r="K65">
            <v>613000</v>
          </cell>
          <cell r="L65">
            <v>706000</v>
          </cell>
          <cell r="M65">
            <v>805000</v>
          </cell>
          <cell r="N65">
            <v>872000</v>
          </cell>
        </row>
        <row r="66">
          <cell r="A66" t="str">
            <v>La Peregrina</v>
          </cell>
          <cell r="B66">
            <v>111000</v>
          </cell>
          <cell r="C66">
            <v>222000</v>
          </cell>
          <cell r="D66">
            <v>254000</v>
          </cell>
          <cell r="E66">
            <v>303000</v>
          </cell>
          <cell r="F66">
            <v>327000</v>
          </cell>
          <cell r="G66">
            <v>350000</v>
          </cell>
          <cell r="H66">
            <v>408000</v>
          </cell>
          <cell r="I66">
            <v>467000</v>
          </cell>
          <cell r="J66">
            <v>525000</v>
          </cell>
          <cell r="K66">
            <v>613000</v>
          </cell>
          <cell r="L66">
            <v>706000</v>
          </cell>
          <cell r="M66">
            <v>805000</v>
          </cell>
          <cell r="N66">
            <v>872000</v>
          </cell>
        </row>
        <row r="67">
          <cell r="A67" t="str">
            <v>Pasiones</v>
          </cell>
          <cell r="B67">
            <v>127000</v>
          </cell>
          <cell r="C67">
            <v>253000</v>
          </cell>
          <cell r="D67">
            <v>290000</v>
          </cell>
          <cell r="E67">
            <v>347000</v>
          </cell>
          <cell r="F67">
            <v>373000</v>
          </cell>
          <cell r="G67">
            <v>400000</v>
          </cell>
          <cell r="H67">
            <v>467000</v>
          </cell>
          <cell r="I67">
            <v>533000</v>
          </cell>
          <cell r="J67">
            <v>600000</v>
          </cell>
          <cell r="K67">
            <v>700000</v>
          </cell>
          <cell r="L67">
            <v>807000</v>
          </cell>
          <cell r="M67">
            <v>920000</v>
          </cell>
          <cell r="N67">
            <v>997000</v>
          </cell>
        </row>
        <row r="68">
          <cell r="A68" t="str">
            <v xml:space="preserve">ROJO </v>
          </cell>
          <cell r="B68">
            <v>222000</v>
          </cell>
          <cell r="C68">
            <v>443000</v>
          </cell>
          <cell r="D68">
            <v>508000</v>
          </cell>
          <cell r="E68">
            <v>607000</v>
          </cell>
          <cell r="F68">
            <v>653000</v>
          </cell>
          <cell r="G68">
            <v>700000</v>
          </cell>
          <cell r="H68">
            <v>817000</v>
          </cell>
          <cell r="I68">
            <v>933000</v>
          </cell>
          <cell r="J68">
            <v>1050000</v>
          </cell>
          <cell r="K68">
            <v>1225000</v>
          </cell>
          <cell r="L68">
            <v>1412000</v>
          </cell>
          <cell r="M68">
            <v>1610000</v>
          </cell>
          <cell r="N68">
            <v>1744000</v>
          </cell>
        </row>
        <row r="69">
          <cell r="A69">
            <v>0</v>
          </cell>
          <cell r="B69">
            <v>0</v>
          </cell>
          <cell r="C69">
            <v>0</v>
          </cell>
          <cell r="D69">
            <v>0</v>
          </cell>
          <cell r="E69">
            <v>0</v>
          </cell>
          <cell r="F69">
            <v>0</v>
          </cell>
          <cell r="G69">
            <v>0</v>
          </cell>
          <cell r="H69">
            <v>0</v>
          </cell>
          <cell r="I69">
            <v>0</v>
          </cell>
          <cell r="J69">
            <v>0</v>
          </cell>
          <cell r="K69">
            <v>0</v>
          </cell>
          <cell r="L69">
            <v>0</v>
          </cell>
          <cell r="M69">
            <v>0</v>
          </cell>
          <cell r="N69">
            <v>0</v>
          </cell>
        </row>
        <row r="70">
          <cell r="A70" t="str">
            <v>Sábado - Domingo</v>
          </cell>
        </row>
        <row r="71">
          <cell r="A71">
            <v>0</v>
          </cell>
          <cell r="B71">
            <v>0</v>
          </cell>
          <cell r="C71">
            <v>0</v>
          </cell>
          <cell r="D71">
            <v>0</v>
          </cell>
          <cell r="E71">
            <v>0</v>
          </cell>
          <cell r="F71">
            <v>0</v>
          </cell>
          <cell r="G71">
            <v>0</v>
          </cell>
          <cell r="H71">
            <v>0</v>
          </cell>
          <cell r="I71">
            <v>0</v>
          </cell>
          <cell r="J71">
            <v>0</v>
          </cell>
          <cell r="K71">
            <v>0</v>
          </cell>
          <cell r="L71">
            <v>0</v>
          </cell>
          <cell r="M71">
            <v>0</v>
          </cell>
          <cell r="N71">
            <v>0</v>
          </cell>
        </row>
        <row r="72">
          <cell r="A72" t="str">
            <v>TRONIA S</v>
          </cell>
          <cell r="B72">
            <v>35000</v>
          </cell>
          <cell r="C72">
            <v>70000</v>
          </cell>
          <cell r="D72">
            <v>80000</v>
          </cell>
          <cell r="E72">
            <v>95000</v>
          </cell>
          <cell r="F72">
            <v>103000</v>
          </cell>
          <cell r="G72">
            <v>110000</v>
          </cell>
          <cell r="H72">
            <v>128000</v>
          </cell>
          <cell r="I72">
            <v>147000</v>
          </cell>
          <cell r="J72">
            <v>165000</v>
          </cell>
          <cell r="K72">
            <v>193000</v>
          </cell>
          <cell r="L72">
            <v>222000</v>
          </cell>
          <cell r="M72">
            <v>253000</v>
          </cell>
          <cell r="N72">
            <v>274000</v>
          </cell>
        </row>
        <row r="73">
          <cell r="A73" t="str">
            <v>TRONIA D</v>
          </cell>
          <cell r="B73">
            <v>35000</v>
          </cell>
          <cell r="C73">
            <v>70000</v>
          </cell>
          <cell r="D73">
            <v>80000</v>
          </cell>
          <cell r="E73">
            <v>95000</v>
          </cell>
          <cell r="F73">
            <v>103000</v>
          </cell>
          <cell r="G73">
            <v>110000</v>
          </cell>
          <cell r="H73">
            <v>128000</v>
          </cell>
          <cell r="I73">
            <v>147000</v>
          </cell>
          <cell r="J73">
            <v>165000</v>
          </cell>
          <cell r="K73">
            <v>193000</v>
          </cell>
          <cell r="L73">
            <v>222000</v>
          </cell>
          <cell r="M73">
            <v>253000</v>
          </cell>
          <cell r="N73">
            <v>274000</v>
          </cell>
        </row>
        <row r="74">
          <cell r="A74" t="str">
            <v>24 HORAS AL DIA SD</v>
          </cell>
          <cell r="B74">
            <v>111000</v>
          </cell>
          <cell r="C74">
            <v>222000</v>
          </cell>
          <cell r="D74">
            <v>254000</v>
          </cell>
          <cell r="E74">
            <v>303000</v>
          </cell>
          <cell r="F74">
            <v>327000</v>
          </cell>
          <cell r="G74">
            <v>350000</v>
          </cell>
          <cell r="H74">
            <v>408000</v>
          </cell>
          <cell r="I74">
            <v>467000</v>
          </cell>
          <cell r="J74">
            <v>525000</v>
          </cell>
          <cell r="K74">
            <v>613000</v>
          </cell>
          <cell r="L74">
            <v>706000</v>
          </cell>
          <cell r="M74">
            <v>805000</v>
          </cell>
          <cell r="N74">
            <v>872000</v>
          </cell>
        </row>
        <row r="75">
          <cell r="A75" t="str">
            <v>Estado Nacional</v>
          </cell>
          <cell r="B75">
            <v>79000</v>
          </cell>
          <cell r="C75">
            <v>158000</v>
          </cell>
          <cell r="D75">
            <v>181000</v>
          </cell>
          <cell r="E75">
            <v>217000</v>
          </cell>
          <cell r="F75">
            <v>233000</v>
          </cell>
          <cell r="G75">
            <v>250000</v>
          </cell>
          <cell r="H75">
            <v>292000</v>
          </cell>
          <cell r="I75">
            <v>333000</v>
          </cell>
          <cell r="J75">
            <v>375000</v>
          </cell>
          <cell r="K75">
            <v>438000</v>
          </cell>
          <cell r="L75">
            <v>504000</v>
          </cell>
          <cell r="M75">
            <v>575000</v>
          </cell>
          <cell r="N75">
            <v>623000</v>
          </cell>
        </row>
        <row r="76">
          <cell r="A76" t="str">
            <v>UNA NUEVA BELLEZA</v>
          </cell>
          <cell r="B76">
            <v>79000</v>
          </cell>
          <cell r="C76">
            <v>158000</v>
          </cell>
          <cell r="D76">
            <v>181000</v>
          </cell>
          <cell r="E76">
            <v>217000</v>
          </cell>
          <cell r="F76">
            <v>233000</v>
          </cell>
          <cell r="G76">
            <v>250000</v>
          </cell>
          <cell r="H76">
            <v>292000</v>
          </cell>
          <cell r="I76">
            <v>333000</v>
          </cell>
          <cell r="J76">
            <v>375000</v>
          </cell>
          <cell r="K76">
            <v>438000</v>
          </cell>
          <cell r="L76">
            <v>504000</v>
          </cell>
          <cell r="M76">
            <v>575000</v>
          </cell>
          <cell r="N76">
            <v>623000</v>
          </cell>
        </row>
        <row r="77">
          <cell r="A77" t="str">
            <v>Bloque Deportivo</v>
          </cell>
          <cell r="B77">
            <v>95000</v>
          </cell>
          <cell r="C77">
            <v>190000</v>
          </cell>
          <cell r="D77">
            <v>218000</v>
          </cell>
          <cell r="E77">
            <v>260000</v>
          </cell>
          <cell r="F77">
            <v>280000</v>
          </cell>
          <cell r="G77">
            <v>300000</v>
          </cell>
          <cell r="H77">
            <v>350000</v>
          </cell>
          <cell r="I77">
            <v>400000</v>
          </cell>
          <cell r="J77">
            <v>450000</v>
          </cell>
          <cell r="K77">
            <v>525000</v>
          </cell>
          <cell r="L77">
            <v>605000</v>
          </cell>
          <cell r="M77">
            <v>690000</v>
          </cell>
          <cell r="N77">
            <v>748000</v>
          </cell>
        </row>
        <row r="78">
          <cell r="A78" t="str">
            <v>Raspando la Olla</v>
          </cell>
          <cell r="B78">
            <v>127000</v>
          </cell>
          <cell r="C78">
            <v>253000</v>
          </cell>
          <cell r="D78">
            <v>290000</v>
          </cell>
          <cell r="E78">
            <v>347000</v>
          </cell>
          <cell r="F78">
            <v>373000</v>
          </cell>
          <cell r="G78">
            <v>400000</v>
          </cell>
          <cell r="H78">
            <v>467000</v>
          </cell>
          <cell r="I78">
            <v>533000</v>
          </cell>
          <cell r="J78">
            <v>600000</v>
          </cell>
          <cell r="K78">
            <v>700000</v>
          </cell>
          <cell r="L78">
            <v>807000</v>
          </cell>
          <cell r="M78">
            <v>920000</v>
          </cell>
          <cell r="N78">
            <v>997000</v>
          </cell>
        </row>
        <row r="79">
          <cell r="A79" t="str">
            <v>CORAZON DE MARIA RESUMEN</v>
          </cell>
          <cell r="B79">
            <v>190000</v>
          </cell>
          <cell r="C79">
            <v>380000</v>
          </cell>
          <cell r="D79">
            <v>435000</v>
          </cell>
          <cell r="E79">
            <v>520000</v>
          </cell>
          <cell r="F79">
            <v>560000</v>
          </cell>
          <cell r="G79">
            <v>600000</v>
          </cell>
          <cell r="H79">
            <v>700000</v>
          </cell>
          <cell r="I79">
            <v>800000</v>
          </cell>
          <cell r="J79">
            <v>900000</v>
          </cell>
          <cell r="K79">
            <v>1050000</v>
          </cell>
          <cell r="L79">
            <v>1210000</v>
          </cell>
          <cell r="M79">
            <v>1380000</v>
          </cell>
          <cell r="N79">
            <v>1495000</v>
          </cell>
        </row>
        <row r="80">
          <cell r="A80" t="str">
            <v>FRUTOS DEL PAIS</v>
          </cell>
          <cell r="B80">
            <v>222000</v>
          </cell>
          <cell r="C80">
            <v>443000</v>
          </cell>
          <cell r="D80">
            <v>508000</v>
          </cell>
          <cell r="E80">
            <v>607000</v>
          </cell>
          <cell r="F80">
            <v>653000</v>
          </cell>
          <cell r="G80">
            <v>700000</v>
          </cell>
          <cell r="H80">
            <v>817000</v>
          </cell>
          <cell r="I80">
            <v>933000</v>
          </cell>
          <cell r="J80">
            <v>1050000</v>
          </cell>
          <cell r="K80">
            <v>1225000</v>
          </cell>
          <cell r="L80">
            <v>1412000</v>
          </cell>
          <cell r="M80">
            <v>1610000</v>
          </cell>
          <cell r="N80">
            <v>1744000</v>
          </cell>
        </row>
        <row r="81">
          <cell r="A81" t="str">
            <v>La Cultura Entretenida</v>
          </cell>
          <cell r="B81">
            <v>158000</v>
          </cell>
          <cell r="C81">
            <v>317000</v>
          </cell>
          <cell r="D81">
            <v>363000</v>
          </cell>
          <cell r="E81">
            <v>433000</v>
          </cell>
          <cell r="F81">
            <v>467000</v>
          </cell>
          <cell r="G81">
            <v>500000</v>
          </cell>
          <cell r="H81">
            <v>583000</v>
          </cell>
          <cell r="I81">
            <v>667000</v>
          </cell>
          <cell r="J81">
            <v>750000</v>
          </cell>
          <cell r="K81">
            <v>875000</v>
          </cell>
          <cell r="L81">
            <v>1008000</v>
          </cell>
          <cell r="M81">
            <v>1150000</v>
          </cell>
          <cell r="N81">
            <v>1246000</v>
          </cell>
        </row>
        <row r="82">
          <cell r="A82" t="str">
            <v>EL ULTIMO PASAJERO A</v>
          </cell>
          <cell r="B82">
            <v>238000</v>
          </cell>
          <cell r="C82">
            <v>475000</v>
          </cell>
          <cell r="D82">
            <v>544000</v>
          </cell>
          <cell r="E82">
            <v>650000</v>
          </cell>
          <cell r="F82">
            <v>700000</v>
          </cell>
          <cell r="G82">
            <v>750000</v>
          </cell>
          <cell r="H82">
            <v>875000</v>
          </cell>
          <cell r="I82">
            <v>1000000</v>
          </cell>
          <cell r="J82">
            <v>1125000</v>
          </cell>
          <cell r="K82">
            <v>1313000</v>
          </cell>
          <cell r="L82">
            <v>1513000</v>
          </cell>
          <cell r="M82">
            <v>1725000</v>
          </cell>
          <cell r="N82">
            <v>1869000</v>
          </cell>
        </row>
        <row r="83">
          <cell r="A83" t="str">
            <v>EL ULTIMO PASAJERO B</v>
          </cell>
          <cell r="B83">
            <v>285000</v>
          </cell>
          <cell r="C83">
            <v>570000</v>
          </cell>
          <cell r="D83">
            <v>653000</v>
          </cell>
          <cell r="E83">
            <v>780000</v>
          </cell>
          <cell r="F83">
            <v>840000</v>
          </cell>
          <cell r="G83">
            <v>900000</v>
          </cell>
          <cell r="H83">
            <v>1050000</v>
          </cell>
          <cell r="I83">
            <v>1200000</v>
          </cell>
          <cell r="J83">
            <v>1350000</v>
          </cell>
          <cell r="K83">
            <v>1575000</v>
          </cell>
          <cell r="L83">
            <v>1815000</v>
          </cell>
          <cell r="M83">
            <v>2070000</v>
          </cell>
          <cell r="N83">
            <v>2243000</v>
          </cell>
        </row>
        <row r="84">
          <cell r="A84">
            <v>0</v>
          </cell>
          <cell r="B84">
            <v>0</v>
          </cell>
          <cell r="C84">
            <v>0</v>
          </cell>
          <cell r="D84">
            <v>0</v>
          </cell>
          <cell r="E84">
            <v>0</v>
          </cell>
          <cell r="F84">
            <v>0</v>
          </cell>
          <cell r="G84">
            <v>0</v>
          </cell>
          <cell r="H84">
            <v>0</v>
          </cell>
          <cell r="I84">
            <v>0</v>
          </cell>
          <cell r="J84">
            <v>0</v>
          </cell>
          <cell r="K84">
            <v>0</v>
          </cell>
          <cell r="L84">
            <v>0</v>
          </cell>
          <cell r="M84">
            <v>0</v>
          </cell>
          <cell r="N84">
            <v>0</v>
          </cell>
        </row>
      </sheetData>
      <sheetData sheetId="7" refreshError="1"/>
      <sheetData sheetId="8" refreshError="1"/>
      <sheetData sheetId="9" refreshError="1"/>
      <sheetData sheetId="10" refreshError="1"/>
      <sheetData sheetId="1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k"/>
      <sheetName val="Hoja 1"/>
      <sheetName val="semtip"/>
      <sheetName val="Pauta 1"/>
      <sheetName val="#G.O."/>
    </sheetNames>
    <sheetDataSet>
      <sheetData sheetId="0">
        <row r="1">
          <cell r="A1" t="str">
            <v>Can</v>
          </cell>
          <cell r="B1" t="str">
            <v>Genero</v>
          </cell>
          <cell r="C1" t="str">
            <v>Programa</v>
          </cell>
          <cell r="D1" t="str">
            <v>Rat</v>
          </cell>
          <cell r="E1" t="str">
            <v>Personas</v>
          </cell>
          <cell r="F1" t="str">
            <v>Lun</v>
          </cell>
          <cell r="G1" t="str">
            <v>Mar</v>
          </cell>
          <cell r="H1" t="str">
            <v>Mie</v>
          </cell>
          <cell r="I1" t="str">
            <v>Jue</v>
          </cell>
          <cell r="J1" t="str">
            <v>Vie</v>
          </cell>
          <cell r="K1" t="str">
            <v>Sab</v>
          </cell>
          <cell r="L1" t="str">
            <v>Dom</v>
          </cell>
          <cell r="M1" t="str">
            <v>HoraI</v>
          </cell>
          <cell r="N1" t="str">
            <v>HoraF</v>
          </cell>
          <cell r="O1" t="str">
            <v>Costo</v>
          </cell>
          <cell r="P1" t="str">
            <v>CtoPto</v>
          </cell>
          <cell r="Q1" t="str">
            <v>TPE</v>
          </cell>
        </row>
        <row r="2">
          <cell r="A2" t="str">
            <v>07</v>
          </cell>
          <cell r="B2" t="str">
            <v>PELICULA</v>
          </cell>
          <cell r="C2" t="str">
            <v>BEST SELLER</v>
          </cell>
          <cell r="D2">
            <v>12.6</v>
          </cell>
          <cell r="E2">
            <v>361357</v>
          </cell>
          <cell r="F2">
            <v>12.6</v>
          </cell>
          <cell r="M2" t="str">
            <v>22:02</v>
          </cell>
          <cell r="N2" t="str">
            <v>00:29</v>
          </cell>
          <cell r="O2">
            <v>0</v>
          </cell>
          <cell r="P2">
            <v>0</v>
          </cell>
          <cell r="Q2">
            <v>1</v>
          </cell>
        </row>
        <row r="3">
          <cell r="A3" t="str">
            <v>07</v>
          </cell>
          <cell r="B3" t="str">
            <v>P_ESPECIAL</v>
          </cell>
          <cell r="C3" t="str">
            <v>HISTORIA DE LA NOTICIA</v>
          </cell>
          <cell r="D3">
            <v>8.3000000000000007</v>
          </cell>
          <cell r="E3">
            <v>237484</v>
          </cell>
          <cell r="G3">
            <v>8.3000000000000007</v>
          </cell>
          <cell r="M3" t="str">
            <v>22:00</v>
          </cell>
          <cell r="N3" t="str">
            <v>23:08</v>
          </cell>
          <cell r="O3">
            <v>0</v>
          </cell>
          <cell r="P3">
            <v>0</v>
          </cell>
          <cell r="Q3">
            <v>1</v>
          </cell>
        </row>
        <row r="4">
          <cell r="A4" t="str">
            <v>07</v>
          </cell>
          <cell r="B4" t="str">
            <v>INFORMATIVO</v>
          </cell>
          <cell r="C4" t="str">
            <v>RED NACIONAL</v>
          </cell>
          <cell r="D4">
            <v>7.5</v>
          </cell>
          <cell r="E4">
            <v>214235</v>
          </cell>
          <cell r="H4">
            <v>7.5</v>
          </cell>
          <cell r="M4" t="str">
            <v>21:00</v>
          </cell>
          <cell r="N4" t="str">
            <v>21:09</v>
          </cell>
          <cell r="O4">
            <v>0</v>
          </cell>
          <cell r="P4">
            <v>0</v>
          </cell>
          <cell r="Q4">
            <v>1</v>
          </cell>
        </row>
        <row r="5">
          <cell r="A5" t="str">
            <v>07</v>
          </cell>
          <cell r="B5" t="str">
            <v>TELENOVELA</v>
          </cell>
          <cell r="C5" t="str">
            <v>SANTO LADRON</v>
          </cell>
          <cell r="D5">
            <v>7.3</v>
          </cell>
          <cell r="E5">
            <v>208602</v>
          </cell>
          <cell r="F5">
            <v>7.8</v>
          </cell>
          <cell r="G5">
            <v>8</v>
          </cell>
          <cell r="H5">
            <v>7.5</v>
          </cell>
          <cell r="I5">
            <v>7</v>
          </cell>
          <cell r="J5">
            <v>6</v>
          </cell>
          <cell r="M5" t="str">
            <v>19:56</v>
          </cell>
          <cell r="N5" t="str">
            <v>20:59</v>
          </cell>
          <cell r="O5">
            <v>0</v>
          </cell>
          <cell r="P5">
            <v>0</v>
          </cell>
          <cell r="Q5">
            <v>5</v>
          </cell>
        </row>
        <row r="6">
          <cell r="A6" t="str">
            <v>07</v>
          </cell>
          <cell r="B6" t="str">
            <v>NOTICIERO</v>
          </cell>
          <cell r="C6" t="str">
            <v>24 HORAS</v>
          </cell>
          <cell r="D6">
            <v>7.1</v>
          </cell>
          <cell r="E6">
            <v>203675</v>
          </cell>
          <cell r="F6">
            <v>8.1999999999999993</v>
          </cell>
          <cell r="G6">
            <v>9.5</v>
          </cell>
          <cell r="H6">
            <v>7.8</v>
          </cell>
          <cell r="I6">
            <v>7.6</v>
          </cell>
          <cell r="J6">
            <v>6.9</v>
          </cell>
          <cell r="K6">
            <v>4.5999999999999996</v>
          </cell>
          <cell r="L6">
            <v>5</v>
          </cell>
          <cell r="M6" t="str">
            <v>20:59</v>
          </cell>
          <cell r="N6" t="str">
            <v>22:03</v>
          </cell>
          <cell r="O6">
            <v>0</v>
          </cell>
          <cell r="P6">
            <v>0</v>
          </cell>
          <cell r="Q6">
            <v>7</v>
          </cell>
        </row>
        <row r="7">
          <cell r="A7" t="str">
            <v>07</v>
          </cell>
          <cell r="B7" t="str">
            <v>FUTBOL</v>
          </cell>
          <cell r="C7" t="str">
            <v>COPA ENTEL</v>
          </cell>
          <cell r="D7">
            <v>7</v>
          </cell>
          <cell r="E7">
            <v>199567</v>
          </cell>
          <cell r="K7">
            <v>7</v>
          </cell>
          <cell r="M7" t="str">
            <v>22:00</v>
          </cell>
          <cell r="N7" t="str">
            <v>00:10</v>
          </cell>
          <cell r="O7">
            <v>0</v>
          </cell>
          <cell r="P7">
            <v>0</v>
          </cell>
          <cell r="Q7">
            <v>1</v>
          </cell>
        </row>
        <row r="8">
          <cell r="A8" t="str">
            <v>07</v>
          </cell>
          <cell r="B8" t="str">
            <v>MISCELANEO</v>
          </cell>
          <cell r="C8" t="str">
            <v>CORAZON PARTIO</v>
          </cell>
          <cell r="D8">
            <v>6.7</v>
          </cell>
          <cell r="E8">
            <v>193759</v>
          </cell>
          <cell r="L8">
            <v>6.7</v>
          </cell>
          <cell r="M8" t="str">
            <v>22:04</v>
          </cell>
          <cell r="N8" t="str">
            <v>00:44</v>
          </cell>
          <cell r="O8">
            <v>0</v>
          </cell>
          <cell r="P8">
            <v>0</v>
          </cell>
          <cell r="Q8">
            <v>1</v>
          </cell>
        </row>
        <row r="9">
          <cell r="A9" t="str">
            <v>07</v>
          </cell>
          <cell r="B9" t="str">
            <v>INFORMATIVO</v>
          </cell>
          <cell r="C9" t="str">
            <v>TV TIEMPO</v>
          </cell>
          <cell r="D9">
            <v>6.7</v>
          </cell>
          <cell r="E9">
            <v>191116</v>
          </cell>
          <cell r="F9">
            <v>9</v>
          </cell>
          <cell r="G9">
            <v>9.1</v>
          </cell>
          <cell r="H9">
            <v>6.6</v>
          </cell>
          <cell r="I9">
            <v>7.3</v>
          </cell>
          <cell r="J9">
            <v>5.3</v>
          </cell>
          <cell r="K9">
            <v>5</v>
          </cell>
          <cell r="L9">
            <v>4.3</v>
          </cell>
          <cell r="M9" t="str">
            <v>21:56</v>
          </cell>
          <cell r="N9" t="str">
            <v>22:08</v>
          </cell>
          <cell r="O9">
            <v>0</v>
          </cell>
          <cell r="P9">
            <v>0</v>
          </cell>
          <cell r="Q9">
            <v>7</v>
          </cell>
        </row>
        <row r="10">
          <cell r="A10" t="str">
            <v>07</v>
          </cell>
          <cell r="B10" t="str">
            <v>REPORTAJE</v>
          </cell>
          <cell r="C10" t="str">
            <v>INFORME ESPECIAL</v>
          </cell>
          <cell r="D10">
            <v>5.3</v>
          </cell>
          <cell r="E10">
            <v>152648</v>
          </cell>
          <cell r="H10">
            <v>5.3</v>
          </cell>
          <cell r="M10" t="str">
            <v>22:04</v>
          </cell>
          <cell r="N10" t="str">
            <v>23:28</v>
          </cell>
          <cell r="O10">
            <v>0</v>
          </cell>
          <cell r="P10">
            <v>0</v>
          </cell>
          <cell r="Q10">
            <v>1</v>
          </cell>
        </row>
        <row r="11">
          <cell r="A11" t="str">
            <v>07</v>
          </cell>
          <cell r="B11" t="str">
            <v>MISCELANEO</v>
          </cell>
          <cell r="C11" t="str">
            <v>BUENOS DIAS A TODOS (A)</v>
          </cell>
          <cell r="D11">
            <v>4.9000000000000004</v>
          </cell>
          <cell r="E11">
            <v>139322</v>
          </cell>
          <cell r="F11">
            <v>4.5999999999999996</v>
          </cell>
          <cell r="G11">
            <v>6.5</v>
          </cell>
          <cell r="H11">
            <v>4.9000000000000004</v>
          </cell>
          <cell r="I11">
            <v>4.0999999999999996</v>
          </cell>
          <cell r="J11">
            <v>4.2</v>
          </cell>
          <cell r="M11" t="str">
            <v>08:01</v>
          </cell>
          <cell r="N11" t="str">
            <v>08:59</v>
          </cell>
          <cell r="O11">
            <v>0</v>
          </cell>
          <cell r="P11">
            <v>0</v>
          </cell>
          <cell r="Q11">
            <v>5</v>
          </cell>
        </row>
        <row r="12">
          <cell r="A12" t="str">
            <v>07</v>
          </cell>
          <cell r="B12" t="str">
            <v>REPORTAJE</v>
          </cell>
          <cell r="C12" t="str">
            <v>EL MIRADOR</v>
          </cell>
          <cell r="D12">
            <v>4.8</v>
          </cell>
          <cell r="E12">
            <v>139116</v>
          </cell>
          <cell r="I12">
            <v>4.8</v>
          </cell>
          <cell r="M12" t="str">
            <v>22:10</v>
          </cell>
          <cell r="N12" t="str">
            <v>23:32</v>
          </cell>
          <cell r="O12">
            <v>0</v>
          </cell>
          <cell r="P12">
            <v>0</v>
          </cell>
          <cell r="Q12">
            <v>1</v>
          </cell>
        </row>
        <row r="13">
          <cell r="A13" t="str">
            <v>07</v>
          </cell>
          <cell r="B13" t="str">
            <v>MISCELANEO</v>
          </cell>
          <cell r="C13" t="str">
            <v>BUENOS DIAS A TODOS (B)</v>
          </cell>
          <cell r="D13">
            <v>4.4000000000000004</v>
          </cell>
          <cell r="E13">
            <v>126886</v>
          </cell>
          <cell r="F13">
            <v>5.0999999999999996</v>
          </cell>
          <cell r="G13">
            <v>5.6</v>
          </cell>
          <cell r="H13">
            <v>4.8</v>
          </cell>
          <cell r="I13">
            <v>2.7</v>
          </cell>
          <cell r="J13">
            <v>3.9</v>
          </cell>
          <cell r="M13" t="str">
            <v>09:00</v>
          </cell>
          <cell r="N13" t="str">
            <v>09:59</v>
          </cell>
          <cell r="O13">
            <v>0</v>
          </cell>
          <cell r="P13">
            <v>0</v>
          </cell>
          <cell r="Q13">
            <v>5</v>
          </cell>
        </row>
        <row r="14">
          <cell r="A14" t="str">
            <v>07</v>
          </cell>
          <cell r="B14" t="str">
            <v>MISCELANEO</v>
          </cell>
          <cell r="C14" t="str">
            <v>BUENOS DIAS A TODOS (C)</v>
          </cell>
          <cell r="D14">
            <v>3.9</v>
          </cell>
          <cell r="E14">
            <v>111651</v>
          </cell>
          <cell r="F14">
            <v>4.4000000000000004</v>
          </cell>
          <cell r="G14">
            <v>5.5</v>
          </cell>
          <cell r="H14">
            <v>3.2</v>
          </cell>
          <cell r="I14">
            <v>2.7</v>
          </cell>
          <cell r="J14">
            <v>3.7</v>
          </cell>
          <cell r="M14" t="str">
            <v>10:00</v>
          </cell>
          <cell r="N14" t="str">
            <v>10:59</v>
          </cell>
          <cell r="O14">
            <v>0</v>
          </cell>
          <cell r="P14">
            <v>0</v>
          </cell>
          <cell r="Q14">
            <v>5</v>
          </cell>
        </row>
        <row r="15">
          <cell r="A15" t="str">
            <v>07</v>
          </cell>
          <cell r="B15" t="str">
            <v>SERIE</v>
          </cell>
          <cell r="C15" t="str">
            <v>LOS ARCHIVOS SECRETOS X</v>
          </cell>
          <cell r="D15">
            <v>3.7</v>
          </cell>
          <cell r="E15">
            <v>107651</v>
          </cell>
          <cell r="I15">
            <v>3.7</v>
          </cell>
          <cell r="M15" t="str">
            <v>23:33</v>
          </cell>
          <cell r="N15" t="str">
            <v>00:30</v>
          </cell>
          <cell r="O15">
            <v>0</v>
          </cell>
          <cell r="P15">
            <v>0</v>
          </cell>
          <cell r="Q15">
            <v>1</v>
          </cell>
        </row>
        <row r="16">
          <cell r="A16" t="str">
            <v>07</v>
          </cell>
          <cell r="B16" t="str">
            <v>NOTICIERO</v>
          </cell>
          <cell r="C16" t="str">
            <v>EDICION MATINAL 24 HORAS</v>
          </cell>
          <cell r="D16">
            <v>3.5</v>
          </cell>
          <cell r="E16">
            <v>101061</v>
          </cell>
          <cell r="F16">
            <v>3.7</v>
          </cell>
          <cell r="G16">
            <v>4.3</v>
          </cell>
          <cell r="H16">
            <v>3.2</v>
          </cell>
          <cell r="I16">
            <v>3.1</v>
          </cell>
          <cell r="J16">
            <v>3.3</v>
          </cell>
          <cell r="M16" t="str">
            <v>06:59</v>
          </cell>
          <cell r="N16" t="str">
            <v>08:01</v>
          </cell>
          <cell r="O16">
            <v>0</v>
          </cell>
          <cell r="P16">
            <v>0</v>
          </cell>
          <cell r="Q16">
            <v>5</v>
          </cell>
        </row>
        <row r="17">
          <cell r="A17" t="str">
            <v>07</v>
          </cell>
          <cell r="B17" t="str">
            <v>FUTBOL</v>
          </cell>
          <cell r="C17" t="str">
            <v>ELIMINATORIA KOREA-JAPON 2002</v>
          </cell>
          <cell r="D17">
            <v>3.4</v>
          </cell>
          <cell r="E17">
            <v>97990</v>
          </cell>
          <cell r="L17">
            <v>3.4</v>
          </cell>
          <cell r="M17" t="str">
            <v>18:40</v>
          </cell>
          <cell r="N17" t="str">
            <v>21:00</v>
          </cell>
          <cell r="O17">
            <v>0</v>
          </cell>
          <cell r="P17">
            <v>0</v>
          </cell>
          <cell r="Q17">
            <v>1</v>
          </cell>
        </row>
        <row r="18">
          <cell r="A18" t="str">
            <v>07</v>
          </cell>
          <cell r="B18" t="str">
            <v>SERIE</v>
          </cell>
          <cell r="C18" t="str">
            <v>ZONA CANDENTE</v>
          </cell>
          <cell r="D18">
            <v>3.2</v>
          </cell>
          <cell r="E18">
            <v>92754</v>
          </cell>
          <cell r="H18">
            <v>3.2</v>
          </cell>
          <cell r="M18" t="str">
            <v>23:29</v>
          </cell>
          <cell r="N18" t="str">
            <v>00:21</v>
          </cell>
          <cell r="O18">
            <v>0</v>
          </cell>
          <cell r="P18">
            <v>0</v>
          </cell>
          <cell r="Q18">
            <v>1</v>
          </cell>
        </row>
        <row r="19">
          <cell r="A19" t="str">
            <v>07</v>
          </cell>
          <cell r="B19" t="str">
            <v>MISCELANEO</v>
          </cell>
          <cell r="C19" t="str">
            <v>BUENOS DIAS A TODOS (D)</v>
          </cell>
          <cell r="D19">
            <v>3.1</v>
          </cell>
          <cell r="E19">
            <v>88039</v>
          </cell>
          <cell r="F19">
            <v>3.7</v>
          </cell>
          <cell r="G19">
            <v>4.2</v>
          </cell>
          <cell r="H19">
            <v>2.2999999999999998</v>
          </cell>
          <cell r="I19">
            <v>2.7</v>
          </cell>
          <cell r="J19">
            <v>2.4</v>
          </cell>
          <cell r="M19" t="str">
            <v>11:00</v>
          </cell>
          <cell r="N19" t="str">
            <v>12:00</v>
          </cell>
          <cell r="O19">
            <v>0</v>
          </cell>
          <cell r="P19">
            <v>0</v>
          </cell>
          <cell r="Q19">
            <v>5</v>
          </cell>
        </row>
        <row r="20">
          <cell r="A20" t="str">
            <v>07</v>
          </cell>
          <cell r="B20" t="str">
            <v>CULTURAL</v>
          </cell>
          <cell r="C20" t="str">
            <v>VIDA SILVESTRE</v>
          </cell>
          <cell r="D20">
            <v>3.1</v>
          </cell>
          <cell r="E20">
            <v>87829</v>
          </cell>
          <cell r="L20">
            <v>3.1</v>
          </cell>
          <cell r="M20" t="str">
            <v>15:38</v>
          </cell>
          <cell r="N20" t="str">
            <v>16:36</v>
          </cell>
          <cell r="O20">
            <v>0</v>
          </cell>
          <cell r="P20">
            <v>0</v>
          </cell>
          <cell r="Q20">
            <v>1</v>
          </cell>
        </row>
        <row r="21">
          <cell r="A21" t="str">
            <v>07</v>
          </cell>
          <cell r="B21" t="str">
            <v>CULTURAL</v>
          </cell>
          <cell r="C21" t="str">
            <v>TIERRA ADENTRO</v>
          </cell>
          <cell r="D21">
            <v>3</v>
          </cell>
          <cell r="E21">
            <v>85395</v>
          </cell>
          <cell r="L21">
            <v>3</v>
          </cell>
          <cell r="M21" t="str">
            <v>14:33</v>
          </cell>
          <cell r="N21" t="str">
            <v>15:37</v>
          </cell>
          <cell r="O21">
            <v>0</v>
          </cell>
          <cell r="P21">
            <v>0</v>
          </cell>
          <cell r="Q21">
            <v>1</v>
          </cell>
        </row>
        <row r="22">
          <cell r="A22" t="str">
            <v>07</v>
          </cell>
          <cell r="B22" t="str">
            <v>INFORMATIVO</v>
          </cell>
          <cell r="C22" t="str">
            <v>MEDIA NOCHE</v>
          </cell>
          <cell r="D22">
            <v>2.9</v>
          </cell>
          <cell r="E22">
            <v>83062</v>
          </cell>
          <cell r="F22">
            <v>4.4000000000000004</v>
          </cell>
          <cell r="G22">
            <v>1.3</v>
          </cell>
          <cell r="H22">
            <v>2.2999999999999998</v>
          </cell>
          <cell r="I22">
            <v>3.1</v>
          </cell>
          <cell r="J22">
            <v>3.3</v>
          </cell>
          <cell r="M22" t="str">
            <v>00:10</v>
          </cell>
          <cell r="N22" t="str">
            <v>01:28</v>
          </cell>
          <cell r="O22">
            <v>0</v>
          </cell>
          <cell r="P22">
            <v>0</v>
          </cell>
          <cell r="Q22">
            <v>5</v>
          </cell>
        </row>
        <row r="23">
          <cell r="A23" t="str">
            <v>07</v>
          </cell>
          <cell r="B23" t="str">
            <v>INFORMATIVO</v>
          </cell>
          <cell r="C23" t="str">
            <v>24 HORAS INFORMA</v>
          </cell>
          <cell r="D23">
            <v>2.9</v>
          </cell>
          <cell r="E23">
            <v>82347</v>
          </cell>
          <cell r="F23">
            <v>3.3</v>
          </cell>
          <cell r="G23">
            <v>3.7</v>
          </cell>
          <cell r="H23">
            <v>2.2000000000000002</v>
          </cell>
          <cell r="I23">
            <v>2.4</v>
          </cell>
          <cell r="J23">
            <v>2.7</v>
          </cell>
          <cell r="M23" t="str">
            <v>12:00</v>
          </cell>
          <cell r="N23" t="str">
            <v>12:10</v>
          </cell>
          <cell r="O23">
            <v>0</v>
          </cell>
          <cell r="P23">
            <v>0</v>
          </cell>
          <cell r="Q23">
            <v>5</v>
          </cell>
        </row>
        <row r="24">
          <cell r="A24" t="str">
            <v>07</v>
          </cell>
          <cell r="B24" t="str">
            <v>MISCELANEO</v>
          </cell>
          <cell r="C24" t="str">
            <v>PASE LO QUE PASE</v>
          </cell>
          <cell r="D24">
            <v>2.9</v>
          </cell>
          <cell r="E24">
            <v>84532</v>
          </cell>
          <cell r="F24">
            <v>3.2</v>
          </cell>
          <cell r="G24">
            <v>2.9</v>
          </cell>
          <cell r="H24">
            <v>3.2</v>
          </cell>
          <cell r="I24">
            <v>2.2999999999999998</v>
          </cell>
          <cell r="J24">
            <v>3.1</v>
          </cell>
          <cell r="M24" t="str">
            <v>18:29</v>
          </cell>
          <cell r="N24" t="str">
            <v>19:59</v>
          </cell>
          <cell r="O24">
            <v>0</v>
          </cell>
          <cell r="P24">
            <v>0</v>
          </cell>
          <cell r="Q24">
            <v>5</v>
          </cell>
        </row>
        <row r="25">
          <cell r="A25" t="str">
            <v>07</v>
          </cell>
          <cell r="B25" t="str">
            <v>REPORTAJE</v>
          </cell>
          <cell r="C25" t="str">
            <v>OVNI</v>
          </cell>
          <cell r="D25">
            <v>2.8</v>
          </cell>
          <cell r="E25">
            <v>80805</v>
          </cell>
          <cell r="J25">
            <v>2.8</v>
          </cell>
          <cell r="M25" t="str">
            <v>22:07</v>
          </cell>
          <cell r="N25" t="str">
            <v>23:17</v>
          </cell>
          <cell r="O25">
            <v>0</v>
          </cell>
          <cell r="P25">
            <v>0</v>
          </cell>
          <cell r="Q25">
            <v>1</v>
          </cell>
        </row>
        <row r="26">
          <cell r="A26" t="str">
            <v>07</v>
          </cell>
          <cell r="B26" t="str">
            <v>REPORTAJE</v>
          </cell>
          <cell r="C26" t="str">
            <v>CINE VIDEO</v>
          </cell>
          <cell r="D26">
            <v>2.7</v>
          </cell>
          <cell r="E26">
            <v>78835</v>
          </cell>
          <cell r="G26">
            <v>2.7</v>
          </cell>
          <cell r="M26" t="str">
            <v>23:09</v>
          </cell>
          <cell r="N26" t="str">
            <v>00:10</v>
          </cell>
          <cell r="O26">
            <v>0</v>
          </cell>
          <cell r="P26">
            <v>0</v>
          </cell>
          <cell r="Q26">
            <v>1</v>
          </cell>
        </row>
        <row r="27">
          <cell r="A27" t="str">
            <v>07</v>
          </cell>
          <cell r="B27" t="str">
            <v>MISCELANEO</v>
          </cell>
          <cell r="C27" t="str">
            <v>DIA A DIA</v>
          </cell>
          <cell r="D27">
            <v>2.7</v>
          </cell>
          <cell r="E27">
            <v>77106</v>
          </cell>
          <cell r="F27">
            <v>3.2</v>
          </cell>
          <cell r="G27">
            <v>3.5</v>
          </cell>
          <cell r="H27">
            <v>2</v>
          </cell>
          <cell r="I27">
            <v>2.5</v>
          </cell>
          <cell r="J27">
            <v>2.2000000000000002</v>
          </cell>
          <cell r="M27" t="str">
            <v>12:08</v>
          </cell>
          <cell r="N27" t="str">
            <v>12:57</v>
          </cell>
          <cell r="O27">
            <v>0</v>
          </cell>
          <cell r="P27">
            <v>0</v>
          </cell>
          <cell r="Q27">
            <v>5</v>
          </cell>
        </row>
        <row r="28">
          <cell r="A28" t="str">
            <v>07</v>
          </cell>
          <cell r="B28" t="str">
            <v>NOTICIERO</v>
          </cell>
          <cell r="C28" t="str">
            <v>SEGUNDA EDICION DE 24 HORAS</v>
          </cell>
          <cell r="D28">
            <v>2.5</v>
          </cell>
          <cell r="E28">
            <v>72119</v>
          </cell>
          <cell r="F28">
            <v>2.9</v>
          </cell>
          <cell r="G28">
            <v>3.6</v>
          </cell>
          <cell r="H28">
            <v>2.1</v>
          </cell>
          <cell r="I28">
            <v>3.2</v>
          </cell>
          <cell r="J28">
            <v>2.2999999999999998</v>
          </cell>
          <cell r="K28">
            <v>1.4</v>
          </cell>
          <cell r="L28">
            <v>2</v>
          </cell>
          <cell r="M28" t="str">
            <v>13:29</v>
          </cell>
          <cell r="N28" t="str">
            <v>14:32</v>
          </cell>
          <cell r="O28">
            <v>0</v>
          </cell>
          <cell r="P28">
            <v>0</v>
          </cell>
          <cell r="Q28">
            <v>7</v>
          </cell>
        </row>
        <row r="29">
          <cell r="A29" t="str">
            <v>07</v>
          </cell>
          <cell r="B29" t="str">
            <v>ENTREVISTA</v>
          </cell>
          <cell r="C29" t="str">
            <v>LA ENTREVISTA DEL DOMINGO</v>
          </cell>
          <cell r="D29">
            <v>2.5</v>
          </cell>
          <cell r="E29">
            <v>71348</v>
          </cell>
          <cell r="L29">
            <v>2.5</v>
          </cell>
          <cell r="M29" t="str">
            <v>21:28</v>
          </cell>
          <cell r="N29" t="str">
            <v>21:53</v>
          </cell>
          <cell r="O29">
            <v>0</v>
          </cell>
          <cell r="P29">
            <v>0</v>
          </cell>
          <cell r="Q29">
            <v>1</v>
          </cell>
        </row>
        <row r="30">
          <cell r="A30" t="str">
            <v>07</v>
          </cell>
          <cell r="B30" t="str">
            <v>SERIE</v>
          </cell>
          <cell r="C30" t="str">
            <v>LA FEMME NIKKITA</v>
          </cell>
          <cell r="D30">
            <v>2.4</v>
          </cell>
          <cell r="E30">
            <v>67953</v>
          </cell>
          <cell r="J30">
            <v>2.4</v>
          </cell>
          <cell r="M30" t="str">
            <v>23:18</v>
          </cell>
          <cell r="N30" t="str">
            <v>00:09</v>
          </cell>
          <cell r="O30">
            <v>0</v>
          </cell>
          <cell r="P30">
            <v>0</v>
          </cell>
          <cell r="Q30">
            <v>1</v>
          </cell>
        </row>
        <row r="31">
          <cell r="A31" t="str">
            <v>07</v>
          </cell>
          <cell r="B31" t="str">
            <v>DEPORTIVO</v>
          </cell>
          <cell r="C31" t="str">
            <v>ZOOM DEPORTIVO</v>
          </cell>
          <cell r="D31">
            <v>2.4</v>
          </cell>
          <cell r="E31">
            <v>69252</v>
          </cell>
          <cell r="L31">
            <v>2.4</v>
          </cell>
          <cell r="M31" t="str">
            <v>00:45</v>
          </cell>
          <cell r="N31" t="str">
            <v>02:08</v>
          </cell>
          <cell r="O31">
            <v>0</v>
          </cell>
          <cell r="P31">
            <v>0</v>
          </cell>
          <cell r="Q31">
            <v>1</v>
          </cell>
        </row>
        <row r="32">
          <cell r="A32" t="str">
            <v>07</v>
          </cell>
          <cell r="B32" t="str">
            <v>CULTURAL</v>
          </cell>
          <cell r="C32" t="str">
            <v>GRANDES DOCUMENTOS DEL SIGLO X</v>
          </cell>
          <cell r="D32">
            <v>2.4</v>
          </cell>
          <cell r="E32">
            <v>69819</v>
          </cell>
          <cell r="L32">
            <v>2.4</v>
          </cell>
          <cell r="M32" t="str">
            <v>16:37</v>
          </cell>
          <cell r="N32" t="str">
            <v>17:29</v>
          </cell>
          <cell r="O32">
            <v>0</v>
          </cell>
          <cell r="P32">
            <v>0</v>
          </cell>
          <cell r="Q32">
            <v>1</v>
          </cell>
        </row>
        <row r="33">
          <cell r="A33" t="str">
            <v>07</v>
          </cell>
          <cell r="B33" t="str">
            <v>TELENOVELA</v>
          </cell>
          <cell r="C33" t="str">
            <v>SANTO LADRON (RESUMEN)</v>
          </cell>
          <cell r="D33">
            <v>2.4</v>
          </cell>
          <cell r="E33">
            <v>70158</v>
          </cell>
          <cell r="L33">
            <v>2.4</v>
          </cell>
          <cell r="M33" t="str">
            <v>17:30</v>
          </cell>
          <cell r="N33" t="str">
            <v>18:39</v>
          </cell>
          <cell r="O33">
            <v>0</v>
          </cell>
          <cell r="P33">
            <v>0</v>
          </cell>
          <cell r="Q33">
            <v>1</v>
          </cell>
        </row>
        <row r="34">
          <cell r="A34" t="str">
            <v>07</v>
          </cell>
          <cell r="B34" t="str">
            <v>COMEDIA</v>
          </cell>
          <cell r="C34" t="str">
            <v>LOS VENEGAS</v>
          </cell>
          <cell r="D34">
            <v>2.2000000000000002</v>
          </cell>
          <cell r="E34">
            <v>63348</v>
          </cell>
          <cell r="F34">
            <v>2.2999999999999998</v>
          </cell>
          <cell r="G34">
            <v>3</v>
          </cell>
          <cell r="H34">
            <v>1.6</v>
          </cell>
          <cell r="I34">
            <v>2.4</v>
          </cell>
          <cell r="J34">
            <v>1.7</v>
          </cell>
          <cell r="M34" t="str">
            <v>12:48</v>
          </cell>
          <cell r="N34" t="str">
            <v>13:29</v>
          </cell>
          <cell r="O34">
            <v>0</v>
          </cell>
          <cell r="P34">
            <v>0</v>
          </cell>
          <cell r="Q34">
            <v>5</v>
          </cell>
        </row>
        <row r="35">
          <cell r="A35" t="str">
            <v>07</v>
          </cell>
          <cell r="B35" t="str">
            <v>NOTICIERO</v>
          </cell>
          <cell r="C35" t="str">
            <v>EDICION VESPERTINA DE 24 HORAS</v>
          </cell>
          <cell r="D35">
            <v>2</v>
          </cell>
          <cell r="E35">
            <v>56197</v>
          </cell>
          <cell r="F35">
            <v>2.2000000000000002</v>
          </cell>
          <cell r="G35">
            <v>1.5</v>
          </cell>
          <cell r="H35">
            <v>2.8</v>
          </cell>
          <cell r="I35">
            <v>2.1</v>
          </cell>
          <cell r="J35">
            <v>1.2</v>
          </cell>
          <cell r="M35" t="str">
            <v>17:59</v>
          </cell>
          <cell r="N35" t="str">
            <v>18:32</v>
          </cell>
          <cell r="O35">
            <v>0</v>
          </cell>
          <cell r="P35">
            <v>0</v>
          </cell>
          <cell r="Q35">
            <v>5</v>
          </cell>
        </row>
        <row r="36">
          <cell r="A36" t="str">
            <v>07</v>
          </cell>
          <cell r="B36" t="str">
            <v>PELICULA</v>
          </cell>
          <cell r="C36" t="str">
            <v>CINE FAMILIAR</v>
          </cell>
          <cell r="D36">
            <v>1.8</v>
          </cell>
          <cell r="E36">
            <v>52615</v>
          </cell>
          <cell r="K36">
            <v>1.8</v>
          </cell>
          <cell r="M36" t="str">
            <v>19:24</v>
          </cell>
          <cell r="N36" t="str">
            <v>20:59</v>
          </cell>
          <cell r="O36">
            <v>0</v>
          </cell>
          <cell r="P36">
            <v>0</v>
          </cell>
          <cell r="Q36">
            <v>1</v>
          </cell>
        </row>
        <row r="37">
          <cell r="A37" t="str">
            <v>07</v>
          </cell>
          <cell r="B37" t="str">
            <v>SERIE</v>
          </cell>
          <cell r="C37" t="str">
            <v>AMIGOS</v>
          </cell>
          <cell r="D37">
            <v>1.7</v>
          </cell>
          <cell r="E37">
            <v>48326</v>
          </cell>
          <cell r="F37">
            <v>1.8</v>
          </cell>
          <cell r="G37">
            <v>0.8</v>
          </cell>
          <cell r="H37">
            <v>2.1</v>
          </cell>
          <cell r="I37">
            <v>2.4</v>
          </cell>
          <cell r="J37">
            <v>1.4</v>
          </cell>
          <cell r="K37">
            <v>1.7</v>
          </cell>
          <cell r="M37" t="str">
            <v>17:32</v>
          </cell>
          <cell r="N37" t="str">
            <v>19:23</v>
          </cell>
          <cell r="O37">
            <v>0</v>
          </cell>
          <cell r="P37">
            <v>0</v>
          </cell>
          <cell r="Q37">
            <v>6</v>
          </cell>
        </row>
        <row r="38">
          <cell r="A38" t="str">
            <v>07</v>
          </cell>
          <cell r="B38" t="str">
            <v>PELICULA</v>
          </cell>
          <cell r="C38" t="str">
            <v>CINE NOCTURNO</v>
          </cell>
          <cell r="D38">
            <v>1.7</v>
          </cell>
          <cell r="E38">
            <v>50001</v>
          </cell>
          <cell r="F38">
            <v>2.6</v>
          </cell>
          <cell r="G38">
            <v>1.2</v>
          </cell>
          <cell r="H38">
            <v>1.4</v>
          </cell>
          <cell r="I38">
            <v>1.2</v>
          </cell>
          <cell r="J38">
            <v>1.9</v>
          </cell>
          <cell r="K38">
            <v>2.2000000000000002</v>
          </cell>
          <cell r="M38" t="str">
            <v>00:11</v>
          </cell>
          <cell r="N38" t="str">
            <v>03:08</v>
          </cell>
          <cell r="O38">
            <v>0</v>
          </cell>
          <cell r="P38">
            <v>0</v>
          </cell>
          <cell r="Q38">
            <v>6</v>
          </cell>
        </row>
        <row r="39">
          <cell r="A39" t="str">
            <v>07</v>
          </cell>
          <cell r="B39" t="str">
            <v>TELENOVELA</v>
          </cell>
          <cell r="C39" t="str">
            <v>LA CAPONERA</v>
          </cell>
          <cell r="D39">
            <v>1.7</v>
          </cell>
          <cell r="E39">
            <v>49697</v>
          </cell>
          <cell r="F39">
            <v>1.8</v>
          </cell>
          <cell r="G39">
            <v>1.8</v>
          </cell>
          <cell r="H39">
            <v>1.8</v>
          </cell>
          <cell r="I39">
            <v>1.6</v>
          </cell>
          <cell r="J39">
            <v>1.6</v>
          </cell>
          <cell r="M39" t="str">
            <v>15:13</v>
          </cell>
          <cell r="N39" t="str">
            <v>16:16</v>
          </cell>
          <cell r="O39">
            <v>0</v>
          </cell>
          <cell r="P39">
            <v>0</v>
          </cell>
          <cell r="Q39">
            <v>5</v>
          </cell>
        </row>
        <row r="40">
          <cell r="A40" t="str">
            <v>07</v>
          </cell>
          <cell r="B40" t="str">
            <v>TELENOVELA</v>
          </cell>
          <cell r="C40" t="str">
            <v>PUEBLO CHICO,INFIERNO GRANDE</v>
          </cell>
          <cell r="D40">
            <v>1.6</v>
          </cell>
          <cell r="E40">
            <v>46082</v>
          </cell>
          <cell r="F40">
            <v>1.7</v>
          </cell>
          <cell r="G40">
            <v>2.2999999999999998</v>
          </cell>
          <cell r="H40">
            <v>1</v>
          </cell>
          <cell r="I40">
            <v>1.5</v>
          </cell>
          <cell r="J40">
            <v>1.5</v>
          </cell>
          <cell r="M40" t="str">
            <v>14:00</v>
          </cell>
          <cell r="N40" t="str">
            <v>15:25</v>
          </cell>
          <cell r="O40">
            <v>0</v>
          </cell>
          <cell r="P40">
            <v>0</v>
          </cell>
          <cell r="Q40">
            <v>5</v>
          </cell>
        </row>
        <row r="41">
          <cell r="A41" t="str">
            <v>07</v>
          </cell>
          <cell r="B41" t="str">
            <v>SERIE</v>
          </cell>
          <cell r="C41" t="str">
            <v>BUFFY LA CAZA VAMPIROS</v>
          </cell>
          <cell r="D41">
            <v>1.4</v>
          </cell>
          <cell r="E41">
            <v>41443</v>
          </cell>
          <cell r="F41">
            <v>1.6</v>
          </cell>
          <cell r="G41">
            <v>1.3</v>
          </cell>
          <cell r="H41">
            <v>0.8</v>
          </cell>
          <cell r="I41">
            <v>1.8</v>
          </cell>
          <cell r="J41">
            <v>1.6</v>
          </cell>
          <cell r="M41" t="str">
            <v>16:14</v>
          </cell>
          <cell r="N41" t="str">
            <v>17:08</v>
          </cell>
          <cell r="O41">
            <v>0</v>
          </cell>
          <cell r="P41">
            <v>0</v>
          </cell>
          <cell r="Q41">
            <v>5</v>
          </cell>
        </row>
        <row r="42">
          <cell r="A42" t="str">
            <v>07</v>
          </cell>
          <cell r="B42" t="str">
            <v>D_ANIMADOS</v>
          </cell>
          <cell r="C42" t="str">
            <v>PORKY</v>
          </cell>
          <cell r="D42">
            <v>1.2</v>
          </cell>
          <cell r="E42">
            <v>35008</v>
          </cell>
          <cell r="K42">
            <v>0.9</v>
          </cell>
          <cell r="L42">
            <v>1.5</v>
          </cell>
          <cell r="M42" t="str">
            <v>10:09</v>
          </cell>
          <cell r="N42" t="str">
            <v>10:41</v>
          </cell>
          <cell r="O42">
            <v>0</v>
          </cell>
          <cell r="P42">
            <v>0</v>
          </cell>
          <cell r="Q42">
            <v>2</v>
          </cell>
        </row>
        <row r="43">
          <cell r="A43" t="str">
            <v>07</v>
          </cell>
          <cell r="B43" t="str">
            <v>D_ANIMADOS</v>
          </cell>
          <cell r="C43" t="str">
            <v>LOCADEMIA DE POLICIA</v>
          </cell>
          <cell r="D43">
            <v>1.1000000000000001</v>
          </cell>
          <cell r="E43">
            <v>30459</v>
          </cell>
          <cell r="K43">
            <v>1.1000000000000001</v>
          </cell>
          <cell r="M43" t="str">
            <v>18:00</v>
          </cell>
          <cell r="N43" t="str">
            <v>18:46</v>
          </cell>
          <cell r="O43">
            <v>0</v>
          </cell>
          <cell r="P43">
            <v>0</v>
          </cell>
          <cell r="Q43">
            <v>1</v>
          </cell>
        </row>
        <row r="44">
          <cell r="A44" t="str">
            <v>07</v>
          </cell>
          <cell r="B44" t="str">
            <v>SERIE</v>
          </cell>
          <cell r="C44" t="str">
            <v>DE REPENTE SUSAN</v>
          </cell>
          <cell r="D44">
            <v>1.1000000000000001</v>
          </cell>
          <cell r="E44">
            <v>30968</v>
          </cell>
          <cell r="F44">
            <v>1.2</v>
          </cell>
          <cell r="G44">
            <v>0.7</v>
          </cell>
          <cell r="H44">
            <v>0.7</v>
          </cell>
          <cell r="I44">
            <v>1.7</v>
          </cell>
          <cell r="J44">
            <v>1.1000000000000001</v>
          </cell>
          <cell r="M44" t="str">
            <v>17:05</v>
          </cell>
          <cell r="N44" t="str">
            <v>17:35</v>
          </cell>
          <cell r="O44">
            <v>0</v>
          </cell>
          <cell r="P44">
            <v>0</v>
          </cell>
          <cell r="Q44">
            <v>5</v>
          </cell>
        </row>
        <row r="45">
          <cell r="A45" t="str">
            <v>07</v>
          </cell>
          <cell r="B45" t="str">
            <v>VIDEO CLIP</v>
          </cell>
          <cell r="C45" t="str">
            <v>DESPERTANDO CON TVN</v>
          </cell>
          <cell r="D45">
            <v>0.9</v>
          </cell>
          <cell r="E45">
            <v>26784</v>
          </cell>
          <cell r="F45">
            <v>0.9</v>
          </cell>
          <cell r="G45">
            <v>1.1000000000000001</v>
          </cell>
          <cell r="H45">
            <v>1.1000000000000001</v>
          </cell>
          <cell r="I45">
            <v>0.7</v>
          </cell>
          <cell r="J45">
            <v>0.8</v>
          </cell>
          <cell r="M45" t="str">
            <v>06:22</v>
          </cell>
          <cell r="N45" t="str">
            <v>06:59</v>
          </cell>
          <cell r="O45">
            <v>0</v>
          </cell>
          <cell r="P45">
            <v>0</v>
          </cell>
          <cell r="Q45">
            <v>5</v>
          </cell>
        </row>
        <row r="46">
          <cell r="A46" t="str">
            <v>07</v>
          </cell>
          <cell r="B46" t="str">
            <v>D_ANIMADOS</v>
          </cell>
          <cell r="C46" t="str">
            <v>EL MUNDO FANT.DE RICHARD SCARY</v>
          </cell>
          <cell r="D46">
            <v>0.9</v>
          </cell>
          <cell r="E46">
            <v>26581</v>
          </cell>
          <cell r="K46">
            <v>0.8</v>
          </cell>
          <cell r="L46">
            <v>1</v>
          </cell>
          <cell r="M46" t="str">
            <v>10:35</v>
          </cell>
          <cell r="N46" t="str">
            <v>11:17</v>
          </cell>
          <cell r="O46">
            <v>0</v>
          </cell>
          <cell r="P46">
            <v>0</v>
          </cell>
          <cell r="Q46">
            <v>2</v>
          </cell>
        </row>
        <row r="47">
          <cell r="A47" t="str">
            <v>07</v>
          </cell>
          <cell r="B47" t="str">
            <v>DEPORTIVO</v>
          </cell>
          <cell r="C47" t="str">
            <v>DEPORTE 2000</v>
          </cell>
          <cell r="D47">
            <v>0.9</v>
          </cell>
          <cell r="E47">
            <v>25100</v>
          </cell>
          <cell r="K47">
            <v>0.9</v>
          </cell>
          <cell r="M47" t="str">
            <v>14:32</v>
          </cell>
          <cell r="N47" t="str">
            <v>15:18</v>
          </cell>
          <cell r="O47">
            <v>0</v>
          </cell>
          <cell r="P47">
            <v>0</v>
          </cell>
          <cell r="Q47">
            <v>1</v>
          </cell>
        </row>
        <row r="48">
          <cell r="A48" t="str">
            <v>07</v>
          </cell>
          <cell r="B48" t="str">
            <v>INFANTIL</v>
          </cell>
          <cell r="C48" t="str">
            <v>ESTACION BUENA ONDA</v>
          </cell>
          <cell r="D48">
            <v>0.8</v>
          </cell>
          <cell r="E48">
            <v>22788</v>
          </cell>
          <cell r="K48">
            <v>0.7</v>
          </cell>
          <cell r="L48">
            <v>0.9</v>
          </cell>
          <cell r="M48" t="str">
            <v>10:02</v>
          </cell>
          <cell r="N48" t="str">
            <v>13:59</v>
          </cell>
          <cell r="O48">
            <v>0</v>
          </cell>
          <cell r="P48">
            <v>0</v>
          </cell>
          <cell r="Q48">
            <v>16</v>
          </cell>
        </row>
        <row r="49">
          <cell r="A49" t="str">
            <v>07</v>
          </cell>
          <cell r="B49" t="str">
            <v>D_ANIMADOS</v>
          </cell>
          <cell r="C49" t="str">
            <v>EL CORRECAMINOS</v>
          </cell>
          <cell r="D49">
            <v>0.7</v>
          </cell>
          <cell r="E49">
            <v>21514</v>
          </cell>
          <cell r="K49">
            <v>0.6</v>
          </cell>
          <cell r="L49">
            <v>0.9</v>
          </cell>
          <cell r="M49" t="str">
            <v>13:21</v>
          </cell>
          <cell r="N49" t="str">
            <v>13:46</v>
          </cell>
          <cell r="O49">
            <v>0</v>
          </cell>
          <cell r="P49">
            <v>0</v>
          </cell>
          <cell r="Q49">
            <v>2</v>
          </cell>
        </row>
        <row r="50">
          <cell r="A50" t="str">
            <v>07</v>
          </cell>
          <cell r="B50" t="str">
            <v>CULTURAL</v>
          </cell>
          <cell r="C50" t="str">
            <v>BEETLEBORGS</v>
          </cell>
          <cell r="D50">
            <v>0.6</v>
          </cell>
          <cell r="E50">
            <v>17231</v>
          </cell>
          <cell r="K50">
            <v>0.3</v>
          </cell>
          <cell r="L50">
            <v>0.9</v>
          </cell>
          <cell r="M50" t="str">
            <v>11:08</v>
          </cell>
          <cell r="N50" t="str">
            <v>11:49</v>
          </cell>
          <cell r="O50">
            <v>0</v>
          </cell>
          <cell r="P50">
            <v>0</v>
          </cell>
          <cell r="Q50">
            <v>2</v>
          </cell>
        </row>
        <row r="51">
          <cell r="A51" t="str">
            <v>07</v>
          </cell>
          <cell r="B51" t="str">
            <v>EDUCATIVO</v>
          </cell>
          <cell r="C51" t="str">
            <v>SHOW DE EMPRENDEDORES</v>
          </cell>
          <cell r="D51">
            <v>0.6</v>
          </cell>
          <cell r="E51">
            <v>17103</v>
          </cell>
          <cell r="K51">
            <v>0.6</v>
          </cell>
          <cell r="M51" t="str">
            <v>15:19</v>
          </cell>
          <cell r="N51" t="str">
            <v>16:11</v>
          </cell>
          <cell r="O51">
            <v>0</v>
          </cell>
          <cell r="P51">
            <v>0</v>
          </cell>
          <cell r="Q51">
            <v>1</v>
          </cell>
        </row>
        <row r="52">
          <cell r="A52" t="str">
            <v>07</v>
          </cell>
          <cell r="B52" t="str">
            <v>D_ANIMADOS</v>
          </cell>
          <cell r="C52" t="str">
            <v>MERRIE MELODIES</v>
          </cell>
          <cell r="D52">
            <v>0.6</v>
          </cell>
          <cell r="E52">
            <v>16640</v>
          </cell>
          <cell r="K52">
            <v>0.6</v>
          </cell>
          <cell r="L52">
            <v>0.6</v>
          </cell>
          <cell r="M52" t="str">
            <v>09:37</v>
          </cell>
          <cell r="N52" t="str">
            <v>10:01</v>
          </cell>
          <cell r="O52">
            <v>0</v>
          </cell>
          <cell r="P52">
            <v>0</v>
          </cell>
          <cell r="Q52">
            <v>2</v>
          </cell>
        </row>
        <row r="53">
          <cell r="A53" t="str">
            <v>07</v>
          </cell>
          <cell r="B53" t="str">
            <v>SERIE</v>
          </cell>
          <cell r="C53" t="str">
            <v>LA LEY Y EL ORDEN</v>
          </cell>
          <cell r="D53">
            <v>0.5</v>
          </cell>
          <cell r="E53">
            <v>13571</v>
          </cell>
          <cell r="K53">
            <v>0.5</v>
          </cell>
          <cell r="M53" t="str">
            <v>17:08</v>
          </cell>
          <cell r="N53" t="str">
            <v>17:59</v>
          </cell>
          <cell r="O53">
            <v>0</v>
          </cell>
          <cell r="P53">
            <v>0</v>
          </cell>
          <cell r="Q53">
            <v>1</v>
          </cell>
        </row>
        <row r="54">
          <cell r="A54" t="str">
            <v>07</v>
          </cell>
          <cell r="B54" t="str">
            <v>RELIGIOSO</v>
          </cell>
          <cell r="C54" t="str">
            <v>SANTA MISA</v>
          </cell>
          <cell r="D54">
            <v>0.5</v>
          </cell>
          <cell r="E54">
            <v>14127</v>
          </cell>
          <cell r="L54">
            <v>0.5</v>
          </cell>
          <cell r="M54" t="str">
            <v>08:46</v>
          </cell>
          <cell r="N54" t="str">
            <v>09:37</v>
          </cell>
          <cell r="O54">
            <v>0</v>
          </cell>
          <cell r="P54">
            <v>0</v>
          </cell>
          <cell r="Q54">
            <v>1</v>
          </cell>
        </row>
        <row r="55">
          <cell r="A55" t="str">
            <v>07</v>
          </cell>
          <cell r="B55" t="str">
            <v>SERIE</v>
          </cell>
          <cell r="C55" t="str">
            <v>TOCADO POR UN ANGEL</v>
          </cell>
          <cell r="D55">
            <v>0.5</v>
          </cell>
          <cell r="E55">
            <v>15636</v>
          </cell>
          <cell r="K55">
            <v>0.5</v>
          </cell>
          <cell r="M55" t="str">
            <v>16:12</v>
          </cell>
          <cell r="N55" t="str">
            <v>17:07</v>
          </cell>
          <cell r="O55">
            <v>0</v>
          </cell>
          <cell r="P55">
            <v>0</v>
          </cell>
          <cell r="Q55">
            <v>1</v>
          </cell>
        </row>
        <row r="56">
          <cell r="A56" t="str">
            <v>07</v>
          </cell>
          <cell r="B56" t="str">
            <v>D_ANIMADOS</v>
          </cell>
          <cell r="C56" t="str">
            <v>SUPERMAN</v>
          </cell>
          <cell r="D56">
            <v>0.5</v>
          </cell>
          <cell r="E56">
            <v>15757</v>
          </cell>
          <cell r="K56">
            <v>0.7</v>
          </cell>
          <cell r="L56">
            <v>0.4</v>
          </cell>
          <cell r="M56" t="str">
            <v>11:43</v>
          </cell>
          <cell r="N56" t="str">
            <v>12:12</v>
          </cell>
          <cell r="O56">
            <v>0</v>
          </cell>
          <cell r="P56">
            <v>0</v>
          </cell>
          <cell r="Q56">
            <v>2</v>
          </cell>
        </row>
        <row r="57">
          <cell r="A57" t="str">
            <v>07</v>
          </cell>
          <cell r="B57" t="str">
            <v>D_ANIMADOS</v>
          </cell>
          <cell r="C57" t="str">
            <v>BUGS BUNNY</v>
          </cell>
          <cell r="D57">
            <v>0.4</v>
          </cell>
          <cell r="E57">
            <v>11813</v>
          </cell>
          <cell r="L57">
            <v>0.4</v>
          </cell>
          <cell r="M57" t="str">
            <v>12:20</v>
          </cell>
          <cell r="N57" t="str">
            <v>12:36</v>
          </cell>
          <cell r="O57">
            <v>0</v>
          </cell>
          <cell r="P57">
            <v>0</v>
          </cell>
          <cell r="Q57">
            <v>1</v>
          </cell>
        </row>
        <row r="58">
          <cell r="A58" t="str">
            <v>07</v>
          </cell>
          <cell r="B58" t="str">
            <v>RELIGIOSO</v>
          </cell>
          <cell r="C58" t="str">
            <v>PUERTAS ABIERTAS</v>
          </cell>
          <cell r="D58">
            <v>0.3</v>
          </cell>
          <cell r="E58">
            <v>8961</v>
          </cell>
          <cell r="K58">
            <v>0.3</v>
          </cell>
          <cell r="M58" t="str">
            <v>08:43</v>
          </cell>
          <cell r="N58" t="str">
            <v>09:35</v>
          </cell>
          <cell r="O58">
            <v>0</v>
          </cell>
          <cell r="P58">
            <v>0</v>
          </cell>
          <cell r="Q58">
            <v>1</v>
          </cell>
        </row>
        <row r="59">
          <cell r="A59" t="str">
            <v>07</v>
          </cell>
          <cell r="B59" t="str">
            <v>SERIE</v>
          </cell>
          <cell r="C59" t="str">
            <v>WISHBONE</v>
          </cell>
          <cell r="D59">
            <v>0.3</v>
          </cell>
          <cell r="E59">
            <v>9445</v>
          </cell>
          <cell r="K59">
            <v>0.3</v>
          </cell>
          <cell r="L59">
            <v>0.3</v>
          </cell>
          <cell r="M59" t="str">
            <v>12:50</v>
          </cell>
          <cell r="N59" t="str">
            <v>13:22</v>
          </cell>
          <cell r="O59">
            <v>0</v>
          </cell>
          <cell r="P59">
            <v>0</v>
          </cell>
          <cell r="Q59">
            <v>2</v>
          </cell>
        </row>
        <row r="60">
          <cell r="A60" t="str">
            <v>07</v>
          </cell>
          <cell r="B60" t="str">
            <v>D_ANIMADOS</v>
          </cell>
          <cell r="C60" t="str">
            <v>LOONEY TUNES</v>
          </cell>
          <cell r="D60">
            <v>0.2</v>
          </cell>
          <cell r="E60">
            <v>6012</v>
          </cell>
          <cell r="K60">
            <v>0.2</v>
          </cell>
          <cell r="M60" t="str">
            <v>12:19</v>
          </cell>
          <cell r="N60" t="str">
            <v>12:43</v>
          </cell>
          <cell r="O60">
            <v>0</v>
          </cell>
          <cell r="P60">
            <v>0</v>
          </cell>
          <cell r="Q60">
            <v>1</v>
          </cell>
        </row>
        <row r="61">
          <cell r="A61" t="str">
            <v>09</v>
          </cell>
          <cell r="B61" t="str">
            <v>INFORMATIVO</v>
          </cell>
          <cell r="C61" t="str">
            <v>AQUI EN VIVO</v>
          </cell>
          <cell r="D61">
            <v>9.9</v>
          </cell>
          <cell r="E61">
            <v>282866</v>
          </cell>
          <cell r="I61">
            <v>9.9</v>
          </cell>
          <cell r="M61" t="str">
            <v>22:09</v>
          </cell>
          <cell r="N61" t="str">
            <v>23:44</v>
          </cell>
          <cell r="O61">
            <v>0</v>
          </cell>
          <cell r="P61">
            <v>0</v>
          </cell>
          <cell r="Q61">
            <v>1</v>
          </cell>
        </row>
        <row r="62">
          <cell r="A62" t="str">
            <v>09</v>
          </cell>
          <cell r="B62" t="str">
            <v>HUMOR</v>
          </cell>
          <cell r="C62" t="str">
            <v>JAPPENING 2000</v>
          </cell>
          <cell r="D62">
            <v>7.7</v>
          </cell>
          <cell r="E62">
            <v>222094</v>
          </cell>
          <cell r="G62">
            <v>7.7</v>
          </cell>
          <cell r="M62" t="str">
            <v>22:06</v>
          </cell>
          <cell r="N62" t="str">
            <v>23:39</v>
          </cell>
          <cell r="O62">
            <v>0</v>
          </cell>
          <cell r="P62">
            <v>0</v>
          </cell>
          <cell r="Q62">
            <v>1</v>
          </cell>
        </row>
        <row r="63">
          <cell r="A63" t="str">
            <v>09</v>
          </cell>
          <cell r="B63" t="str">
            <v>CONCURSO</v>
          </cell>
          <cell r="C63" t="str">
            <v>VIDEOS Y PENITENCIA</v>
          </cell>
          <cell r="D63">
            <v>7.1</v>
          </cell>
          <cell r="E63">
            <v>203951</v>
          </cell>
          <cell r="H63">
            <v>7.1</v>
          </cell>
          <cell r="M63" t="str">
            <v>22:09</v>
          </cell>
          <cell r="N63" t="str">
            <v>00:16</v>
          </cell>
          <cell r="O63">
            <v>0</v>
          </cell>
          <cell r="P63">
            <v>0</v>
          </cell>
          <cell r="Q63">
            <v>1</v>
          </cell>
        </row>
        <row r="64">
          <cell r="A64" t="str">
            <v>09</v>
          </cell>
          <cell r="B64" t="str">
            <v>TELENOVELA</v>
          </cell>
          <cell r="C64" t="str">
            <v>LA CASA EN LA PLAYA</v>
          </cell>
          <cell r="D64">
            <v>4.5999999999999996</v>
          </cell>
          <cell r="E64">
            <v>131745</v>
          </cell>
          <cell r="F64">
            <v>4.9000000000000004</v>
          </cell>
          <cell r="G64">
            <v>5</v>
          </cell>
          <cell r="H64">
            <v>4</v>
          </cell>
          <cell r="I64">
            <v>3.5</v>
          </cell>
          <cell r="J64">
            <v>5.6</v>
          </cell>
          <cell r="M64" t="str">
            <v>13:57</v>
          </cell>
          <cell r="N64" t="str">
            <v>14:56</v>
          </cell>
          <cell r="O64">
            <v>0</v>
          </cell>
          <cell r="P64">
            <v>0</v>
          </cell>
          <cell r="Q64">
            <v>5</v>
          </cell>
        </row>
        <row r="65">
          <cell r="A65" t="str">
            <v>09</v>
          </cell>
          <cell r="B65" t="str">
            <v>TELENOVELA</v>
          </cell>
          <cell r="C65" t="str">
            <v>SIEMPRE TE AMARE</v>
          </cell>
          <cell r="D65">
            <v>4.5</v>
          </cell>
          <cell r="E65">
            <v>129070</v>
          </cell>
          <cell r="F65">
            <v>4.9000000000000004</v>
          </cell>
          <cell r="G65">
            <v>4.9000000000000004</v>
          </cell>
          <cell r="H65">
            <v>4.0999999999999996</v>
          </cell>
          <cell r="I65">
            <v>3.7</v>
          </cell>
          <cell r="J65">
            <v>4.9000000000000004</v>
          </cell>
          <cell r="M65" t="str">
            <v>14:53</v>
          </cell>
          <cell r="N65" t="str">
            <v>15:44</v>
          </cell>
          <cell r="O65">
            <v>0</v>
          </cell>
          <cell r="P65">
            <v>0</v>
          </cell>
          <cell r="Q65">
            <v>5</v>
          </cell>
        </row>
        <row r="66">
          <cell r="A66" t="str">
            <v>09</v>
          </cell>
          <cell r="B66" t="str">
            <v>ENTREVISTA</v>
          </cell>
          <cell r="C66" t="str">
            <v>HUMANAMENTE HABLANDO</v>
          </cell>
          <cell r="D66">
            <v>4.4000000000000004</v>
          </cell>
          <cell r="E66">
            <v>126747</v>
          </cell>
          <cell r="I66">
            <v>4.4000000000000004</v>
          </cell>
          <cell r="M66" t="str">
            <v>23:45</v>
          </cell>
          <cell r="N66" t="str">
            <v>00:40</v>
          </cell>
          <cell r="O66">
            <v>0</v>
          </cell>
          <cell r="P66">
            <v>0</v>
          </cell>
          <cell r="Q66">
            <v>1</v>
          </cell>
        </row>
        <row r="67">
          <cell r="A67" t="str">
            <v>09</v>
          </cell>
          <cell r="B67" t="str">
            <v>PELICULA</v>
          </cell>
          <cell r="C67" t="str">
            <v>CINEMANIA</v>
          </cell>
          <cell r="D67">
            <v>4.3</v>
          </cell>
          <cell r="E67">
            <v>122915</v>
          </cell>
          <cell r="K67">
            <v>4.3</v>
          </cell>
          <cell r="M67" t="str">
            <v>22:03</v>
          </cell>
          <cell r="N67" t="str">
            <v>23:45</v>
          </cell>
          <cell r="O67">
            <v>0</v>
          </cell>
          <cell r="P67">
            <v>0</v>
          </cell>
          <cell r="Q67">
            <v>1</v>
          </cell>
        </row>
        <row r="68">
          <cell r="A68" t="str">
            <v>09</v>
          </cell>
          <cell r="B68" t="str">
            <v>SE_INFANTIL</v>
          </cell>
          <cell r="C68" t="str">
            <v>EL CHAVO DEL OCHO</v>
          </cell>
          <cell r="D68">
            <v>3.9</v>
          </cell>
          <cell r="E68">
            <v>110550</v>
          </cell>
          <cell r="F68">
            <v>5.5</v>
          </cell>
          <cell r="G68">
            <v>4.2</v>
          </cell>
          <cell r="H68">
            <v>3.7</v>
          </cell>
          <cell r="I68">
            <v>3.3</v>
          </cell>
          <cell r="J68">
            <v>2.5</v>
          </cell>
          <cell r="M68" t="str">
            <v>19:13</v>
          </cell>
          <cell r="N68" t="str">
            <v>20:00</v>
          </cell>
          <cell r="O68">
            <v>0</v>
          </cell>
          <cell r="P68">
            <v>0</v>
          </cell>
          <cell r="Q68">
            <v>5</v>
          </cell>
        </row>
        <row r="69">
          <cell r="A69" t="str">
            <v>09</v>
          </cell>
          <cell r="B69" t="str">
            <v>INFORMATIVO</v>
          </cell>
          <cell r="C69" t="str">
            <v>EL TIEMPO</v>
          </cell>
          <cell r="D69">
            <v>3.3</v>
          </cell>
          <cell r="E69">
            <v>96150</v>
          </cell>
          <cell r="F69">
            <v>4.4000000000000004</v>
          </cell>
          <cell r="G69">
            <v>4.4000000000000004</v>
          </cell>
          <cell r="H69">
            <v>4</v>
          </cell>
          <cell r="I69">
            <v>3.1</v>
          </cell>
          <cell r="J69">
            <v>2.5</v>
          </cell>
          <cell r="K69">
            <v>1.8</v>
          </cell>
          <cell r="L69">
            <v>3.2</v>
          </cell>
          <cell r="M69" t="str">
            <v>21:56</v>
          </cell>
          <cell r="N69" t="str">
            <v>22:08</v>
          </cell>
          <cell r="O69">
            <v>0</v>
          </cell>
          <cell r="P69">
            <v>0</v>
          </cell>
          <cell r="Q69">
            <v>7</v>
          </cell>
        </row>
        <row r="70">
          <cell r="A70" t="str">
            <v>09</v>
          </cell>
          <cell r="B70" t="str">
            <v>NOTICIERO</v>
          </cell>
          <cell r="C70" t="str">
            <v>MEGANOTICIAS EDICION TARDE</v>
          </cell>
          <cell r="D70">
            <v>3.3</v>
          </cell>
          <cell r="E70">
            <v>95348</v>
          </cell>
          <cell r="F70">
            <v>4.5999999999999996</v>
          </cell>
          <cell r="G70">
            <v>2.6</v>
          </cell>
          <cell r="H70">
            <v>3.9</v>
          </cell>
          <cell r="I70">
            <v>2.6</v>
          </cell>
          <cell r="J70">
            <v>2.9</v>
          </cell>
          <cell r="M70" t="str">
            <v>13:27</v>
          </cell>
          <cell r="N70" t="str">
            <v>14:02</v>
          </cell>
          <cell r="O70">
            <v>0</v>
          </cell>
          <cell r="P70">
            <v>0</v>
          </cell>
          <cell r="Q70">
            <v>5</v>
          </cell>
        </row>
        <row r="71">
          <cell r="A71" t="str">
            <v>09</v>
          </cell>
          <cell r="B71" t="str">
            <v>TELENOVELA</v>
          </cell>
          <cell r="C71" t="str">
            <v>MARIA ISABEL</v>
          </cell>
          <cell r="D71">
            <v>3.2</v>
          </cell>
          <cell r="E71">
            <v>90580</v>
          </cell>
          <cell r="F71">
            <v>3.7</v>
          </cell>
          <cell r="G71">
            <v>3.2</v>
          </cell>
          <cell r="H71">
            <v>4</v>
          </cell>
          <cell r="I71">
            <v>2.5</v>
          </cell>
          <cell r="J71">
            <v>2.4</v>
          </cell>
          <cell r="M71" t="str">
            <v>12:38</v>
          </cell>
          <cell r="N71" t="str">
            <v>13:29</v>
          </cell>
          <cell r="O71">
            <v>0</v>
          </cell>
          <cell r="P71">
            <v>0</v>
          </cell>
          <cell r="Q71">
            <v>5</v>
          </cell>
        </row>
        <row r="72">
          <cell r="A72" t="str">
            <v>09</v>
          </cell>
          <cell r="B72" t="str">
            <v>MISCELANEO</v>
          </cell>
          <cell r="C72" t="str">
            <v>BUENAS TARDES ELI</v>
          </cell>
          <cell r="D72">
            <v>3.1</v>
          </cell>
          <cell r="E72">
            <v>89375</v>
          </cell>
          <cell r="F72">
            <v>4</v>
          </cell>
          <cell r="G72">
            <v>3.2</v>
          </cell>
          <cell r="H72">
            <v>3</v>
          </cell>
          <cell r="I72">
            <v>3.1</v>
          </cell>
          <cell r="J72">
            <v>2.2999999999999998</v>
          </cell>
          <cell r="M72" t="str">
            <v>15:43</v>
          </cell>
          <cell r="N72" t="str">
            <v>17:36</v>
          </cell>
          <cell r="O72">
            <v>0</v>
          </cell>
          <cell r="P72">
            <v>0</v>
          </cell>
          <cell r="Q72">
            <v>5</v>
          </cell>
        </row>
        <row r="73">
          <cell r="A73" t="str">
            <v>09</v>
          </cell>
          <cell r="B73" t="str">
            <v>PELICULA</v>
          </cell>
          <cell r="C73" t="str">
            <v>HECHOS DE LA VIDA REAL</v>
          </cell>
          <cell r="D73">
            <v>3</v>
          </cell>
          <cell r="E73">
            <v>87276</v>
          </cell>
          <cell r="F73">
            <v>3</v>
          </cell>
          <cell r="M73" t="str">
            <v>22:04</v>
          </cell>
          <cell r="N73" t="str">
            <v>23:54</v>
          </cell>
          <cell r="O73">
            <v>0</v>
          </cell>
          <cell r="P73">
            <v>0</v>
          </cell>
          <cell r="Q73">
            <v>1</v>
          </cell>
        </row>
        <row r="74">
          <cell r="A74" t="str">
            <v>09</v>
          </cell>
          <cell r="B74" t="str">
            <v>CONVERSACION</v>
          </cell>
          <cell r="C74" t="str">
            <v>SABADO POR LA NOCHE</v>
          </cell>
          <cell r="D74">
            <v>3</v>
          </cell>
          <cell r="E74">
            <v>85196</v>
          </cell>
          <cell r="K74">
            <v>3</v>
          </cell>
          <cell r="M74" t="str">
            <v>23:46</v>
          </cell>
          <cell r="N74" t="str">
            <v>00:55</v>
          </cell>
          <cell r="O74">
            <v>0</v>
          </cell>
          <cell r="P74">
            <v>0</v>
          </cell>
          <cell r="Q74">
            <v>1</v>
          </cell>
        </row>
        <row r="75">
          <cell r="A75" t="str">
            <v>09</v>
          </cell>
          <cell r="B75" t="str">
            <v>NOTICIERO</v>
          </cell>
          <cell r="C75" t="str">
            <v>MEGANOTICIAS</v>
          </cell>
          <cell r="D75">
            <v>2.9</v>
          </cell>
          <cell r="E75">
            <v>83035</v>
          </cell>
          <cell r="F75">
            <v>3.9</v>
          </cell>
          <cell r="G75">
            <v>2.7</v>
          </cell>
          <cell r="H75">
            <v>3.1</v>
          </cell>
          <cell r="I75">
            <v>2.2999999999999998</v>
          </cell>
          <cell r="J75">
            <v>2.5</v>
          </cell>
          <cell r="M75" t="str">
            <v>21:00</v>
          </cell>
          <cell r="N75" t="str">
            <v>22:02</v>
          </cell>
          <cell r="O75">
            <v>0</v>
          </cell>
          <cell r="P75">
            <v>0</v>
          </cell>
          <cell r="Q75">
            <v>5</v>
          </cell>
        </row>
        <row r="76">
          <cell r="A76" t="str">
            <v>09</v>
          </cell>
          <cell r="B76" t="str">
            <v>NOTICIERO</v>
          </cell>
          <cell r="C76" t="str">
            <v>MEGANOTICIAS SINTESIS DOMINGO</v>
          </cell>
          <cell r="D76">
            <v>2.8</v>
          </cell>
          <cell r="E76">
            <v>79743</v>
          </cell>
          <cell r="L76">
            <v>2.8</v>
          </cell>
          <cell r="M76" t="str">
            <v>21:01</v>
          </cell>
          <cell r="N76" t="str">
            <v>21:55</v>
          </cell>
          <cell r="O76">
            <v>0</v>
          </cell>
          <cell r="P76">
            <v>0</v>
          </cell>
          <cell r="Q76">
            <v>1</v>
          </cell>
        </row>
        <row r="77">
          <cell r="A77" t="str">
            <v>09</v>
          </cell>
          <cell r="B77" t="str">
            <v>NOTICIERO</v>
          </cell>
          <cell r="C77" t="str">
            <v>CERO HORAS</v>
          </cell>
          <cell r="D77">
            <v>2.7</v>
          </cell>
          <cell r="E77">
            <v>77863</v>
          </cell>
          <cell r="F77">
            <v>2.2999999999999998</v>
          </cell>
          <cell r="G77">
            <v>2.7</v>
          </cell>
          <cell r="H77">
            <v>4.4000000000000004</v>
          </cell>
          <cell r="I77">
            <v>2.5</v>
          </cell>
          <cell r="J77">
            <v>1.6</v>
          </cell>
          <cell r="M77" t="str">
            <v>23:58</v>
          </cell>
          <cell r="N77" t="str">
            <v>00:52</v>
          </cell>
          <cell r="O77">
            <v>0</v>
          </cell>
          <cell r="P77">
            <v>0</v>
          </cell>
          <cell r="Q77">
            <v>5</v>
          </cell>
        </row>
        <row r="78">
          <cell r="A78" t="str">
            <v>09</v>
          </cell>
          <cell r="B78" t="str">
            <v>SERIE</v>
          </cell>
          <cell r="C78" t="str">
            <v>DAWSON CREEK</v>
          </cell>
          <cell r="D78">
            <v>2.6</v>
          </cell>
          <cell r="E78">
            <v>74100</v>
          </cell>
          <cell r="J78">
            <v>2.6</v>
          </cell>
          <cell r="M78" t="str">
            <v>23:50</v>
          </cell>
          <cell r="N78" t="str">
            <v>00:50</v>
          </cell>
          <cell r="O78">
            <v>0</v>
          </cell>
          <cell r="P78">
            <v>0</v>
          </cell>
          <cell r="Q78">
            <v>1</v>
          </cell>
        </row>
        <row r="79">
          <cell r="A79" t="str">
            <v>09</v>
          </cell>
          <cell r="B79" t="str">
            <v>SERIE</v>
          </cell>
          <cell r="C79" t="str">
            <v>L.A. HEAT</v>
          </cell>
          <cell r="D79">
            <v>2.5</v>
          </cell>
          <cell r="E79">
            <v>72625</v>
          </cell>
          <cell r="F79">
            <v>2.1</v>
          </cell>
          <cell r="G79">
            <v>2.5</v>
          </cell>
          <cell r="H79">
            <v>3.7</v>
          </cell>
          <cell r="I79">
            <v>2.6</v>
          </cell>
          <cell r="L79">
            <v>1.7</v>
          </cell>
          <cell r="M79" t="str">
            <v>23:40</v>
          </cell>
          <cell r="N79" t="str">
            <v>02:04</v>
          </cell>
          <cell r="O79">
            <v>0</v>
          </cell>
          <cell r="P79">
            <v>0</v>
          </cell>
          <cell r="Q79">
            <v>5</v>
          </cell>
        </row>
        <row r="80">
          <cell r="A80" t="str">
            <v>09</v>
          </cell>
          <cell r="B80" t="str">
            <v>D_ANIMADOS</v>
          </cell>
          <cell r="C80" t="str">
            <v>DRAGON BALL Z</v>
          </cell>
          <cell r="D80">
            <v>2.5</v>
          </cell>
          <cell r="E80">
            <v>71045</v>
          </cell>
          <cell r="F80">
            <v>2.9</v>
          </cell>
          <cell r="G80">
            <v>3.4</v>
          </cell>
          <cell r="H80">
            <v>2.4</v>
          </cell>
          <cell r="I80">
            <v>2.2000000000000002</v>
          </cell>
          <cell r="J80">
            <v>1.5</v>
          </cell>
          <cell r="M80" t="str">
            <v>18:40</v>
          </cell>
          <cell r="N80" t="str">
            <v>19:29</v>
          </cell>
          <cell r="O80">
            <v>0</v>
          </cell>
          <cell r="P80">
            <v>0</v>
          </cell>
          <cell r="Q80">
            <v>5</v>
          </cell>
        </row>
        <row r="81">
          <cell r="A81" t="str">
            <v>09</v>
          </cell>
          <cell r="B81" t="str">
            <v>FUTBOL</v>
          </cell>
          <cell r="C81" t="str">
            <v>ELIMINATORIA KOREA-JAPON 2002</v>
          </cell>
          <cell r="D81">
            <v>2.2000000000000002</v>
          </cell>
          <cell r="E81">
            <v>62637</v>
          </cell>
          <cell r="L81">
            <v>2.2000000000000002</v>
          </cell>
          <cell r="M81" t="str">
            <v>18:40</v>
          </cell>
          <cell r="N81" t="str">
            <v>21:00</v>
          </cell>
          <cell r="O81">
            <v>0</v>
          </cell>
          <cell r="P81">
            <v>0</v>
          </cell>
          <cell r="Q81">
            <v>1</v>
          </cell>
        </row>
        <row r="82">
          <cell r="A82" t="str">
            <v>09</v>
          </cell>
          <cell r="B82" t="str">
            <v>PELICULA</v>
          </cell>
          <cell r="C82" t="str">
            <v>LA SUPER PELICULA</v>
          </cell>
          <cell r="D82">
            <v>2.2000000000000002</v>
          </cell>
          <cell r="E82">
            <v>64243</v>
          </cell>
          <cell r="J82">
            <v>2.2000000000000002</v>
          </cell>
          <cell r="M82" t="str">
            <v>22:07</v>
          </cell>
          <cell r="N82" t="str">
            <v>23:49</v>
          </cell>
          <cell r="O82">
            <v>0</v>
          </cell>
          <cell r="P82">
            <v>0</v>
          </cell>
          <cell r="Q82">
            <v>1</v>
          </cell>
        </row>
        <row r="83">
          <cell r="A83" t="str">
            <v>09</v>
          </cell>
          <cell r="B83" t="str">
            <v>HUMOR</v>
          </cell>
          <cell r="C83" t="str">
            <v>CHILE TU DAY</v>
          </cell>
          <cell r="D83">
            <v>2.2000000000000002</v>
          </cell>
          <cell r="E83">
            <v>61876</v>
          </cell>
          <cell r="L83">
            <v>2.2000000000000002</v>
          </cell>
          <cell r="M83" t="str">
            <v>22:02</v>
          </cell>
          <cell r="N83" t="str">
            <v>01:13</v>
          </cell>
          <cell r="O83">
            <v>0</v>
          </cell>
          <cell r="P83">
            <v>0</v>
          </cell>
          <cell r="Q83">
            <v>1</v>
          </cell>
        </row>
        <row r="84">
          <cell r="A84" t="str">
            <v>09</v>
          </cell>
          <cell r="B84" t="str">
            <v>PELICULA</v>
          </cell>
          <cell r="C84" t="str">
            <v>CINE NOCTURNO</v>
          </cell>
          <cell r="D84">
            <v>1.9</v>
          </cell>
          <cell r="E84">
            <v>53977</v>
          </cell>
          <cell r="K84">
            <v>1.9</v>
          </cell>
          <cell r="M84" t="str">
            <v>01:25</v>
          </cell>
          <cell r="N84" t="str">
            <v>03:04</v>
          </cell>
          <cell r="O84">
            <v>0</v>
          </cell>
          <cell r="P84">
            <v>0</v>
          </cell>
          <cell r="Q84">
            <v>1</v>
          </cell>
        </row>
        <row r="85">
          <cell r="A85" t="str">
            <v>09</v>
          </cell>
          <cell r="B85" t="str">
            <v>TELENOVELA</v>
          </cell>
          <cell r="C85" t="str">
            <v>A TODO DAR</v>
          </cell>
          <cell r="D85">
            <v>1.8</v>
          </cell>
          <cell r="E85">
            <v>52752</v>
          </cell>
          <cell r="F85">
            <v>2.6</v>
          </cell>
          <cell r="G85">
            <v>1.8</v>
          </cell>
          <cell r="H85">
            <v>1.6</v>
          </cell>
          <cell r="I85">
            <v>1.8</v>
          </cell>
          <cell r="J85">
            <v>1.4</v>
          </cell>
          <cell r="M85" t="str">
            <v>19:41</v>
          </cell>
          <cell r="N85" t="str">
            <v>20:59</v>
          </cell>
          <cell r="O85">
            <v>0</v>
          </cell>
          <cell r="P85">
            <v>0</v>
          </cell>
          <cell r="Q85">
            <v>5</v>
          </cell>
        </row>
        <row r="86">
          <cell r="A86" t="str">
            <v>09</v>
          </cell>
          <cell r="B86" t="str">
            <v>SERIE</v>
          </cell>
          <cell r="C86" t="str">
            <v>LOS POWER RANGERS</v>
          </cell>
          <cell r="D86">
            <v>1.8</v>
          </cell>
          <cell r="E86">
            <v>52417</v>
          </cell>
          <cell r="F86">
            <v>1.4</v>
          </cell>
          <cell r="G86">
            <v>2.2000000000000002</v>
          </cell>
          <cell r="M86" t="str">
            <v>17:52</v>
          </cell>
          <cell r="N86" t="str">
            <v>18:20</v>
          </cell>
          <cell r="O86">
            <v>0</v>
          </cell>
          <cell r="P86">
            <v>0</v>
          </cell>
          <cell r="Q86">
            <v>2</v>
          </cell>
        </row>
        <row r="87">
          <cell r="A87" t="str">
            <v>09</v>
          </cell>
          <cell r="B87" t="str">
            <v>NOTICIERO</v>
          </cell>
          <cell r="C87" t="str">
            <v>MEGANOTICIAS SINTESIS SABADO</v>
          </cell>
          <cell r="D87">
            <v>1.7</v>
          </cell>
          <cell r="E87">
            <v>49488</v>
          </cell>
          <cell r="K87">
            <v>1.7</v>
          </cell>
          <cell r="M87" t="str">
            <v>20:58</v>
          </cell>
          <cell r="N87" t="str">
            <v>21:56</v>
          </cell>
          <cell r="O87">
            <v>0</v>
          </cell>
          <cell r="P87">
            <v>0</v>
          </cell>
          <cell r="Q87">
            <v>1</v>
          </cell>
        </row>
        <row r="88">
          <cell r="A88" t="str">
            <v>09</v>
          </cell>
          <cell r="B88" t="str">
            <v>SERIE</v>
          </cell>
          <cell r="C88" t="str">
            <v>PACIFIC BLUE</v>
          </cell>
          <cell r="D88">
            <v>1.7</v>
          </cell>
          <cell r="E88">
            <v>48098</v>
          </cell>
          <cell r="L88">
            <v>1.7</v>
          </cell>
          <cell r="M88" t="str">
            <v>17:43</v>
          </cell>
          <cell r="N88" t="str">
            <v>18:39</v>
          </cell>
          <cell r="O88">
            <v>0</v>
          </cell>
          <cell r="P88">
            <v>0</v>
          </cell>
          <cell r="Q88">
            <v>1</v>
          </cell>
        </row>
        <row r="89">
          <cell r="A89" t="str">
            <v>09</v>
          </cell>
          <cell r="B89" t="str">
            <v>PELICULA</v>
          </cell>
          <cell r="C89" t="str">
            <v>CANTINFLAS</v>
          </cell>
          <cell r="D89">
            <v>1.6</v>
          </cell>
          <cell r="E89">
            <v>46488</v>
          </cell>
          <cell r="K89">
            <v>1.6</v>
          </cell>
          <cell r="M89" t="str">
            <v>15:38</v>
          </cell>
          <cell r="N89" t="str">
            <v>17:14</v>
          </cell>
          <cell r="O89">
            <v>0</v>
          </cell>
          <cell r="P89">
            <v>0</v>
          </cell>
          <cell r="Q89">
            <v>1</v>
          </cell>
        </row>
        <row r="90">
          <cell r="A90" t="str">
            <v>09</v>
          </cell>
          <cell r="B90" t="str">
            <v>SERIE</v>
          </cell>
          <cell r="C90" t="str">
            <v>ROBOCOP</v>
          </cell>
          <cell r="D90">
            <v>1.6</v>
          </cell>
          <cell r="E90">
            <v>46228</v>
          </cell>
          <cell r="L90">
            <v>1.6</v>
          </cell>
          <cell r="M90" t="str">
            <v>16:52</v>
          </cell>
          <cell r="N90" t="str">
            <v>17:42</v>
          </cell>
          <cell r="O90">
            <v>0</v>
          </cell>
          <cell r="P90">
            <v>0</v>
          </cell>
          <cell r="Q90">
            <v>1</v>
          </cell>
        </row>
        <row r="91">
          <cell r="A91" t="str">
            <v>09</v>
          </cell>
          <cell r="B91" t="str">
            <v>JUVENIL</v>
          </cell>
          <cell r="C91" t="str">
            <v>MEKANO</v>
          </cell>
          <cell r="D91">
            <v>1.5</v>
          </cell>
          <cell r="E91">
            <v>43539</v>
          </cell>
          <cell r="K91">
            <v>1.4</v>
          </cell>
          <cell r="L91">
            <v>1.6</v>
          </cell>
          <cell r="M91" t="str">
            <v>13:59</v>
          </cell>
          <cell r="N91" t="str">
            <v>16:24</v>
          </cell>
          <cell r="O91">
            <v>0</v>
          </cell>
          <cell r="P91">
            <v>0</v>
          </cell>
          <cell r="Q91">
            <v>2</v>
          </cell>
        </row>
        <row r="92">
          <cell r="A92" t="str">
            <v>09</v>
          </cell>
          <cell r="B92" t="str">
            <v>SERIE</v>
          </cell>
          <cell r="C92" t="str">
            <v>ESCALOFRIOS</v>
          </cell>
          <cell r="D92">
            <v>1.4</v>
          </cell>
          <cell r="E92">
            <v>40529</v>
          </cell>
          <cell r="F92">
            <v>1.9</v>
          </cell>
          <cell r="G92">
            <v>1.2</v>
          </cell>
          <cell r="H92">
            <v>1.6</v>
          </cell>
          <cell r="I92">
            <v>1.4</v>
          </cell>
          <cell r="J92">
            <v>1</v>
          </cell>
          <cell r="M92" t="str">
            <v>18:05</v>
          </cell>
          <cell r="N92" t="str">
            <v>18:56</v>
          </cell>
          <cell r="O92">
            <v>0</v>
          </cell>
          <cell r="P92">
            <v>0</v>
          </cell>
          <cell r="Q92">
            <v>5</v>
          </cell>
        </row>
        <row r="93">
          <cell r="A93" t="str">
            <v>09</v>
          </cell>
          <cell r="B93" t="str">
            <v>D_ANIMADOS</v>
          </cell>
          <cell r="C93" t="str">
            <v>DRAGON BALL</v>
          </cell>
          <cell r="D93">
            <v>1.4</v>
          </cell>
          <cell r="E93">
            <v>40497</v>
          </cell>
          <cell r="F93">
            <v>1.5</v>
          </cell>
          <cell r="G93">
            <v>1.4</v>
          </cell>
          <cell r="M93" t="str">
            <v>12:09</v>
          </cell>
          <cell r="N93" t="str">
            <v>12:38</v>
          </cell>
          <cell r="O93">
            <v>0</v>
          </cell>
          <cell r="P93">
            <v>0</v>
          </cell>
          <cell r="Q93">
            <v>2</v>
          </cell>
        </row>
        <row r="94">
          <cell r="A94" t="str">
            <v>09</v>
          </cell>
          <cell r="B94" t="str">
            <v>D_ANIMADOS</v>
          </cell>
          <cell r="C94" t="str">
            <v>NICKELODEON</v>
          </cell>
          <cell r="D94">
            <v>1.4</v>
          </cell>
          <cell r="E94">
            <v>39550</v>
          </cell>
          <cell r="H94">
            <v>2.5</v>
          </cell>
          <cell r="I94">
            <v>1.1000000000000001</v>
          </cell>
          <cell r="J94">
            <v>0.6</v>
          </cell>
          <cell r="M94" t="str">
            <v>12:13</v>
          </cell>
          <cell r="N94" t="str">
            <v>12:39</v>
          </cell>
          <cell r="O94">
            <v>0</v>
          </cell>
          <cell r="P94">
            <v>0</v>
          </cell>
          <cell r="Q94">
            <v>3</v>
          </cell>
        </row>
        <row r="95">
          <cell r="A95" t="str">
            <v>09</v>
          </cell>
          <cell r="B95" t="str">
            <v>INFORMATIVO</v>
          </cell>
          <cell r="C95" t="str">
            <v>RED NACIONAL</v>
          </cell>
          <cell r="D95">
            <v>1.4</v>
          </cell>
          <cell r="E95">
            <v>39383</v>
          </cell>
          <cell r="H95">
            <v>1.4</v>
          </cell>
          <cell r="M95" t="str">
            <v>21:00</v>
          </cell>
          <cell r="N95" t="str">
            <v>21:09</v>
          </cell>
          <cell r="O95">
            <v>0</v>
          </cell>
          <cell r="P95">
            <v>0</v>
          </cell>
          <cell r="Q95">
            <v>1</v>
          </cell>
        </row>
        <row r="96">
          <cell r="A96" t="str">
            <v>09</v>
          </cell>
          <cell r="B96" t="str">
            <v>INFANTIL</v>
          </cell>
          <cell r="C96" t="str">
            <v>ZOOLO TV</v>
          </cell>
          <cell r="D96">
            <v>1.4</v>
          </cell>
          <cell r="E96">
            <v>39191</v>
          </cell>
          <cell r="F96">
            <v>1.4</v>
          </cell>
          <cell r="G96">
            <v>1.6</v>
          </cell>
          <cell r="H96">
            <v>1.9</v>
          </cell>
          <cell r="I96">
            <v>1.6</v>
          </cell>
          <cell r="J96">
            <v>1.3</v>
          </cell>
          <cell r="K96">
            <v>0.4</v>
          </cell>
          <cell r="M96" t="str">
            <v>10:05</v>
          </cell>
          <cell r="N96" t="str">
            <v>19:17</v>
          </cell>
          <cell r="O96">
            <v>0</v>
          </cell>
          <cell r="P96">
            <v>0</v>
          </cell>
          <cell r="Q96">
            <v>23</v>
          </cell>
        </row>
        <row r="97">
          <cell r="A97" t="str">
            <v>09</v>
          </cell>
          <cell r="B97" t="str">
            <v>SERIE</v>
          </cell>
          <cell r="C97" t="str">
            <v>MAGNUM</v>
          </cell>
          <cell r="D97">
            <v>1.2</v>
          </cell>
          <cell r="E97">
            <v>33249</v>
          </cell>
          <cell r="J97">
            <v>1.9</v>
          </cell>
          <cell r="K97">
            <v>0.4</v>
          </cell>
          <cell r="M97" t="str">
            <v>18:13</v>
          </cell>
          <cell r="N97" t="str">
            <v>01:42</v>
          </cell>
          <cell r="O97">
            <v>0</v>
          </cell>
          <cell r="P97">
            <v>0</v>
          </cell>
          <cell r="Q97">
            <v>2</v>
          </cell>
        </row>
        <row r="98">
          <cell r="A98" t="str">
            <v>09</v>
          </cell>
          <cell r="B98" t="str">
            <v>D_ANIMADOS</v>
          </cell>
          <cell r="C98" t="str">
            <v>MONSTER RANCHER</v>
          </cell>
          <cell r="D98">
            <v>1.1000000000000001</v>
          </cell>
          <cell r="E98">
            <v>30826</v>
          </cell>
          <cell r="H98">
            <v>1.4</v>
          </cell>
          <cell r="I98">
            <v>1.1000000000000001</v>
          </cell>
          <cell r="J98">
            <v>0.7</v>
          </cell>
          <cell r="M98" t="str">
            <v>17:33</v>
          </cell>
          <cell r="N98" t="str">
            <v>18:05</v>
          </cell>
          <cell r="O98">
            <v>0</v>
          </cell>
          <cell r="P98">
            <v>0</v>
          </cell>
          <cell r="Q98">
            <v>3</v>
          </cell>
        </row>
        <row r="99">
          <cell r="A99" t="str">
            <v>09</v>
          </cell>
          <cell r="B99" t="str">
            <v>SERIE</v>
          </cell>
          <cell r="C99" t="str">
            <v>LOS MAGNIFICOS</v>
          </cell>
          <cell r="D99">
            <v>1.1000000000000001</v>
          </cell>
          <cell r="E99">
            <v>30274</v>
          </cell>
          <cell r="K99">
            <v>1.1000000000000001</v>
          </cell>
          <cell r="M99" t="str">
            <v>20:03</v>
          </cell>
          <cell r="N99" t="str">
            <v>20:57</v>
          </cell>
          <cell r="O99">
            <v>0</v>
          </cell>
          <cell r="P99">
            <v>0</v>
          </cell>
          <cell r="Q99">
            <v>1</v>
          </cell>
        </row>
        <row r="100">
          <cell r="A100" t="str">
            <v>09</v>
          </cell>
          <cell r="B100" t="str">
            <v>EV_DEPORTIVO</v>
          </cell>
          <cell r="C100" t="str">
            <v>FORMULA UNO</v>
          </cell>
          <cell r="D100">
            <v>1.1000000000000001</v>
          </cell>
          <cell r="E100">
            <v>30786</v>
          </cell>
          <cell r="L100">
            <v>1.1000000000000001</v>
          </cell>
          <cell r="M100" t="str">
            <v>09:24</v>
          </cell>
          <cell r="N100" t="str">
            <v>11:08</v>
          </cell>
          <cell r="O100">
            <v>0</v>
          </cell>
          <cell r="P100">
            <v>0</v>
          </cell>
          <cell r="Q100">
            <v>1</v>
          </cell>
        </row>
        <row r="101">
          <cell r="A101" t="str">
            <v>09</v>
          </cell>
          <cell r="B101" t="str">
            <v>D_ANIMADOS</v>
          </cell>
          <cell r="C101" t="str">
            <v>ARNOLD</v>
          </cell>
          <cell r="D101">
            <v>1.1000000000000001</v>
          </cell>
          <cell r="E101">
            <v>30980</v>
          </cell>
          <cell r="F101">
            <v>1.2</v>
          </cell>
          <cell r="G101">
            <v>1.8</v>
          </cell>
          <cell r="H101">
            <v>1.2</v>
          </cell>
          <cell r="I101">
            <v>0.7</v>
          </cell>
          <cell r="J101">
            <v>0.5</v>
          </cell>
          <cell r="M101" t="str">
            <v>11:45</v>
          </cell>
          <cell r="N101" t="str">
            <v>17:53</v>
          </cell>
          <cell r="O101">
            <v>0</v>
          </cell>
          <cell r="P101">
            <v>0</v>
          </cell>
          <cell r="Q101">
            <v>5</v>
          </cell>
        </row>
        <row r="102">
          <cell r="A102" t="str">
            <v>09</v>
          </cell>
          <cell r="B102" t="str">
            <v>MUSICAL</v>
          </cell>
          <cell r="C102" t="str">
            <v>PEPSI CHART</v>
          </cell>
          <cell r="D102">
            <v>1.1000000000000001</v>
          </cell>
          <cell r="E102">
            <v>32961</v>
          </cell>
          <cell r="K102">
            <v>1.1000000000000001</v>
          </cell>
          <cell r="M102" t="str">
            <v>00:56</v>
          </cell>
          <cell r="N102" t="str">
            <v>01:24</v>
          </cell>
          <cell r="O102">
            <v>0</v>
          </cell>
          <cell r="P102">
            <v>0</v>
          </cell>
          <cell r="Q102">
            <v>1</v>
          </cell>
        </row>
        <row r="103">
          <cell r="A103" t="str">
            <v>09</v>
          </cell>
          <cell r="B103" t="str">
            <v>SERIE</v>
          </cell>
          <cell r="C103" t="str">
            <v>TARZAN</v>
          </cell>
          <cell r="D103">
            <v>1</v>
          </cell>
          <cell r="E103">
            <v>29461</v>
          </cell>
          <cell r="L103">
            <v>1</v>
          </cell>
          <cell r="M103" t="str">
            <v>16:25</v>
          </cell>
          <cell r="N103" t="str">
            <v>16:51</v>
          </cell>
          <cell r="O103">
            <v>0</v>
          </cell>
          <cell r="P103">
            <v>0</v>
          </cell>
          <cell r="Q103">
            <v>1</v>
          </cell>
        </row>
        <row r="104">
          <cell r="A104" t="str">
            <v>09</v>
          </cell>
          <cell r="B104" t="str">
            <v>SERIE</v>
          </cell>
          <cell r="C104" t="str">
            <v>LOBO DEL AIRE</v>
          </cell>
          <cell r="D104">
            <v>1</v>
          </cell>
          <cell r="E104">
            <v>27711</v>
          </cell>
          <cell r="K104">
            <v>1</v>
          </cell>
          <cell r="M104" t="str">
            <v>17:15</v>
          </cell>
          <cell r="N104" t="str">
            <v>18:12</v>
          </cell>
          <cell r="O104">
            <v>0</v>
          </cell>
          <cell r="P104">
            <v>0</v>
          </cell>
          <cell r="Q104">
            <v>1</v>
          </cell>
        </row>
        <row r="105">
          <cell r="A105" t="str">
            <v>09</v>
          </cell>
          <cell r="B105" t="str">
            <v>SERIE</v>
          </cell>
          <cell r="C105" t="str">
            <v>MIAMI VICE</v>
          </cell>
          <cell r="D105">
            <v>0.8</v>
          </cell>
          <cell r="E105">
            <v>24023</v>
          </cell>
          <cell r="K105">
            <v>0.8</v>
          </cell>
          <cell r="M105" t="str">
            <v>19:09</v>
          </cell>
          <cell r="N105" t="str">
            <v>20:02</v>
          </cell>
          <cell r="O105">
            <v>0</v>
          </cell>
          <cell r="P105">
            <v>0</v>
          </cell>
          <cell r="Q105">
            <v>1</v>
          </cell>
        </row>
        <row r="106">
          <cell r="A106" t="str">
            <v>09</v>
          </cell>
          <cell r="B106" t="str">
            <v>D_ANIMADOS</v>
          </cell>
          <cell r="C106" t="str">
            <v>LOS PICAPIEDRAS</v>
          </cell>
          <cell r="D106">
            <v>0.7</v>
          </cell>
          <cell r="E106">
            <v>21413</v>
          </cell>
          <cell r="F106">
            <v>0.8</v>
          </cell>
          <cell r="G106">
            <v>0.5</v>
          </cell>
          <cell r="H106">
            <v>1</v>
          </cell>
          <cell r="I106">
            <v>0.8</v>
          </cell>
          <cell r="J106">
            <v>0.3</v>
          </cell>
          <cell r="K106">
            <v>0.9</v>
          </cell>
          <cell r="L106">
            <v>0.9</v>
          </cell>
          <cell r="M106" t="str">
            <v>10:48</v>
          </cell>
          <cell r="N106" t="str">
            <v>12:30</v>
          </cell>
          <cell r="O106">
            <v>0</v>
          </cell>
          <cell r="P106">
            <v>0</v>
          </cell>
          <cell r="Q106">
            <v>7</v>
          </cell>
        </row>
        <row r="107">
          <cell r="A107" t="str">
            <v>09</v>
          </cell>
          <cell r="B107" t="str">
            <v>D_ANIMADOS</v>
          </cell>
          <cell r="C107" t="str">
            <v>DR. SLUMP</v>
          </cell>
          <cell r="D107">
            <v>0.7</v>
          </cell>
          <cell r="E107">
            <v>20682</v>
          </cell>
          <cell r="F107">
            <v>1.1000000000000001</v>
          </cell>
          <cell r="G107">
            <v>1.1000000000000001</v>
          </cell>
          <cell r="H107">
            <v>0.9</v>
          </cell>
          <cell r="I107">
            <v>0.6</v>
          </cell>
          <cell r="J107">
            <v>0.3</v>
          </cell>
          <cell r="K107">
            <v>0.4</v>
          </cell>
          <cell r="M107" t="str">
            <v>11:15</v>
          </cell>
          <cell r="N107" t="str">
            <v>12:24</v>
          </cell>
          <cell r="O107">
            <v>0</v>
          </cell>
          <cell r="P107">
            <v>0</v>
          </cell>
          <cell r="Q107">
            <v>6</v>
          </cell>
        </row>
        <row r="108">
          <cell r="A108" t="str">
            <v>09</v>
          </cell>
          <cell r="B108" t="str">
            <v>DEPORTIVO</v>
          </cell>
          <cell r="C108" t="str">
            <v>4X4 AVENTURA</v>
          </cell>
          <cell r="D108">
            <v>0.6</v>
          </cell>
          <cell r="E108">
            <v>17622</v>
          </cell>
          <cell r="L108">
            <v>0.6</v>
          </cell>
          <cell r="M108" t="str">
            <v>13:47</v>
          </cell>
          <cell r="N108" t="str">
            <v>14:14</v>
          </cell>
          <cell r="O108">
            <v>0</v>
          </cell>
          <cell r="P108">
            <v>0</v>
          </cell>
          <cell r="Q108">
            <v>1</v>
          </cell>
        </row>
        <row r="109">
          <cell r="A109" t="str">
            <v>09</v>
          </cell>
          <cell r="B109" t="str">
            <v>D_ANIMADOS</v>
          </cell>
          <cell r="C109" t="str">
            <v>DRAGON BALL Z (RESUMEN)</v>
          </cell>
          <cell r="D109">
            <v>0.6</v>
          </cell>
          <cell r="E109">
            <v>16906</v>
          </cell>
          <cell r="K109">
            <v>0.7</v>
          </cell>
          <cell r="L109">
            <v>0.5</v>
          </cell>
          <cell r="M109" t="str">
            <v>12:46</v>
          </cell>
          <cell r="N109" t="str">
            <v>13:46</v>
          </cell>
          <cell r="O109">
            <v>0</v>
          </cell>
          <cell r="P109">
            <v>0</v>
          </cell>
          <cell r="Q109">
            <v>2</v>
          </cell>
        </row>
        <row r="110">
          <cell r="A110" t="str">
            <v>09</v>
          </cell>
          <cell r="B110" t="str">
            <v>D_ANIMADOS</v>
          </cell>
          <cell r="C110" t="str">
            <v>CAT DOG</v>
          </cell>
          <cell r="D110">
            <v>0.5</v>
          </cell>
          <cell r="E110">
            <v>14841</v>
          </cell>
          <cell r="L110">
            <v>0.5</v>
          </cell>
          <cell r="M110" t="str">
            <v>12:31</v>
          </cell>
          <cell r="N110" t="str">
            <v>12:59</v>
          </cell>
          <cell r="O110">
            <v>0</v>
          </cell>
          <cell r="P110">
            <v>0</v>
          </cell>
          <cell r="Q110">
            <v>1</v>
          </cell>
        </row>
        <row r="111">
          <cell r="A111" t="str">
            <v>09</v>
          </cell>
          <cell r="B111" t="str">
            <v>D_ANIMADOS</v>
          </cell>
          <cell r="C111" t="str">
            <v>LOS PEQUENOS PICAPIEDRAS</v>
          </cell>
          <cell r="D111">
            <v>0.5</v>
          </cell>
          <cell r="E111">
            <v>14795</v>
          </cell>
          <cell r="K111">
            <v>0.5</v>
          </cell>
          <cell r="L111">
            <v>0.5</v>
          </cell>
          <cell r="M111" t="str">
            <v>10:14</v>
          </cell>
          <cell r="N111" t="str">
            <v>11:36</v>
          </cell>
          <cell r="O111">
            <v>0</v>
          </cell>
          <cell r="P111">
            <v>0</v>
          </cell>
          <cell r="Q111">
            <v>2</v>
          </cell>
        </row>
        <row r="112">
          <cell r="A112" t="str">
            <v>09</v>
          </cell>
          <cell r="B112" t="str">
            <v>D_ANIMADOS</v>
          </cell>
          <cell r="C112" t="str">
            <v>MAX STEEL</v>
          </cell>
          <cell r="D112">
            <v>0.5</v>
          </cell>
          <cell r="E112">
            <v>13296</v>
          </cell>
          <cell r="K112">
            <v>0.5</v>
          </cell>
          <cell r="M112" t="str">
            <v>13:33</v>
          </cell>
          <cell r="N112" t="str">
            <v>13:58</v>
          </cell>
          <cell r="O112">
            <v>0</v>
          </cell>
          <cell r="P112">
            <v>0</v>
          </cell>
          <cell r="Q112">
            <v>1</v>
          </cell>
        </row>
        <row r="113">
          <cell r="A113" t="str">
            <v>09</v>
          </cell>
          <cell r="B113" t="str">
            <v>D_ANIMADOS</v>
          </cell>
          <cell r="C113" t="str">
            <v>TICK,LA GARRAPATA</v>
          </cell>
          <cell r="D113">
            <v>0.4</v>
          </cell>
          <cell r="E113">
            <v>11437</v>
          </cell>
          <cell r="L113">
            <v>0.4</v>
          </cell>
          <cell r="M113" t="str">
            <v>11:37</v>
          </cell>
          <cell r="N113" t="str">
            <v>12:02</v>
          </cell>
          <cell r="O113">
            <v>0</v>
          </cell>
          <cell r="P113">
            <v>0</v>
          </cell>
          <cell r="Q113">
            <v>1</v>
          </cell>
        </row>
        <row r="114">
          <cell r="A114" t="str">
            <v>09</v>
          </cell>
          <cell r="B114" t="str">
            <v>INFORMATIVO</v>
          </cell>
          <cell r="C114" t="str">
            <v>INFOMERCIALES</v>
          </cell>
          <cell r="D114">
            <v>0.4</v>
          </cell>
          <cell r="E114">
            <v>11509</v>
          </cell>
          <cell r="F114">
            <v>0.4</v>
          </cell>
          <cell r="G114">
            <v>0.2</v>
          </cell>
          <cell r="H114">
            <v>0.5</v>
          </cell>
          <cell r="I114">
            <v>0.7</v>
          </cell>
          <cell r="J114">
            <v>0.2</v>
          </cell>
          <cell r="K114">
            <v>0.4</v>
          </cell>
          <cell r="L114">
            <v>0.3</v>
          </cell>
          <cell r="M114" t="str">
            <v>07:55</v>
          </cell>
          <cell r="N114" t="str">
            <v>04:05</v>
          </cell>
          <cell r="O114">
            <v>0</v>
          </cell>
          <cell r="P114">
            <v>0</v>
          </cell>
          <cell r="Q114">
            <v>14</v>
          </cell>
        </row>
        <row r="115">
          <cell r="A115" t="str">
            <v>09</v>
          </cell>
          <cell r="B115" t="str">
            <v>INFANTIL</v>
          </cell>
          <cell r="C115" t="str">
            <v>PLAZA SESAMO</v>
          </cell>
          <cell r="D115">
            <v>0.4</v>
          </cell>
          <cell r="E115">
            <v>10071</v>
          </cell>
          <cell r="F115">
            <v>0.4</v>
          </cell>
          <cell r="G115">
            <v>0.1</v>
          </cell>
          <cell r="H115">
            <v>0.5</v>
          </cell>
          <cell r="I115">
            <v>0.4</v>
          </cell>
          <cell r="J115">
            <v>0.3</v>
          </cell>
          <cell r="M115" t="str">
            <v>10:18</v>
          </cell>
          <cell r="N115" t="str">
            <v>11:12</v>
          </cell>
          <cell r="O115">
            <v>0</v>
          </cell>
          <cell r="P115">
            <v>0</v>
          </cell>
          <cell r="Q115">
            <v>5</v>
          </cell>
        </row>
        <row r="116">
          <cell r="A116" t="str">
            <v>09</v>
          </cell>
          <cell r="B116" t="str">
            <v>D_ANIMADOS</v>
          </cell>
          <cell r="C116" t="str">
            <v>LOS CAZAFANTASMAS</v>
          </cell>
          <cell r="D116">
            <v>0.3</v>
          </cell>
          <cell r="E116">
            <v>8459</v>
          </cell>
          <cell r="F116">
            <v>0.4</v>
          </cell>
          <cell r="G116">
            <v>0</v>
          </cell>
          <cell r="H116">
            <v>0.6</v>
          </cell>
          <cell r="I116">
            <v>0</v>
          </cell>
          <cell r="J116">
            <v>0.5</v>
          </cell>
          <cell r="M116" t="str">
            <v>09:51</v>
          </cell>
          <cell r="N116" t="str">
            <v>10:44</v>
          </cell>
          <cell r="O116">
            <v>0</v>
          </cell>
          <cell r="P116">
            <v>0</v>
          </cell>
          <cell r="Q116">
            <v>5</v>
          </cell>
        </row>
        <row r="117">
          <cell r="A117" t="str">
            <v>11</v>
          </cell>
          <cell r="B117" t="str">
            <v>PELICULA</v>
          </cell>
          <cell r="C117" t="str">
            <v>PREMIUM</v>
          </cell>
          <cell r="D117">
            <v>9.9</v>
          </cell>
          <cell r="E117">
            <v>284141</v>
          </cell>
          <cell r="G117">
            <v>9.9</v>
          </cell>
          <cell r="M117" t="str">
            <v>23:11</v>
          </cell>
          <cell r="N117" t="str">
            <v>00:56</v>
          </cell>
          <cell r="O117">
            <v>0</v>
          </cell>
          <cell r="P117">
            <v>0</v>
          </cell>
          <cell r="Q117">
            <v>1</v>
          </cell>
        </row>
        <row r="118">
          <cell r="A118" t="str">
            <v>11</v>
          </cell>
          <cell r="B118" t="str">
            <v>CONVERSACION</v>
          </cell>
          <cell r="C118" t="str">
            <v>CALOR HUMANO</v>
          </cell>
          <cell r="D118">
            <v>4.5999999999999996</v>
          </cell>
          <cell r="E118">
            <v>133479</v>
          </cell>
          <cell r="H118">
            <v>4.5999999999999996</v>
          </cell>
          <cell r="M118" t="str">
            <v>22:06</v>
          </cell>
          <cell r="N118" t="str">
            <v>00:29</v>
          </cell>
          <cell r="O118">
            <v>0</v>
          </cell>
          <cell r="P118">
            <v>0</v>
          </cell>
          <cell r="Q118">
            <v>1</v>
          </cell>
        </row>
        <row r="119">
          <cell r="A119" t="str">
            <v>11</v>
          </cell>
          <cell r="B119" t="str">
            <v>PELICULA</v>
          </cell>
          <cell r="C119" t="str">
            <v>GRAN PREMIER</v>
          </cell>
          <cell r="D119">
            <v>3.5</v>
          </cell>
          <cell r="E119">
            <v>101431</v>
          </cell>
          <cell r="I119">
            <v>3.5</v>
          </cell>
          <cell r="M119" t="str">
            <v>22:06</v>
          </cell>
          <cell r="N119" t="str">
            <v>00:12</v>
          </cell>
          <cell r="O119">
            <v>0</v>
          </cell>
          <cell r="P119">
            <v>0</v>
          </cell>
          <cell r="Q119">
            <v>1</v>
          </cell>
        </row>
        <row r="120">
          <cell r="A120" t="str">
            <v>11</v>
          </cell>
          <cell r="B120" t="str">
            <v>PELICULA</v>
          </cell>
          <cell r="C120" t="str">
            <v>DOMINGO DE PELICULA</v>
          </cell>
          <cell r="D120">
            <v>3.3</v>
          </cell>
          <cell r="E120">
            <v>94167</v>
          </cell>
          <cell r="L120">
            <v>3.3</v>
          </cell>
          <cell r="M120" t="str">
            <v>22:07</v>
          </cell>
          <cell r="N120" t="str">
            <v>00:06</v>
          </cell>
          <cell r="O120">
            <v>0</v>
          </cell>
          <cell r="P120">
            <v>0</v>
          </cell>
          <cell r="Q120">
            <v>1</v>
          </cell>
        </row>
        <row r="121">
          <cell r="A121" t="str">
            <v>11</v>
          </cell>
          <cell r="B121" t="str">
            <v>PELICULA</v>
          </cell>
          <cell r="C121" t="str">
            <v>CINE AVENTURA</v>
          </cell>
          <cell r="D121">
            <v>3</v>
          </cell>
          <cell r="E121">
            <v>86141</v>
          </cell>
          <cell r="K121">
            <v>3</v>
          </cell>
          <cell r="M121" t="str">
            <v>15:09</v>
          </cell>
          <cell r="N121" t="str">
            <v>17:27</v>
          </cell>
          <cell r="O121">
            <v>0</v>
          </cell>
          <cell r="P121">
            <v>0</v>
          </cell>
          <cell r="Q121">
            <v>1</v>
          </cell>
        </row>
        <row r="122">
          <cell r="A122" t="str">
            <v>11</v>
          </cell>
          <cell r="B122" t="str">
            <v>PELICULA</v>
          </cell>
          <cell r="C122" t="str">
            <v>CINE COMO EN EL CINE</v>
          </cell>
          <cell r="D122">
            <v>2.9</v>
          </cell>
          <cell r="E122">
            <v>83336</v>
          </cell>
          <cell r="L122">
            <v>2.9</v>
          </cell>
          <cell r="M122" t="str">
            <v>19:06</v>
          </cell>
          <cell r="N122" t="str">
            <v>20:59</v>
          </cell>
          <cell r="O122">
            <v>0</v>
          </cell>
          <cell r="P122">
            <v>0</v>
          </cell>
          <cell r="Q122">
            <v>1</v>
          </cell>
        </row>
        <row r="123">
          <cell r="A123" t="str">
            <v>11</v>
          </cell>
          <cell r="B123" t="str">
            <v>JUVENIL</v>
          </cell>
          <cell r="C123" t="str">
            <v>LUNATICOS</v>
          </cell>
          <cell r="D123">
            <v>2.9</v>
          </cell>
          <cell r="E123">
            <v>81980</v>
          </cell>
          <cell r="K123">
            <v>2.9</v>
          </cell>
          <cell r="M123" t="str">
            <v>00:57</v>
          </cell>
          <cell r="N123" t="str">
            <v>03:02</v>
          </cell>
          <cell r="O123">
            <v>0</v>
          </cell>
          <cell r="P123">
            <v>0</v>
          </cell>
          <cell r="Q123">
            <v>1</v>
          </cell>
        </row>
        <row r="124">
          <cell r="A124" t="str">
            <v>11</v>
          </cell>
          <cell r="B124" t="str">
            <v>HUMOR</v>
          </cell>
          <cell r="C124" t="str">
            <v>TV CONDORO NIGHTS</v>
          </cell>
          <cell r="D124">
            <v>2.7</v>
          </cell>
          <cell r="E124">
            <v>78522</v>
          </cell>
          <cell r="F124">
            <v>2.7</v>
          </cell>
          <cell r="M124" t="str">
            <v>23:27</v>
          </cell>
          <cell r="N124" t="str">
            <v>00:26</v>
          </cell>
          <cell r="O124">
            <v>0</v>
          </cell>
          <cell r="P124">
            <v>0</v>
          </cell>
          <cell r="Q124">
            <v>1</v>
          </cell>
        </row>
        <row r="125">
          <cell r="A125" t="str">
            <v>11</v>
          </cell>
          <cell r="B125" t="str">
            <v>DEPORTIVO</v>
          </cell>
          <cell r="C125" t="str">
            <v>FUERA DE JUEGO</v>
          </cell>
          <cell r="D125">
            <v>2.7</v>
          </cell>
          <cell r="E125">
            <v>77063</v>
          </cell>
          <cell r="F125">
            <v>2.7</v>
          </cell>
          <cell r="M125" t="str">
            <v>22:07</v>
          </cell>
          <cell r="N125" t="str">
            <v>23:26</v>
          </cell>
          <cell r="O125">
            <v>0</v>
          </cell>
          <cell r="P125">
            <v>0</v>
          </cell>
          <cell r="Q125">
            <v>1</v>
          </cell>
        </row>
        <row r="126">
          <cell r="A126" t="str">
            <v>11</v>
          </cell>
          <cell r="B126" t="str">
            <v>NOTICIERO</v>
          </cell>
          <cell r="C126" t="str">
            <v>CHV NOTICIAS CENTRAL</v>
          </cell>
          <cell r="D126">
            <v>2.6</v>
          </cell>
          <cell r="E126">
            <v>74890</v>
          </cell>
          <cell r="F126">
            <v>3.2</v>
          </cell>
          <cell r="G126">
            <v>3.2</v>
          </cell>
          <cell r="H126">
            <v>2.2999999999999998</v>
          </cell>
          <cell r="I126">
            <v>1.5</v>
          </cell>
          <cell r="J126">
            <v>1.5</v>
          </cell>
          <cell r="K126">
            <v>3.2</v>
          </cell>
          <cell r="L126">
            <v>3.4</v>
          </cell>
          <cell r="M126" t="str">
            <v>20:59</v>
          </cell>
          <cell r="N126" t="str">
            <v>22:05</v>
          </cell>
          <cell r="O126">
            <v>0</v>
          </cell>
          <cell r="P126">
            <v>0</v>
          </cell>
          <cell r="Q126">
            <v>7</v>
          </cell>
        </row>
        <row r="127">
          <cell r="A127" t="str">
            <v>11</v>
          </cell>
          <cell r="B127" t="str">
            <v>NOTICIERO</v>
          </cell>
          <cell r="C127" t="str">
            <v>CHV NOTICIAS NOCHE</v>
          </cell>
          <cell r="D127">
            <v>2.5</v>
          </cell>
          <cell r="E127">
            <v>71705</v>
          </cell>
          <cell r="F127">
            <v>1.2</v>
          </cell>
          <cell r="G127">
            <v>4.4000000000000004</v>
          </cell>
          <cell r="H127">
            <v>2.4</v>
          </cell>
          <cell r="I127">
            <v>3.2</v>
          </cell>
          <cell r="J127">
            <v>1.7</v>
          </cell>
          <cell r="K127">
            <v>2.6</v>
          </cell>
          <cell r="L127">
            <v>2</v>
          </cell>
          <cell r="M127" t="str">
            <v>00:07</v>
          </cell>
          <cell r="N127" t="str">
            <v>01:30</v>
          </cell>
          <cell r="O127">
            <v>0</v>
          </cell>
          <cell r="P127">
            <v>0</v>
          </cell>
          <cell r="Q127">
            <v>7</v>
          </cell>
        </row>
        <row r="128">
          <cell r="A128" t="str">
            <v>11</v>
          </cell>
          <cell r="B128" t="str">
            <v>INFORMATIVO</v>
          </cell>
          <cell r="C128" t="str">
            <v>EL TIEMPO EN CHV (C)</v>
          </cell>
          <cell r="D128">
            <v>2.2999999999999998</v>
          </cell>
          <cell r="E128">
            <v>65207</v>
          </cell>
          <cell r="F128">
            <v>1.7</v>
          </cell>
          <cell r="G128">
            <v>2.8</v>
          </cell>
          <cell r="H128">
            <v>1.5</v>
          </cell>
          <cell r="I128">
            <v>1.2</v>
          </cell>
          <cell r="J128">
            <v>2.2000000000000002</v>
          </cell>
          <cell r="K128">
            <v>4.2</v>
          </cell>
          <cell r="L128">
            <v>2.4</v>
          </cell>
          <cell r="M128" t="str">
            <v>22:02</v>
          </cell>
          <cell r="N128" t="str">
            <v>22:08</v>
          </cell>
          <cell r="O128">
            <v>0</v>
          </cell>
          <cell r="P128">
            <v>0</v>
          </cell>
          <cell r="Q128">
            <v>7</v>
          </cell>
        </row>
        <row r="129">
          <cell r="A129" t="str">
            <v>11</v>
          </cell>
          <cell r="B129" t="str">
            <v>MISCELANEO</v>
          </cell>
          <cell r="C129" t="str">
            <v>DR. SPOT</v>
          </cell>
          <cell r="D129">
            <v>2.2000000000000002</v>
          </cell>
          <cell r="E129">
            <v>62564</v>
          </cell>
          <cell r="G129">
            <v>2.2000000000000002</v>
          </cell>
          <cell r="M129" t="str">
            <v>22:07</v>
          </cell>
          <cell r="N129" t="str">
            <v>23:10</v>
          </cell>
          <cell r="O129">
            <v>0</v>
          </cell>
          <cell r="P129">
            <v>0</v>
          </cell>
          <cell r="Q129">
            <v>1</v>
          </cell>
        </row>
        <row r="130">
          <cell r="A130" t="str">
            <v>11</v>
          </cell>
          <cell r="B130" t="str">
            <v>CONVERSACION</v>
          </cell>
          <cell r="C130" t="str">
            <v>AMIGAS Y AMIGOS</v>
          </cell>
          <cell r="D130">
            <v>1.9</v>
          </cell>
          <cell r="E130">
            <v>54857</v>
          </cell>
          <cell r="K130">
            <v>1.9</v>
          </cell>
          <cell r="M130" t="str">
            <v>22:05</v>
          </cell>
          <cell r="N130" t="str">
            <v>00:21</v>
          </cell>
          <cell r="O130">
            <v>0</v>
          </cell>
          <cell r="P130">
            <v>0</v>
          </cell>
          <cell r="Q130">
            <v>1</v>
          </cell>
        </row>
        <row r="131">
          <cell r="A131" t="str">
            <v>11</v>
          </cell>
          <cell r="B131" t="str">
            <v>CONVERSACION</v>
          </cell>
          <cell r="C131" t="str">
            <v>TOLERANCIA CERO</v>
          </cell>
          <cell r="D131">
            <v>1.9</v>
          </cell>
          <cell r="E131">
            <v>53587</v>
          </cell>
          <cell r="L131">
            <v>1.9</v>
          </cell>
          <cell r="M131" t="str">
            <v>10:09</v>
          </cell>
          <cell r="N131" t="str">
            <v>11:24</v>
          </cell>
          <cell r="O131">
            <v>0</v>
          </cell>
          <cell r="P131">
            <v>0</v>
          </cell>
          <cell r="Q131">
            <v>1</v>
          </cell>
        </row>
        <row r="132">
          <cell r="A132" t="str">
            <v>11</v>
          </cell>
          <cell r="B132" t="str">
            <v>INFORMATIVO</v>
          </cell>
          <cell r="C132" t="str">
            <v>EL TIEMPO EN CHV (N)</v>
          </cell>
          <cell r="D132">
            <v>1.9</v>
          </cell>
          <cell r="E132">
            <v>55874</v>
          </cell>
          <cell r="F132">
            <v>1.3</v>
          </cell>
          <cell r="G132">
            <v>3.6</v>
          </cell>
          <cell r="H132">
            <v>1.8</v>
          </cell>
          <cell r="I132">
            <v>2</v>
          </cell>
          <cell r="J132">
            <v>1.2</v>
          </cell>
          <cell r="K132">
            <v>1.7</v>
          </cell>
          <cell r="L132">
            <v>2.1</v>
          </cell>
          <cell r="M132" t="str">
            <v>00:43</v>
          </cell>
          <cell r="N132" t="str">
            <v>01:32</v>
          </cell>
          <cell r="O132">
            <v>0</v>
          </cell>
          <cell r="P132">
            <v>0</v>
          </cell>
          <cell r="Q132">
            <v>7</v>
          </cell>
        </row>
        <row r="133">
          <cell r="A133" t="str">
            <v>11</v>
          </cell>
          <cell r="B133" t="str">
            <v>REALITY SHOW</v>
          </cell>
          <cell r="C133" t="str">
            <v>JUSTICIA PARA TODOS</v>
          </cell>
          <cell r="D133">
            <v>1.8</v>
          </cell>
          <cell r="E133">
            <v>52357</v>
          </cell>
          <cell r="F133">
            <v>2.6</v>
          </cell>
          <cell r="G133">
            <v>1.7</v>
          </cell>
          <cell r="H133">
            <v>1.8</v>
          </cell>
          <cell r="I133">
            <v>1.6</v>
          </cell>
          <cell r="J133">
            <v>1.4</v>
          </cell>
          <cell r="M133" t="str">
            <v>13:56</v>
          </cell>
          <cell r="N133" t="str">
            <v>14:30</v>
          </cell>
          <cell r="O133">
            <v>0</v>
          </cell>
          <cell r="P133">
            <v>0</v>
          </cell>
          <cell r="Q133">
            <v>5</v>
          </cell>
        </row>
        <row r="134">
          <cell r="A134" t="str">
            <v>11</v>
          </cell>
          <cell r="B134" t="str">
            <v>MISCELANEO</v>
          </cell>
          <cell r="C134" t="str">
            <v>EL FUTURO DE CHILE</v>
          </cell>
          <cell r="D134">
            <v>1.7</v>
          </cell>
          <cell r="E134">
            <v>48520</v>
          </cell>
          <cell r="J134">
            <v>1.7</v>
          </cell>
          <cell r="M134" t="str">
            <v>22:09</v>
          </cell>
          <cell r="N134" t="str">
            <v>23:21</v>
          </cell>
          <cell r="O134">
            <v>0</v>
          </cell>
          <cell r="P134">
            <v>0</v>
          </cell>
          <cell r="Q134">
            <v>1</v>
          </cell>
        </row>
        <row r="135">
          <cell r="A135" t="str">
            <v>11</v>
          </cell>
          <cell r="B135" t="str">
            <v>S_JUVENIL</v>
          </cell>
          <cell r="C135" t="str">
            <v>CUPIDO</v>
          </cell>
          <cell r="D135">
            <v>1.7</v>
          </cell>
          <cell r="E135">
            <v>49153</v>
          </cell>
          <cell r="L135">
            <v>1.7</v>
          </cell>
          <cell r="M135" t="str">
            <v>18:04</v>
          </cell>
          <cell r="N135" t="str">
            <v>19:05</v>
          </cell>
          <cell r="O135">
            <v>0</v>
          </cell>
          <cell r="P135">
            <v>0</v>
          </cell>
          <cell r="Q135">
            <v>1</v>
          </cell>
        </row>
        <row r="136">
          <cell r="A136" t="str">
            <v>11</v>
          </cell>
          <cell r="B136" t="str">
            <v>INFORMATIVO</v>
          </cell>
          <cell r="C136" t="str">
            <v>RED NACIONAL</v>
          </cell>
          <cell r="D136">
            <v>1.7</v>
          </cell>
          <cell r="E136">
            <v>49215</v>
          </cell>
          <cell r="H136">
            <v>1.7</v>
          </cell>
          <cell r="M136" t="str">
            <v>21:00</v>
          </cell>
          <cell r="N136" t="str">
            <v>21:09</v>
          </cell>
          <cell r="O136">
            <v>0</v>
          </cell>
          <cell r="P136">
            <v>0</v>
          </cell>
          <cell r="Q136">
            <v>1</v>
          </cell>
        </row>
        <row r="137">
          <cell r="A137" t="str">
            <v>11</v>
          </cell>
          <cell r="B137" t="str">
            <v>D_ANIMADOS</v>
          </cell>
          <cell r="C137" t="str">
            <v>POKEMON II</v>
          </cell>
          <cell r="D137">
            <v>1.7</v>
          </cell>
          <cell r="E137">
            <v>49044</v>
          </cell>
          <cell r="F137">
            <v>1.7</v>
          </cell>
          <cell r="G137">
            <v>2.1</v>
          </cell>
          <cell r="H137">
            <v>1.7</v>
          </cell>
          <cell r="I137">
            <v>1.4</v>
          </cell>
          <cell r="J137">
            <v>1.1000000000000001</v>
          </cell>
          <cell r="K137">
            <v>2.1</v>
          </cell>
          <cell r="M137" t="str">
            <v>17:27</v>
          </cell>
          <cell r="N137" t="str">
            <v>18:46</v>
          </cell>
          <cell r="O137">
            <v>0</v>
          </cell>
          <cell r="P137">
            <v>0</v>
          </cell>
          <cell r="Q137">
            <v>6</v>
          </cell>
        </row>
        <row r="138">
          <cell r="A138" t="str">
            <v>11</v>
          </cell>
          <cell r="B138" t="str">
            <v>SERIE</v>
          </cell>
          <cell r="C138" t="str">
            <v>MAGIA, MISTERIOS Y MILAGROS</v>
          </cell>
          <cell r="D138">
            <v>1.7</v>
          </cell>
          <cell r="E138">
            <v>48869</v>
          </cell>
          <cell r="L138">
            <v>1.7</v>
          </cell>
          <cell r="M138" t="str">
            <v>11:25</v>
          </cell>
          <cell r="N138" t="str">
            <v>12:18</v>
          </cell>
          <cell r="O138">
            <v>0</v>
          </cell>
          <cell r="P138">
            <v>0</v>
          </cell>
          <cell r="Q138">
            <v>1</v>
          </cell>
        </row>
        <row r="139">
          <cell r="A139" t="str">
            <v>11</v>
          </cell>
          <cell r="B139" t="str">
            <v>TELENOVELA</v>
          </cell>
          <cell r="C139" t="str">
            <v>MARIU</v>
          </cell>
          <cell r="D139">
            <v>1.6</v>
          </cell>
          <cell r="E139">
            <v>45603</v>
          </cell>
          <cell r="F139">
            <v>1.4</v>
          </cell>
          <cell r="G139">
            <v>1.7</v>
          </cell>
          <cell r="H139">
            <v>1.7</v>
          </cell>
          <cell r="I139">
            <v>0.9</v>
          </cell>
          <cell r="J139">
            <v>2.2000000000000002</v>
          </cell>
          <cell r="M139" t="str">
            <v>15:13</v>
          </cell>
          <cell r="N139" t="str">
            <v>16:08</v>
          </cell>
          <cell r="O139">
            <v>0</v>
          </cell>
          <cell r="P139">
            <v>0</v>
          </cell>
          <cell r="Q139">
            <v>5</v>
          </cell>
        </row>
        <row r="140">
          <cell r="A140" t="str">
            <v>11</v>
          </cell>
          <cell r="B140" t="str">
            <v>S_JUVENIL</v>
          </cell>
          <cell r="C140" t="str">
            <v>EL COMISARIO REX</v>
          </cell>
          <cell r="D140">
            <v>1.6</v>
          </cell>
          <cell r="E140">
            <v>46138</v>
          </cell>
          <cell r="L140">
            <v>1.6</v>
          </cell>
          <cell r="M140" t="str">
            <v>17:01</v>
          </cell>
          <cell r="N140" t="str">
            <v>18:03</v>
          </cell>
          <cell r="O140">
            <v>0</v>
          </cell>
          <cell r="P140">
            <v>0</v>
          </cell>
          <cell r="Q140">
            <v>1</v>
          </cell>
        </row>
        <row r="141">
          <cell r="A141" t="str">
            <v>11</v>
          </cell>
          <cell r="B141" t="str">
            <v>MISCELANEO</v>
          </cell>
          <cell r="C141" t="str">
            <v>PRIMER PLANO</v>
          </cell>
          <cell r="D141">
            <v>1.5</v>
          </cell>
          <cell r="E141">
            <v>43826</v>
          </cell>
          <cell r="L141">
            <v>1.5</v>
          </cell>
          <cell r="M141" t="str">
            <v>12:19</v>
          </cell>
          <cell r="N141" t="str">
            <v>13:23</v>
          </cell>
          <cell r="O141">
            <v>0</v>
          </cell>
          <cell r="P141">
            <v>0</v>
          </cell>
          <cell r="Q141">
            <v>1</v>
          </cell>
        </row>
        <row r="142">
          <cell r="A142" t="str">
            <v>11</v>
          </cell>
          <cell r="B142" t="str">
            <v>MISCELANEO</v>
          </cell>
          <cell r="C142" t="str">
            <v>BOHEMIA</v>
          </cell>
          <cell r="D142">
            <v>1.5</v>
          </cell>
          <cell r="E142">
            <v>41719</v>
          </cell>
          <cell r="F142">
            <v>1.2</v>
          </cell>
          <cell r="G142">
            <v>2.4</v>
          </cell>
          <cell r="H142">
            <v>1.1000000000000001</v>
          </cell>
          <cell r="I142">
            <v>1.5</v>
          </cell>
          <cell r="J142">
            <v>1.1000000000000001</v>
          </cell>
          <cell r="M142" t="str">
            <v>00:50</v>
          </cell>
          <cell r="N142" t="str">
            <v>02:26</v>
          </cell>
          <cell r="O142">
            <v>0</v>
          </cell>
          <cell r="P142">
            <v>0</v>
          </cell>
          <cell r="Q142">
            <v>5</v>
          </cell>
        </row>
        <row r="143">
          <cell r="A143" t="str">
            <v>11</v>
          </cell>
          <cell r="B143" t="str">
            <v>INFORMATIVO</v>
          </cell>
          <cell r="C143" t="str">
            <v>EDICION IMPACTO</v>
          </cell>
          <cell r="D143">
            <v>1.5</v>
          </cell>
          <cell r="E143">
            <v>44165</v>
          </cell>
          <cell r="F143">
            <v>2.5</v>
          </cell>
          <cell r="G143">
            <v>1.3</v>
          </cell>
          <cell r="H143">
            <v>2</v>
          </cell>
          <cell r="I143">
            <v>1</v>
          </cell>
          <cell r="J143">
            <v>1</v>
          </cell>
          <cell r="M143" t="str">
            <v>13:02</v>
          </cell>
          <cell r="N143" t="str">
            <v>13:29</v>
          </cell>
          <cell r="O143">
            <v>0</v>
          </cell>
          <cell r="P143">
            <v>0</v>
          </cell>
          <cell r="Q143">
            <v>5</v>
          </cell>
        </row>
        <row r="144">
          <cell r="A144" t="str">
            <v>11</v>
          </cell>
          <cell r="B144" t="str">
            <v>SE_INFANTIL</v>
          </cell>
          <cell r="C144" t="str">
            <v>MI BELLA GENIO</v>
          </cell>
          <cell r="D144">
            <v>1.4</v>
          </cell>
          <cell r="E144">
            <v>39114</v>
          </cell>
          <cell r="K144">
            <v>1.3</v>
          </cell>
          <cell r="L144">
            <v>1.4</v>
          </cell>
          <cell r="M144" t="str">
            <v>14:00</v>
          </cell>
          <cell r="N144" t="str">
            <v>14:34</v>
          </cell>
          <cell r="O144">
            <v>0</v>
          </cell>
          <cell r="P144">
            <v>0</v>
          </cell>
          <cell r="Q144">
            <v>2</v>
          </cell>
        </row>
        <row r="145">
          <cell r="A145" t="str">
            <v>11</v>
          </cell>
          <cell r="B145" t="str">
            <v>TELENOVELA</v>
          </cell>
          <cell r="C145" t="str">
            <v>LOS BUSCAS</v>
          </cell>
          <cell r="D145">
            <v>1.4</v>
          </cell>
          <cell r="E145">
            <v>41157</v>
          </cell>
          <cell r="F145">
            <v>1.3</v>
          </cell>
          <cell r="G145">
            <v>1.2</v>
          </cell>
          <cell r="H145">
            <v>1.8</v>
          </cell>
          <cell r="I145">
            <v>1</v>
          </cell>
          <cell r="J145">
            <v>1.8</v>
          </cell>
          <cell r="M145" t="str">
            <v>14:22</v>
          </cell>
          <cell r="N145" t="str">
            <v>15:21</v>
          </cell>
          <cell r="O145">
            <v>0</v>
          </cell>
          <cell r="P145">
            <v>0</v>
          </cell>
          <cell r="Q145">
            <v>5</v>
          </cell>
        </row>
        <row r="146">
          <cell r="A146" t="str">
            <v>11</v>
          </cell>
          <cell r="B146" t="str">
            <v>VARIEDAD</v>
          </cell>
          <cell r="C146" t="str">
            <v>DE TODO UN POCO</v>
          </cell>
          <cell r="D146">
            <v>1.4</v>
          </cell>
          <cell r="E146">
            <v>39241</v>
          </cell>
          <cell r="F146">
            <v>1.4</v>
          </cell>
          <cell r="G146">
            <v>1.3</v>
          </cell>
          <cell r="H146">
            <v>1.6</v>
          </cell>
          <cell r="I146">
            <v>2</v>
          </cell>
          <cell r="J146">
            <v>0.6</v>
          </cell>
          <cell r="M146" t="str">
            <v>19:27</v>
          </cell>
          <cell r="N146" t="str">
            <v>20:00</v>
          </cell>
          <cell r="O146">
            <v>0</v>
          </cell>
          <cell r="P146">
            <v>0</v>
          </cell>
          <cell r="Q146">
            <v>5</v>
          </cell>
        </row>
        <row r="147">
          <cell r="A147" t="str">
            <v>11</v>
          </cell>
          <cell r="B147" t="str">
            <v>D_ANIMADOS</v>
          </cell>
          <cell r="C147" t="str">
            <v>DIGIMON</v>
          </cell>
          <cell r="D147">
            <v>1.4</v>
          </cell>
          <cell r="E147">
            <v>39345</v>
          </cell>
          <cell r="F147">
            <v>1.1000000000000001</v>
          </cell>
          <cell r="G147">
            <v>1.5</v>
          </cell>
          <cell r="H147">
            <v>1.4</v>
          </cell>
          <cell r="I147">
            <v>1.2</v>
          </cell>
          <cell r="J147">
            <v>1.7</v>
          </cell>
          <cell r="M147" t="str">
            <v>17:02</v>
          </cell>
          <cell r="N147" t="str">
            <v>17:32</v>
          </cell>
          <cell r="O147">
            <v>0</v>
          </cell>
          <cell r="P147">
            <v>0</v>
          </cell>
          <cell r="Q147">
            <v>5</v>
          </cell>
        </row>
        <row r="148">
          <cell r="A148" t="str">
            <v>11</v>
          </cell>
          <cell r="B148" t="str">
            <v>NOTICIERO</v>
          </cell>
          <cell r="C148" t="str">
            <v>CHV NOTICIAS TARDE</v>
          </cell>
          <cell r="D148">
            <v>1.4</v>
          </cell>
          <cell r="E148">
            <v>41321</v>
          </cell>
          <cell r="F148">
            <v>2.6</v>
          </cell>
          <cell r="G148">
            <v>1.5</v>
          </cell>
          <cell r="H148">
            <v>1.5</v>
          </cell>
          <cell r="I148">
            <v>0.7</v>
          </cell>
          <cell r="J148">
            <v>0.8</v>
          </cell>
          <cell r="M148" t="str">
            <v>13:29</v>
          </cell>
          <cell r="N148" t="str">
            <v>14:03</v>
          </cell>
          <cell r="O148">
            <v>0</v>
          </cell>
          <cell r="P148">
            <v>0</v>
          </cell>
          <cell r="Q148">
            <v>5</v>
          </cell>
        </row>
        <row r="149">
          <cell r="A149" t="str">
            <v>11</v>
          </cell>
          <cell r="B149" t="str">
            <v>PELICULA</v>
          </cell>
          <cell r="C149" t="str">
            <v>CINE DE TRASNOCHE</v>
          </cell>
          <cell r="D149">
            <v>1.3</v>
          </cell>
          <cell r="E149">
            <v>38013</v>
          </cell>
          <cell r="F149">
            <v>0.8</v>
          </cell>
          <cell r="G149">
            <v>0.5</v>
          </cell>
          <cell r="H149">
            <v>0.8</v>
          </cell>
          <cell r="I149">
            <v>1.4</v>
          </cell>
          <cell r="J149">
            <v>1.1000000000000001</v>
          </cell>
          <cell r="K149">
            <v>2.1</v>
          </cell>
          <cell r="L149">
            <v>2.6</v>
          </cell>
          <cell r="M149" t="str">
            <v>00:45</v>
          </cell>
          <cell r="N149" t="str">
            <v>04:31</v>
          </cell>
          <cell r="O149">
            <v>0</v>
          </cell>
          <cell r="P149">
            <v>0</v>
          </cell>
          <cell r="Q149">
            <v>7</v>
          </cell>
        </row>
        <row r="150">
          <cell r="A150" t="str">
            <v>11</v>
          </cell>
          <cell r="B150" t="str">
            <v>CONVERSACION</v>
          </cell>
          <cell r="C150" t="str">
            <v>EL SHOW DE JAIME BAYLY</v>
          </cell>
          <cell r="D150">
            <v>1.3</v>
          </cell>
          <cell r="E150">
            <v>37221</v>
          </cell>
          <cell r="J150">
            <v>1.3</v>
          </cell>
          <cell r="M150" t="str">
            <v>23:22</v>
          </cell>
          <cell r="N150" t="str">
            <v>00:35</v>
          </cell>
          <cell r="O150">
            <v>0</v>
          </cell>
          <cell r="P150">
            <v>0</v>
          </cell>
          <cell r="Q150">
            <v>1</v>
          </cell>
        </row>
        <row r="151">
          <cell r="A151" t="str">
            <v>11</v>
          </cell>
          <cell r="B151" t="str">
            <v>HUMOR</v>
          </cell>
          <cell r="C151" t="str">
            <v>BIENVENIDOS</v>
          </cell>
          <cell r="D151">
            <v>1.3</v>
          </cell>
          <cell r="E151">
            <v>36421</v>
          </cell>
          <cell r="K151">
            <v>1.3</v>
          </cell>
          <cell r="L151">
            <v>1.2</v>
          </cell>
          <cell r="M151" t="str">
            <v>14:24</v>
          </cell>
          <cell r="N151" t="str">
            <v>15:08</v>
          </cell>
          <cell r="O151">
            <v>0</v>
          </cell>
          <cell r="P151">
            <v>0</v>
          </cell>
          <cell r="Q151">
            <v>2</v>
          </cell>
        </row>
        <row r="152">
          <cell r="A152" t="str">
            <v>11</v>
          </cell>
          <cell r="B152" t="str">
            <v>NOTICIERO</v>
          </cell>
          <cell r="C152" t="str">
            <v>NOTICIAS 7:25</v>
          </cell>
          <cell r="D152">
            <v>1.2</v>
          </cell>
          <cell r="E152">
            <v>34476</v>
          </cell>
          <cell r="F152">
            <v>0.9</v>
          </cell>
          <cell r="G152">
            <v>1.5</v>
          </cell>
          <cell r="H152">
            <v>1.4</v>
          </cell>
          <cell r="I152">
            <v>1.5</v>
          </cell>
          <cell r="J152">
            <v>0.7</v>
          </cell>
          <cell r="M152" t="str">
            <v>19:22</v>
          </cell>
          <cell r="N152" t="str">
            <v>19:30</v>
          </cell>
          <cell r="O152">
            <v>0</v>
          </cell>
          <cell r="P152">
            <v>0</v>
          </cell>
          <cell r="Q152">
            <v>5</v>
          </cell>
        </row>
        <row r="153">
          <cell r="A153" t="str">
            <v>11</v>
          </cell>
          <cell r="B153" t="str">
            <v>PELICULA</v>
          </cell>
          <cell r="C153" t="str">
            <v>CINE DE SABADO</v>
          </cell>
          <cell r="D153">
            <v>1.2</v>
          </cell>
          <cell r="E153">
            <v>35770</v>
          </cell>
          <cell r="K153">
            <v>1.2</v>
          </cell>
          <cell r="M153" t="str">
            <v>18:47</v>
          </cell>
          <cell r="N153" t="str">
            <v>20:58</v>
          </cell>
          <cell r="O153">
            <v>0</v>
          </cell>
          <cell r="P153">
            <v>0</v>
          </cell>
          <cell r="Q153">
            <v>1</v>
          </cell>
        </row>
        <row r="154">
          <cell r="A154" t="str">
            <v>11</v>
          </cell>
          <cell r="B154" t="str">
            <v>INFANTIL</v>
          </cell>
          <cell r="C154" t="str">
            <v>EL CLUB DE LOS TIGRITOS</v>
          </cell>
          <cell r="D154">
            <v>1.1000000000000001</v>
          </cell>
          <cell r="E154">
            <v>32202</v>
          </cell>
          <cell r="F154">
            <v>1.1000000000000001</v>
          </cell>
          <cell r="G154">
            <v>1</v>
          </cell>
          <cell r="H154">
            <v>1.2</v>
          </cell>
          <cell r="I154">
            <v>1</v>
          </cell>
          <cell r="J154">
            <v>1.2</v>
          </cell>
          <cell r="M154" t="str">
            <v>16:04</v>
          </cell>
          <cell r="N154" t="str">
            <v>17:05</v>
          </cell>
          <cell r="O154">
            <v>0</v>
          </cell>
          <cell r="P154">
            <v>0</v>
          </cell>
          <cell r="Q154">
            <v>5</v>
          </cell>
        </row>
        <row r="155">
          <cell r="A155" t="str">
            <v>11</v>
          </cell>
          <cell r="B155" t="str">
            <v>COMEDIA</v>
          </cell>
          <cell r="C155" t="str">
            <v>LA HECHIZADA</v>
          </cell>
          <cell r="D155">
            <v>1.1000000000000001</v>
          </cell>
          <cell r="E155">
            <v>32461</v>
          </cell>
          <cell r="K155">
            <v>1</v>
          </cell>
          <cell r="L155">
            <v>1.2</v>
          </cell>
          <cell r="M155" t="str">
            <v>13:24</v>
          </cell>
          <cell r="N155" t="str">
            <v>14:07</v>
          </cell>
          <cell r="O155">
            <v>0</v>
          </cell>
          <cell r="P155">
            <v>0</v>
          </cell>
          <cell r="Q155">
            <v>2</v>
          </cell>
        </row>
        <row r="156">
          <cell r="A156" t="str">
            <v>11</v>
          </cell>
          <cell r="B156" t="str">
            <v>JUVENIL</v>
          </cell>
          <cell r="C156" t="str">
            <v>EXTRA JOVENES</v>
          </cell>
          <cell r="D156">
            <v>1.1000000000000001</v>
          </cell>
          <cell r="E156">
            <v>31623</v>
          </cell>
          <cell r="F156">
            <v>1.6</v>
          </cell>
          <cell r="G156">
            <v>1.1000000000000001</v>
          </cell>
          <cell r="H156">
            <v>0.9</v>
          </cell>
          <cell r="I156">
            <v>1.3</v>
          </cell>
          <cell r="J156">
            <v>0.7</v>
          </cell>
          <cell r="M156" t="str">
            <v>17:57</v>
          </cell>
          <cell r="N156" t="str">
            <v>19:25</v>
          </cell>
          <cell r="O156">
            <v>0</v>
          </cell>
          <cell r="P156">
            <v>0</v>
          </cell>
          <cell r="Q156">
            <v>5</v>
          </cell>
        </row>
        <row r="157">
          <cell r="A157" t="str">
            <v>11</v>
          </cell>
          <cell r="B157" t="str">
            <v>D_ANIMADOS</v>
          </cell>
          <cell r="C157" t="str">
            <v>THE BABY HUEY SHOW</v>
          </cell>
          <cell r="D157">
            <v>1</v>
          </cell>
          <cell r="E157">
            <v>27544</v>
          </cell>
          <cell r="K157">
            <v>1</v>
          </cell>
          <cell r="M157" t="str">
            <v>11:37</v>
          </cell>
          <cell r="N157" t="str">
            <v>12:05</v>
          </cell>
          <cell r="O157">
            <v>0</v>
          </cell>
          <cell r="P157">
            <v>0</v>
          </cell>
          <cell r="Q157">
            <v>1</v>
          </cell>
        </row>
        <row r="158">
          <cell r="A158" t="str">
            <v>11</v>
          </cell>
          <cell r="B158" t="str">
            <v>D_ANIMADOS</v>
          </cell>
          <cell r="C158" t="str">
            <v>DRAGON TALES</v>
          </cell>
          <cell r="D158">
            <v>0.9</v>
          </cell>
          <cell r="E158">
            <v>25837</v>
          </cell>
          <cell r="F158">
            <v>1.1000000000000001</v>
          </cell>
          <cell r="G158">
            <v>1.1000000000000001</v>
          </cell>
          <cell r="H158">
            <v>0.8</v>
          </cell>
          <cell r="I158">
            <v>0.7</v>
          </cell>
          <cell r="J158">
            <v>0.8</v>
          </cell>
          <cell r="M158" t="str">
            <v>10:22</v>
          </cell>
          <cell r="N158" t="str">
            <v>10:58</v>
          </cell>
          <cell r="O158">
            <v>0</v>
          </cell>
          <cell r="P158">
            <v>0</v>
          </cell>
          <cell r="Q158">
            <v>5</v>
          </cell>
        </row>
        <row r="159">
          <cell r="A159" t="str">
            <v>11</v>
          </cell>
          <cell r="B159" t="str">
            <v>D_ANIMADOS</v>
          </cell>
          <cell r="C159" t="str">
            <v>LAS TRES MELLIZAS</v>
          </cell>
          <cell r="D159">
            <v>0.9</v>
          </cell>
          <cell r="E159">
            <v>25768</v>
          </cell>
          <cell r="K159">
            <v>0.9</v>
          </cell>
          <cell r="M159" t="str">
            <v>12:06</v>
          </cell>
          <cell r="N159" t="str">
            <v>12:40</v>
          </cell>
          <cell r="O159">
            <v>0</v>
          </cell>
          <cell r="P159">
            <v>0</v>
          </cell>
          <cell r="Q159">
            <v>1</v>
          </cell>
        </row>
        <row r="160">
          <cell r="A160" t="str">
            <v>11</v>
          </cell>
          <cell r="B160" t="str">
            <v>VARIEDAD</v>
          </cell>
          <cell r="C160" t="str">
            <v>ASI DE SIMPLE</v>
          </cell>
          <cell r="D160">
            <v>0.9</v>
          </cell>
          <cell r="E160">
            <v>25153</v>
          </cell>
          <cell r="F160">
            <v>1.1000000000000001</v>
          </cell>
          <cell r="G160">
            <v>1</v>
          </cell>
          <cell r="H160">
            <v>0.5</v>
          </cell>
          <cell r="I160">
            <v>0.8</v>
          </cell>
          <cell r="J160">
            <v>1</v>
          </cell>
          <cell r="M160" t="str">
            <v>11:24</v>
          </cell>
          <cell r="N160" t="str">
            <v>13:03</v>
          </cell>
          <cell r="O160">
            <v>0</v>
          </cell>
          <cell r="P160">
            <v>0</v>
          </cell>
          <cell r="Q160">
            <v>5</v>
          </cell>
        </row>
        <row r="161">
          <cell r="A161" t="str">
            <v>11</v>
          </cell>
          <cell r="B161" t="str">
            <v>D_ANIMADOS</v>
          </cell>
          <cell r="C161" t="str">
            <v>POKEMON</v>
          </cell>
          <cell r="D161">
            <v>0.9</v>
          </cell>
          <cell r="E161">
            <v>24943</v>
          </cell>
          <cell r="F161">
            <v>1.1000000000000001</v>
          </cell>
          <cell r="G161">
            <v>1.3</v>
          </cell>
          <cell r="H161">
            <v>0.8</v>
          </cell>
          <cell r="I161">
            <v>0.5</v>
          </cell>
          <cell r="J161">
            <v>0.7</v>
          </cell>
          <cell r="M161" t="str">
            <v>10:55</v>
          </cell>
          <cell r="N161" t="str">
            <v>11:27</v>
          </cell>
          <cell r="O161">
            <v>0</v>
          </cell>
          <cell r="P161">
            <v>0</v>
          </cell>
          <cell r="Q161">
            <v>5</v>
          </cell>
        </row>
        <row r="162">
          <cell r="A162" t="str">
            <v>11</v>
          </cell>
          <cell r="B162" t="str">
            <v>D_ANIMADOS</v>
          </cell>
          <cell r="C162" t="str">
            <v>EL CLUB DEL CLAN</v>
          </cell>
          <cell r="D162">
            <v>0.9</v>
          </cell>
          <cell r="E162">
            <v>24925</v>
          </cell>
          <cell r="F162">
            <v>0.9</v>
          </cell>
          <cell r="G162">
            <v>0.7</v>
          </cell>
          <cell r="H162">
            <v>0.6</v>
          </cell>
          <cell r="I162">
            <v>1</v>
          </cell>
          <cell r="J162">
            <v>1.1000000000000001</v>
          </cell>
          <cell r="M162" t="str">
            <v>08:28</v>
          </cell>
          <cell r="N162" t="str">
            <v>10:02</v>
          </cell>
          <cell r="O162">
            <v>0</v>
          </cell>
          <cell r="P162">
            <v>0</v>
          </cell>
          <cell r="Q162">
            <v>5</v>
          </cell>
        </row>
        <row r="163">
          <cell r="A163" t="str">
            <v>11</v>
          </cell>
          <cell r="B163" t="str">
            <v>D_ANIMADOS</v>
          </cell>
          <cell r="C163" t="str">
            <v>EXTREME DINOSAURIOS</v>
          </cell>
          <cell r="D163">
            <v>0.9</v>
          </cell>
          <cell r="E163">
            <v>24581</v>
          </cell>
          <cell r="F163">
            <v>1.3</v>
          </cell>
          <cell r="G163">
            <v>0.5</v>
          </cell>
          <cell r="H163">
            <v>0.7</v>
          </cell>
          <cell r="I163">
            <v>1</v>
          </cell>
          <cell r="J163">
            <v>0.8</v>
          </cell>
          <cell r="M163" t="str">
            <v>09:56</v>
          </cell>
          <cell r="N163" t="str">
            <v>10:26</v>
          </cell>
          <cell r="O163">
            <v>0</v>
          </cell>
          <cell r="P163">
            <v>0</v>
          </cell>
          <cell r="Q163">
            <v>5</v>
          </cell>
        </row>
        <row r="164">
          <cell r="A164" t="str">
            <v>11</v>
          </cell>
          <cell r="B164" t="str">
            <v>CONCURSO</v>
          </cell>
          <cell r="C164" t="str">
            <v>ESTE DOMINGO ME LO SACO</v>
          </cell>
          <cell r="D164">
            <v>0.8</v>
          </cell>
          <cell r="E164">
            <v>23433</v>
          </cell>
          <cell r="L164">
            <v>0.8</v>
          </cell>
          <cell r="M164" t="str">
            <v>15:05</v>
          </cell>
          <cell r="N164" t="str">
            <v>16:07</v>
          </cell>
          <cell r="O164">
            <v>0</v>
          </cell>
          <cell r="P164">
            <v>0</v>
          </cell>
          <cell r="Q164">
            <v>1</v>
          </cell>
        </row>
        <row r="165">
          <cell r="A165" t="str">
            <v>11</v>
          </cell>
          <cell r="B165" t="str">
            <v>D_ANIMADOS</v>
          </cell>
          <cell r="C165" t="str">
            <v>LOS MAR MASTER</v>
          </cell>
          <cell r="D165">
            <v>0.7</v>
          </cell>
          <cell r="E165">
            <v>20659</v>
          </cell>
          <cell r="L165">
            <v>0.7</v>
          </cell>
          <cell r="M165" t="str">
            <v>16:08</v>
          </cell>
          <cell r="N165" t="str">
            <v>17:00</v>
          </cell>
          <cell r="O165">
            <v>0</v>
          </cell>
          <cell r="P165">
            <v>0</v>
          </cell>
          <cell r="Q165">
            <v>1</v>
          </cell>
        </row>
        <row r="166">
          <cell r="A166" t="str">
            <v>11</v>
          </cell>
          <cell r="B166" t="str">
            <v>D_ANIMADOS</v>
          </cell>
          <cell r="C166" t="str">
            <v>SAILOR MOON</v>
          </cell>
          <cell r="D166">
            <v>0.7</v>
          </cell>
          <cell r="E166">
            <v>20357</v>
          </cell>
          <cell r="K166">
            <v>0.7</v>
          </cell>
          <cell r="M166" t="str">
            <v>12:41</v>
          </cell>
          <cell r="N166" t="str">
            <v>13:08</v>
          </cell>
          <cell r="O166">
            <v>0</v>
          </cell>
          <cell r="P166">
            <v>0</v>
          </cell>
          <cell r="Q166">
            <v>1</v>
          </cell>
        </row>
        <row r="167">
          <cell r="A167" t="str">
            <v>11</v>
          </cell>
          <cell r="B167" t="str">
            <v>MISCELANEO</v>
          </cell>
          <cell r="C167" t="str">
            <v>AL 100 %</v>
          </cell>
          <cell r="D167">
            <v>0.7</v>
          </cell>
          <cell r="E167">
            <v>18884</v>
          </cell>
          <cell r="L167">
            <v>0.7</v>
          </cell>
          <cell r="M167" t="str">
            <v>09:40</v>
          </cell>
          <cell r="N167" t="str">
            <v>10:08</v>
          </cell>
          <cell r="O167">
            <v>0</v>
          </cell>
          <cell r="P167">
            <v>0</v>
          </cell>
          <cell r="Q167">
            <v>1</v>
          </cell>
        </row>
        <row r="168">
          <cell r="A168" t="str">
            <v>11</v>
          </cell>
          <cell r="B168" t="str">
            <v>MISCELANEO</v>
          </cell>
          <cell r="C168" t="str">
            <v>CRONICAS DE LO PARANORMAL</v>
          </cell>
          <cell r="D168">
            <v>0.6</v>
          </cell>
          <cell r="E168">
            <v>15913</v>
          </cell>
          <cell r="F168">
            <v>0.6</v>
          </cell>
          <cell r="G168">
            <v>0.7</v>
          </cell>
          <cell r="H168">
            <v>0.8</v>
          </cell>
          <cell r="I168">
            <v>0.4</v>
          </cell>
          <cell r="J168">
            <v>0.2</v>
          </cell>
          <cell r="M168" t="str">
            <v>20:31</v>
          </cell>
          <cell r="N168" t="str">
            <v>20:59</v>
          </cell>
          <cell r="O168">
            <v>0</v>
          </cell>
          <cell r="P168">
            <v>0</v>
          </cell>
          <cell r="Q168">
            <v>5</v>
          </cell>
        </row>
        <row r="169">
          <cell r="A169" t="str">
            <v>11</v>
          </cell>
          <cell r="B169" t="str">
            <v>TELENOVELA</v>
          </cell>
          <cell r="C169" t="str">
            <v>BUENOS VECINOS</v>
          </cell>
          <cell r="D169">
            <v>0.6</v>
          </cell>
          <cell r="E169">
            <v>18616</v>
          </cell>
          <cell r="F169">
            <v>0.7</v>
          </cell>
          <cell r="G169">
            <v>1</v>
          </cell>
          <cell r="H169">
            <v>0.7</v>
          </cell>
          <cell r="I169">
            <v>0.6</v>
          </cell>
          <cell r="J169">
            <v>0.3</v>
          </cell>
          <cell r="M169" t="str">
            <v>19:57</v>
          </cell>
          <cell r="N169" t="str">
            <v>20:32</v>
          </cell>
          <cell r="O169">
            <v>0</v>
          </cell>
          <cell r="P169">
            <v>0</v>
          </cell>
          <cell r="Q169">
            <v>5</v>
          </cell>
        </row>
        <row r="170">
          <cell r="A170" t="str">
            <v>11</v>
          </cell>
          <cell r="B170" t="str">
            <v>D_ANIMADOS</v>
          </cell>
          <cell r="C170" t="str">
            <v>MI PEQUENO PONY</v>
          </cell>
          <cell r="D170">
            <v>0.6</v>
          </cell>
          <cell r="E170">
            <v>15887</v>
          </cell>
          <cell r="K170">
            <v>0.6</v>
          </cell>
          <cell r="M170" t="str">
            <v>11:10</v>
          </cell>
          <cell r="N170" t="str">
            <v>11:36</v>
          </cell>
          <cell r="O170">
            <v>0</v>
          </cell>
          <cell r="P170">
            <v>0</v>
          </cell>
          <cell r="Q170">
            <v>1</v>
          </cell>
        </row>
        <row r="171">
          <cell r="A171" t="str">
            <v>11</v>
          </cell>
          <cell r="B171" t="str">
            <v>INFORMATIVO</v>
          </cell>
          <cell r="C171" t="str">
            <v>VIVIENDA CONSTRUCCION DECORACI</v>
          </cell>
          <cell r="D171">
            <v>0.5</v>
          </cell>
          <cell r="E171">
            <v>13748</v>
          </cell>
          <cell r="K171">
            <v>0.4</v>
          </cell>
          <cell r="L171">
            <v>0.5</v>
          </cell>
          <cell r="M171" t="str">
            <v>08:46</v>
          </cell>
          <cell r="N171" t="str">
            <v>09:53</v>
          </cell>
          <cell r="O171">
            <v>0</v>
          </cell>
          <cell r="P171">
            <v>0</v>
          </cell>
          <cell r="Q171">
            <v>2</v>
          </cell>
        </row>
        <row r="172">
          <cell r="A172" t="str">
            <v>11</v>
          </cell>
          <cell r="B172" t="str">
            <v>PELICULA</v>
          </cell>
          <cell r="C172" t="str">
            <v>ABBOTT Y COSTELLO</v>
          </cell>
          <cell r="D172">
            <v>0.5</v>
          </cell>
          <cell r="E172">
            <v>13035</v>
          </cell>
          <cell r="K172">
            <v>0.5</v>
          </cell>
          <cell r="M172" t="str">
            <v>10:43</v>
          </cell>
          <cell r="N172" t="str">
            <v>11:09</v>
          </cell>
          <cell r="O172">
            <v>0</v>
          </cell>
          <cell r="P172">
            <v>0</v>
          </cell>
          <cell r="Q172">
            <v>1</v>
          </cell>
        </row>
        <row r="173">
          <cell r="A173" t="str">
            <v>11</v>
          </cell>
          <cell r="B173" t="str">
            <v>D_ANIMADOS</v>
          </cell>
          <cell r="C173" t="str">
            <v>LOS CENTURIONES</v>
          </cell>
          <cell r="D173">
            <v>0.5</v>
          </cell>
          <cell r="E173">
            <v>13516</v>
          </cell>
          <cell r="K173">
            <v>0.5</v>
          </cell>
          <cell r="M173" t="str">
            <v>09:54</v>
          </cell>
          <cell r="N173" t="str">
            <v>10:18</v>
          </cell>
          <cell r="O173">
            <v>0</v>
          </cell>
          <cell r="P173">
            <v>0</v>
          </cell>
          <cell r="Q173">
            <v>1</v>
          </cell>
        </row>
        <row r="174">
          <cell r="A174" t="str">
            <v>11</v>
          </cell>
          <cell r="B174" t="str">
            <v>D_ANIMADOS</v>
          </cell>
          <cell r="C174" t="str">
            <v>SLAM DUNK</v>
          </cell>
          <cell r="D174">
            <v>0.5</v>
          </cell>
          <cell r="E174">
            <v>15732</v>
          </cell>
          <cell r="K174">
            <v>0.5</v>
          </cell>
          <cell r="M174" t="str">
            <v>13:09</v>
          </cell>
          <cell r="N174" t="str">
            <v>13:33</v>
          </cell>
          <cell r="O174">
            <v>0</v>
          </cell>
          <cell r="P174">
            <v>0</v>
          </cell>
          <cell r="Q174">
            <v>1</v>
          </cell>
        </row>
        <row r="175">
          <cell r="A175" t="str">
            <v>11</v>
          </cell>
          <cell r="B175" t="str">
            <v>INFORMATIVO</v>
          </cell>
          <cell r="C175" t="str">
            <v>INFOMERCIALES</v>
          </cell>
          <cell r="D175">
            <v>0.5</v>
          </cell>
          <cell r="E175">
            <v>13802</v>
          </cell>
          <cell r="F175">
            <v>0.3</v>
          </cell>
          <cell r="G175">
            <v>0.2</v>
          </cell>
          <cell r="H175">
            <v>0.3</v>
          </cell>
          <cell r="I175">
            <v>0.7</v>
          </cell>
          <cell r="J175">
            <v>0.5</v>
          </cell>
          <cell r="K175">
            <v>0.7</v>
          </cell>
          <cell r="L175">
            <v>0.6</v>
          </cell>
          <cell r="M175" t="str">
            <v>07:14</v>
          </cell>
          <cell r="N175" t="str">
            <v>05:33</v>
          </cell>
          <cell r="O175">
            <v>0</v>
          </cell>
          <cell r="P175">
            <v>0</v>
          </cell>
          <cell r="Q175">
            <v>14</v>
          </cell>
        </row>
        <row r="176">
          <cell r="A176" t="str">
            <v>11</v>
          </cell>
          <cell r="B176" t="str">
            <v>MUSICAL</v>
          </cell>
          <cell r="C176" t="str">
            <v>PUMA TV</v>
          </cell>
          <cell r="D176">
            <v>0.4</v>
          </cell>
          <cell r="E176">
            <v>12055</v>
          </cell>
          <cell r="F176">
            <v>0.1</v>
          </cell>
          <cell r="G176">
            <v>0.5</v>
          </cell>
          <cell r="H176">
            <v>0.5</v>
          </cell>
          <cell r="I176">
            <v>0.6</v>
          </cell>
          <cell r="J176">
            <v>0.4</v>
          </cell>
          <cell r="K176">
            <v>0.4</v>
          </cell>
          <cell r="L176">
            <v>0.4</v>
          </cell>
          <cell r="M176" t="str">
            <v>06:00</v>
          </cell>
          <cell r="N176" t="str">
            <v>05:59</v>
          </cell>
          <cell r="O176">
            <v>0</v>
          </cell>
          <cell r="P176">
            <v>0</v>
          </cell>
          <cell r="Q176">
            <v>15</v>
          </cell>
        </row>
        <row r="177">
          <cell r="A177" t="str">
            <v>11</v>
          </cell>
          <cell r="B177" t="str">
            <v>D_ANIMADOS</v>
          </cell>
          <cell r="C177" t="str">
            <v>SKY DANCERS</v>
          </cell>
          <cell r="D177">
            <v>0.4</v>
          </cell>
          <cell r="E177">
            <v>11979</v>
          </cell>
          <cell r="K177">
            <v>0.4</v>
          </cell>
          <cell r="M177" t="str">
            <v>10:19</v>
          </cell>
          <cell r="N177" t="str">
            <v>10:42</v>
          </cell>
          <cell r="O177">
            <v>0</v>
          </cell>
          <cell r="P177">
            <v>0</v>
          </cell>
          <cell r="Q177">
            <v>1</v>
          </cell>
        </row>
        <row r="178">
          <cell r="A178" t="str">
            <v>13</v>
          </cell>
          <cell r="B178" t="str">
            <v>TELENOVELA</v>
          </cell>
          <cell r="C178" t="str">
            <v>YO SOY BETTY,LA FEA</v>
          </cell>
          <cell r="D178">
            <v>10.9</v>
          </cell>
          <cell r="E178">
            <v>312906</v>
          </cell>
          <cell r="F178">
            <v>11.1</v>
          </cell>
          <cell r="G178">
            <v>12</v>
          </cell>
          <cell r="H178">
            <v>10.7</v>
          </cell>
          <cell r="I178">
            <v>11.8</v>
          </cell>
          <cell r="J178">
            <v>8.9</v>
          </cell>
          <cell r="M178" t="str">
            <v>20:04</v>
          </cell>
          <cell r="N178" t="str">
            <v>20:59</v>
          </cell>
          <cell r="O178">
            <v>0</v>
          </cell>
          <cell r="P178">
            <v>0</v>
          </cell>
          <cell r="Q178">
            <v>5</v>
          </cell>
        </row>
        <row r="179">
          <cell r="A179" t="str">
            <v>13</v>
          </cell>
          <cell r="B179" t="str">
            <v>CONCURSO</v>
          </cell>
          <cell r="C179" t="str">
            <v>SI SE LA PUEDE, GANA</v>
          </cell>
          <cell r="D179">
            <v>10.5</v>
          </cell>
          <cell r="E179">
            <v>300971</v>
          </cell>
          <cell r="J179">
            <v>10.5</v>
          </cell>
          <cell r="M179" t="str">
            <v>22:02</v>
          </cell>
          <cell r="N179" t="str">
            <v>00:00</v>
          </cell>
          <cell r="O179">
            <v>0</v>
          </cell>
          <cell r="P179">
            <v>0</v>
          </cell>
          <cell r="Q179">
            <v>1</v>
          </cell>
        </row>
        <row r="180">
          <cell r="A180" t="str">
            <v>13</v>
          </cell>
          <cell r="B180" t="str">
            <v>MISCELANEO</v>
          </cell>
          <cell r="C180" t="str">
            <v>NACE UNA ESTRELLA</v>
          </cell>
          <cell r="D180">
            <v>8.1999999999999993</v>
          </cell>
          <cell r="E180">
            <v>235267</v>
          </cell>
          <cell r="L180">
            <v>8.1999999999999993</v>
          </cell>
          <cell r="M180" t="str">
            <v>22:02</v>
          </cell>
          <cell r="N180" t="str">
            <v>00:21</v>
          </cell>
          <cell r="O180">
            <v>0</v>
          </cell>
          <cell r="P180">
            <v>0</v>
          </cell>
          <cell r="Q180">
            <v>1</v>
          </cell>
        </row>
        <row r="181">
          <cell r="A181" t="str">
            <v>13</v>
          </cell>
          <cell r="B181" t="str">
            <v>REALITY SHOW</v>
          </cell>
          <cell r="C181" t="str">
            <v>CRIMEN Y MISTERIO</v>
          </cell>
          <cell r="D181">
            <v>7.4</v>
          </cell>
          <cell r="E181">
            <v>213776</v>
          </cell>
          <cell r="H181">
            <v>7.4</v>
          </cell>
          <cell r="M181" t="str">
            <v>22:01</v>
          </cell>
          <cell r="N181" t="str">
            <v>23:02</v>
          </cell>
          <cell r="O181">
            <v>0</v>
          </cell>
          <cell r="P181">
            <v>0</v>
          </cell>
          <cell r="Q181">
            <v>1</v>
          </cell>
        </row>
        <row r="182">
          <cell r="A182" t="str">
            <v>13</v>
          </cell>
          <cell r="B182" t="str">
            <v>INFORMATIVO</v>
          </cell>
          <cell r="C182" t="str">
            <v>RED NACIONAL</v>
          </cell>
          <cell r="D182">
            <v>7.4</v>
          </cell>
          <cell r="E182">
            <v>213314</v>
          </cell>
          <cell r="H182">
            <v>7.4</v>
          </cell>
          <cell r="M182" t="str">
            <v>21:00</v>
          </cell>
          <cell r="N182" t="str">
            <v>21:09</v>
          </cell>
          <cell r="O182">
            <v>0</v>
          </cell>
          <cell r="P182">
            <v>0</v>
          </cell>
          <cell r="Q182">
            <v>1</v>
          </cell>
        </row>
        <row r="183">
          <cell r="A183" t="str">
            <v>13</v>
          </cell>
          <cell r="B183" t="str">
            <v>MUSICAL</v>
          </cell>
          <cell r="C183" t="str">
            <v>VINA CANCION CHILENA</v>
          </cell>
          <cell r="D183">
            <v>7.1</v>
          </cell>
          <cell r="E183">
            <v>204923</v>
          </cell>
          <cell r="F183">
            <v>7.1</v>
          </cell>
          <cell r="M183" t="str">
            <v>21:58</v>
          </cell>
          <cell r="N183" t="str">
            <v>23:50</v>
          </cell>
          <cell r="O183">
            <v>0</v>
          </cell>
          <cell r="P183">
            <v>0</v>
          </cell>
          <cell r="Q183">
            <v>1</v>
          </cell>
        </row>
        <row r="184">
          <cell r="A184" t="str">
            <v>13</v>
          </cell>
          <cell r="B184" t="str">
            <v>REPORTAJE</v>
          </cell>
          <cell r="C184" t="str">
            <v>CONTACTO</v>
          </cell>
          <cell r="D184">
            <v>6.9</v>
          </cell>
          <cell r="E184">
            <v>197538</v>
          </cell>
          <cell r="G184">
            <v>6.9</v>
          </cell>
          <cell r="M184" t="str">
            <v>21:59</v>
          </cell>
          <cell r="N184" t="str">
            <v>23:33</v>
          </cell>
          <cell r="O184">
            <v>0</v>
          </cell>
          <cell r="P184">
            <v>0</v>
          </cell>
          <cell r="Q184">
            <v>1</v>
          </cell>
        </row>
        <row r="185">
          <cell r="A185" t="str">
            <v>13</v>
          </cell>
          <cell r="B185" t="str">
            <v>NOTICIERO</v>
          </cell>
          <cell r="C185" t="str">
            <v>TELETRECE</v>
          </cell>
          <cell r="D185">
            <v>6.8</v>
          </cell>
          <cell r="E185">
            <v>195357</v>
          </cell>
          <cell r="F185">
            <v>7.9</v>
          </cell>
          <cell r="G185">
            <v>9.1</v>
          </cell>
          <cell r="H185">
            <v>5.2</v>
          </cell>
          <cell r="I185">
            <v>8.4</v>
          </cell>
          <cell r="J185">
            <v>6.2</v>
          </cell>
          <cell r="K185">
            <v>4.5</v>
          </cell>
          <cell r="L185">
            <v>6.3</v>
          </cell>
          <cell r="M185" t="str">
            <v>21:00</v>
          </cell>
          <cell r="N185" t="str">
            <v>21:57</v>
          </cell>
          <cell r="O185">
            <v>0</v>
          </cell>
          <cell r="P185">
            <v>0</v>
          </cell>
          <cell r="Q185">
            <v>7</v>
          </cell>
        </row>
        <row r="186">
          <cell r="A186" t="str">
            <v>13</v>
          </cell>
          <cell r="B186" t="str">
            <v>INFORMATIVO</v>
          </cell>
          <cell r="C186" t="str">
            <v>EL TIEMPO</v>
          </cell>
          <cell r="D186">
            <v>5.6</v>
          </cell>
          <cell r="E186">
            <v>161117</v>
          </cell>
          <cell r="F186">
            <v>4.9000000000000004</v>
          </cell>
          <cell r="G186">
            <v>8.6999999999999993</v>
          </cell>
          <cell r="H186">
            <v>5.2</v>
          </cell>
          <cell r="I186">
            <v>6.6</v>
          </cell>
          <cell r="J186">
            <v>5</v>
          </cell>
          <cell r="K186">
            <v>3.5</v>
          </cell>
          <cell r="L186">
            <v>5.4</v>
          </cell>
          <cell r="M186" t="str">
            <v>21:54</v>
          </cell>
          <cell r="N186" t="str">
            <v>22:01</v>
          </cell>
          <cell r="O186">
            <v>0</v>
          </cell>
          <cell r="P186">
            <v>0</v>
          </cell>
          <cell r="Q186">
            <v>7</v>
          </cell>
        </row>
        <row r="187">
          <cell r="A187" t="str">
            <v>13</v>
          </cell>
          <cell r="B187" t="str">
            <v>REPORTAJE</v>
          </cell>
          <cell r="C187" t="str">
            <v>DIAGNOSTICO</v>
          </cell>
          <cell r="D187">
            <v>4.9000000000000004</v>
          </cell>
          <cell r="E187">
            <v>140660</v>
          </cell>
          <cell r="I187">
            <v>4.9000000000000004</v>
          </cell>
          <cell r="M187" t="str">
            <v>22:00</v>
          </cell>
          <cell r="N187" t="str">
            <v>23:14</v>
          </cell>
          <cell r="O187">
            <v>0</v>
          </cell>
          <cell r="P187">
            <v>0</v>
          </cell>
          <cell r="Q187">
            <v>1</v>
          </cell>
        </row>
        <row r="188">
          <cell r="A188" t="str">
            <v>13</v>
          </cell>
          <cell r="B188" t="str">
            <v>DEPORTIVO</v>
          </cell>
          <cell r="C188" t="str">
            <v>VIVA LA ROJA</v>
          </cell>
          <cell r="D188">
            <v>4.5999999999999996</v>
          </cell>
          <cell r="E188">
            <v>132536</v>
          </cell>
          <cell r="L188">
            <v>4.5999999999999996</v>
          </cell>
          <cell r="M188" t="str">
            <v>18:05</v>
          </cell>
          <cell r="N188" t="str">
            <v>18:40</v>
          </cell>
          <cell r="O188">
            <v>0</v>
          </cell>
          <cell r="P188">
            <v>0</v>
          </cell>
          <cell r="Q188">
            <v>1</v>
          </cell>
        </row>
        <row r="189">
          <cell r="A189" t="str">
            <v>13</v>
          </cell>
          <cell r="B189" t="str">
            <v>TELENOVELA</v>
          </cell>
          <cell r="C189" t="str">
            <v>MARPARAISO</v>
          </cell>
          <cell r="D189">
            <v>4.5</v>
          </cell>
          <cell r="E189">
            <v>130395</v>
          </cell>
          <cell r="F189">
            <v>4.8</v>
          </cell>
          <cell r="G189">
            <v>5.0999999999999996</v>
          </cell>
          <cell r="H189">
            <v>4.3</v>
          </cell>
          <cell r="I189">
            <v>5.0999999999999996</v>
          </cell>
          <cell r="J189">
            <v>3.4</v>
          </cell>
          <cell r="M189" t="str">
            <v>18:58</v>
          </cell>
          <cell r="N189" t="str">
            <v>20:07</v>
          </cell>
          <cell r="O189">
            <v>0</v>
          </cell>
          <cell r="P189">
            <v>0</v>
          </cell>
          <cell r="Q189">
            <v>5</v>
          </cell>
        </row>
        <row r="190">
          <cell r="A190" t="str">
            <v>13</v>
          </cell>
          <cell r="B190" t="str">
            <v>FUTBOL</v>
          </cell>
          <cell r="C190" t="str">
            <v>ELIMINATORIA KOREA-JAPON 2002</v>
          </cell>
          <cell r="D190">
            <v>4.0999999999999996</v>
          </cell>
          <cell r="E190">
            <v>117715</v>
          </cell>
          <cell r="L190">
            <v>4.0999999999999996</v>
          </cell>
          <cell r="M190" t="str">
            <v>18:41</v>
          </cell>
          <cell r="N190" t="str">
            <v>21:00</v>
          </cell>
          <cell r="O190">
            <v>0</v>
          </cell>
          <cell r="P190">
            <v>0</v>
          </cell>
          <cell r="Q190">
            <v>1</v>
          </cell>
        </row>
        <row r="191">
          <cell r="A191" t="str">
            <v>13</v>
          </cell>
          <cell r="B191" t="str">
            <v>TELENOVELA</v>
          </cell>
          <cell r="C191" t="str">
            <v>YO SOY BETTY,LA FEA (RESUMEN)</v>
          </cell>
          <cell r="D191">
            <v>4</v>
          </cell>
          <cell r="E191">
            <v>116161</v>
          </cell>
          <cell r="L191">
            <v>4</v>
          </cell>
          <cell r="M191" t="str">
            <v>16:55</v>
          </cell>
          <cell r="N191" t="str">
            <v>18:03</v>
          </cell>
          <cell r="O191">
            <v>0</v>
          </cell>
          <cell r="P191">
            <v>0</v>
          </cell>
          <cell r="Q191">
            <v>1</v>
          </cell>
        </row>
        <row r="192">
          <cell r="A192" t="str">
            <v>13</v>
          </cell>
          <cell r="B192" t="str">
            <v>VARIEDAD</v>
          </cell>
          <cell r="C192" t="str">
            <v>SABADO GIGANTE INTERNACIONAL</v>
          </cell>
          <cell r="D192">
            <v>3.7</v>
          </cell>
          <cell r="E192">
            <v>105780</v>
          </cell>
          <cell r="K192">
            <v>3.7</v>
          </cell>
          <cell r="M192" t="str">
            <v>18:17</v>
          </cell>
          <cell r="N192" t="str">
            <v>20:59</v>
          </cell>
          <cell r="O192">
            <v>0</v>
          </cell>
          <cell r="P192">
            <v>0</v>
          </cell>
          <cell r="Q192">
            <v>1</v>
          </cell>
        </row>
        <row r="193">
          <cell r="A193" t="str">
            <v>13</v>
          </cell>
          <cell r="B193" t="str">
            <v>DEPORTIVO</v>
          </cell>
          <cell r="C193" t="str">
            <v>FUTGOL</v>
          </cell>
          <cell r="D193">
            <v>3.6</v>
          </cell>
          <cell r="E193">
            <v>102421</v>
          </cell>
          <cell r="L193">
            <v>3.6</v>
          </cell>
          <cell r="M193" t="str">
            <v>00:22</v>
          </cell>
          <cell r="N193" t="str">
            <v>01:34</v>
          </cell>
          <cell r="O193">
            <v>0</v>
          </cell>
          <cell r="P193">
            <v>0</v>
          </cell>
          <cell r="Q193">
            <v>1</v>
          </cell>
        </row>
        <row r="194">
          <cell r="A194" t="str">
            <v>13</v>
          </cell>
          <cell r="B194" t="str">
            <v>NOTICIERO</v>
          </cell>
          <cell r="C194" t="str">
            <v>TELENOCHE</v>
          </cell>
          <cell r="D194">
            <v>3.4</v>
          </cell>
          <cell r="E194">
            <v>98539</v>
          </cell>
          <cell r="F194">
            <v>3</v>
          </cell>
          <cell r="G194">
            <v>3.3</v>
          </cell>
          <cell r="H194">
            <v>2.7</v>
          </cell>
          <cell r="I194">
            <v>2.4</v>
          </cell>
          <cell r="J194">
            <v>5.8</v>
          </cell>
          <cell r="M194" t="str">
            <v>23:34</v>
          </cell>
          <cell r="N194" t="str">
            <v>00:48</v>
          </cell>
          <cell r="O194">
            <v>0</v>
          </cell>
          <cell r="P194">
            <v>0</v>
          </cell>
          <cell r="Q194">
            <v>5</v>
          </cell>
        </row>
        <row r="195">
          <cell r="A195" t="str">
            <v>13</v>
          </cell>
          <cell r="B195" t="str">
            <v>CONVERSACION</v>
          </cell>
          <cell r="C195" t="str">
            <v>EL TRICICLO</v>
          </cell>
          <cell r="D195">
            <v>3.4</v>
          </cell>
          <cell r="E195">
            <v>97575</v>
          </cell>
          <cell r="K195">
            <v>3.4</v>
          </cell>
          <cell r="M195" t="str">
            <v>22:00</v>
          </cell>
          <cell r="N195" t="str">
            <v>23:35</v>
          </cell>
          <cell r="O195">
            <v>0</v>
          </cell>
          <cell r="P195">
            <v>0</v>
          </cell>
          <cell r="Q195">
            <v>1</v>
          </cell>
        </row>
        <row r="196">
          <cell r="A196" t="str">
            <v>13</v>
          </cell>
          <cell r="B196" t="str">
            <v>NOTICIERO</v>
          </cell>
          <cell r="C196" t="str">
            <v>TELETRECE A.M.</v>
          </cell>
          <cell r="D196">
            <v>3.4</v>
          </cell>
          <cell r="E196">
            <v>96456</v>
          </cell>
          <cell r="F196">
            <v>3</v>
          </cell>
          <cell r="G196">
            <v>3.8</v>
          </cell>
          <cell r="H196">
            <v>3.3</v>
          </cell>
          <cell r="I196">
            <v>3.5</v>
          </cell>
          <cell r="J196">
            <v>3.2</v>
          </cell>
          <cell r="M196" t="str">
            <v>06:59</v>
          </cell>
          <cell r="N196" t="str">
            <v>08:01</v>
          </cell>
          <cell r="O196">
            <v>0</v>
          </cell>
          <cell r="P196">
            <v>0</v>
          </cell>
          <cell r="Q196">
            <v>5</v>
          </cell>
        </row>
        <row r="197">
          <cell r="A197" t="str">
            <v>13</v>
          </cell>
          <cell r="B197" t="str">
            <v>TELENOVELA</v>
          </cell>
          <cell r="C197" t="str">
            <v>FUERZA DEL DESEO</v>
          </cell>
          <cell r="D197">
            <v>2.9</v>
          </cell>
          <cell r="E197">
            <v>84595</v>
          </cell>
          <cell r="F197">
            <v>3.6</v>
          </cell>
          <cell r="G197">
            <v>3.1</v>
          </cell>
          <cell r="H197">
            <v>3</v>
          </cell>
          <cell r="I197">
            <v>2.6</v>
          </cell>
          <cell r="J197">
            <v>2.5</v>
          </cell>
          <cell r="M197" t="str">
            <v>14:04</v>
          </cell>
          <cell r="N197" t="str">
            <v>15:19</v>
          </cell>
          <cell r="O197">
            <v>0</v>
          </cell>
          <cell r="P197">
            <v>0</v>
          </cell>
          <cell r="Q197">
            <v>5</v>
          </cell>
        </row>
        <row r="198">
          <cell r="A198" t="str">
            <v>13</v>
          </cell>
          <cell r="B198" t="str">
            <v>PELICULA</v>
          </cell>
          <cell r="C198" t="str">
            <v>CINE EN SU CASA</v>
          </cell>
          <cell r="D198">
            <v>2.9</v>
          </cell>
          <cell r="E198">
            <v>83737</v>
          </cell>
          <cell r="F198">
            <v>3.4</v>
          </cell>
          <cell r="G198">
            <v>4.2</v>
          </cell>
          <cell r="H198">
            <v>2.9</v>
          </cell>
          <cell r="I198">
            <v>1.8</v>
          </cell>
          <cell r="J198">
            <v>2.2999999999999998</v>
          </cell>
          <cell r="M198" t="str">
            <v>17:00</v>
          </cell>
          <cell r="N198" t="str">
            <v>19:03</v>
          </cell>
          <cell r="O198">
            <v>0</v>
          </cell>
          <cell r="P198">
            <v>0</v>
          </cell>
          <cell r="Q198">
            <v>5</v>
          </cell>
        </row>
        <row r="199">
          <cell r="A199" t="str">
            <v>13</v>
          </cell>
          <cell r="B199" t="str">
            <v>PELICULA</v>
          </cell>
          <cell r="C199" t="str">
            <v>CINE DE MEDIANOCHE</v>
          </cell>
          <cell r="D199">
            <v>2.8</v>
          </cell>
          <cell r="E199">
            <v>81492</v>
          </cell>
          <cell r="K199">
            <v>2.8</v>
          </cell>
          <cell r="M199" t="str">
            <v>23:38</v>
          </cell>
          <cell r="N199" t="str">
            <v>02:05</v>
          </cell>
          <cell r="O199">
            <v>0</v>
          </cell>
          <cell r="P199">
            <v>0</v>
          </cell>
          <cell r="Q199">
            <v>1</v>
          </cell>
        </row>
        <row r="200">
          <cell r="A200" t="str">
            <v>13</v>
          </cell>
          <cell r="B200" t="str">
            <v>SERIE</v>
          </cell>
          <cell r="C200" t="str">
            <v>POLICIA DE NUEVA YORK</v>
          </cell>
          <cell r="D200">
            <v>2.8</v>
          </cell>
          <cell r="E200">
            <v>81493</v>
          </cell>
          <cell r="I200">
            <v>2.8</v>
          </cell>
          <cell r="M200" t="str">
            <v>23:15</v>
          </cell>
          <cell r="N200" t="str">
            <v>00:01</v>
          </cell>
          <cell r="O200">
            <v>0</v>
          </cell>
          <cell r="P200">
            <v>0</v>
          </cell>
          <cell r="Q200">
            <v>1</v>
          </cell>
        </row>
        <row r="201">
          <cell r="A201" t="str">
            <v>13</v>
          </cell>
          <cell r="B201" t="str">
            <v>SERIE</v>
          </cell>
          <cell r="C201" t="str">
            <v>ALLY MC BEAL</v>
          </cell>
          <cell r="D201">
            <v>2.5</v>
          </cell>
          <cell r="E201">
            <v>72441</v>
          </cell>
          <cell r="H201">
            <v>2.5</v>
          </cell>
          <cell r="M201" t="str">
            <v>23:03</v>
          </cell>
          <cell r="N201" t="str">
            <v>23:49</v>
          </cell>
          <cell r="O201">
            <v>0</v>
          </cell>
          <cell r="P201">
            <v>0</v>
          </cell>
          <cell r="Q201">
            <v>1</v>
          </cell>
        </row>
        <row r="202">
          <cell r="A202" t="str">
            <v>13</v>
          </cell>
          <cell r="B202" t="str">
            <v>MISCELANEO</v>
          </cell>
          <cell r="C202" t="str">
            <v>ESTA DE MODA</v>
          </cell>
          <cell r="D202">
            <v>2.4</v>
          </cell>
          <cell r="E202">
            <v>70219</v>
          </cell>
          <cell r="F202">
            <v>2.7</v>
          </cell>
          <cell r="G202">
            <v>2.5</v>
          </cell>
          <cell r="H202">
            <v>2.1</v>
          </cell>
          <cell r="I202">
            <v>2.8</v>
          </cell>
          <cell r="J202">
            <v>2.2999999999999998</v>
          </cell>
          <cell r="M202" t="str">
            <v>15:12</v>
          </cell>
          <cell r="N202" t="str">
            <v>15:22</v>
          </cell>
          <cell r="O202">
            <v>0</v>
          </cell>
          <cell r="P202">
            <v>0</v>
          </cell>
          <cell r="Q202">
            <v>5</v>
          </cell>
        </row>
        <row r="203">
          <cell r="A203" t="str">
            <v>13</v>
          </cell>
          <cell r="B203" t="str">
            <v>MISCELANEO</v>
          </cell>
          <cell r="C203" t="str">
            <v>LA MANANA DEL TRECE</v>
          </cell>
          <cell r="D203">
            <v>2.2999999999999998</v>
          </cell>
          <cell r="E203">
            <v>64711</v>
          </cell>
          <cell r="F203">
            <v>1.8</v>
          </cell>
          <cell r="G203">
            <v>1.5</v>
          </cell>
          <cell r="H203">
            <v>2.7</v>
          </cell>
          <cell r="I203">
            <v>2.8</v>
          </cell>
          <cell r="J203">
            <v>2.4</v>
          </cell>
          <cell r="M203" t="str">
            <v>08:00</v>
          </cell>
          <cell r="N203" t="str">
            <v>12:42</v>
          </cell>
          <cell r="O203">
            <v>0</v>
          </cell>
          <cell r="P203">
            <v>0</v>
          </cell>
          <cell r="Q203">
            <v>5</v>
          </cell>
        </row>
        <row r="204">
          <cell r="A204" t="str">
            <v>13</v>
          </cell>
          <cell r="B204" t="str">
            <v>EV_DEPORTIVO</v>
          </cell>
          <cell r="C204" t="str">
            <v>TORNEO DE HONG KONG</v>
          </cell>
          <cell r="D204">
            <v>2.2000000000000002</v>
          </cell>
          <cell r="E204">
            <v>64351</v>
          </cell>
          <cell r="G204">
            <v>1.6</v>
          </cell>
          <cell r="I204">
            <v>2.9</v>
          </cell>
          <cell r="M204" t="str">
            <v>08:01</v>
          </cell>
          <cell r="N204" t="str">
            <v>03:56</v>
          </cell>
          <cell r="O204">
            <v>0</v>
          </cell>
          <cell r="P204">
            <v>0</v>
          </cell>
          <cell r="Q204">
            <v>3</v>
          </cell>
        </row>
        <row r="205">
          <cell r="A205" t="str">
            <v>13</v>
          </cell>
          <cell r="B205" t="str">
            <v>VARIEDAD</v>
          </cell>
          <cell r="C205" t="str">
            <v>FIESTA GIGANTE</v>
          </cell>
          <cell r="D205">
            <v>2.2000000000000002</v>
          </cell>
          <cell r="E205">
            <v>62613</v>
          </cell>
          <cell r="K205">
            <v>2.2000000000000002</v>
          </cell>
          <cell r="M205" t="str">
            <v>17:21</v>
          </cell>
          <cell r="N205" t="str">
            <v>18:15</v>
          </cell>
          <cell r="O205">
            <v>0</v>
          </cell>
          <cell r="P205">
            <v>0</v>
          </cell>
          <cell r="Q205">
            <v>1</v>
          </cell>
        </row>
        <row r="206">
          <cell r="A206" t="str">
            <v>13</v>
          </cell>
          <cell r="B206" t="str">
            <v>PELICULA</v>
          </cell>
          <cell r="C206" t="str">
            <v>CINE DE ULTIMA FUNCION</v>
          </cell>
          <cell r="D206">
            <v>2.1</v>
          </cell>
          <cell r="E206">
            <v>61318</v>
          </cell>
          <cell r="F206">
            <v>2</v>
          </cell>
          <cell r="G206">
            <v>2.7</v>
          </cell>
          <cell r="H206">
            <v>1.8</v>
          </cell>
          <cell r="I206">
            <v>1.1000000000000001</v>
          </cell>
          <cell r="J206">
            <v>3.1</v>
          </cell>
          <cell r="M206" t="str">
            <v>00:26</v>
          </cell>
          <cell r="N206" t="str">
            <v>02:26</v>
          </cell>
          <cell r="O206">
            <v>0</v>
          </cell>
          <cell r="P206">
            <v>0</v>
          </cell>
          <cell r="Q206">
            <v>5</v>
          </cell>
        </row>
        <row r="207">
          <cell r="A207" t="str">
            <v>13</v>
          </cell>
          <cell r="B207" t="str">
            <v>SERIE</v>
          </cell>
          <cell r="C207" t="str">
            <v>Y FUERON INFELICES PARA SIEMPR</v>
          </cell>
          <cell r="D207">
            <v>2</v>
          </cell>
          <cell r="E207">
            <v>56966</v>
          </cell>
          <cell r="G207">
            <v>2</v>
          </cell>
          <cell r="M207" t="str">
            <v>01:21</v>
          </cell>
          <cell r="N207" t="str">
            <v>01:44</v>
          </cell>
          <cell r="O207">
            <v>0</v>
          </cell>
          <cell r="P207">
            <v>0</v>
          </cell>
          <cell r="Q207">
            <v>1</v>
          </cell>
        </row>
        <row r="208">
          <cell r="A208" t="str">
            <v>13</v>
          </cell>
          <cell r="B208" t="str">
            <v>INFANTIL</v>
          </cell>
          <cell r="C208" t="str">
            <v>EL MUNDO DEL PROFESOR ROSSA</v>
          </cell>
          <cell r="D208">
            <v>1.9</v>
          </cell>
          <cell r="E208">
            <v>53392</v>
          </cell>
          <cell r="K208">
            <v>1.9</v>
          </cell>
          <cell r="M208" t="str">
            <v>15:01</v>
          </cell>
          <cell r="N208" t="str">
            <v>16:19</v>
          </cell>
          <cell r="O208">
            <v>0</v>
          </cell>
          <cell r="P208">
            <v>0</v>
          </cell>
          <cell r="Q208">
            <v>1</v>
          </cell>
        </row>
        <row r="209">
          <cell r="A209" t="str">
            <v>13</v>
          </cell>
          <cell r="B209" t="str">
            <v>NOTICIERO</v>
          </cell>
          <cell r="C209" t="str">
            <v>TELETARDE</v>
          </cell>
          <cell r="D209">
            <v>1.8</v>
          </cell>
          <cell r="E209">
            <v>53061</v>
          </cell>
          <cell r="F209">
            <v>2.4</v>
          </cell>
          <cell r="G209">
            <v>1.4</v>
          </cell>
          <cell r="H209">
            <v>2</v>
          </cell>
          <cell r="I209">
            <v>2.2999999999999998</v>
          </cell>
          <cell r="J209">
            <v>1.8</v>
          </cell>
          <cell r="K209">
            <v>2</v>
          </cell>
          <cell r="L209">
            <v>1.2</v>
          </cell>
          <cell r="M209" t="str">
            <v>13:29</v>
          </cell>
          <cell r="N209" t="str">
            <v>14:31</v>
          </cell>
          <cell r="O209">
            <v>0</v>
          </cell>
          <cell r="P209">
            <v>0</v>
          </cell>
          <cell r="Q209">
            <v>7</v>
          </cell>
        </row>
        <row r="210">
          <cell r="A210" t="str">
            <v>13</v>
          </cell>
          <cell r="B210" t="str">
            <v>INFANTIL</v>
          </cell>
          <cell r="C210" t="str">
            <v>CACHUREOS</v>
          </cell>
          <cell r="D210">
            <v>1.7</v>
          </cell>
          <cell r="E210">
            <v>48127</v>
          </cell>
          <cell r="L210">
            <v>1.7</v>
          </cell>
          <cell r="M210" t="str">
            <v>10:27</v>
          </cell>
          <cell r="N210" t="str">
            <v>11:55</v>
          </cell>
          <cell r="O210">
            <v>0</v>
          </cell>
          <cell r="P210">
            <v>0</v>
          </cell>
          <cell r="Q210">
            <v>1</v>
          </cell>
        </row>
        <row r="211">
          <cell r="A211" t="str">
            <v>13</v>
          </cell>
          <cell r="B211" t="str">
            <v>D_ANIMADOS</v>
          </cell>
          <cell r="C211" t="str">
            <v>GARFIELD</v>
          </cell>
          <cell r="D211">
            <v>1.6</v>
          </cell>
          <cell r="E211">
            <v>46924</v>
          </cell>
          <cell r="K211">
            <v>1.6</v>
          </cell>
          <cell r="M211" t="str">
            <v>14:33</v>
          </cell>
          <cell r="N211" t="str">
            <v>14:58</v>
          </cell>
          <cell r="O211">
            <v>0</v>
          </cell>
          <cell r="P211">
            <v>0</v>
          </cell>
          <cell r="Q211">
            <v>1</v>
          </cell>
        </row>
        <row r="212">
          <cell r="A212" t="str">
            <v>13</v>
          </cell>
          <cell r="B212" t="str">
            <v>EDUCATIVO</v>
          </cell>
          <cell r="C212" t="str">
            <v>HAGALO USTED MISMO</v>
          </cell>
          <cell r="D212">
            <v>1.6</v>
          </cell>
          <cell r="E212">
            <v>44757</v>
          </cell>
          <cell r="K212">
            <v>1.6</v>
          </cell>
          <cell r="M212" t="str">
            <v>09:45</v>
          </cell>
          <cell r="N212" t="str">
            <v>09:59</v>
          </cell>
          <cell r="O212">
            <v>0</v>
          </cell>
          <cell r="P212">
            <v>0</v>
          </cell>
          <cell r="Q212">
            <v>1</v>
          </cell>
        </row>
        <row r="213">
          <cell r="A213" t="str">
            <v>13</v>
          </cell>
          <cell r="B213" t="str">
            <v>D_ANIMADOS</v>
          </cell>
          <cell r="C213" t="str">
            <v>ROBIN HOOD</v>
          </cell>
          <cell r="D213">
            <v>1.6</v>
          </cell>
          <cell r="E213">
            <v>47084</v>
          </cell>
          <cell r="L213">
            <v>1.6</v>
          </cell>
          <cell r="M213" t="str">
            <v>16:02</v>
          </cell>
          <cell r="N213" t="str">
            <v>16:52</v>
          </cell>
          <cell r="O213">
            <v>0</v>
          </cell>
          <cell r="P213">
            <v>0</v>
          </cell>
          <cell r="Q213">
            <v>1</v>
          </cell>
        </row>
        <row r="214">
          <cell r="A214" t="str">
            <v>13</v>
          </cell>
          <cell r="B214" t="str">
            <v>SERIE</v>
          </cell>
          <cell r="C214" t="str">
            <v>TAL PARA CUAL</v>
          </cell>
          <cell r="D214">
            <v>1.6</v>
          </cell>
          <cell r="E214">
            <v>47102</v>
          </cell>
          <cell r="K214">
            <v>1.6</v>
          </cell>
          <cell r="M214" t="str">
            <v>16:56</v>
          </cell>
          <cell r="N214" t="str">
            <v>17:18</v>
          </cell>
          <cell r="O214">
            <v>0</v>
          </cell>
          <cell r="P214">
            <v>0</v>
          </cell>
          <cell r="Q214">
            <v>1</v>
          </cell>
        </row>
        <row r="215">
          <cell r="A215" t="str">
            <v>13</v>
          </cell>
          <cell r="B215" t="str">
            <v>TELENOVELA</v>
          </cell>
          <cell r="C215" t="str">
            <v>FACIL DE AMAR</v>
          </cell>
          <cell r="D215">
            <v>1.5</v>
          </cell>
          <cell r="E215">
            <v>43887</v>
          </cell>
          <cell r="F215">
            <v>1.1000000000000001</v>
          </cell>
          <cell r="G215">
            <v>0.7</v>
          </cell>
          <cell r="H215">
            <v>2.4</v>
          </cell>
          <cell r="I215">
            <v>2.2000000000000002</v>
          </cell>
          <cell r="J215">
            <v>1.2</v>
          </cell>
          <cell r="M215" t="str">
            <v>12:32</v>
          </cell>
          <cell r="N215" t="str">
            <v>13:30</v>
          </cell>
          <cell r="O215">
            <v>0</v>
          </cell>
          <cell r="P215">
            <v>0</v>
          </cell>
          <cell r="Q215">
            <v>5</v>
          </cell>
        </row>
        <row r="216">
          <cell r="A216" t="str">
            <v>13</v>
          </cell>
          <cell r="B216" t="str">
            <v>SERIE</v>
          </cell>
          <cell r="C216" t="str">
            <v>LA REPORTERA DEL CRIMEN</v>
          </cell>
          <cell r="D216">
            <v>1.4</v>
          </cell>
          <cell r="E216">
            <v>41492</v>
          </cell>
          <cell r="K216">
            <v>1.4</v>
          </cell>
          <cell r="M216" t="str">
            <v>08:52</v>
          </cell>
          <cell r="N216" t="str">
            <v>09:43</v>
          </cell>
          <cell r="O216">
            <v>0</v>
          </cell>
          <cell r="P216">
            <v>0</v>
          </cell>
          <cell r="Q216">
            <v>1</v>
          </cell>
        </row>
        <row r="217">
          <cell r="A217" t="str">
            <v>13</v>
          </cell>
          <cell r="B217" t="str">
            <v>VIDEO CLIP</v>
          </cell>
          <cell r="C217" t="str">
            <v>MADRUGANDO EN EL TRECE</v>
          </cell>
          <cell r="D217">
            <v>1.4</v>
          </cell>
          <cell r="E217">
            <v>40367</v>
          </cell>
          <cell r="F217">
            <v>0.7</v>
          </cell>
          <cell r="G217">
            <v>1.7</v>
          </cell>
          <cell r="H217">
            <v>1.5</v>
          </cell>
          <cell r="I217">
            <v>1.3</v>
          </cell>
          <cell r="J217">
            <v>1.8</v>
          </cell>
          <cell r="M217" t="str">
            <v>06:14</v>
          </cell>
          <cell r="N217" t="str">
            <v>07:00</v>
          </cell>
          <cell r="O217">
            <v>0</v>
          </cell>
          <cell r="P217">
            <v>0</v>
          </cell>
          <cell r="Q217">
            <v>5</v>
          </cell>
        </row>
        <row r="218">
          <cell r="A218" t="str">
            <v>13</v>
          </cell>
          <cell r="B218" t="str">
            <v>EV_DEPORTIVO</v>
          </cell>
          <cell r="C218" t="str">
            <v>ECUESTRE CONTINETAL 2000</v>
          </cell>
          <cell r="D218">
            <v>1.4</v>
          </cell>
          <cell r="E218">
            <v>40149</v>
          </cell>
          <cell r="L218">
            <v>1.4</v>
          </cell>
          <cell r="M218" t="str">
            <v>14:31</v>
          </cell>
          <cell r="N218" t="str">
            <v>16:01</v>
          </cell>
          <cell r="O218">
            <v>0</v>
          </cell>
          <cell r="P218">
            <v>0</v>
          </cell>
          <cell r="Q218">
            <v>1</v>
          </cell>
        </row>
        <row r="219">
          <cell r="A219" t="str">
            <v>13</v>
          </cell>
          <cell r="B219" t="str">
            <v>TELENOVELA</v>
          </cell>
          <cell r="C219" t="str">
            <v>VIDAS PRESTADAS</v>
          </cell>
          <cell r="D219">
            <v>1.3</v>
          </cell>
          <cell r="E219">
            <v>38606</v>
          </cell>
          <cell r="F219">
            <v>1.6</v>
          </cell>
          <cell r="G219">
            <v>1.6</v>
          </cell>
          <cell r="H219">
            <v>1.2</v>
          </cell>
          <cell r="I219">
            <v>1.4</v>
          </cell>
          <cell r="J219">
            <v>1</v>
          </cell>
          <cell r="M219" t="str">
            <v>15:14</v>
          </cell>
          <cell r="N219" t="str">
            <v>16:10</v>
          </cell>
          <cell r="O219">
            <v>0</v>
          </cell>
          <cell r="P219">
            <v>0</v>
          </cell>
          <cell r="Q219">
            <v>5</v>
          </cell>
        </row>
        <row r="220">
          <cell r="A220" t="str">
            <v>13</v>
          </cell>
          <cell r="B220" t="str">
            <v>SERIE</v>
          </cell>
          <cell r="C220" t="str">
            <v>APRENDIENDO A VIVIR</v>
          </cell>
          <cell r="D220">
            <v>1.2</v>
          </cell>
          <cell r="E220">
            <v>35043</v>
          </cell>
          <cell r="F220">
            <v>1.1000000000000001</v>
          </cell>
          <cell r="G220">
            <v>1.3</v>
          </cell>
          <cell r="H220">
            <v>1.1000000000000001</v>
          </cell>
          <cell r="I220">
            <v>1.5</v>
          </cell>
          <cell r="J220">
            <v>1.1000000000000001</v>
          </cell>
          <cell r="M220" t="str">
            <v>16:32</v>
          </cell>
          <cell r="N220" t="str">
            <v>17:23</v>
          </cell>
          <cell r="O220">
            <v>0</v>
          </cell>
          <cell r="P220">
            <v>0</v>
          </cell>
          <cell r="Q220">
            <v>5</v>
          </cell>
        </row>
        <row r="221">
          <cell r="A221" t="str">
            <v>13</v>
          </cell>
          <cell r="B221" t="str">
            <v>D_ANIMADOS</v>
          </cell>
          <cell r="C221" t="str">
            <v>TOM Y JERRY</v>
          </cell>
          <cell r="D221">
            <v>1.2</v>
          </cell>
          <cell r="E221">
            <v>34956</v>
          </cell>
          <cell r="K221">
            <v>1.2</v>
          </cell>
          <cell r="M221" t="str">
            <v>16:20</v>
          </cell>
          <cell r="N221" t="str">
            <v>16:54</v>
          </cell>
          <cell r="O221">
            <v>0</v>
          </cell>
          <cell r="P221">
            <v>0</v>
          </cell>
          <cell r="Q221">
            <v>1</v>
          </cell>
        </row>
        <row r="222">
          <cell r="A222" t="str">
            <v>13</v>
          </cell>
          <cell r="B222" t="str">
            <v>CULTURAL</v>
          </cell>
          <cell r="C222" t="str">
            <v>DISCOVERY</v>
          </cell>
          <cell r="D222">
            <v>1.1000000000000001</v>
          </cell>
          <cell r="E222">
            <v>32877</v>
          </cell>
          <cell r="K222">
            <v>1.1000000000000001</v>
          </cell>
          <cell r="M222" t="str">
            <v>13:04</v>
          </cell>
          <cell r="N222" t="str">
            <v>13:58</v>
          </cell>
          <cell r="O222">
            <v>0</v>
          </cell>
          <cell r="P222">
            <v>0</v>
          </cell>
          <cell r="Q222">
            <v>1</v>
          </cell>
        </row>
        <row r="223">
          <cell r="A223" t="str">
            <v>13</v>
          </cell>
          <cell r="B223" t="str">
            <v>SERIE</v>
          </cell>
          <cell r="C223" t="str">
            <v>LIBRE COMO EL VIENTO</v>
          </cell>
          <cell r="D223">
            <v>1</v>
          </cell>
          <cell r="E223">
            <v>29891</v>
          </cell>
          <cell r="F223">
            <v>1.2</v>
          </cell>
          <cell r="G223">
            <v>1.1000000000000001</v>
          </cell>
          <cell r="H223">
            <v>1</v>
          </cell>
          <cell r="I223">
            <v>1.3</v>
          </cell>
          <cell r="J223">
            <v>0.7</v>
          </cell>
          <cell r="M223" t="str">
            <v>15:59</v>
          </cell>
          <cell r="N223" t="str">
            <v>16:59</v>
          </cell>
          <cell r="O223">
            <v>0</v>
          </cell>
          <cell r="P223">
            <v>0</v>
          </cell>
          <cell r="Q223">
            <v>5</v>
          </cell>
        </row>
        <row r="224">
          <cell r="A224" t="str">
            <v>13</v>
          </cell>
          <cell r="B224" t="str">
            <v>EDUCATIVO</v>
          </cell>
          <cell r="C224" t="str">
            <v>CLUB EMPRESA</v>
          </cell>
          <cell r="D224">
            <v>0.7</v>
          </cell>
          <cell r="E224">
            <v>18698</v>
          </cell>
          <cell r="L224">
            <v>0.7</v>
          </cell>
          <cell r="M224" t="str">
            <v>11:57</v>
          </cell>
          <cell r="N224" t="str">
            <v>13:00</v>
          </cell>
          <cell r="O224">
            <v>0</v>
          </cell>
          <cell r="P224">
            <v>0</v>
          </cell>
          <cell r="Q224">
            <v>1</v>
          </cell>
        </row>
        <row r="225">
          <cell r="A225" t="str">
            <v>13</v>
          </cell>
          <cell r="B225" t="str">
            <v>D_ANIMADOS</v>
          </cell>
          <cell r="C225" t="str">
            <v>LA MASCARA</v>
          </cell>
          <cell r="D225">
            <v>0.6</v>
          </cell>
          <cell r="E225">
            <v>18565</v>
          </cell>
          <cell r="L225">
            <v>0.6</v>
          </cell>
          <cell r="M225" t="str">
            <v>10:02</v>
          </cell>
          <cell r="N225" t="str">
            <v>10:26</v>
          </cell>
          <cell r="O225">
            <v>0</v>
          </cell>
          <cell r="P225">
            <v>0</v>
          </cell>
          <cell r="Q225">
            <v>1</v>
          </cell>
        </row>
        <row r="226">
          <cell r="A226" t="str">
            <v>13</v>
          </cell>
          <cell r="B226" t="str">
            <v>REPORTAJE</v>
          </cell>
          <cell r="C226" t="str">
            <v>MAKE OFF FORREST GUMP</v>
          </cell>
          <cell r="D226">
            <v>0.6</v>
          </cell>
          <cell r="E226">
            <v>18476</v>
          </cell>
          <cell r="K226">
            <v>0.6</v>
          </cell>
          <cell r="M226" t="str">
            <v>11:07</v>
          </cell>
          <cell r="N226" t="str">
            <v>11:45</v>
          </cell>
          <cell r="O226">
            <v>0</v>
          </cell>
          <cell r="P226">
            <v>0</v>
          </cell>
          <cell r="Q226">
            <v>1</v>
          </cell>
        </row>
        <row r="227">
          <cell r="A227" t="str">
            <v>13</v>
          </cell>
          <cell r="B227" t="str">
            <v>CULTURAL</v>
          </cell>
          <cell r="C227" t="str">
            <v>NATIONAL GEOGRAPHIC</v>
          </cell>
          <cell r="D227">
            <v>0.6</v>
          </cell>
          <cell r="E227">
            <v>18339</v>
          </cell>
          <cell r="L227">
            <v>0.6</v>
          </cell>
          <cell r="M227" t="str">
            <v>13:03</v>
          </cell>
          <cell r="N227" t="str">
            <v>13:58</v>
          </cell>
          <cell r="O227">
            <v>0</v>
          </cell>
          <cell r="P227">
            <v>0</v>
          </cell>
          <cell r="Q227">
            <v>1</v>
          </cell>
        </row>
        <row r="228">
          <cell r="A228" t="str">
            <v>13</v>
          </cell>
          <cell r="B228" t="str">
            <v>DEPORTIVO</v>
          </cell>
          <cell r="C228" t="str">
            <v>CABALGATA DEPORTIVA GILLETTE</v>
          </cell>
          <cell r="D228">
            <v>0.6</v>
          </cell>
          <cell r="E228">
            <v>16919</v>
          </cell>
          <cell r="K228">
            <v>0.6</v>
          </cell>
          <cell r="M228" t="str">
            <v>11:46</v>
          </cell>
          <cell r="N228" t="str">
            <v>12:12</v>
          </cell>
          <cell r="O228">
            <v>0</v>
          </cell>
          <cell r="P228">
            <v>0</v>
          </cell>
          <cell r="Q228">
            <v>1</v>
          </cell>
        </row>
        <row r="229">
          <cell r="A229" t="str">
            <v>13</v>
          </cell>
          <cell r="B229" t="str">
            <v>SERIE</v>
          </cell>
          <cell r="C229" t="str">
            <v>GUERRERO DEL TIEMPO</v>
          </cell>
          <cell r="D229">
            <v>0.5</v>
          </cell>
          <cell r="E229">
            <v>15699</v>
          </cell>
          <cell r="K229">
            <v>0.5</v>
          </cell>
          <cell r="M229" t="str">
            <v>12:14</v>
          </cell>
          <cell r="N229" t="str">
            <v>13:01</v>
          </cell>
          <cell r="O229">
            <v>0</v>
          </cell>
          <cell r="P229">
            <v>0</v>
          </cell>
          <cell r="Q229">
            <v>1</v>
          </cell>
        </row>
        <row r="230">
          <cell r="A230" t="str">
            <v>13</v>
          </cell>
          <cell r="B230" t="str">
            <v>RELIGIOSO</v>
          </cell>
          <cell r="C230" t="str">
            <v>SANTA MISA</v>
          </cell>
          <cell r="D230">
            <v>0.5</v>
          </cell>
          <cell r="E230">
            <v>14683</v>
          </cell>
          <cell r="L230">
            <v>0.5</v>
          </cell>
          <cell r="M230" t="str">
            <v>08:41</v>
          </cell>
          <cell r="N230" t="str">
            <v>09:35</v>
          </cell>
          <cell r="O230">
            <v>0</v>
          </cell>
          <cell r="P230">
            <v>0</v>
          </cell>
          <cell r="Q230">
            <v>1</v>
          </cell>
        </row>
        <row r="231">
          <cell r="A231" t="str">
            <v>13</v>
          </cell>
          <cell r="B231" t="str">
            <v>EDUCATIVO</v>
          </cell>
          <cell r="C231" t="str">
            <v>TELEDUC</v>
          </cell>
          <cell r="D231">
            <v>0.5</v>
          </cell>
          <cell r="E231">
            <v>14291</v>
          </cell>
          <cell r="F231">
            <v>0.1</v>
          </cell>
          <cell r="G231">
            <v>0.3</v>
          </cell>
          <cell r="H231">
            <v>0.4</v>
          </cell>
          <cell r="I231">
            <v>0.2</v>
          </cell>
          <cell r="J231">
            <v>0.2</v>
          </cell>
          <cell r="K231">
            <v>1.1000000000000001</v>
          </cell>
          <cell r="L231">
            <v>1.3</v>
          </cell>
          <cell r="M231" t="str">
            <v>06:00</v>
          </cell>
          <cell r="N231" t="str">
            <v>05:59</v>
          </cell>
          <cell r="O231">
            <v>0</v>
          </cell>
          <cell r="P231">
            <v>0</v>
          </cell>
          <cell r="Q231">
            <v>8</v>
          </cell>
        </row>
      </sheetData>
      <sheetData sheetId="1" refreshError="1"/>
      <sheetData sheetId="2" refreshError="1"/>
      <sheetData sheetId="3"/>
      <sheetData sheetId="4"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r"/>
      <sheetName val="tap"/>
      <sheetName val="ca"/>
      <sheetName val="i-b"/>
      <sheetName val="go"/>
      <sheetName val="1"/>
      <sheetName val="bb"/>
      <sheetName val="pl"/>
      <sheetName val="tvL"/>
      <sheetName val="tvM"/>
      <sheetName val="2"/>
      <sheetName val="a-rad"/>
      <sheetName val="Rk"/>
      <sheetName val="PROGRAMAS"/>
      <sheetName val="Resumen"/>
      <sheetName val="VPS"/>
      <sheetName val="FC"/>
      <sheetName val="an_r"/>
      <sheetName val="PLAN"/>
      <sheetName val="channel"/>
      <sheetName val="#G.O."/>
      <sheetName val="M.Super-1"/>
      <sheetName val="JUG-FRES"/>
      <sheetName val="PLANGENERAL"/>
      <sheetName val="rut proveedores"/>
      <sheetName val="#G_O_"/>
      <sheetName val="M_Super-1"/>
      <sheetName val="rut_proveedores"/>
      <sheetName val="#G_O_1"/>
      <sheetName val="M_Super-11"/>
      <sheetName val="rut_proveedores1"/>
      <sheetName val="#G_O_2"/>
      <sheetName val="M_Super-12"/>
      <sheetName val="rut_proveedores2"/>
    </sheetNames>
    <sheetDataSet>
      <sheetData sheetId="0"/>
      <sheetData sheetId="1" refreshError="1"/>
      <sheetData sheetId="2" refreshError="1"/>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sheetData sheetId="27"/>
      <sheetData sheetId="28"/>
      <sheetData sheetId="29"/>
      <sheetData sheetId="30"/>
      <sheetData sheetId="31"/>
      <sheetData sheetId="32"/>
      <sheetData sheetId="33"/>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antificador TP"/>
      <sheetName val="Datos por región"/>
      <sheetName val="DatosTP"/>
      <sheetName val="Datos"/>
      <sheetName val="Cuantificador"/>
      <sheetName val="Cuantificador Total país"/>
      <sheetName val="RATGA"/>
      <sheetName val="an-r"/>
      <sheetName val="RD제품개발투자비(매가)"/>
      <sheetName val="ratingj"/>
      <sheetName val="ratingP"/>
      <sheetName val="Cuantificador_TP"/>
      <sheetName val="Datos_por_región"/>
      <sheetName val="Cuantificador_Total_país"/>
      <sheetName val="대외공문"/>
      <sheetName val="PROGRAMAS"/>
      <sheetName val="Cuantificador_TP1"/>
      <sheetName val="Datos_por_región1"/>
      <sheetName val="Cuantificador_Total_país1"/>
      <sheetName val="Rk"/>
      <sheetName val="Analisis"/>
      <sheetName val="actual Nov02"/>
      <sheetName val="계실5-1"/>
      <sheetName val="HCCE01"/>
      <sheetName val="Pauta"/>
      <sheetName val="Sheet1"/>
      <sheetName val="Cuantificador_TP2"/>
      <sheetName val="Datos_por_región2"/>
      <sheetName val="Cuantificador_Total_país2"/>
      <sheetName val="actual_Nov02"/>
      <sheetName val="Ranking"/>
      <sheetName val="Cuantificador%20Total%20país.xl"/>
      <sheetName val="RD???????(??)"/>
      <sheetName val="????"/>
      <sheetName val="Cuantificador%20Total%20pa%C3%A"/>
      <sheetName val="Cuantificador_TP3"/>
      <sheetName val="Datos_por_región3"/>
      <sheetName val="Cuantificador_Total_país3"/>
      <sheetName val="actual_Nov021"/>
      <sheetName val="POST PAUTA TOTAL Rat Canales "/>
      <sheetName val="Cuantificador%20Total%20país_xl"/>
      <sheetName val="a-rad"/>
      <sheetName val="ChanGr_cfg"/>
      <sheetName val="Cities_cfg"/>
      <sheetName val="Предлож_СПб"/>
      <sheetName val="Cuantificador_TP4"/>
      <sheetName val="Datos_por_región4"/>
      <sheetName val="Cuantificador_Total_país4"/>
      <sheetName val="actual_Nov022"/>
      <sheetName val="Cuantificador%20Total%20país_x1"/>
      <sheetName val="POST_PAUTA_TOTAL_Rat_Canales_"/>
      <sheetName val="Cuantificador_TP6"/>
      <sheetName val="Datos_por_región6"/>
      <sheetName val="Cuantificador_Total_país6"/>
      <sheetName val="actual_Nov024"/>
      <sheetName val="Cuantificador%20Total%20país_x3"/>
      <sheetName val="POST_PAUTA_TOTAL_Rat_Canales_2"/>
      <sheetName val="Cuantificador_TP5"/>
      <sheetName val="Datos_por_región5"/>
      <sheetName val="Cuantificador_Total_país5"/>
      <sheetName val="actual_Nov023"/>
      <sheetName val="Cuantificador%20Total%20país_x2"/>
      <sheetName val="POST_PAUTA_TOTAL_Rat_Canales_1"/>
      <sheetName val="Cuantificador_TP7"/>
      <sheetName val="Datos_por_región7"/>
      <sheetName val="Cuantificador_Total_país7"/>
      <sheetName val="actual_Nov025"/>
      <sheetName val="Cuantificador%20Total%20país_x4"/>
      <sheetName val="POST_PAUTA_TOTAL_Rat_Canales_3"/>
    </sheetNames>
    <sheetDataSet>
      <sheetData sheetId="0" refreshError="1"/>
      <sheetData sheetId="1">
        <row r="5">
          <cell r="C5" t="str">
            <v>Total país</v>
          </cell>
        </row>
      </sheetData>
      <sheetData sheetId="2" refreshError="1">
        <row r="5">
          <cell r="C5" t="str">
            <v>Total país</v>
          </cell>
          <cell r="D5" t="str">
            <v>0</v>
          </cell>
          <cell r="E5" t="str">
            <v>4</v>
          </cell>
          <cell r="F5">
            <v>1151076</v>
          </cell>
          <cell r="G5">
            <v>7.6147319126500398E-2</v>
          </cell>
          <cell r="H5">
            <v>585999</v>
          </cell>
          <cell r="I5">
            <v>7.8681927764227722E-2</v>
          </cell>
          <cell r="J5">
            <v>565077</v>
          </cell>
          <cell r="K5">
            <v>7.3685768457399783E-2</v>
          </cell>
        </row>
        <row r="6">
          <cell r="C6" t="str">
            <v>Total país</v>
          </cell>
          <cell r="D6">
            <v>5</v>
          </cell>
          <cell r="E6">
            <v>9</v>
          </cell>
          <cell r="F6">
            <v>1316598</v>
          </cell>
          <cell r="G6">
            <v>8.7097123098137885E-2</v>
          </cell>
          <cell r="H6">
            <v>670674</v>
          </cell>
          <cell r="I6">
            <v>9.0051217188673816E-2</v>
          </cell>
          <cell r="J6">
            <v>645924</v>
          </cell>
          <cell r="K6">
            <v>8.4228178292653028E-2</v>
          </cell>
        </row>
        <row r="7">
          <cell r="C7" t="str">
            <v>Total país</v>
          </cell>
          <cell r="D7">
            <v>10</v>
          </cell>
          <cell r="E7">
            <v>14</v>
          </cell>
          <cell r="F7">
            <v>1422452</v>
          </cell>
          <cell r="G7">
            <v>9.4099700094632102E-2</v>
          </cell>
          <cell r="H7">
            <v>725364</v>
          </cell>
          <cell r="I7">
            <v>9.7394428746075123E-2</v>
          </cell>
          <cell r="J7">
            <v>697088</v>
          </cell>
          <cell r="K7">
            <v>9.0899939233824598E-2</v>
          </cell>
        </row>
        <row r="8">
          <cell r="C8" t="str">
            <v>Total país</v>
          </cell>
          <cell r="D8">
            <v>15</v>
          </cell>
          <cell r="E8">
            <v>19</v>
          </cell>
          <cell r="F8">
            <v>1280089</v>
          </cell>
          <cell r="G8">
            <v>8.4681937242478134E-2</v>
          </cell>
          <cell r="H8">
            <v>651713</v>
          </cell>
          <cell r="I8">
            <v>8.7505328829926579E-2</v>
          </cell>
          <cell r="J8">
            <v>628376</v>
          </cell>
          <cell r="K8">
            <v>8.1939927550027769E-2</v>
          </cell>
        </row>
        <row r="9">
          <cell r="C9" t="str">
            <v>Total país</v>
          </cell>
          <cell r="D9">
            <v>20</v>
          </cell>
          <cell r="E9">
            <v>24</v>
          </cell>
          <cell r="F9">
            <v>1201426</v>
          </cell>
          <cell r="G9">
            <v>7.9478130921741802E-2</v>
          </cell>
          <cell r="H9">
            <v>605430</v>
          </cell>
          <cell r="I9">
            <v>8.129092289627865E-2</v>
          </cell>
          <cell r="J9">
            <v>595996</v>
          </cell>
          <cell r="K9">
            <v>7.7717591155783083E-2</v>
          </cell>
        </row>
        <row r="10">
          <cell r="C10" t="str">
            <v>Total país</v>
          </cell>
          <cell r="D10">
            <v>25</v>
          </cell>
          <cell r="E10">
            <v>29</v>
          </cell>
          <cell r="F10">
            <v>1192724</v>
          </cell>
          <cell r="G10">
            <v>7.8902466090715176E-2</v>
          </cell>
          <cell r="H10">
            <v>593539</v>
          </cell>
          <cell r="I10">
            <v>7.9694321531695381E-2</v>
          </cell>
          <cell r="J10">
            <v>599185</v>
          </cell>
          <cell r="K10">
            <v>7.8133435218823433E-2</v>
          </cell>
        </row>
        <row r="11">
          <cell r="C11" t="str">
            <v>Total país</v>
          </cell>
          <cell r="D11">
            <v>30</v>
          </cell>
          <cell r="E11">
            <v>34</v>
          </cell>
          <cell r="F11">
            <v>1200191</v>
          </cell>
          <cell r="G11">
            <v>7.9396431764500036E-2</v>
          </cell>
          <cell r="H11">
            <v>594484</v>
          </cell>
          <cell r="I11">
            <v>7.9821206426954922E-2</v>
          </cell>
          <cell r="J11">
            <v>605707</v>
          </cell>
          <cell r="K11">
            <v>7.8983900875502361E-2</v>
          </cell>
        </row>
        <row r="12">
          <cell r="C12" t="str">
            <v>Total país</v>
          </cell>
          <cell r="D12">
            <v>35</v>
          </cell>
          <cell r="E12">
            <v>39</v>
          </cell>
          <cell r="F12">
            <v>1235000</v>
          </cell>
          <cell r="G12">
            <v>8.1699157241770293E-2</v>
          </cell>
          <cell r="H12">
            <v>605957</v>
          </cell>
          <cell r="I12">
            <v>8.1361683044217037E-2</v>
          </cell>
          <cell r="J12">
            <v>629043</v>
          </cell>
          <cell r="K12">
            <v>8.2026904028562705E-2</v>
          </cell>
        </row>
        <row r="13">
          <cell r="C13" t="str">
            <v>Total país</v>
          </cell>
          <cell r="D13">
            <v>40</v>
          </cell>
          <cell r="E13">
            <v>44</v>
          </cell>
          <cell r="F13">
            <v>1131758</v>
          </cell>
          <cell r="G13">
            <v>7.4869372309013332E-2</v>
          </cell>
          <cell r="H13">
            <v>552928</v>
          </cell>
          <cell r="I13">
            <v>7.4241493509065559E-2</v>
          </cell>
          <cell r="J13">
            <v>578830</v>
          </cell>
          <cell r="K13">
            <v>7.5479153029050408E-2</v>
          </cell>
        </row>
        <row r="14">
          <cell r="C14" t="str">
            <v>Total país</v>
          </cell>
          <cell r="D14">
            <v>45</v>
          </cell>
          <cell r="E14">
            <v>49</v>
          </cell>
          <cell r="F14">
            <v>904666</v>
          </cell>
          <cell r="G14">
            <v>5.9846518044763861E-2</v>
          </cell>
          <cell r="H14">
            <v>441756</v>
          </cell>
          <cell r="I14">
            <v>5.9314459037326316E-2</v>
          </cell>
          <cell r="J14">
            <v>462910</v>
          </cell>
          <cell r="K14">
            <v>6.0363240897461645E-2</v>
          </cell>
        </row>
        <row r="15">
          <cell r="C15" t="str">
            <v>Total país</v>
          </cell>
          <cell r="D15">
            <v>50</v>
          </cell>
          <cell r="E15">
            <v>54</v>
          </cell>
          <cell r="F15">
            <v>759003</v>
          </cell>
          <cell r="G15">
            <v>5.0210449752206787E-2</v>
          </cell>
          <cell r="H15">
            <v>369400</v>
          </cell>
          <cell r="I15">
            <v>4.9599238422088979E-2</v>
          </cell>
          <cell r="J15">
            <v>389603</v>
          </cell>
          <cell r="K15">
            <v>5.0804043428255487E-2</v>
          </cell>
        </row>
        <row r="16">
          <cell r="C16" t="str">
            <v>Total país</v>
          </cell>
          <cell r="D16">
            <v>55</v>
          </cell>
          <cell r="E16">
            <v>59</v>
          </cell>
          <cell r="F16">
            <v>603974</v>
          </cell>
          <cell r="G16">
            <v>3.9954790927887431E-2</v>
          </cell>
          <cell r="H16">
            <v>292402</v>
          </cell>
          <cell r="I16">
            <v>3.9260737718179922E-2</v>
          </cell>
          <cell r="J16">
            <v>311572</v>
          </cell>
          <cell r="K16">
            <v>4.0628838635812403E-2</v>
          </cell>
        </row>
        <row r="17">
          <cell r="C17" t="str">
            <v>Total país</v>
          </cell>
          <cell r="D17">
            <v>60</v>
          </cell>
          <cell r="E17">
            <v>64</v>
          </cell>
          <cell r="F17">
            <v>499902</v>
          </cell>
          <cell r="G17">
            <v>3.3070098869210897E-2</v>
          </cell>
          <cell r="H17">
            <v>235497</v>
          </cell>
          <cell r="I17">
            <v>3.1620118707868676E-2</v>
          </cell>
          <cell r="J17">
            <v>264405</v>
          </cell>
          <cell r="K17">
            <v>3.4478284568260235E-2</v>
          </cell>
        </row>
        <row r="18">
          <cell r="C18" t="str">
            <v>Total país</v>
          </cell>
          <cell r="D18">
            <v>65</v>
          </cell>
          <cell r="E18">
            <v>69</v>
          </cell>
          <cell r="F18">
            <v>399287</v>
          </cell>
          <cell r="G18">
            <v>2.641409829764756E-2</v>
          </cell>
          <cell r="H18">
            <v>184208</v>
          </cell>
          <cell r="I18">
            <v>2.4733558503671271E-2</v>
          </cell>
          <cell r="J18">
            <v>215079</v>
          </cell>
          <cell r="K18">
            <v>2.8046197941252408E-2</v>
          </cell>
        </row>
        <row r="19">
          <cell r="C19" t="str">
            <v>Total país</v>
          </cell>
          <cell r="D19">
            <v>70</v>
          </cell>
          <cell r="E19">
            <v>74</v>
          </cell>
          <cell r="F19">
            <v>348118</v>
          </cell>
          <cell r="G19">
            <v>2.302910706128793E-2</v>
          </cell>
          <cell r="H19">
            <v>153908</v>
          </cell>
          <cell r="I19">
            <v>2.0665185671539986E-2</v>
          </cell>
          <cell r="J19">
            <v>194210</v>
          </cell>
          <cell r="K19">
            <v>2.5324890399205085E-2</v>
          </cell>
        </row>
        <row r="20">
          <cell r="C20" t="str">
            <v>Total país</v>
          </cell>
          <cell r="D20">
            <v>75</v>
          </cell>
          <cell r="E20">
            <v>79</v>
          </cell>
          <cell r="F20">
            <v>219331</v>
          </cell>
          <cell r="G20">
            <v>1.4509439560319613E-2</v>
          </cell>
          <cell r="H20">
            <v>93489</v>
          </cell>
          <cell r="I20">
            <v>1.255274282848586E-2</v>
          </cell>
          <cell r="J20">
            <v>125842</v>
          </cell>
          <cell r="K20">
            <v>1.6409736149615189E-2</v>
          </cell>
        </row>
        <row r="21">
          <cell r="C21" t="str">
            <v>Total país</v>
          </cell>
          <cell r="D21">
            <v>80</v>
          </cell>
          <cell r="E21">
            <v>84</v>
          </cell>
          <cell r="F21">
            <v>137154</v>
          </cell>
          <cell r="G21">
            <v>9.0731710221358414E-3</v>
          </cell>
          <cell r="H21">
            <v>52730</v>
          </cell>
          <cell r="I21">
            <v>7.0800428857519006E-3</v>
          </cell>
          <cell r="J21">
            <v>84424</v>
          </cell>
          <cell r="K21">
            <v>1.1008848911294424E-2</v>
          </cell>
        </row>
        <row r="22">
          <cell r="C22" t="str">
            <v>Total país</v>
          </cell>
          <cell r="D22">
            <v>85</v>
          </cell>
          <cell r="E22">
            <v>89</v>
          </cell>
          <cell r="F22">
            <v>75130</v>
          </cell>
          <cell r="G22">
            <v>4.970087193177492E-3</v>
          </cell>
          <cell r="H22">
            <v>25906</v>
          </cell>
          <cell r="I22">
            <v>3.4783916366070309E-3</v>
          </cell>
          <cell r="J22">
            <v>49224</v>
          </cell>
          <cell r="K22">
            <v>6.4187858761674014E-3</v>
          </cell>
        </row>
        <row r="23">
          <cell r="C23" t="str">
            <v>Total país</v>
          </cell>
          <cell r="D23">
            <v>90</v>
          </cell>
          <cell r="E23">
            <v>94</v>
          </cell>
          <cell r="F23">
            <v>28396</v>
          </cell>
          <cell r="G23">
            <v>1.8784852380868901E-3</v>
          </cell>
          <cell r="H23">
            <v>9022</v>
          </cell>
          <cell r="I23">
            <v>1.2113815079699156E-3</v>
          </cell>
          <cell r="J23">
            <v>19374</v>
          </cell>
          <cell r="K23">
            <v>2.5263602625724695E-3</v>
          </cell>
        </row>
        <row r="24">
          <cell r="C24" t="str">
            <v>Total país</v>
          </cell>
          <cell r="D24">
            <v>95</v>
          </cell>
          <cell r="E24">
            <v>99</v>
          </cell>
          <cell r="F24">
            <v>9019</v>
          </cell>
          <cell r="G24">
            <v>5.9663538393807804E-4</v>
          </cell>
          <cell r="H24">
            <v>2817</v>
          </cell>
          <cell r="I24">
            <v>3.7823783063081935E-4</v>
          </cell>
          <cell r="J24">
            <v>6202</v>
          </cell>
          <cell r="K24">
            <v>8.0873781090505092E-4</v>
          </cell>
        </row>
        <row r="25">
          <cell r="C25" t="str">
            <v>Total país</v>
          </cell>
          <cell r="D25">
            <v>100</v>
          </cell>
          <cell r="E25">
            <v>104</v>
          </cell>
          <cell r="F25">
            <v>813</v>
          </cell>
          <cell r="G25">
            <v>5.378252213567551E-5</v>
          </cell>
          <cell r="H25">
            <v>297</v>
          </cell>
          <cell r="I25">
            <v>3.987810993871258E-5</v>
          </cell>
          <cell r="J25">
            <v>516</v>
          </cell>
          <cell r="K25">
            <v>6.728615131038476E-5</v>
          </cell>
        </row>
        <row r="26">
          <cell r="C26" t="str">
            <v>Total país</v>
          </cell>
          <cell r="D26">
            <v>105</v>
          </cell>
          <cell r="E26">
            <v>109</v>
          </cell>
          <cell r="F26">
            <v>328</v>
          </cell>
          <cell r="G26">
            <v>2.1698237712794054E-5</v>
          </cell>
          <cell r="H26">
            <v>175</v>
          </cell>
          <cell r="I26">
            <v>2.3497202825840747E-5</v>
          </cell>
          <cell r="J26">
            <v>153</v>
          </cell>
          <cell r="K26">
            <v>1.9951126260637341E-5</v>
          </cell>
        </row>
        <row r="27">
          <cell r="C27" t="str">
            <v>Total</v>
          </cell>
          <cell r="F27">
            <v>15116435</v>
          </cell>
          <cell r="H27">
            <v>7447695</v>
          </cell>
          <cell r="J27">
            <v>7668740</v>
          </cell>
        </row>
        <row r="32">
          <cell r="D32" t="str">
            <v>ABC1</v>
          </cell>
          <cell r="E32">
            <v>4.6605270105634568E-2</v>
          </cell>
        </row>
        <row r="33">
          <cell r="D33" t="str">
            <v>ABC1C2</v>
          </cell>
          <cell r="E33">
            <v>0.1607887319091823</v>
          </cell>
        </row>
        <row r="34">
          <cell r="D34" t="str">
            <v>ABC</v>
          </cell>
          <cell r="E34">
            <v>0.43267616959698663</v>
          </cell>
        </row>
        <row r="35">
          <cell r="D35" t="str">
            <v>ABCD</v>
          </cell>
          <cell r="E35">
            <v>0.85988313851773956</v>
          </cell>
        </row>
        <row r="36">
          <cell r="D36" t="str">
            <v>C2</v>
          </cell>
          <cell r="E36">
            <v>0.11418346180354773</v>
          </cell>
        </row>
        <row r="37">
          <cell r="D37" t="str">
            <v>C2C3</v>
          </cell>
          <cell r="E37">
            <v>0.38607089949135209</v>
          </cell>
        </row>
        <row r="38">
          <cell r="D38" t="str">
            <v>C2C3D</v>
          </cell>
          <cell r="E38">
            <v>0.81327786841210492</v>
          </cell>
        </row>
        <row r="39">
          <cell r="D39" t="str">
            <v>C3</v>
          </cell>
          <cell r="E39">
            <v>0.27188743768780432</v>
          </cell>
        </row>
        <row r="40">
          <cell r="D40" t="str">
            <v>C3D</v>
          </cell>
          <cell r="E40">
            <v>0.69909440660855726</v>
          </cell>
        </row>
        <row r="41">
          <cell r="D41" t="str">
            <v>D</v>
          </cell>
          <cell r="E41">
            <v>0.42720696892075288</v>
          </cell>
        </row>
      </sheetData>
      <sheetData sheetId="3">
        <row r="5">
          <cell r="C5" t="str">
            <v>Total país</v>
          </cell>
        </row>
      </sheetData>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ow r="5">
          <cell r="C5" t="str">
            <v>Total país</v>
          </cell>
        </row>
      </sheetData>
      <sheetData sheetId="55">
        <row r="5">
          <cell r="C5" t="str">
            <v>Total país</v>
          </cell>
        </row>
      </sheetData>
      <sheetData sheetId="56"/>
      <sheetData sheetId="57">
        <row r="5">
          <cell r="C5" t="str">
            <v>Total país</v>
          </cell>
        </row>
      </sheetData>
      <sheetData sheetId="58">
        <row r="5">
          <cell r="C5" t="str">
            <v>Total país</v>
          </cell>
        </row>
      </sheetData>
      <sheetData sheetId="59"/>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BJ44"/>
  <sheetViews>
    <sheetView showGridLines="0" topLeftCell="A4" zoomScaleNormal="100" zoomScalePageLayoutView="60" workbookViewId="0">
      <selection activeCell="F1" sqref="F1"/>
    </sheetView>
  </sheetViews>
  <sheetFormatPr defaultColWidth="6.7109375" defaultRowHeight="20.25"/>
  <cols>
    <col min="1" max="1" width="6.7109375" style="291"/>
    <col min="2" max="2" width="3.140625" style="291" customWidth="1"/>
    <col min="3" max="3" width="14.42578125" style="291" customWidth="1"/>
    <col min="4" max="4" width="20.28515625" style="291" customWidth="1"/>
    <col min="5" max="5" width="10.85546875" style="291" customWidth="1"/>
    <col min="6" max="6" width="12.7109375" style="291" customWidth="1"/>
    <col min="7" max="7" width="14.28515625" style="291" customWidth="1"/>
    <col min="8" max="8" width="2" style="291" customWidth="1"/>
    <col min="9" max="9" width="2.85546875" style="291" customWidth="1"/>
    <col min="10" max="10" width="6.85546875" style="291" hidden="1" customWidth="1"/>
    <col min="11" max="13" width="6.7109375" style="291"/>
    <col min="14" max="14" width="11.85546875" style="291" bestFit="1" customWidth="1"/>
    <col min="15" max="15" width="21.28515625" style="291" bestFit="1" customWidth="1"/>
    <col min="16" max="25" width="11.85546875" style="291" bestFit="1" customWidth="1"/>
    <col min="26" max="16384" width="6.7109375" style="291"/>
  </cols>
  <sheetData>
    <row r="1" spans="1:62">
      <c r="A1" s="291" t="s">
        <v>3</v>
      </c>
      <c r="B1" s="291" t="s">
        <v>3</v>
      </c>
      <c r="F1" s="292"/>
    </row>
    <row r="2" spans="1:62">
      <c r="F2" s="292"/>
      <c r="J2" s="293"/>
    </row>
    <row r="3" spans="1:62">
      <c r="F3" s="292"/>
      <c r="I3" s="294"/>
      <c r="J3" s="373">
        <f ca="1">TODAY()</f>
        <v>42839</v>
      </c>
      <c r="N3" s="274"/>
      <c r="O3" s="274"/>
      <c r="P3" s="274"/>
      <c r="Q3" s="274"/>
      <c r="R3" s="274"/>
      <c r="S3" s="274"/>
      <c r="T3" s="274"/>
      <c r="U3" s="274"/>
      <c r="V3" s="274"/>
      <c r="W3" s="274"/>
      <c r="X3" s="274"/>
      <c r="Y3" s="274"/>
    </row>
    <row r="4" spans="1:62">
      <c r="C4" s="1"/>
      <c r="D4" s="1"/>
      <c r="E4" s="1"/>
      <c r="F4" s="1"/>
      <c r="G4" s="1"/>
      <c r="H4" s="1"/>
      <c r="I4" s="1"/>
      <c r="J4" s="1"/>
    </row>
    <row r="5" spans="1:62" ht="59.25">
      <c r="C5" s="1"/>
      <c r="D5" s="1"/>
      <c r="E5" s="1"/>
      <c r="F5" s="2"/>
      <c r="G5" s="1"/>
      <c r="H5" s="1"/>
      <c r="I5" s="1"/>
      <c r="J5" s="1"/>
      <c r="K5" s="295"/>
      <c r="BF5" s="296"/>
      <c r="BG5" s="297"/>
      <c r="BH5" s="298"/>
      <c r="BI5" s="299"/>
    </row>
    <row r="6" spans="1:62" ht="59.25">
      <c r="C6" s="1"/>
      <c r="D6" s="1"/>
      <c r="E6" s="1"/>
      <c r="F6" s="2"/>
      <c r="G6" s="1"/>
      <c r="H6" s="1"/>
      <c r="I6" s="1"/>
      <c r="J6" s="1"/>
      <c r="BF6" s="296"/>
      <c r="BG6" s="297"/>
      <c r="BH6" s="296"/>
      <c r="BI6" s="299"/>
      <c r="BJ6" s="299"/>
    </row>
    <row r="7" spans="1:62" ht="59.25">
      <c r="C7" s="1"/>
      <c r="D7" s="1"/>
      <c r="E7" s="1"/>
      <c r="F7" s="2"/>
      <c r="G7" s="1"/>
      <c r="H7" s="1"/>
      <c r="I7" s="1"/>
      <c r="J7" s="1"/>
      <c r="BF7" s="296"/>
      <c r="BG7" s="298"/>
      <c r="BH7" s="298"/>
      <c r="BI7" s="299"/>
      <c r="BJ7" s="299"/>
    </row>
    <row r="8" spans="1:62" ht="59.25">
      <c r="C8" s="1"/>
      <c r="D8" s="1"/>
      <c r="E8" s="1"/>
      <c r="F8" s="2"/>
      <c r="G8" s="1"/>
      <c r="H8" s="1"/>
      <c r="I8" s="1"/>
      <c r="J8" s="1"/>
      <c r="AO8" s="291" t="s">
        <v>3</v>
      </c>
      <c r="BF8" s="296"/>
      <c r="BG8" s="298"/>
      <c r="BH8" s="298"/>
      <c r="BI8" s="299"/>
      <c r="BJ8" s="299"/>
    </row>
    <row r="9" spans="1:62" s="7" customFormat="1" ht="30">
      <c r="C9" s="407"/>
      <c r="D9" s="407"/>
      <c r="E9" s="407"/>
      <c r="F9" s="407"/>
      <c r="G9" s="407"/>
      <c r="H9" s="407"/>
      <c r="I9" s="407"/>
      <c r="J9" s="407"/>
      <c r="BF9" s="300"/>
      <c r="BG9" s="301"/>
      <c r="BH9" s="301"/>
      <c r="BI9" s="302"/>
      <c r="BJ9" s="302"/>
    </row>
    <row r="10" spans="1:62" ht="30">
      <c r="C10" s="303"/>
      <c r="D10" s="6"/>
      <c r="E10" s="6"/>
      <c r="F10" s="3"/>
      <c r="G10" s="4"/>
      <c r="H10" s="4"/>
      <c r="I10" s="4"/>
      <c r="J10" s="4"/>
      <c r="BF10" s="296"/>
      <c r="BG10" s="298"/>
      <c r="BH10" s="298"/>
      <c r="BI10" s="299"/>
      <c r="BJ10" s="299"/>
    </row>
    <row r="11" spans="1:62">
      <c r="C11" s="304"/>
      <c r="D11" s="5"/>
      <c r="E11" s="5"/>
      <c r="F11" s="3"/>
      <c r="G11" s="4"/>
      <c r="H11" s="4"/>
      <c r="I11" s="4"/>
      <c r="J11" s="4"/>
      <c r="BG11" s="299"/>
      <c r="BH11" s="299"/>
      <c r="BI11" s="299"/>
      <c r="BJ11" s="299"/>
    </row>
    <row r="12" spans="1:62">
      <c r="C12" s="305"/>
      <c r="D12" s="5"/>
      <c r="E12" s="5"/>
      <c r="F12" s="3"/>
      <c r="G12" s="4"/>
      <c r="H12" s="4"/>
      <c r="I12" s="4"/>
      <c r="J12" s="4"/>
      <c r="BG12" s="299"/>
      <c r="BH12" s="299"/>
      <c r="BI12" s="299"/>
      <c r="BJ12" s="299"/>
    </row>
    <row r="13" spans="1:62" ht="36" customHeight="1">
      <c r="C13" s="305"/>
      <c r="J13" s="4"/>
      <c r="BF13" s="297"/>
      <c r="BG13" s="298"/>
      <c r="BH13" s="298"/>
      <c r="BJ13" s="299"/>
    </row>
    <row r="14" spans="1:62" ht="36" customHeight="1">
      <c r="C14" s="305"/>
      <c r="D14" s="9"/>
      <c r="E14" s="9"/>
      <c r="F14" s="9"/>
      <c r="G14" s="9"/>
      <c r="H14" s="9"/>
      <c r="I14" s="9"/>
      <c r="J14" s="4"/>
      <c r="BF14" s="297"/>
      <c r="BG14" s="298"/>
      <c r="BH14" s="298"/>
      <c r="BJ14" s="299"/>
    </row>
    <row r="15" spans="1:62" ht="36" customHeight="1">
      <c r="C15" s="9"/>
      <c r="D15" s="9"/>
      <c r="E15" s="9"/>
      <c r="F15" s="9"/>
      <c r="G15" s="9"/>
      <c r="H15" s="9"/>
      <c r="I15" s="9"/>
      <c r="J15" s="9"/>
      <c r="BF15" s="297"/>
      <c r="BG15" s="298"/>
      <c r="BH15" s="298"/>
      <c r="BJ15" s="299"/>
    </row>
    <row r="16" spans="1:62" s="7" customFormat="1">
      <c r="C16" s="306"/>
      <c r="D16" s="306"/>
      <c r="E16" s="306"/>
      <c r="F16" s="307"/>
      <c r="G16" s="308"/>
      <c r="H16" s="308"/>
      <c r="I16" s="306"/>
      <c r="J16" s="306"/>
    </row>
    <row r="17" spans="4:19" s="7" customFormat="1"/>
    <row r="19" spans="4:19">
      <c r="K19" s="309"/>
      <c r="L19" s="309"/>
      <c r="M19" s="309"/>
      <c r="N19" s="309"/>
      <c r="O19" s="309"/>
      <c r="P19" s="309"/>
      <c r="Q19" s="309"/>
      <c r="R19" s="309"/>
      <c r="S19" s="310"/>
    </row>
    <row r="20" spans="4:19">
      <c r="P20" s="311"/>
    </row>
    <row r="21" spans="4:19">
      <c r="P21" s="311"/>
    </row>
    <row r="22" spans="4:19">
      <c r="P22" s="311"/>
    </row>
    <row r="23" spans="4:19">
      <c r="P23" s="311"/>
    </row>
    <row r="24" spans="4:19" ht="30">
      <c r="D24" s="312"/>
      <c r="E24" s="312"/>
      <c r="F24" s="312"/>
      <c r="G24" s="313"/>
      <c r="H24" s="313"/>
      <c r="P24" s="311"/>
    </row>
    <row r="25" spans="4:19" ht="30">
      <c r="D25" s="312"/>
      <c r="E25" s="312"/>
      <c r="F25" s="312"/>
      <c r="G25" s="313"/>
      <c r="H25" s="313"/>
      <c r="P25" s="311"/>
    </row>
    <row r="26" spans="4:19" ht="30">
      <c r="D26" s="312"/>
      <c r="E26" s="312"/>
      <c r="F26" s="312"/>
      <c r="G26" s="313"/>
      <c r="H26" s="313"/>
      <c r="P26" s="311"/>
    </row>
    <row r="27" spans="4:19" ht="30">
      <c r="D27" s="312"/>
      <c r="E27" s="312"/>
      <c r="F27" s="312"/>
      <c r="G27" s="313"/>
      <c r="H27" s="313"/>
    </row>
    <row r="28" spans="4:19" ht="30">
      <c r="D28" s="312"/>
      <c r="E28" s="312"/>
      <c r="F28" s="312"/>
      <c r="G28" s="313"/>
      <c r="H28" s="313"/>
    </row>
    <row r="29" spans="4:19" ht="30">
      <c r="D29" s="312"/>
      <c r="E29" s="312"/>
      <c r="F29" s="312"/>
      <c r="G29" s="313"/>
      <c r="H29" s="313"/>
    </row>
    <row r="30" spans="4:19">
      <c r="D30" s="299"/>
      <c r="E30" s="299"/>
      <c r="F30" s="299"/>
      <c r="G30" s="313"/>
      <c r="H30" s="313"/>
    </row>
    <row r="31" spans="4:19">
      <c r="G31" s="313"/>
      <c r="H31" s="313"/>
    </row>
    <row r="32" spans="4:19">
      <c r="G32" s="299"/>
      <c r="H32" s="299"/>
    </row>
    <row r="34" spans="3:8" ht="30">
      <c r="C34" s="312"/>
      <c r="D34" s="312"/>
      <c r="E34" s="312"/>
      <c r="F34" s="312"/>
      <c r="G34" s="312"/>
      <c r="H34" s="312"/>
    </row>
    <row r="35" spans="3:8" ht="30">
      <c r="C35" s="312"/>
      <c r="D35" s="312"/>
      <c r="E35" s="312"/>
      <c r="F35" s="312"/>
      <c r="G35" s="312"/>
      <c r="H35" s="312"/>
    </row>
    <row r="36" spans="3:8" ht="30">
      <c r="C36" s="312"/>
      <c r="D36" s="312"/>
      <c r="E36" s="312"/>
      <c r="F36" s="312"/>
      <c r="G36" s="312"/>
      <c r="H36" s="312"/>
    </row>
    <row r="37" spans="3:8" ht="30">
      <c r="C37" s="312"/>
      <c r="D37" s="312"/>
      <c r="E37" s="312"/>
      <c r="F37" s="312"/>
      <c r="G37" s="312"/>
      <c r="H37" s="312"/>
    </row>
    <row r="38" spans="3:8" ht="30">
      <c r="C38" s="312"/>
      <c r="D38" s="312"/>
      <c r="E38" s="312"/>
      <c r="F38" s="312"/>
      <c r="G38" s="312"/>
      <c r="H38" s="312"/>
    </row>
    <row r="39" spans="3:8">
      <c r="C39" s="314"/>
      <c r="D39" s="314"/>
      <c r="E39" s="314"/>
      <c r="F39" s="314"/>
      <c r="G39" s="314"/>
      <c r="H39" s="314"/>
    </row>
    <row r="40" spans="3:8" ht="30">
      <c r="C40" s="312"/>
      <c r="D40" s="312"/>
      <c r="E40" s="312"/>
      <c r="F40" s="312"/>
      <c r="G40" s="314"/>
      <c r="H40" s="314"/>
    </row>
    <row r="41" spans="3:8" ht="30">
      <c r="C41" s="312"/>
      <c r="D41" s="312"/>
      <c r="E41" s="312"/>
      <c r="F41" s="312"/>
      <c r="G41" s="314"/>
      <c r="H41" s="314"/>
    </row>
    <row r="42" spans="3:8" ht="30">
      <c r="C42" s="312"/>
      <c r="D42" s="312"/>
      <c r="E42" s="312"/>
      <c r="F42" s="312"/>
      <c r="G42" s="314"/>
      <c r="H42" s="314"/>
    </row>
    <row r="43" spans="3:8" ht="30">
      <c r="C43" s="312"/>
      <c r="D43" s="312"/>
      <c r="E43" s="312"/>
      <c r="F43" s="312"/>
      <c r="G43" s="314"/>
      <c r="H43" s="314"/>
    </row>
    <row r="44" spans="3:8" ht="30">
      <c r="C44" s="298"/>
      <c r="D44" s="298"/>
      <c r="E44" s="298"/>
      <c r="F44" s="298"/>
      <c r="G44" s="299"/>
      <c r="H44" s="299"/>
    </row>
  </sheetData>
  <sheetProtection selectLockedCells="1"/>
  <mergeCells count="1">
    <mergeCell ref="C9:J9"/>
  </mergeCells>
  <printOptions horizontalCentered="1" verticalCentered="1"/>
  <pageMargins left="0.78740157480314965" right="0.78740157480314965" top="0.98425196850393704" bottom="0.98425196850393704" header="0.51181102362204722" footer="0.51181102362204722"/>
  <pageSetup paperSize="9" scale="79"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pageSetUpPr fitToPage="1"/>
  </sheetPr>
  <dimension ref="P22:P28"/>
  <sheetViews>
    <sheetView showGridLines="0" zoomScale="70" zoomScaleNormal="70" zoomScalePageLayoutView="70" workbookViewId="0">
      <selection activeCell="M33" sqref="M33"/>
    </sheetView>
  </sheetViews>
  <sheetFormatPr defaultColWidth="11.42578125" defaultRowHeight="12.75"/>
  <cols>
    <col min="1" max="1" width="6.140625" customWidth="1"/>
  </cols>
  <sheetData>
    <row r="22" spans="16:16">
      <c r="P22" s="8"/>
    </row>
    <row r="23" spans="16:16">
      <c r="P23" s="8"/>
    </row>
    <row r="24" spans="16:16">
      <c r="P24" s="8"/>
    </row>
    <row r="25" spans="16:16">
      <c r="P25" s="8"/>
    </row>
    <row r="26" spans="16:16">
      <c r="P26" s="8"/>
    </row>
    <row r="27" spans="16:16">
      <c r="P27" s="8"/>
    </row>
    <row r="28" spans="16:16">
      <c r="P28" s="8"/>
    </row>
  </sheetData>
  <phoneticPr fontId="14" type="noConversion"/>
  <printOptions horizontalCentered="1" verticalCentered="1"/>
  <pageMargins left="0.74803149606299213" right="0.74803149606299213" top="0.98425196850393704" bottom="0.98425196850393704" header="0" footer="0"/>
  <pageSetup paperSize="9" scale="85"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B2:P75"/>
  <sheetViews>
    <sheetView showGridLines="0" workbookViewId="0">
      <pane ySplit="2" topLeftCell="A21" activePane="bottomLeft" state="frozen"/>
      <selection pane="bottomLeft" activeCell="F33" sqref="F33"/>
    </sheetView>
  </sheetViews>
  <sheetFormatPr defaultColWidth="24.7109375" defaultRowHeight="12.95" customHeight="1"/>
  <cols>
    <col min="1" max="1" width="1.7109375" style="113" customWidth="1"/>
    <col min="2" max="2" width="15.140625" style="113" customWidth="1"/>
    <col min="3" max="3" width="18" style="113" customWidth="1"/>
    <col min="4" max="4" width="23.140625" style="113" customWidth="1"/>
    <col min="5" max="5" width="23.7109375" style="113" customWidth="1"/>
    <col min="6" max="6" width="17.28515625" style="126" customWidth="1"/>
    <col min="7" max="7" width="44.42578125" style="113" bestFit="1" customWidth="1"/>
    <col min="8" max="11" width="13.28515625" style="113" customWidth="1"/>
    <col min="12" max="16384" width="24.7109375" style="113"/>
  </cols>
  <sheetData>
    <row r="2" spans="2:7" ht="20.25" customHeight="1">
      <c r="B2" s="111" t="s">
        <v>157</v>
      </c>
      <c r="C2" s="111" t="s">
        <v>158</v>
      </c>
      <c r="D2" s="111" t="s">
        <v>159</v>
      </c>
      <c r="E2" s="111" t="s">
        <v>160</v>
      </c>
      <c r="F2" s="112" t="s">
        <v>161</v>
      </c>
    </row>
    <row r="3" spans="2:7" ht="12.95" customHeight="1">
      <c r="B3" s="409" t="s">
        <v>162</v>
      </c>
      <c r="C3" s="409" t="s">
        <v>15</v>
      </c>
      <c r="D3" s="161" t="s">
        <v>163</v>
      </c>
      <c r="E3" s="161" t="s">
        <v>164</v>
      </c>
      <c r="F3" s="119">
        <v>2000000</v>
      </c>
    </row>
    <row r="4" spans="2:7" ht="12.95" customHeight="1">
      <c r="B4" s="409"/>
      <c r="C4" s="409"/>
      <c r="D4" s="161" t="s">
        <v>163</v>
      </c>
      <c r="E4" s="161" t="s">
        <v>165</v>
      </c>
      <c r="F4" s="119">
        <v>1500000</v>
      </c>
    </row>
    <row r="5" spans="2:7" ht="12.95" customHeight="1">
      <c r="B5" s="409"/>
      <c r="C5" s="409"/>
      <c r="D5" s="161" t="s">
        <v>166</v>
      </c>
      <c r="E5" s="161" t="s">
        <v>167</v>
      </c>
      <c r="F5" s="119">
        <v>1900000</v>
      </c>
    </row>
    <row r="6" spans="2:7" ht="12.95" customHeight="1">
      <c r="B6" s="409"/>
      <c r="C6" s="409"/>
      <c r="D6" s="161" t="s">
        <v>163</v>
      </c>
      <c r="E6" s="161" t="s">
        <v>168</v>
      </c>
      <c r="F6" s="119">
        <v>2200000</v>
      </c>
    </row>
    <row r="7" spans="2:7" ht="12.95" customHeight="1">
      <c r="B7" s="409"/>
      <c r="C7" s="116"/>
      <c r="D7" s="116"/>
      <c r="E7" s="116"/>
      <c r="F7" s="117"/>
    </row>
    <row r="8" spans="2:7" ht="12.95" customHeight="1">
      <c r="B8" s="409"/>
      <c r="C8" s="410" t="s">
        <v>169</v>
      </c>
      <c r="D8" s="114" t="s">
        <v>163</v>
      </c>
      <c r="E8" s="118" t="s">
        <v>164</v>
      </c>
      <c r="F8" s="119">
        <v>2371500</v>
      </c>
      <c r="G8" s="408" t="s">
        <v>208</v>
      </c>
    </row>
    <row r="9" spans="2:7" ht="12.95" customHeight="1">
      <c r="B9" s="409"/>
      <c r="C9" s="410"/>
      <c r="D9" s="114" t="s">
        <v>163</v>
      </c>
      <c r="E9" s="118" t="s">
        <v>165</v>
      </c>
      <c r="F9" s="119">
        <v>1530000</v>
      </c>
      <c r="G9" s="408"/>
    </row>
    <row r="10" spans="2:7" ht="12.95" customHeight="1">
      <c r="B10" s="409"/>
      <c r="C10" s="410"/>
      <c r="D10" s="114" t="s">
        <v>166</v>
      </c>
      <c r="E10" s="118" t="s">
        <v>167</v>
      </c>
      <c r="F10" s="119">
        <v>2422500</v>
      </c>
      <c r="G10" s="408"/>
    </row>
    <row r="11" spans="2:7" ht="12.95" customHeight="1">
      <c r="B11" s="409"/>
      <c r="C11" s="160"/>
      <c r="D11" s="160" t="s">
        <v>163</v>
      </c>
      <c r="E11" s="160" t="s">
        <v>168</v>
      </c>
      <c r="F11" s="119">
        <v>2575000</v>
      </c>
    </row>
    <row r="12" spans="2:7" ht="12.95" customHeight="1">
      <c r="B12" s="409"/>
      <c r="C12" s="116"/>
      <c r="D12" s="116"/>
      <c r="E12" s="116"/>
      <c r="F12" s="117"/>
    </row>
    <row r="13" spans="2:7" ht="12.95" customHeight="1">
      <c r="B13" s="409"/>
      <c r="C13" s="410" t="s">
        <v>9</v>
      </c>
      <c r="D13" s="161" t="s">
        <v>163</v>
      </c>
      <c r="E13" s="161" t="s">
        <v>164</v>
      </c>
      <c r="F13" s="119">
        <v>2500000</v>
      </c>
    </row>
    <row r="14" spans="2:7" ht="12.95" customHeight="1">
      <c r="B14" s="409"/>
      <c r="C14" s="410"/>
      <c r="D14" s="161" t="s">
        <v>163</v>
      </c>
      <c r="E14" s="161" t="s">
        <v>165</v>
      </c>
      <c r="F14" s="119">
        <v>1650000</v>
      </c>
    </row>
    <row r="15" spans="2:7" ht="12.95" customHeight="1">
      <c r="B15" s="409"/>
      <c r="C15" s="410"/>
      <c r="D15" s="161" t="s">
        <v>166</v>
      </c>
      <c r="E15" s="161" t="s">
        <v>167</v>
      </c>
      <c r="F15" s="119">
        <v>2500000</v>
      </c>
    </row>
    <row r="16" spans="2:7" ht="12.95" customHeight="1">
      <c r="B16" s="409"/>
      <c r="C16" s="410"/>
      <c r="D16" s="161" t="s">
        <v>163</v>
      </c>
      <c r="E16" s="161" t="s">
        <v>168</v>
      </c>
      <c r="F16" s="119">
        <v>2600000</v>
      </c>
    </row>
    <row r="17" spans="2:16" ht="12.95" customHeight="1">
      <c r="B17" s="409"/>
      <c r="C17" s="116"/>
      <c r="D17" s="116"/>
      <c r="E17" s="116"/>
      <c r="F17" s="117"/>
    </row>
    <row r="18" spans="2:16" ht="12.95" customHeight="1">
      <c r="B18" s="409"/>
      <c r="C18" s="409" t="s">
        <v>12</v>
      </c>
      <c r="D18" s="161" t="s">
        <v>163</v>
      </c>
      <c r="E18" s="161" t="s">
        <v>170</v>
      </c>
      <c r="F18" s="119">
        <v>1950000</v>
      </c>
    </row>
    <row r="19" spans="2:16" ht="12.95" customHeight="1">
      <c r="B19" s="409"/>
      <c r="C19" s="409"/>
      <c r="D19" s="161" t="s">
        <v>163</v>
      </c>
      <c r="E19" s="161" t="s">
        <v>171</v>
      </c>
      <c r="F19" s="119">
        <v>3150000</v>
      </c>
    </row>
    <row r="20" spans="2:16" ht="12.95" customHeight="1">
      <c r="B20" s="409"/>
      <c r="C20" s="409"/>
      <c r="D20" s="161" t="s">
        <v>166</v>
      </c>
      <c r="E20" s="161" t="s">
        <v>167</v>
      </c>
      <c r="F20" s="119">
        <v>2650000</v>
      </c>
      <c r="H20" s="120"/>
    </row>
    <row r="21" spans="2:16" ht="12.95" customHeight="1">
      <c r="B21" s="409"/>
      <c r="C21" s="409"/>
      <c r="D21" s="161" t="s">
        <v>163</v>
      </c>
      <c r="E21" s="161" t="s">
        <v>168</v>
      </c>
      <c r="F21" s="119">
        <v>3470000</v>
      </c>
    </row>
    <row r="22" spans="2:16" ht="12.95" customHeight="1">
      <c r="B22" s="409"/>
      <c r="C22" s="116"/>
      <c r="D22" s="116"/>
      <c r="E22" s="116"/>
      <c r="F22" s="117"/>
      <c r="G22" s="121"/>
      <c r="H22" s="121"/>
      <c r="I22" s="121"/>
      <c r="J22" s="121"/>
      <c r="K22" s="121"/>
      <c r="L22" s="121"/>
      <c r="M22" s="121"/>
      <c r="N22" s="121"/>
      <c r="O22" s="121"/>
      <c r="P22" s="121"/>
    </row>
    <row r="23" spans="2:16" ht="12.95" customHeight="1">
      <c r="B23" s="409"/>
      <c r="C23" s="409" t="s">
        <v>10</v>
      </c>
      <c r="D23" s="161" t="s">
        <v>163</v>
      </c>
      <c r="E23" s="161" t="s">
        <v>164</v>
      </c>
      <c r="F23" s="119">
        <v>2422500</v>
      </c>
      <c r="G23" s="121"/>
      <c r="H23" s="121"/>
      <c r="I23" s="122"/>
      <c r="J23" s="121"/>
      <c r="K23" s="121"/>
      <c r="L23" s="121"/>
      <c r="M23" s="121"/>
      <c r="N23" s="121"/>
      <c r="O23" s="121"/>
      <c r="P23" s="121"/>
    </row>
    <row r="24" spans="2:16" ht="12.95" customHeight="1">
      <c r="B24" s="409"/>
      <c r="C24" s="409"/>
      <c r="D24" s="161" t="s">
        <v>163</v>
      </c>
      <c r="E24" s="161" t="s">
        <v>172</v>
      </c>
      <c r="F24" s="119">
        <v>2507500</v>
      </c>
      <c r="G24" s="121"/>
      <c r="H24" s="121"/>
      <c r="I24" s="121"/>
      <c r="J24" s="121"/>
      <c r="K24" s="121"/>
      <c r="L24" s="121"/>
      <c r="M24" s="121"/>
      <c r="N24" s="121"/>
      <c r="O24" s="121"/>
      <c r="P24" s="121"/>
    </row>
    <row r="25" spans="2:16" ht="12.95" customHeight="1">
      <c r="B25" s="409"/>
      <c r="C25" s="409"/>
      <c r="D25" s="161" t="s">
        <v>163</v>
      </c>
      <c r="E25" s="161" t="s">
        <v>165</v>
      </c>
      <c r="F25" s="119">
        <v>1480000</v>
      </c>
      <c r="G25" s="121"/>
      <c r="H25" s="121"/>
      <c r="I25" s="121"/>
      <c r="J25" s="121"/>
      <c r="K25" s="121"/>
      <c r="L25" s="121"/>
      <c r="M25" s="121"/>
      <c r="N25" s="121"/>
      <c r="O25" s="121"/>
      <c r="P25" s="121"/>
    </row>
    <row r="26" spans="2:16" ht="12.95" customHeight="1">
      <c r="B26" s="409"/>
      <c r="C26" s="409"/>
      <c r="D26" s="161" t="s">
        <v>163</v>
      </c>
      <c r="E26" s="161" t="s">
        <v>173</v>
      </c>
      <c r="F26" s="119">
        <v>1742500</v>
      </c>
      <c r="G26" s="121"/>
      <c r="H26" s="121"/>
      <c r="I26" s="121"/>
      <c r="J26" s="121"/>
      <c r="K26" s="121"/>
      <c r="L26" s="121"/>
      <c r="M26" s="121"/>
      <c r="N26" s="121"/>
      <c r="O26" s="121"/>
      <c r="P26" s="121"/>
    </row>
    <row r="27" spans="2:16" ht="12.95" customHeight="1">
      <c r="B27" s="409"/>
      <c r="C27" s="409"/>
      <c r="D27" s="161" t="s">
        <v>166</v>
      </c>
      <c r="E27" s="161" t="s">
        <v>167</v>
      </c>
      <c r="F27" s="119">
        <v>2650000</v>
      </c>
      <c r="G27" s="121"/>
      <c r="H27" s="121"/>
      <c r="I27" s="121"/>
      <c r="J27" s="121"/>
      <c r="K27" s="121"/>
      <c r="L27" s="121"/>
      <c r="M27" s="121"/>
      <c r="N27" s="121"/>
      <c r="O27" s="121"/>
      <c r="P27" s="121"/>
    </row>
    <row r="28" spans="2:16" ht="12.95" customHeight="1">
      <c r="B28" s="409"/>
      <c r="C28" s="409"/>
      <c r="D28" s="161" t="s">
        <v>163</v>
      </c>
      <c r="E28" s="161" t="s">
        <v>168</v>
      </c>
      <c r="F28" s="119">
        <v>2980000</v>
      </c>
      <c r="G28" s="121"/>
      <c r="H28" s="121"/>
      <c r="I28" s="121"/>
      <c r="J28" s="121"/>
      <c r="K28" s="121"/>
      <c r="L28" s="121"/>
      <c r="M28" s="121"/>
      <c r="N28" s="121"/>
      <c r="O28" s="121"/>
      <c r="P28" s="121"/>
    </row>
    <row r="29" spans="2:16" ht="12.95" customHeight="1">
      <c r="B29" s="409"/>
      <c r="C29" s="116"/>
      <c r="D29" s="116"/>
      <c r="E29" s="116"/>
      <c r="F29" s="117"/>
      <c r="G29" s="121"/>
      <c r="H29" s="121"/>
      <c r="I29" s="121"/>
      <c r="J29" s="121"/>
      <c r="K29" s="121"/>
      <c r="L29" s="121"/>
      <c r="M29" s="121"/>
      <c r="N29" s="121"/>
      <c r="O29" s="121"/>
      <c r="P29" s="121"/>
    </row>
    <row r="30" spans="2:16" ht="12.95" customHeight="1">
      <c r="B30" s="409"/>
      <c r="C30" s="410" t="s">
        <v>14</v>
      </c>
      <c r="D30" s="161" t="s">
        <v>163</v>
      </c>
      <c r="E30" s="161" t="s">
        <v>164</v>
      </c>
      <c r="F30" s="119">
        <v>1340000</v>
      </c>
      <c r="G30" s="121"/>
      <c r="H30" s="121"/>
      <c r="I30" s="121"/>
      <c r="J30" s="121"/>
      <c r="K30" s="121"/>
      <c r="L30" s="121"/>
      <c r="M30" s="121"/>
      <c r="N30" s="121"/>
      <c r="O30" s="121"/>
      <c r="P30" s="121"/>
    </row>
    <row r="31" spans="2:16" ht="12.95" customHeight="1">
      <c r="B31" s="409"/>
      <c r="C31" s="410"/>
      <c r="D31" s="161" t="s">
        <v>163</v>
      </c>
      <c r="E31" s="161" t="s">
        <v>165</v>
      </c>
      <c r="F31" s="119">
        <v>824000</v>
      </c>
    </row>
    <row r="32" spans="2:16" ht="12.95" customHeight="1">
      <c r="B32" s="409"/>
      <c r="C32" s="410"/>
      <c r="D32" s="161" t="s">
        <v>166</v>
      </c>
      <c r="E32" s="161" t="s">
        <v>167</v>
      </c>
      <c r="F32" s="119">
        <v>1405950</v>
      </c>
    </row>
    <row r="33" spans="2:6" ht="12.95" customHeight="1">
      <c r="B33" s="409"/>
      <c r="C33" s="410"/>
      <c r="D33" s="161" t="s">
        <v>163</v>
      </c>
      <c r="E33" s="161" t="s">
        <v>168</v>
      </c>
      <c r="F33" s="119">
        <v>1405950</v>
      </c>
    </row>
    <row r="34" spans="2:6" ht="12.95" customHeight="1">
      <c r="B34" s="409"/>
      <c r="C34" s="116"/>
      <c r="D34" s="116"/>
      <c r="E34" s="116"/>
      <c r="F34" s="117"/>
    </row>
    <row r="35" spans="2:6" ht="12.95" customHeight="1">
      <c r="B35" s="409"/>
      <c r="C35" s="410" t="s">
        <v>13</v>
      </c>
      <c r="D35" s="114" t="s">
        <v>163</v>
      </c>
      <c r="E35" s="118" t="s">
        <v>164</v>
      </c>
      <c r="F35" s="119">
        <v>1400000</v>
      </c>
    </row>
    <row r="36" spans="2:6" ht="12.95" customHeight="1">
      <c r="B36" s="409"/>
      <c r="C36" s="410"/>
      <c r="D36" s="114" t="s">
        <v>163</v>
      </c>
      <c r="E36" s="118" t="s">
        <v>165</v>
      </c>
      <c r="F36" s="119">
        <v>1100000</v>
      </c>
    </row>
    <row r="37" spans="2:6" ht="12.95" customHeight="1">
      <c r="B37" s="409"/>
      <c r="C37" s="410"/>
      <c r="D37" s="114" t="s">
        <v>166</v>
      </c>
      <c r="E37" s="118" t="s">
        <v>167</v>
      </c>
      <c r="F37" s="119">
        <v>1500000</v>
      </c>
    </row>
    <row r="38" spans="2:6" ht="12.95" customHeight="1">
      <c r="B38" s="409"/>
      <c r="C38" s="410"/>
      <c r="D38" s="161" t="s">
        <v>163</v>
      </c>
      <c r="E38" s="161" t="s">
        <v>168</v>
      </c>
      <c r="F38" s="119">
        <v>1800000</v>
      </c>
    </row>
    <row r="39" spans="2:6" ht="12.95" customHeight="1">
      <c r="B39" s="409"/>
      <c r="C39" s="116"/>
      <c r="D39" s="116"/>
      <c r="E39" s="116"/>
      <c r="F39" s="117"/>
    </row>
    <row r="40" spans="2:6" ht="12.95" customHeight="1">
      <c r="B40" s="409"/>
      <c r="C40" s="410" t="s">
        <v>174</v>
      </c>
      <c r="D40" s="114" t="s">
        <v>163</v>
      </c>
      <c r="E40" s="118" t="s">
        <v>164</v>
      </c>
      <c r="F40" s="119">
        <v>1800000</v>
      </c>
    </row>
    <row r="41" spans="2:6" ht="12.95" customHeight="1">
      <c r="B41" s="409"/>
      <c r="C41" s="410"/>
      <c r="D41" s="114" t="s">
        <v>163</v>
      </c>
      <c r="E41" s="118" t="s">
        <v>165</v>
      </c>
      <c r="F41" s="119">
        <v>1200000</v>
      </c>
    </row>
    <row r="42" spans="2:6" ht="12.95" customHeight="1">
      <c r="B42" s="409"/>
      <c r="C42" s="116"/>
      <c r="D42" s="116"/>
      <c r="E42" s="116"/>
      <c r="F42" s="117"/>
    </row>
    <row r="43" spans="2:6" ht="12.95" customHeight="1">
      <c r="B43" s="409"/>
      <c r="C43" s="410" t="s">
        <v>17</v>
      </c>
      <c r="D43" s="161" t="s">
        <v>163</v>
      </c>
      <c r="E43" s="161" t="s">
        <v>164</v>
      </c>
      <c r="F43" s="119">
        <v>1030000</v>
      </c>
    </row>
    <row r="44" spans="2:6" ht="12.95" customHeight="1">
      <c r="B44" s="409"/>
      <c r="C44" s="410"/>
      <c r="D44" s="161" t="s">
        <v>163</v>
      </c>
      <c r="E44" s="161" t="s">
        <v>165</v>
      </c>
      <c r="F44" s="119">
        <v>772500</v>
      </c>
    </row>
    <row r="45" spans="2:6" ht="12.95" customHeight="1">
      <c r="B45" s="409"/>
      <c r="C45" s="410"/>
      <c r="D45" s="161" t="s">
        <v>166</v>
      </c>
      <c r="E45" s="161" t="s">
        <v>167</v>
      </c>
      <c r="F45" s="119">
        <v>1237500</v>
      </c>
    </row>
    <row r="46" spans="2:6" ht="12.95" customHeight="1">
      <c r="B46" s="409"/>
      <c r="C46" s="410"/>
      <c r="D46" s="161" t="s">
        <v>163</v>
      </c>
      <c r="E46" s="161" t="s">
        <v>168</v>
      </c>
      <c r="F46" s="119">
        <v>1237500</v>
      </c>
    </row>
    <row r="47" spans="2:6" ht="12.95" customHeight="1">
      <c r="B47" s="409"/>
      <c r="C47" s="116"/>
      <c r="D47" s="116"/>
      <c r="E47" s="116"/>
      <c r="F47" s="117"/>
    </row>
    <row r="48" spans="2:6" ht="12.95" customHeight="1">
      <c r="B48" s="409"/>
      <c r="C48" s="410" t="s">
        <v>175</v>
      </c>
      <c r="D48" s="118" t="s">
        <v>163</v>
      </c>
      <c r="E48" s="118" t="s">
        <v>164</v>
      </c>
      <c r="F48" s="119">
        <v>1100000</v>
      </c>
    </row>
    <row r="49" spans="2:7" ht="12.95" customHeight="1">
      <c r="B49" s="409"/>
      <c r="C49" s="410"/>
      <c r="D49" s="118" t="s">
        <v>163</v>
      </c>
      <c r="E49" s="118" t="s">
        <v>165</v>
      </c>
      <c r="F49" s="119">
        <v>700000</v>
      </c>
    </row>
    <row r="50" spans="2:7" ht="12.95" customHeight="1">
      <c r="B50" s="409"/>
      <c r="C50" s="116"/>
      <c r="D50" s="116"/>
      <c r="E50" s="116"/>
      <c r="F50" s="117"/>
    </row>
    <row r="51" spans="2:7" ht="12.95" customHeight="1">
      <c r="B51" s="409"/>
      <c r="C51" s="410" t="s">
        <v>105</v>
      </c>
      <c r="D51" s="161" t="s">
        <v>163</v>
      </c>
      <c r="E51" s="161" t="s">
        <v>164</v>
      </c>
      <c r="F51" s="119">
        <v>2500000</v>
      </c>
    </row>
    <row r="52" spans="2:7" ht="12.95" customHeight="1">
      <c r="B52" s="409"/>
      <c r="C52" s="410"/>
      <c r="D52" s="161" t="s">
        <v>163</v>
      </c>
      <c r="E52" s="161" t="s">
        <v>165</v>
      </c>
      <c r="F52" s="119">
        <v>1900000</v>
      </c>
    </row>
    <row r="53" spans="2:7" ht="12.95" customHeight="1">
      <c r="B53" s="409"/>
      <c r="C53" s="410"/>
      <c r="D53" s="161" t="s">
        <v>166</v>
      </c>
      <c r="E53" s="161" t="s">
        <v>167</v>
      </c>
      <c r="F53" s="119">
        <v>2400000</v>
      </c>
    </row>
    <row r="54" spans="2:7" ht="12.95" customHeight="1">
      <c r="B54" s="409"/>
      <c r="C54" s="410"/>
      <c r="D54" s="161" t="s">
        <v>163</v>
      </c>
      <c r="E54" s="161" t="s">
        <v>168</v>
      </c>
      <c r="F54" s="119">
        <v>2800000</v>
      </c>
    </row>
    <row r="55" spans="2:7" ht="12.95" customHeight="1">
      <c r="B55" s="116"/>
      <c r="C55" s="116"/>
      <c r="D55" s="116"/>
      <c r="E55" s="116"/>
      <c r="F55" s="117"/>
    </row>
    <row r="56" spans="2:7" ht="12.95" customHeight="1">
      <c r="B56" s="409" t="s">
        <v>176</v>
      </c>
      <c r="C56" s="410" t="s">
        <v>177</v>
      </c>
      <c r="D56" s="161" t="s">
        <v>163</v>
      </c>
      <c r="E56" s="161" t="s">
        <v>164</v>
      </c>
      <c r="F56" s="119">
        <v>3892176</v>
      </c>
    </row>
    <row r="57" spans="2:7" ht="12.95" customHeight="1">
      <c r="B57" s="409"/>
      <c r="C57" s="410"/>
      <c r="D57" s="161" t="s">
        <v>163</v>
      </c>
      <c r="E57" s="161" t="s">
        <v>165</v>
      </c>
      <c r="F57" s="119">
        <v>2231174</v>
      </c>
      <c r="G57" s="168"/>
    </row>
    <row r="58" spans="2:7" ht="12.95" customHeight="1">
      <c r="B58" s="409"/>
      <c r="C58" s="410"/>
      <c r="D58" s="161" t="s">
        <v>166</v>
      </c>
      <c r="E58" s="161" t="s">
        <v>167</v>
      </c>
      <c r="F58" s="119">
        <v>2600000</v>
      </c>
    </row>
    <row r="59" spans="2:7" ht="12.95" customHeight="1">
      <c r="B59" s="409"/>
      <c r="C59" s="410"/>
      <c r="D59" s="161" t="s">
        <v>163</v>
      </c>
      <c r="E59" s="161" t="s">
        <v>168</v>
      </c>
      <c r="F59" s="119">
        <v>3892176</v>
      </c>
    </row>
    <row r="60" spans="2:7" ht="12.95" customHeight="1">
      <c r="B60" s="409"/>
      <c r="C60" s="116"/>
      <c r="D60" s="116"/>
      <c r="E60" s="116"/>
      <c r="F60" s="117"/>
    </row>
    <row r="61" spans="2:7" ht="12.95" customHeight="1">
      <c r="B61" s="409"/>
      <c r="C61" s="410" t="s">
        <v>178</v>
      </c>
      <c r="D61" s="161" t="s">
        <v>163</v>
      </c>
      <c r="E61" s="161" t="s">
        <v>164</v>
      </c>
      <c r="F61" s="162">
        <v>1600000</v>
      </c>
    </row>
    <row r="62" spans="2:7" ht="12.95" customHeight="1">
      <c r="B62" s="409"/>
      <c r="C62" s="410"/>
      <c r="D62" s="161" t="s">
        <v>163</v>
      </c>
      <c r="E62" s="161" t="s">
        <v>165</v>
      </c>
      <c r="F62" s="162">
        <v>800000</v>
      </c>
    </row>
    <row r="63" spans="2:7" ht="12.95" customHeight="1">
      <c r="B63" s="409"/>
      <c r="C63" s="410"/>
      <c r="D63" s="161" t="s">
        <v>166</v>
      </c>
      <c r="E63" s="161" t="s">
        <v>167</v>
      </c>
      <c r="F63" s="162">
        <v>850000</v>
      </c>
    </row>
    <row r="64" spans="2:7" ht="12.95" customHeight="1">
      <c r="B64" s="409"/>
      <c r="C64" s="410"/>
      <c r="D64" s="161" t="s">
        <v>163</v>
      </c>
      <c r="E64" s="161" t="s">
        <v>168</v>
      </c>
      <c r="F64" s="162">
        <v>2000000</v>
      </c>
    </row>
    <row r="65" spans="2:6" ht="12.95" customHeight="1">
      <c r="B65" s="409"/>
      <c r="C65" s="116"/>
      <c r="D65" s="116"/>
      <c r="E65" s="116"/>
      <c r="F65" s="117"/>
    </row>
    <row r="66" spans="2:6" ht="12.95" customHeight="1">
      <c r="B66" s="409"/>
      <c r="C66" s="410" t="s">
        <v>179</v>
      </c>
      <c r="D66" s="161" t="s">
        <v>163</v>
      </c>
      <c r="E66" s="161" t="s">
        <v>164</v>
      </c>
      <c r="F66" s="119">
        <v>3000000</v>
      </c>
    </row>
    <row r="67" spans="2:6" ht="12.95" customHeight="1">
      <c r="B67" s="409"/>
      <c r="C67" s="410"/>
      <c r="D67" s="161" t="s">
        <v>163</v>
      </c>
      <c r="E67" s="161" t="s">
        <v>165</v>
      </c>
      <c r="F67" s="119">
        <v>1600000</v>
      </c>
    </row>
    <row r="68" spans="2:6" ht="12.95" customHeight="1">
      <c r="B68" s="409"/>
      <c r="C68" s="410"/>
      <c r="D68" s="161" t="s">
        <v>163</v>
      </c>
      <c r="E68" s="161" t="s">
        <v>180</v>
      </c>
      <c r="F68" s="119">
        <v>1850000</v>
      </c>
    </row>
    <row r="69" spans="2:6" ht="12.95" customHeight="1">
      <c r="B69" s="409"/>
      <c r="C69" s="410"/>
      <c r="D69" s="161" t="s">
        <v>163</v>
      </c>
      <c r="E69" s="161" t="s">
        <v>181</v>
      </c>
      <c r="F69" s="119">
        <v>900000</v>
      </c>
    </row>
    <row r="70" spans="2:6" ht="12.95" customHeight="1">
      <c r="B70" s="409"/>
      <c r="C70" s="116"/>
      <c r="D70" s="116"/>
      <c r="E70" s="116"/>
      <c r="F70" s="117"/>
    </row>
    <row r="71" spans="2:6" ht="12.95" customHeight="1">
      <c r="B71" s="409"/>
      <c r="C71" s="409" t="s">
        <v>182</v>
      </c>
      <c r="D71" s="114" t="s">
        <v>163</v>
      </c>
      <c r="E71" s="118" t="s">
        <v>164</v>
      </c>
      <c r="F71" s="115">
        <v>3697568</v>
      </c>
    </row>
    <row r="72" spans="2:6" ht="12.95" customHeight="1">
      <c r="B72" s="409"/>
      <c r="C72" s="409"/>
      <c r="D72" s="114" t="s">
        <v>163</v>
      </c>
      <c r="E72" s="118" t="s">
        <v>165</v>
      </c>
      <c r="F72" s="115">
        <v>2231174</v>
      </c>
    </row>
    <row r="73" spans="2:6" ht="12.95" customHeight="1">
      <c r="B73" s="409"/>
      <c r="C73" s="409"/>
      <c r="D73" s="114" t="s">
        <v>166</v>
      </c>
      <c r="E73" s="118" t="s">
        <v>167</v>
      </c>
      <c r="F73" s="115">
        <v>2313810</v>
      </c>
    </row>
    <row r="74" spans="2:6" ht="12.95" customHeight="1">
      <c r="B74" s="411"/>
      <c r="C74" s="411"/>
      <c r="D74" s="114" t="s">
        <v>163</v>
      </c>
      <c r="E74" s="118" t="s">
        <v>168</v>
      </c>
      <c r="F74" s="115">
        <v>3697568</v>
      </c>
    </row>
    <row r="75" spans="2:6" ht="12.95" customHeight="1">
      <c r="B75" s="123"/>
      <c r="C75" s="123"/>
      <c r="D75" s="124"/>
      <c r="E75" s="124"/>
      <c r="F75" s="125"/>
    </row>
  </sheetData>
  <mergeCells count="18">
    <mergeCell ref="B56:B74"/>
    <mergeCell ref="C56:C59"/>
    <mergeCell ref="C61:C64"/>
    <mergeCell ref="C66:C69"/>
    <mergeCell ref="C71:C74"/>
    <mergeCell ref="G8:G10"/>
    <mergeCell ref="B3:B54"/>
    <mergeCell ref="C3:C6"/>
    <mergeCell ref="C8:C10"/>
    <mergeCell ref="C13:C16"/>
    <mergeCell ref="C18:C21"/>
    <mergeCell ref="C23:C28"/>
    <mergeCell ref="C30:C33"/>
    <mergeCell ref="C35:C38"/>
    <mergeCell ref="C40:C41"/>
    <mergeCell ref="C43:C46"/>
    <mergeCell ref="C48:C49"/>
    <mergeCell ref="C51:C54"/>
  </mergeCells>
  <pageMargins left="0" right="0" top="0" bottom="0" header="0.31496062992125984" footer="0.31496062992125984"/>
  <pageSetup paperSize="9" scale="7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1:L39"/>
  <sheetViews>
    <sheetView showGridLines="0" zoomScaleNormal="100" workbookViewId="0">
      <selection activeCell="I19" sqref="I19"/>
    </sheetView>
  </sheetViews>
  <sheetFormatPr defaultColWidth="10.85546875" defaultRowHeight="11.25"/>
  <cols>
    <col min="1" max="1" width="1.7109375" style="128" customWidth="1"/>
    <col min="2" max="2" width="12.140625" style="135" customWidth="1"/>
    <col min="3" max="3" width="27.5703125" style="158" customWidth="1"/>
    <col min="4" max="4" width="25.85546875" style="128" customWidth="1"/>
    <col min="5" max="5" width="30.7109375" style="128" customWidth="1"/>
    <col min="6" max="6" width="14.5703125" style="128" customWidth="1"/>
    <col min="7" max="7" width="18" style="128" customWidth="1"/>
    <col min="8" max="8" width="13.42578125" style="159" customWidth="1"/>
    <col min="9" max="16384" width="10.85546875" style="128"/>
  </cols>
  <sheetData>
    <row r="1" spans="2:9" ht="11.25" customHeight="1">
      <c r="B1" s="128"/>
      <c r="C1" s="128"/>
      <c r="H1" s="128"/>
    </row>
    <row r="2" spans="2:9" s="135" customFormat="1" ht="12.95" customHeight="1">
      <c r="B2" s="129" t="s">
        <v>162</v>
      </c>
      <c r="C2" s="130" t="s">
        <v>195</v>
      </c>
      <c r="D2" s="131" t="s">
        <v>196</v>
      </c>
      <c r="E2" s="132" t="s">
        <v>159</v>
      </c>
      <c r="F2" s="132" t="s">
        <v>199</v>
      </c>
      <c r="G2" s="131" t="s">
        <v>197</v>
      </c>
      <c r="H2" s="133" t="s">
        <v>198</v>
      </c>
    </row>
    <row r="3" spans="2:9" ht="12.95" customHeight="1">
      <c r="B3" s="416" t="s">
        <v>200</v>
      </c>
      <c r="C3" s="136">
        <v>42677</v>
      </c>
      <c r="D3" s="137"/>
      <c r="E3" s="137" t="s">
        <v>213</v>
      </c>
      <c r="F3" s="137" t="s">
        <v>201</v>
      </c>
      <c r="G3" s="142" t="s">
        <v>152</v>
      </c>
      <c r="H3" s="148">
        <v>2371500</v>
      </c>
      <c r="I3" s="127"/>
    </row>
    <row r="4" spans="2:9" ht="12.95" customHeight="1">
      <c r="B4" s="417"/>
      <c r="C4" s="136">
        <v>42705</v>
      </c>
      <c r="D4" s="137" t="s">
        <v>188</v>
      </c>
      <c r="E4" s="137" t="s">
        <v>168</v>
      </c>
      <c r="F4" s="137" t="s">
        <v>201</v>
      </c>
      <c r="G4" s="142" t="s">
        <v>209</v>
      </c>
      <c r="H4" s="148">
        <f>2500000*(1+3%)</f>
        <v>2575000</v>
      </c>
    </row>
    <row r="5" spans="2:9" s="135" customFormat="1" ht="12.95" customHeight="1">
      <c r="B5" s="139"/>
      <c r="C5" s="140"/>
      <c r="D5" s="141"/>
      <c r="E5" s="141"/>
      <c r="F5" s="141"/>
      <c r="G5" s="141"/>
      <c r="H5" s="146">
        <f>SUM(H3:H4)</f>
        <v>4946500</v>
      </c>
    </row>
    <row r="6" spans="2:9" ht="12.95" customHeight="1">
      <c r="B6" s="414" t="s">
        <v>10</v>
      </c>
      <c r="C6" s="136">
        <v>42482</v>
      </c>
      <c r="D6" s="144" t="s">
        <v>183</v>
      </c>
      <c r="E6" s="137" t="s">
        <v>184</v>
      </c>
      <c r="F6" s="137" t="s">
        <v>201</v>
      </c>
      <c r="G6" s="142" t="s">
        <v>212</v>
      </c>
      <c r="H6" s="148">
        <v>2507500</v>
      </c>
    </row>
    <row r="7" spans="2:9" ht="12.95" customHeight="1">
      <c r="B7" s="414"/>
      <c r="C7" s="136">
        <v>42531</v>
      </c>
      <c r="D7" s="144" t="s">
        <v>187</v>
      </c>
      <c r="E7" s="145" t="s">
        <v>186</v>
      </c>
      <c r="F7" s="137" t="s">
        <v>201</v>
      </c>
      <c r="G7" s="142" t="s">
        <v>131</v>
      </c>
      <c r="H7" s="143">
        <v>2650000</v>
      </c>
    </row>
    <row r="8" spans="2:9" ht="12.95" customHeight="1">
      <c r="B8" s="414"/>
      <c r="C8" s="136">
        <v>42678</v>
      </c>
      <c r="D8" s="144"/>
      <c r="E8" s="145" t="s">
        <v>168</v>
      </c>
      <c r="F8" s="137" t="s">
        <v>201</v>
      </c>
      <c r="G8" s="142" t="s">
        <v>152</v>
      </c>
      <c r="H8" s="143">
        <v>2980000</v>
      </c>
    </row>
    <row r="9" spans="2:9" ht="12.95" customHeight="1">
      <c r="B9" s="414"/>
      <c r="C9" s="136">
        <v>42678</v>
      </c>
      <c r="D9" s="144"/>
      <c r="E9" s="145" t="s">
        <v>186</v>
      </c>
      <c r="F9" s="137" t="s">
        <v>201</v>
      </c>
      <c r="G9" s="182" t="s">
        <v>215</v>
      </c>
      <c r="H9" s="143"/>
      <c r="I9" s="127" t="s">
        <v>234</v>
      </c>
    </row>
    <row r="10" spans="2:9" ht="12.95" customHeight="1">
      <c r="B10" s="414"/>
      <c r="C10" s="136">
        <v>42706</v>
      </c>
      <c r="D10" s="144"/>
      <c r="E10" s="145" t="s">
        <v>186</v>
      </c>
      <c r="F10" s="137" t="s">
        <v>201</v>
      </c>
      <c r="G10" s="142" t="s">
        <v>215</v>
      </c>
      <c r="H10" s="143">
        <v>2650000</v>
      </c>
      <c r="I10" s="127"/>
    </row>
    <row r="11" spans="2:9" ht="12.95" customHeight="1">
      <c r="B11" s="414"/>
      <c r="C11" s="136">
        <v>42717</v>
      </c>
      <c r="D11" s="144" t="s">
        <v>190</v>
      </c>
      <c r="E11" s="145" t="s">
        <v>168</v>
      </c>
      <c r="F11" s="137" t="s">
        <v>201</v>
      </c>
      <c r="G11" s="182" t="s">
        <v>209</v>
      </c>
      <c r="H11" s="143"/>
      <c r="I11" s="127" t="s">
        <v>234</v>
      </c>
    </row>
    <row r="12" spans="2:9" ht="12.95" customHeight="1">
      <c r="B12" s="414"/>
      <c r="C12" s="136">
        <v>42717</v>
      </c>
      <c r="D12" s="144" t="s">
        <v>190</v>
      </c>
      <c r="E12" s="145" t="s">
        <v>186</v>
      </c>
      <c r="F12" s="137" t="s">
        <v>201</v>
      </c>
      <c r="G12" s="142" t="s">
        <v>149</v>
      </c>
      <c r="H12" s="143">
        <v>2650000</v>
      </c>
      <c r="I12" s="127"/>
    </row>
    <row r="13" spans="2:9" ht="12.95" customHeight="1">
      <c r="B13" s="414"/>
      <c r="C13" s="136">
        <v>42720</v>
      </c>
      <c r="D13" s="144"/>
      <c r="E13" s="145" t="s">
        <v>168</v>
      </c>
      <c r="F13" s="137" t="s">
        <v>201</v>
      </c>
      <c r="G13" s="142" t="s">
        <v>152</v>
      </c>
      <c r="H13" s="143">
        <v>2980000</v>
      </c>
    </row>
    <row r="14" spans="2:9" ht="12.95" customHeight="1">
      <c r="B14" s="414"/>
      <c r="C14" s="136">
        <v>42720</v>
      </c>
      <c r="D14" s="144"/>
      <c r="E14" s="145" t="s">
        <v>186</v>
      </c>
      <c r="F14" s="137" t="s">
        <v>201</v>
      </c>
      <c r="G14" s="142" t="s">
        <v>215</v>
      </c>
      <c r="H14" s="143">
        <v>2650000</v>
      </c>
    </row>
    <row r="15" spans="2:9" s="135" customFormat="1" ht="12.95" customHeight="1">
      <c r="B15" s="139"/>
      <c r="C15" s="140"/>
      <c r="D15" s="141"/>
      <c r="E15" s="141"/>
      <c r="F15" s="141"/>
      <c r="G15" s="141"/>
      <c r="H15" s="146">
        <f>SUM(H6:H14)</f>
        <v>19067500</v>
      </c>
    </row>
    <row r="16" spans="2:9" ht="12.95" customHeight="1">
      <c r="B16" s="414" t="s">
        <v>9</v>
      </c>
      <c r="C16" s="136">
        <v>42483</v>
      </c>
      <c r="D16" s="137" t="s">
        <v>202</v>
      </c>
      <c r="E16" s="137" t="s">
        <v>203</v>
      </c>
      <c r="F16" s="137" t="s">
        <v>201</v>
      </c>
      <c r="G16" s="142" t="s">
        <v>155</v>
      </c>
      <c r="H16" s="138">
        <v>2500000</v>
      </c>
      <c r="I16" s="127"/>
    </row>
    <row r="17" spans="2:12" ht="12.95" customHeight="1">
      <c r="B17" s="414"/>
      <c r="C17" s="136">
        <v>42679</v>
      </c>
      <c r="D17" s="137"/>
      <c r="E17" s="137" t="s">
        <v>168</v>
      </c>
      <c r="F17" s="137" t="s">
        <v>201</v>
      </c>
      <c r="G17" s="142" t="s">
        <v>152</v>
      </c>
      <c r="H17" s="148">
        <v>2600000</v>
      </c>
      <c r="I17" s="127"/>
    </row>
    <row r="18" spans="2:12" ht="12.95" customHeight="1">
      <c r="B18" s="414"/>
      <c r="C18" s="136">
        <v>42707</v>
      </c>
      <c r="D18" s="137" t="s">
        <v>204</v>
      </c>
      <c r="E18" s="137" t="s">
        <v>189</v>
      </c>
      <c r="F18" s="137" t="s">
        <v>201</v>
      </c>
      <c r="G18" s="182" t="s">
        <v>215</v>
      </c>
      <c r="H18" s="148"/>
      <c r="I18" s="127" t="s">
        <v>234</v>
      </c>
    </row>
    <row r="19" spans="2:12" ht="12.95" customHeight="1">
      <c r="B19" s="415"/>
      <c r="C19" s="136">
        <v>42721</v>
      </c>
      <c r="D19" s="137" t="s">
        <v>205</v>
      </c>
      <c r="E19" s="137" t="s">
        <v>189</v>
      </c>
      <c r="F19" s="137" t="s">
        <v>201</v>
      </c>
      <c r="G19" s="182" t="s">
        <v>215</v>
      </c>
      <c r="H19" s="138"/>
      <c r="I19" s="127" t="s">
        <v>234</v>
      </c>
    </row>
    <row r="20" spans="2:12" s="135" customFormat="1" ht="12.95" customHeight="1">
      <c r="B20" s="139"/>
      <c r="C20" s="140"/>
      <c r="D20" s="141"/>
      <c r="E20" s="141"/>
      <c r="F20" s="141"/>
      <c r="G20" s="141"/>
      <c r="H20" s="146">
        <f>SUM(H16:H19)</f>
        <v>5100000</v>
      </c>
      <c r="I20" s="134"/>
    </row>
    <row r="21" spans="2:12" ht="12.95" customHeight="1">
      <c r="B21" s="414" t="s">
        <v>177</v>
      </c>
      <c r="C21" s="151">
        <v>42493</v>
      </c>
      <c r="D21" s="152" t="s">
        <v>185</v>
      </c>
      <c r="E21" s="153" t="s">
        <v>168</v>
      </c>
      <c r="F21" s="137" t="s">
        <v>216</v>
      </c>
      <c r="G21" s="166" t="s">
        <v>212</v>
      </c>
      <c r="H21" s="148">
        <v>3474000</v>
      </c>
      <c r="I21" s="163"/>
      <c r="J21" s="163"/>
      <c r="K21" s="165"/>
      <c r="L21" s="164"/>
    </row>
    <row r="22" spans="2:12" ht="12.95" customHeight="1">
      <c r="B22" s="414"/>
      <c r="C22" s="151">
        <v>42493</v>
      </c>
      <c r="D22" s="152" t="s">
        <v>185</v>
      </c>
      <c r="E22" s="153" t="s">
        <v>186</v>
      </c>
      <c r="F22" s="137" t="s">
        <v>201</v>
      </c>
      <c r="G22" s="166" t="s">
        <v>155</v>
      </c>
      <c r="H22" s="148">
        <v>2428000</v>
      </c>
      <c r="I22" s="163"/>
      <c r="J22" s="163"/>
      <c r="K22" s="165"/>
    </row>
    <row r="23" spans="2:12" ht="12.95" customHeight="1">
      <c r="B23" s="414"/>
      <c r="C23" s="151">
        <v>42528</v>
      </c>
      <c r="D23" s="137"/>
      <c r="E23" s="153" t="s">
        <v>168</v>
      </c>
      <c r="F23" s="137" t="s">
        <v>216</v>
      </c>
      <c r="G23" s="167" t="s">
        <v>131</v>
      </c>
      <c r="H23" s="148">
        <v>3474000</v>
      </c>
      <c r="I23" s="163"/>
      <c r="J23" s="163"/>
      <c r="K23" s="165"/>
      <c r="L23" s="164"/>
    </row>
    <row r="24" spans="2:12" ht="12.95" customHeight="1">
      <c r="B24" s="414"/>
      <c r="C24" s="151">
        <v>42528</v>
      </c>
      <c r="D24" s="152"/>
      <c r="E24" s="153" t="s">
        <v>186</v>
      </c>
      <c r="F24" s="137" t="s">
        <v>216</v>
      </c>
      <c r="G24" s="167" t="s">
        <v>44</v>
      </c>
      <c r="H24" s="148">
        <v>2428000</v>
      </c>
      <c r="I24" s="163"/>
      <c r="J24" s="163"/>
      <c r="K24" s="165"/>
    </row>
    <row r="25" spans="2:12" ht="12.95" customHeight="1">
      <c r="B25" s="414"/>
      <c r="C25" s="151">
        <v>42535</v>
      </c>
      <c r="D25" s="152" t="s">
        <v>192</v>
      </c>
      <c r="E25" s="153" t="s">
        <v>186</v>
      </c>
      <c r="F25" s="137" t="s">
        <v>216</v>
      </c>
      <c r="G25" s="167" t="s">
        <v>44</v>
      </c>
      <c r="H25" s="148">
        <v>2428000</v>
      </c>
      <c r="I25" s="163"/>
      <c r="J25" s="163"/>
      <c r="K25" s="165"/>
    </row>
    <row r="26" spans="2:12" ht="12.95" customHeight="1">
      <c r="B26" s="414"/>
      <c r="C26" s="150">
        <v>42710</v>
      </c>
      <c r="D26" s="142" t="s">
        <v>191</v>
      </c>
      <c r="E26" s="155" t="s">
        <v>168</v>
      </c>
      <c r="F26" s="137" t="s">
        <v>216</v>
      </c>
      <c r="G26" s="142" t="s">
        <v>209</v>
      </c>
      <c r="H26" s="148">
        <v>3474000</v>
      </c>
      <c r="I26" s="163"/>
      <c r="J26" s="163"/>
      <c r="K26" s="165"/>
    </row>
    <row r="27" spans="2:12" ht="12.95" customHeight="1">
      <c r="B27" s="414"/>
      <c r="C27" s="150">
        <v>42710</v>
      </c>
      <c r="D27" s="154" t="s">
        <v>206</v>
      </c>
      <c r="E27" s="155" t="s">
        <v>186</v>
      </c>
      <c r="F27" s="137" t="s">
        <v>216</v>
      </c>
      <c r="G27" s="167" t="s">
        <v>214</v>
      </c>
      <c r="H27" s="148">
        <v>2428000</v>
      </c>
      <c r="I27" s="163"/>
      <c r="J27" s="163"/>
      <c r="K27" s="165"/>
    </row>
    <row r="28" spans="2:12" ht="12.95" customHeight="1">
      <c r="B28" s="414"/>
      <c r="C28" s="150">
        <v>42717</v>
      </c>
      <c r="D28" s="154" t="s">
        <v>194</v>
      </c>
      <c r="E28" s="155" t="s">
        <v>186</v>
      </c>
      <c r="F28" s="137" t="s">
        <v>216</v>
      </c>
      <c r="G28" s="167" t="s">
        <v>214</v>
      </c>
      <c r="H28" s="148">
        <v>2428000</v>
      </c>
      <c r="I28" s="163"/>
      <c r="J28" s="163"/>
      <c r="K28" s="165"/>
    </row>
    <row r="29" spans="2:12" ht="12.95" customHeight="1">
      <c r="B29" s="414"/>
      <c r="C29" s="156">
        <v>42724</v>
      </c>
      <c r="D29" s="142" t="s">
        <v>193</v>
      </c>
      <c r="E29" s="155" t="s">
        <v>168</v>
      </c>
      <c r="F29" s="137" t="s">
        <v>216</v>
      </c>
      <c r="G29" s="142" t="s">
        <v>149</v>
      </c>
      <c r="H29" s="148">
        <v>3474000</v>
      </c>
      <c r="I29" s="163"/>
      <c r="J29" s="163"/>
      <c r="K29" s="165"/>
    </row>
    <row r="30" spans="2:12" s="135" customFormat="1" ht="12.95" customHeight="1">
      <c r="B30" s="139"/>
      <c r="C30" s="140"/>
      <c r="D30" s="141"/>
      <c r="E30" s="141"/>
      <c r="F30" s="141"/>
      <c r="G30" s="141"/>
      <c r="H30" s="146">
        <f>SUM(H21:H29)</f>
        <v>26036000</v>
      </c>
    </row>
    <row r="32" spans="2:12" s="135" customFormat="1" ht="12.95" customHeight="1">
      <c r="B32" s="412" t="s">
        <v>207</v>
      </c>
      <c r="C32" s="413"/>
      <c r="D32" s="413"/>
      <c r="E32" s="413"/>
      <c r="F32" s="157"/>
      <c r="G32" s="147"/>
      <c r="H32" s="149">
        <f>+H30+H15+H5+H20</f>
        <v>55150000</v>
      </c>
    </row>
    <row r="37" spans="6:10" s="128" customFormat="1">
      <c r="F37" s="164"/>
      <c r="G37" s="164"/>
      <c r="H37" s="165"/>
      <c r="I37" s="164"/>
      <c r="J37" s="165"/>
    </row>
    <row r="38" spans="6:10" s="128" customFormat="1">
      <c r="F38" s="164"/>
      <c r="G38" s="164"/>
      <c r="H38" s="165"/>
      <c r="I38" s="164"/>
      <c r="J38" s="165"/>
    </row>
    <row r="39" spans="6:10" s="128" customFormat="1">
      <c r="F39" s="164"/>
      <c r="G39" s="164"/>
      <c r="H39" s="165"/>
      <c r="I39" s="164"/>
      <c r="J39" s="165"/>
    </row>
  </sheetData>
  <mergeCells count="5">
    <mergeCell ref="B32:E32"/>
    <mergeCell ref="B21:B29"/>
    <mergeCell ref="B16:B19"/>
    <mergeCell ref="B3:B4"/>
    <mergeCell ref="B6:B14"/>
  </mergeCells>
  <pageMargins left="0.7" right="0.7" top="0.75" bottom="0.75" header="0.3" footer="0.3"/>
  <pageSetup paperSize="9" orientation="portrait" verticalDpi="3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B2:CA51"/>
  <sheetViews>
    <sheetView showGridLines="0" workbookViewId="0">
      <pane xSplit="4" ySplit="5" topLeftCell="E6" activePane="bottomRight" state="frozen"/>
      <selection pane="topRight" activeCell="E1" sqref="E1"/>
      <selection pane="bottomLeft" activeCell="A6" sqref="A6"/>
      <selection pane="bottomRight" activeCell="F20" sqref="F20"/>
    </sheetView>
  </sheetViews>
  <sheetFormatPr defaultColWidth="11.42578125" defaultRowHeight="12"/>
  <cols>
    <col min="1" max="1" width="1.85546875" style="10" customWidth="1"/>
    <col min="2" max="2" width="4.42578125" style="10" customWidth="1"/>
    <col min="3" max="3" width="8.28515625" style="10" customWidth="1"/>
    <col min="4" max="5" width="20" style="10" customWidth="1"/>
    <col min="6" max="6" width="8.85546875" style="10" customWidth="1"/>
    <col min="7" max="7" width="14" style="10" customWidth="1"/>
    <col min="8" max="10" width="13.85546875" style="10" customWidth="1"/>
    <col min="11" max="13" width="8" style="10" customWidth="1"/>
    <col min="14" max="14" width="9.85546875" style="10" customWidth="1"/>
    <col min="15" max="15" width="12.28515625" style="10" customWidth="1"/>
    <col min="16" max="16" width="8.7109375" style="10" customWidth="1"/>
    <col min="17" max="17" width="12.28515625" style="10" customWidth="1"/>
    <col min="18" max="18" width="8.7109375" style="10" customWidth="1"/>
    <col min="19" max="19" width="7.85546875" style="45" customWidth="1"/>
    <col min="20" max="20" width="13.42578125" style="10" customWidth="1"/>
    <col min="21" max="21" width="12.28515625" style="10" customWidth="1"/>
    <col min="22" max="22" width="8.7109375" style="10" customWidth="1"/>
    <col min="23" max="23" width="12.28515625" style="10" customWidth="1"/>
    <col min="24" max="24" width="8.7109375" style="10" customWidth="1"/>
    <col min="25" max="25" width="7.85546875" style="45" customWidth="1"/>
    <col min="26" max="27" width="13.42578125" style="10" customWidth="1"/>
    <col min="28" max="28" width="9.85546875" style="10" bestFit="1" customWidth="1"/>
    <col min="29" max="29" width="2" style="10" customWidth="1"/>
    <col min="30" max="35" width="11.140625" style="10" customWidth="1"/>
    <col min="36" max="38" width="11.140625" style="60" customWidth="1"/>
    <col min="39" max="68" width="11.140625" style="10" customWidth="1"/>
    <col min="69" max="71" width="11.140625" style="60" customWidth="1"/>
    <col min="72" max="74" width="11.140625" style="10" customWidth="1"/>
    <col min="75" max="75" width="2" style="60" customWidth="1"/>
    <col min="76" max="76" width="11.140625" style="60" customWidth="1"/>
    <col min="77" max="78" width="12" style="60" customWidth="1"/>
    <col min="79" max="79" width="13.5703125" style="44" bestFit="1" customWidth="1"/>
    <col min="80" max="89" width="11.140625" style="10" customWidth="1"/>
    <col min="90" max="16384" width="11.42578125" style="10"/>
  </cols>
  <sheetData>
    <row r="2" spans="2:78" s="10" customFormat="1">
      <c r="N2" s="418">
        <v>2014</v>
      </c>
      <c r="O2" s="419"/>
      <c r="P2" s="419"/>
      <c r="Q2" s="419"/>
      <c r="R2" s="419"/>
      <c r="S2" s="419"/>
      <c r="T2" s="420"/>
      <c r="U2" s="418">
        <v>2015</v>
      </c>
      <c r="V2" s="419"/>
      <c r="W2" s="419"/>
      <c r="X2" s="419"/>
      <c r="Y2" s="419"/>
      <c r="Z2" s="420"/>
      <c r="AJ2" s="60"/>
      <c r="AK2" s="60"/>
      <c r="AL2" s="60"/>
      <c r="BQ2" s="60"/>
      <c r="BR2" s="60"/>
      <c r="BS2" s="60"/>
      <c r="BW2" s="60"/>
      <c r="BX2" s="60"/>
      <c r="BY2" s="60"/>
      <c r="BZ2" s="60"/>
    </row>
    <row r="3" spans="2:78" s="10" customFormat="1">
      <c r="N3" s="418" t="s">
        <v>48</v>
      </c>
      <c r="O3" s="419"/>
      <c r="P3" s="419"/>
      <c r="Q3" s="419"/>
      <c r="R3" s="420"/>
      <c r="S3" s="418" t="s">
        <v>49</v>
      </c>
      <c r="T3" s="420"/>
      <c r="U3" s="418" t="s">
        <v>48</v>
      </c>
      <c r="V3" s="419"/>
      <c r="W3" s="419"/>
      <c r="X3" s="420"/>
      <c r="Y3" s="418" t="s">
        <v>49</v>
      </c>
      <c r="Z3" s="420"/>
      <c r="AJ3" s="60"/>
      <c r="AK3" s="60"/>
      <c r="AL3" s="60"/>
      <c r="BQ3" s="60"/>
      <c r="BR3" s="60"/>
      <c r="BS3" s="60"/>
      <c r="BW3" s="60"/>
      <c r="BX3" s="60"/>
      <c r="BY3" s="60"/>
      <c r="BZ3" s="60"/>
    </row>
    <row r="4" spans="2:78" s="10" customFormat="1" ht="12.75" thickBot="1">
      <c r="H4" s="433" t="s">
        <v>50</v>
      </c>
      <c r="I4" s="434"/>
      <c r="J4" s="435"/>
      <c r="K4" s="433" t="s">
        <v>51</v>
      </c>
      <c r="L4" s="434"/>
      <c r="M4" s="435"/>
      <c r="N4" s="418" t="s">
        <v>52</v>
      </c>
      <c r="O4" s="419"/>
      <c r="P4" s="11"/>
      <c r="Q4" s="11"/>
      <c r="R4" s="12"/>
      <c r="S4" s="13"/>
      <c r="T4" s="12"/>
      <c r="U4" s="110" t="s">
        <v>52</v>
      </c>
      <c r="V4" s="11"/>
      <c r="W4" s="11"/>
      <c r="X4" s="11"/>
      <c r="Y4" s="13"/>
      <c r="Z4" s="12"/>
      <c r="AA4" s="52" t="s">
        <v>125</v>
      </c>
      <c r="AJ4" s="60"/>
      <c r="AK4" s="60"/>
      <c r="AL4" s="60"/>
      <c r="BQ4" s="60"/>
      <c r="BR4" s="60"/>
      <c r="BS4" s="60"/>
      <c r="BW4" s="60"/>
      <c r="BX4" s="60"/>
      <c r="BY4" s="60"/>
      <c r="BZ4" s="60"/>
    </row>
    <row r="5" spans="2:78" s="10" customFormat="1" ht="12.75" thickBot="1">
      <c r="C5" s="14" t="s">
        <v>53</v>
      </c>
      <c r="D5" s="14" t="s">
        <v>19</v>
      </c>
      <c r="E5" s="14" t="s">
        <v>126</v>
      </c>
      <c r="F5" s="14" t="s">
        <v>54</v>
      </c>
      <c r="G5" s="14" t="s">
        <v>55</v>
      </c>
      <c r="H5" s="14" t="s">
        <v>56</v>
      </c>
      <c r="I5" s="14" t="s">
        <v>57</v>
      </c>
      <c r="J5" s="14" t="s">
        <v>45</v>
      </c>
      <c r="K5" s="14" t="s">
        <v>58</v>
      </c>
      <c r="L5" s="14" t="s">
        <v>59</v>
      </c>
      <c r="M5" s="14" t="s">
        <v>60</v>
      </c>
      <c r="N5" s="15" t="s">
        <v>30</v>
      </c>
      <c r="O5" s="15" t="s">
        <v>61</v>
      </c>
      <c r="P5" s="15" t="s">
        <v>62</v>
      </c>
      <c r="Q5" s="15" t="s">
        <v>63</v>
      </c>
      <c r="R5" s="15" t="s">
        <v>64</v>
      </c>
      <c r="S5" s="16" t="s">
        <v>65</v>
      </c>
      <c r="T5" s="15" t="s">
        <v>66</v>
      </c>
      <c r="U5" s="52" t="s">
        <v>61</v>
      </c>
      <c r="V5" s="52" t="s">
        <v>62</v>
      </c>
      <c r="W5" s="52" t="s">
        <v>63</v>
      </c>
      <c r="X5" s="52" t="s">
        <v>64</v>
      </c>
      <c r="Y5" s="53" t="s">
        <v>65</v>
      </c>
      <c r="Z5" s="52" t="s">
        <v>66</v>
      </c>
      <c r="AA5" s="12"/>
      <c r="AB5" s="14" t="s">
        <v>67</v>
      </c>
      <c r="AD5" s="421" t="s">
        <v>130</v>
      </c>
      <c r="AE5" s="422"/>
      <c r="AF5" s="423"/>
      <c r="AG5" s="421" t="s">
        <v>131</v>
      </c>
      <c r="AH5" s="422"/>
      <c r="AI5" s="423"/>
      <c r="AJ5" s="421" t="s">
        <v>152</v>
      </c>
      <c r="AK5" s="422"/>
      <c r="AL5" s="423"/>
      <c r="AM5" s="421" t="s">
        <v>114</v>
      </c>
      <c r="AN5" s="422"/>
      <c r="AO5" s="423"/>
      <c r="AP5" s="421" t="s">
        <v>153</v>
      </c>
      <c r="AQ5" s="422"/>
      <c r="AR5" s="423"/>
      <c r="AS5" s="421" t="s">
        <v>154</v>
      </c>
      <c r="AT5" s="422"/>
      <c r="AU5" s="423"/>
      <c r="AV5" s="421" t="s">
        <v>155</v>
      </c>
      <c r="AW5" s="422"/>
      <c r="AX5" s="423"/>
      <c r="AY5" s="421" t="s">
        <v>44</v>
      </c>
      <c r="AZ5" s="422"/>
      <c r="BA5" s="423"/>
      <c r="BB5" s="421" t="s">
        <v>108</v>
      </c>
      <c r="BC5" s="422"/>
      <c r="BD5" s="423"/>
      <c r="BE5" s="421" t="s">
        <v>215</v>
      </c>
      <c r="BF5" s="422"/>
      <c r="BG5" s="423"/>
      <c r="BH5" s="421" t="s">
        <v>210</v>
      </c>
      <c r="BI5" s="422"/>
      <c r="BJ5" s="423"/>
      <c r="BK5" s="421" t="s">
        <v>211</v>
      </c>
      <c r="BL5" s="422"/>
      <c r="BM5" s="423"/>
      <c r="BN5" s="421" t="s">
        <v>156</v>
      </c>
      <c r="BO5" s="422"/>
      <c r="BP5" s="423"/>
      <c r="BQ5" s="421" t="s">
        <v>149</v>
      </c>
      <c r="BR5" s="422"/>
      <c r="BS5" s="423"/>
      <c r="BT5" s="421"/>
      <c r="BU5" s="422"/>
      <c r="BV5" s="423"/>
      <c r="BW5" s="60"/>
      <c r="BX5" s="436" t="s">
        <v>132</v>
      </c>
      <c r="BY5" s="437"/>
      <c r="BZ5" s="438"/>
    </row>
    <row r="6" spans="2:78" s="10" customFormat="1">
      <c r="B6" s="424" t="s">
        <v>68</v>
      </c>
      <c r="C6" s="426" t="s">
        <v>69</v>
      </c>
      <c r="D6" s="17" t="s">
        <v>10</v>
      </c>
      <c r="E6" s="17" t="s">
        <v>109</v>
      </c>
      <c r="F6" s="18">
        <v>27377</v>
      </c>
      <c r="G6" s="18">
        <v>142237</v>
      </c>
      <c r="H6" s="19">
        <v>33341</v>
      </c>
      <c r="I6" s="19">
        <v>8066</v>
      </c>
      <c r="J6" s="19">
        <v>15084</v>
      </c>
      <c r="K6" s="56" t="s">
        <v>70</v>
      </c>
      <c r="L6" s="85" t="s">
        <v>71</v>
      </c>
      <c r="M6" s="56" t="s">
        <v>72</v>
      </c>
      <c r="N6" s="18">
        <v>1742500</v>
      </c>
      <c r="O6" s="18">
        <v>1480000</v>
      </c>
      <c r="P6" s="18">
        <v>2507500</v>
      </c>
      <c r="Q6" s="18">
        <v>2980000</v>
      </c>
      <c r="R6" s="18">
        <v>2650000</v>
      </c>
      <c r="S6" s="20">
        <f>3+4+8+4+4+1+2+3+4+2+2+2</f>
        <v>39</v>
      </c>
      <c r="T6" s="21">
        <v>112715000</v>
      </c>
      <c r="U6" s="18">
        <v>1480000</v>
      </c>
      <c r="V6" s="18">
        <v>2422500</v>
      </c>
      <c r="W6" s="18">
        <v>2980000</v>
      </c>
      <c r="X6" s="18">
        <v>2650000</v>
      </c>
      <c r="Y6" s="20" t="e">
        <f>SUM(BX6)</f>
        <v>#REF!</v>
      </c>
      <c r="Z6" s="21" t="e">
        <f>SUM(BZ6)</f>
        <v>#REF!</v>
      </c>
      <c r="AA6" s="51" t="e">
        <f>Z6/T6-1</f>
        <v>#REF!</v>
      </c>
      <c r="AB6" s="56"/>
      <c r="AD6" s="65" t="e">
        <f>SUM(#REF!)</f>
        <v>#REF!</v>
      </c>
      <c r="AE6" s="66" t="e">
        <f>SUM(#REF!)</f>
        <v>#REF!</v>
      </c>
      <c r="AF6" s="67" t="e">
        <f>SUM(#REF!)</f>
        <v>#REF!</v>
      </c>
      <c r="AG6" s="65" t="e">
        <f>SUM(#REF!)</f>
        <v>#REF!</v>
      </c>
      <c r="AH6" s="66" t="e">
        <f>SUM(#REF!)</f>
        <v>#REF!</v>
      </c>
      <c r="AI6" s="67" t="e">
        <f>SUM(#REF!)</f>
        <v>#REF!</v>
      </c>
      <c r="AJ6" s="65" t="e">
        <f>SUM(#REF!)</f>
        <v>#REF!</v>
      </c>
      <c r="AK6" s="66" t="e">
        <f>SUM(#REF!)</f>
        <v>#REF!</v>
      </c>
      <c r="AL6" s="67" t="e">
        <f>SUM(#REF!)</f>
        <v>#REF!</v>
      </c>
      <c r="AM6" s="65"/>
      <c r="AN6" s="66"/>
      <c r="AO6" s="67"/>
      <c r="AP6" s="65" t="e">
        <f>SUM(#REF!)</f>
        <v>#REF!</v>
      </c>
      <c r="AQ6" s="66" t="e">
        <f>SUM(#REF!)</f>
        <v>#REF!</v>
      </c>
      <c r="AR6" s="67" t="e">
        <f>SUM(#REF!)</f>
        <v>#REF!</v>
      </c>
      <c r="AS6" s="65" t="e">
        <f>SUM(#REF!)</f>
        <v>#REF!</v>
      </c>
      <c r="AT6" s="66" t="e">
        <f>SUM(#REF!)</f>
        <v>#REF!</v>
      </c>
      <c r="AU6" s="67" t="e">
        <f>SUM(#REF!)</f>
        <v>#REF!</v>
      </c>
      <c r="AV6" s="65" t="e">
        <f>SUM(#REF!)</f>
        <v>#REF!</v>
      </c>
      <c r="AW6" s="66" t="e">
        <f>SUM(#REF!)</f>
        <v>#REF!</v>
      </c>
      <c r="AX6" s="67" t="e">
        <f>SUM(#REF!)</f>
        <v>#REF!</v>
      </c>
      <c r="AY6" s="65"/>
      <c r="AZ6" s="66"/>
      <c r="BA6" s="67"/>
      <c r="BB6" s="65"/>
      <c r="BC6" s="66"/>
      <c r="BD6" s="67"/>
      <c r="BE6" s="65" t="e">
        <f>SUM(#REF!)</f>
        <v>#REF!</v>
      </c>
      <c r="BF6" s="66" t="e">
        <f>SUM(#REF!)</f>
        <v>#REF!</v>
      </c>
      <c r="BG6" s="67" t="e">
        <f>SUM(#REF!)</f>
        <v>#REF!</v>
      </c>
      <c r="BH6" s="65"/>
      <c r="BI6" s="66"/>
      <c r="BJ6" s="67"/>
      <c r="BK6" s="65" t="e">
        <f>SUM(#REF!)</f>
        <v>#REF!</v>
      </c>
      <c r="BL6" s="66" t="e">
        <f>SUM(#REF!)</f>
        <v>#REF!</v>
      </c>
      <c r="BM6" s="67" t="e">
        <f>SUM(#REF!)</f>
        <v>#REF!</v>
      </c>
      <c r="BN6" s="65"/>
      <c r="BO6" s="66"/>
      <c r="BP6" s="67"/>
      <c r="BQ6" s="65" t="e">
        <f>SUM(#REF!)</f>
        <v>#REF!</v>
      </c>
      <c r="BR6" s="66" t="e">
        <f>SUM(#REF!)</f>
        <v>#REF!</v>
      </c>
      <c r="BS6" s="67" t="e">
        <f>SUM(#REF!)</f>
        <v>#REF!</v>
      </c>
      <c r="BT6" s="65"/>
      <c r="BU6" s="66"/>
      <c r="BV6" s="67"/>
      <c r="BW6" s="60"/>
      <c r="BX6" s="65" t="e">
        <f>SUM(AD6+AG6+AJ6+AP6+AM6+AY6+BE6+BB6+AS6+AV6+BH6+BK6+BQ6+BT6+BN6)</f>
        <v>#REF!</v>
      </c>
      <c r="BY6" s="66" t="e">
        <f t="shared" ref="BY6:BY39" si="0">SUM(AE6+AH6+AK6+AQ6+AN6+AZ6+BF6+BC6+AT6+AW6+BI6+BL6+BR6+BU6+BO6)</f>
        <v>#REF!</v>
      </c>
      <c r="BZ6" s="67" t="e">
        <f t="shared" ref="BZ6:BZ39" si="1">SUM(AF6+AI6+AL6+AR6+AO6+BA6+BG6+BD6+AU6+AX6+BJ6+BM6+BS6+BV6+BP6)</f>
        <v>#REF!</v>
      </c>
    </row>
    <row r="7" spans="2:78" s="10" customFormat="1">
      <c r="B7" s="425"/>
      <c r="C7" s="427"/>
      <c r="D7" s="22" t="s">
        <v>12</v>
      </c>
      <c r="E7" s="22" t="s">
        <v>109</v>
      </c>
      <c r="F7" s="23">
        <v>17707</v>
      </c>
      <c r="G7" s="23">
        <v>149165</v>
      </c>
      <c r="H7" s="24">
        <v>29177</v>
      </c>
      <c r="I7" s="24">
        <v>9614</v>
      </c>
      <c r="J7" s="24">
        <v>12045</v>
      </c>
      <c r="K7" s="57" t="s">
        <v>70</v>
      </c>
      <c r="L7" s="86" t="s">
        <v>71</v>
      </c>
      <c r="M7" s="57" t="s">
        <v>73</v>
      </c>
      <c r="N7" s="23"/>
      <c r="O7" s="23">
        <v>1950000</v>
      </c>
      <c r="P7" s="23">
        <v>3150000</v>
      </c>
      <c r="Q7" s="23">
        <v>3470000</v>
      </c>
      <c r="R7" s="23">
        <v>2650000</v>
      </c>
      <c r="S7" s="25">
        <f>5+5+1+1+3+3+1</f>
        <v>19</v>
      </c>
      <c r="T7" s="26">
        <v>47110000</v>
      </c>
      <c r="U7" s="23">
        <v>1950000</v>
      </c>
      <c r="V7" s="23">
        <v>3150000</v>
      </c>
      <c r="W7" s="23">
        <v>3470000</v>
      </c>
      <c r="X7" s="23">
        <v>2650000</v>
      </c>
      <c r="Y7" s="25" t="e">
        <f t="shared" ref="Y7:Y37" si="2">SUM(BX7)</f>
        <v>#REF!</v>
      </c>
      <c r="Z7" s="26" t="e">
        <f t="shared" ref="Z7:Z12" si="3">SUM(BZ7)</f>
        <v>#REF!</v>
      </c>
      <c r="AA7" s="54" t="e">
        <f t="shared" ref="AA7:AA12" si="4">Z7/T7-1</f>
        <v>#REF!</v>
      </c>
      <c r="AB7" s="57"/>
      <c r="AD7" s="62"/>
      <c r="AE7" s="61"/>
      <c r="AF7" s="63"/>
      <c r="AG7" s="62"/>
      <c r="AH7" s="61"/>
      <c r="AI7" s="63"/>
      <c r="AJ7" s="62" t="e">
        <f>SUM(#REF!)</f>
        <v>#REF!</v>
      </c>
      <c r="AK7" s="61" t="e">
        <f>SUM(#REF!)</f>
        <v>#REF!</v>
      </c>
      <c r="AL7" s="63" t="e">
        <f>SUM(#REF!)</f>
        <v>#REF!</v>
      </c>
      <c r="AM7" s="62"/>
      <c r="AN7" s="61"/>
      <c r="AO7" s="63"/>
      <c r="AP7" s="62"/>
      <c r="AQ7" s="61"/>
      <c r="AR7" s="63"/>
      <c r="AS7" s="62"/>
      <c r="AT7" s="61"/>
      <c r="AU7" s="63"/>
      <c r="AV7" s="62"/>
      <c r="AW7" s="61"/>
      <c r="AX7" s="63"/>
      <c r="AY7" s="62"/>
      <c r="AZ7" s="61"/>
      <c r="BA7" s="63"/>
      <c r="BB7" s="62"/>
      <c r="BC7" s="61"/>
      <c r="BD7" s="63"/>
      <c r="BE7" s="62"/>
      <c r="BF7" s="61"/>
      <c r="BG7" s="63"/>
      <c r="BH7" s="62"/>
      <c r="BI7" s="61"/>
      <c r="BJ7" s="63"/>
      <c r="BK7" s="62"/>
      <c r="BL7" s="61"/>
      <c r="BM7" s="63"/>
      <c r="BN7" s="62"/>
      <c r="BO7" s="61"/>
      <c r="BP7" s="63"/>
      <c r="BQ7" s="62" t="e">
        <f>SUM(#REF!)</f>
        <v>#REF!</v>
      </c>
      <c r="BR7" s="61" t="e">
        <f>SUM(#REF!)</f>
        <v>#REF!</v>
      </c>
      <c r="BS7" s="63" t="e">
        <f>SUM(#REF!)</f>
        <v>#REF!</v>
      </c>
      <c r="BT7" s="62"/>
      <c r="BU7" s="61"/>
      <c r="BV7" s="63"/>
      <c r="BW7" s="60"/>
      <c r="BX7" s="62" t="e">
        <f t="shared" ref="BX7:BX39" si="5">SUM(AD7+AG7+AJ7+AP7+AM7+AY7+BE7+BB7+AS7+AV7+BH7+BK7+BQ7+BT7+BN7)</f>
        <v>#REF!</v>
      </c>
      <c r="BY7" s="61" t="e">
        <f t="shared" si="0"/>
        <v>#REF!</v>
      </c>
      <c r="BZ7" s="63" t="e">
        <f t="shared" si="1"/>
        <v>#REF!</v>
      </c>
    </row>
    <row r="8" spans="2:78" s="10" customFormat="1">
      <c r="B8" s="425"/>
      <c r="C8" s="427"/>
      <c r="D8" s="22" t="s">
        <v>15</v>
      </c>
      <c r="E8" s="22" t="s">
        <v>109</v>
      </c>
      <c r="F8" s="27">
        <v>25000</v>
      </c>
      <c r="G8" s="28"/>
      <c r="H8" s="28"/>
      <c r="I8" s="28"/>
      <c r="J8" s="28"/>
      <c r="K8" s="57" t="s">
        <v>70</v>
      </c>
      <c r="L8" s="86" t="s">
        <v>71</v>
      </c>
      <c r="M8" s="29" t="s">
        <v>116</v>
      </c>
      <c r="N8" s="23"/>
      <c r="O8" s="23">
        <v>1500000</v>
      </c>
      <c r="P8" s="23">
        <v>2000000</v>
      </c>
      <c r="Q8" s="23">
        <v>2200000</v>
      </c>
      <c r="R8" s="23">
        <v>1900000</v>
      </c>
      <c r="S8" s="25">
        <f>2+3+3+4+3+3+1</f>
        <v>19</v>
      </c>
      <c r="T8" s="26">
        <v>39750000</v>
      </c>
      <c r="U8" s="23">
        <v>1500000</v>
      </c>
      <c r="V8" s="23">
        <v>2000000</v>
      </c>
      <c r="W8" s="23">
        <v>2200000</v>
      </c>
      <c r="X8" s="23">
        <v>1900000</v>
      </c>
      <c r="Y8" s="25">
        <f t="shared" si="2"/>
        <v>0</v>
      </c>
      <c r="Z8" s="26">
        <f t="shared" si="3"/>
        <v>0</v>
      </c>
      <c r="AA8" s="54">
        <f t="shared" si="4"/>
        <v>-1</v>
      </c>
      <c r="AB8" s="57"/>
      <c r="AD8" s="62"/>
      <c r="AE8" s="61"/>
      <c r="AF8" s="63"/>
      <c r="AG8" s="62"/>
      <c r="AH8" s="61"/>
      <c r="AI8" s="63"/>
      <c r="AJ8" s="62"/>
      <c r="AK8" s="61"/>
      <c r="AL8" s="63"/>
      <c r="AM8" s="62"/>
      <c r="AN8" s="61"/>
      <c r="AO8" s="63"/>
      <c r="AP8" s="62"/>
      <c r="AQ8" s="61"/>
      <c r="AR8" s="63"/>
      <c r="AS8" s="62"/>
      <c r="AT8" s="61"/>
      <c r="AU8" s="63"/>
      <c r="AV8" s="62"/>
      <c r="AW8" s="61"/>
      <c r="AX8" s="63"/>
      <c r="AY8" s="62"/>
      <c r="AZ8" s="61"/>
      <c r="BA8" s="63"/>
      <c r="BB8" s="62"/>
      <c r="BC8" s="61"/>
      <c r="BD8" s="63"/>
      <c r="BE8" s="62"/>
      <c r="BF8" s="61"/>
      <c r="BG8" s="63"/>
      <c r="BH8" s="62"/>
      <c r="BI8" s="61"/>
      <c r="BJ8" s="63"/>
      <c r="BK8" s="62"/>
      <c r="BL8" s="61"/>
      <c r="BM8" s="63"/>
      <c r="BN8" s="62"/>
      <c r="BO8" s="61"/>
      <c r="BP8" s="63"/>
      <c r="BQ8" s="62"/>
      <c r="BR8" s="61"/>
      <c r="BS8" s="63"/>
      <c r="BT8" s="62"/>
      <c r="BU8" s="61"/>
      <c r="BV8" s="63"/>
      <c r="BW8" s="60"/>
      <c r="BX8" s="62">
        <f t="shared" si="5"/>
        <v>0</v>
      </c>
      <c r="BY8" s="61">
        <f t="shared" si="0"/>
        <v>0</v>
      </c>
      <c r="BZ8" s="63">
        <f t="shared" si="1"/>
        <v>0</v>
      </c>
    </row>
    <row r="9" spans="2:78" s="10" customFormat="1" ht="12.75" thickBot="1">
      <c r="B9" s="432"/>
      <c r="C9" s="431"/>
      <c r="D9" s="30" t="s">
        <v>9</v>
      </c>
      <c r="E9" s="30" t="s">
        <v>109</v>
      </c>
      <c r="F9" s="31">
        <v>23934</v>
      </c>
      <c r="G9" s="32">
        <v>145847</v>
      </c>
      <c r="H9" s="33">
        <v>38170</v>
      </c>
      <c r="I9" s="33">
        <v>4738</v>
      </c>
      <c r="J9" s="33">
        <v>20861</v>
      </c>
      <c r="K9" s="58" t="s">
        <v>70</v>
      </c>
      <c r="L9" s="87" t="s">
        <v>71</v>
      </c>
      <c r="M9" s="58" t="s">
        <v>73</v>
      </c>
      <c r="N9" s="32"/>
      <c r="O9" s="32">
        <v>1650000</v>
      </c>
      <c r="P9" s="32">
        <v>2500000</v>
      </c>
      <c r="Q9" s="32">
        <v>2600000</v>
      </c>
      <c r="R9" s="32">
        <v>2350000</v>
      </c>
      <c r="S9" s="34">
        <f>2+3+3+2+2+3+3+2+1</f>
        <v>21</v>
      </c>
      <c r="T9" s="35">
        <v>39950000</v>
      </c>
      <c r="U9" s="32">
        <v>1650000</v>
      </c>
      <c r="V9" s="32">
        <v>2500000</v>
      </c>
      <c r="W9" s="32">
        <v>2600000</v>
      </c>
      <c r="X9" s="32">
        <v>2500000</v>
      </c>
      <c r="Y9" s="34" t="e">
        <f t="shared" si="2"/>
        <v>#REF!</v>
      </c>
      <c r="Z9" s="35" t="e">
        <f t="shared" si="3"/>
        <v>#REF!</v>
      </c>
      <c r="AA9" s="55" t="e">
        <f t="shared" si="4"/>
        <v>#REF!</v>
      </c>
      <c r="AB9" s="58"/>
      <c r="AD9" s="68"/>
      <c r="AE9" s="69"/>
      <c r="AF9" s="70"/>
      <c r="AG9" s="68"/>
      <c r="AH9" s="69"/>
      <c r="AI9" s="70"/>
      <c r="AJ9" s="68" t="e">
        <f>SUM(#REF!)</f>
        <v>#REF!</v>
      </c>
      <c r="AK9" s="69" t="e">
        <f>SUM(#REF!)</f>
        <v>#REF!</v>
      </c>
      <c r="AL9" s="70" t="e">
        <f>SUM(#REF!)</f>
        <v>#REF!</v>
      </c>
      <c r="AM9" s="68" t="e">
        <f>SUM(#REF!)</f>
        <v>#REF!</v>
      </c>
      <c r="AN9" s="69" t="e">
        <f>SUM(#REF!)</f>
        <v>#REF!</v>
      </c>
      <c r="AO9" s="70" t="e">
        <f>SUM(#REF!)</f>
        <v>#REF!</v>
      </c>
      <c r="AP9" s="68" t="e">
        <f>SUM(#REF!)</f>
        <v>#REF!</v>
      </c>
      <c r="AQ9" s="69" t="e">
        <f>SUM(#REF!)</f>
        <v>#REF!</v>
      </c>
      <c r="AR9" s="70" t="e">
        <f>SUM(#REF!)</f>
        <v>#REF!</v>
      </c>
      <c r="AS9" s="68"/>
      <c r="AT9" s="69"/>
      <c r="AU9" s="70"/>
      <c r="AV9" s="68" t="e">
        <f>SUM(#REF!)</f>
        <v>#REF!</v>
      </c>
      <c r="AW9" s="69" t="e">
        <f>SUM(#REF!)</f>
        <v>#REF!</v>
      </c>
      <c r="AX9" s="70" t="e">
        <f>SUM(#REF!)</f>
        <v>#REF!</v>
      </c>
      <c r="AY9" s="68"/>
      <c r="AZ9" s="69"/>
      <c r="BA9" s="70"/>
      <c r="BB9" s="68"/>
      <c r="BC9" s="69"/>
      <c r="BD9" s="70"/>
      <c r="BE9" s="68"/>
      <c r="BF9" s="69"/>
      <c r="BG9" s="70"/>
      <c r="BH9" s="68"/>
      <c r="BI9" s="69"/>
      <c r="BJ9" s="70"/>
      <c r="BK9" s="68"/>
      <c r="BL9" s="69"/>
      <c r="BM9" s="70"/>
      <c r="BN9" s="68"/>
      <c r="BO9" s="69"/>
      <c r="BP9" s="70"/>
      <c r="BQ9" s="68" t="e">
        <f>SUM(#REF!)</f>
        <v>#REF!</v>
      </c>
      <c r="BR9" s="69" t="e">
        <f>SUM(#REF!)</f>
        <v>#REF!</v>
      </c>
      <c r="BS9" s="70" t="e">
        <f>SUM(#REF!)</f>
        <v>#REF!</v>
      </c>
      <c r="BT9" s="68"/>
      <c r="BU9" s="69"/>
      <c r="BV9" s="70"/>
      <c r="BW9" s="60"/>
      <c r="BX9" s="68" t="e">
        <f t="shared" si="5"/>
        <v>#REF!</v>
      </c>
      <c r="BY9" s="69" t="e">
        <f t="shared" si="0"/>
        <v>#REF!</v>
      </c>
      <c r="BZ9" s="70" t="e">
        <f t="shared" si="1"/>
        <v>#REF!</v>
      </c>
    </row>
    <row r="10" spans="2:78" s="10" customFormat="1">
      <c r="B10" s="424" t="s">
        <v>74</v>
      </c>
      <c r="C10" s="426" t="s">
        <v>75</v>
      </c>
      <c r="D10" s="17" t="s">
        <v>14</v>
      </c>
      <c r="E10" s="17" t="s">
        <v>109</v>
      </c>
      <c r="F10" s="18">
        <v>16489</v>
      </c>
      <c r="G10" s="23">
        <v>58060</v>
      </c>
      <c r="H10" s="24">
        <v>10551</v>
      </c>
      <c r="I10" s="24">
        <v>0</v>
      </c>
      <c r="J10" s="24">
        <v>3783</v>
      </c>
      <c r="K10" s="56" t="s">
        <v>70</v>
      </c>
      <c r="L10" s="85" t="s">
        <v>76</v>
      </c>
      <c r="M10" s="56" t="s">
        <v>73</v>
      </c>
      <c r="N10" s="18"/>
      <c r="O10" s="19">
        <v>1150000</v>
      </c>
      <c r="P10" s="18">
        <v>1260000</v>
      </c>
      <c r="Q10" s="18">
        <v>1365000</v>
      </c>
      <c r="R10" s="18">
        <v>1365000</v>
      </c>
      <c r="S10" s="20">
        <f>3+3+1</f>
        <v>7</v>
      </c>
      <c r="T10" s="21">
        <v>8520000</v>
      </c>
      <c r="U10" s="36">
        <v>1150000</v>
      </c>
      <c r="V10" s="18">
        <v>1260000</v>
      </c>
      <c r="W10" s="18">
        <v>1365000</v>
      </c>
      <c r="X10" s="18">
        <v>1365000</v>
      </c>
      <c r="Y10" s="20" t="e">
        <f t="shared" si="2"/>
        <v>#REF!</v>
      </c>
      <c r="Z10" s="21" t="e">
        <f t="shared" si="3"/>
        <v>#REF!</v>
      </c>
      <c r="AA10" s="51" t="e">
        <f t="shared" si="4"/>
        <v>#REF!</v>
      </c>
      <c r="AB10" s="56"/>
      <c r="AD10" s="74" t="e">
        <f>SUM(#REF!)</f>
        <v>#REF!</v>
      </c>
      <c r="AE10" s="75" t="e">
        <f>SUM(#REF!)</f>
        <v>#REF!</v>
      </c>
      <c r="AF10" s="76" t="e">
        <f>SUM(#REF!)</f>
        <v>#REF!</v>
      </c>
      <c r="AG10" s="74"/>
      <c r="AH10" s="75"/>
      <c r="AI10" s="76"/>
      <c r="AJ10" s="74" t="e">
        <f>SUM(#REF!)</f>
        <v>#REF!</v>
      </c>
      <c r="AK10" s="75" t="e">
        <f>SUM(#REF!)</f>
        <v>#REF!</v>
      </c>
      <c r="AL10" s="76" t="e">
        <f>SUM(#REF!)</f>
        <v>#REF!</v>
      </c>
      <c r="AM10" s="74"/>
      <c r="AN10" s="75"/>
      <c r="AO10" s="76"/>
      <c r="AP10" s="74"/>
      <c r="AQ10" s="75"/>
      <c r="AR10" s="76"/>
      <c r="AS10" s="74" t="e">
        <f>SUM(#REF!)</f>
        <v>#REF!</v>
      </c>
      <c r="AT10" s="75" t="e">
        <f>SUM(#REF!)</f>
        <v>#REF!</v>
      </c>
      <c r="AU10" s="76" t="e">
        <f>SUM(#REF!)</f>
        <v>#REF!</v>
      </c>
      <c r="AV10" s="74"/>
      <c r="AW10" s="75"/>
      <c r="AX10" s="76"/>
      <c r="AY10" s="74"/>
      <c r="AZ10" s="75"/>
      <c r="BA10" s="76"/>
      <c r="BB10" s="74"/>
      <c r="BC10" s="75"/>
      <c r="BD10" s="76"/>
      <c r="BE10" s="74"/>
      <c r="BF10" s="75"/>
      <c r="BG10" s="76"/>
      <c r="BH10" s="74"/>
      <c r="BI10" s="75"/>
      <c r="BJ10" s="76"/>
      <c r="BK10" s="74"/>
      <c r="BL10" s="75"/>
      <c r="BM10" s="76"/>
      <c r="BN10" s="74"/>
      <c r="BO10" s="75"/>
      <c r="BP10" s="76"/>
      <c r="BQ10" s="74"/>
      <c r="BR10" s="75"/>
      <c r="BS10" s="76"/>
      <c r="BT10" s="74"/>
      <c r="BU10" s="75"/>
      <c r="BV10" s="76"/>
      <c r="BW10" s="60"/>
      <c r="BX10" s="74" t="e">
        <f t="shared" si="5"/>
        <v>#REF!</v>
      </c>
      <c r="BY10" s="75" t="e">
        <f t="shared" si="0"/>
        <v>#REF!</v>
      </c>
      <c r="BZ10" s="76" t="e">
        <f t="shared" si="1"/>
        <v>#REF!</v>
      </c>
    </row>
    <row r="11" spans="2:78" s="10" customFormat="1">
      <c r="B11" s="425"/>
      <c r="C11" s="427"/>
      <c r="D11" s="22" t="s">
        <v>13</v>
      </c>
      <c r="E11" s="22" t="s">
        <v>110</v>
      </c>
      <c r="F11" s="23">
        <v>16096</v>
      </c>
      <c r="G11" s="23">
        <v>42460</v>
      </c>
      <c r="H11" s="24">
        <v>6140</v>
      </c>
      <c r="I11" s="24">
        <v>17479</v>
      </c>
      <c r="J11" s="24">
        <v>4529</v>
      </c>
      <c r="K11" s="57" t="s">
        <v>77</v>
      </c>
      <c r="L11" s="86" t="s">
        <v>78</v>
      </c>
      <c r="M11" s="57" t="s">
        <v>72</v>
      </c>
      <c r="N11" s="23"/>
      <c r="O11" s="23">
        <v>1100000</v>
      </c>
      <c r="P11" s="23">
        <v>1800000</v>
      </c>
      <c r="Q11" s="23">
        <v>1800000</v>
      </c>
      <c r="R11" s="23">
        <v>1300000</v>
      </c>
      <c r="S11" s="25">
        <f>6+4+1</f>
        <v>11</v>
      </c>
      <c r="T11" s="26">
        <v>16010000</v>
      </c>
      <c r="U11" s="23">
        <v>1100000</v>
      </c>
      <c r="V11" s="23">
        <v>1400000</v>
      </c>
      <c r="W11" s="23">
        <v>1800000</v>
      </c>
      <c r="X11" s="23">
        <v>1500000</v>
      </c>
      <c r="Y11" s="25">
        <f t="shared" si="2"/>
        <v>0</v>
      </c>
      <c r="Z11" s="26">
        <f t="shared" si="3"/>
        <v>0</v>
      </c>
      <c r="AA11" s="54">
        <f t="shared" si="4"/>
        <v>-1</v>
      </c>
      <c r="AB11" s="57"/>
      <c r="AD11" s="62"/>
      <c r="AE11" s="61"/>
      <c r="AF11" s="63"/>
      <c r="AG11" s="62"/>
      <c r="AH11" s="61"/>
      <c r="AI11" s="63"/>
      <c r="AJ11" s="62"/>
      <c r="AK11" s="61"/>
      <c r="AL11" s="63"/>
      <c r="AM11" s="62"/>
      <c r="AN11" s="61"/>
      <c r="AO11" s="63"/>
      <c r="AP11" s="62"/>
      <c r="AQ11" s="61"/>
      <c r="AR11" s="63"/>
      <c r="AS11" s="62"/>
      <c r="AT11" s="61"/>
      <c r="AU11" s="63"/>
      <c r="AV11" s="62"/>
      <c r="AW11" s="61"/>
      <c r="AX11" s="63"/>
      <c r="AY11" s="62"/>
      <c r="AZ11" s="61"/>
      <c r="BA11" s="63"/>
      <c r="BB11" s="62"/>
      <c r="BC11" s="61"/>
      <c r="BD11" s="63"/>
      <c r="BE11" s="62"/>
      <c r="BF11" s="61"/>
      <c r="BG11" s="63"/>
      <c r="BH11" s="62"/>
      <c r="BI11" s="61"/>
      <c r="BJ11" s="63"/>
      <c r="BK11" s="62"/>
      <c r="BL11" s="61"/>
      <c r="BM11" s="63"/>
      <c r="BN11" s="62"/>
      <c r="BO11" s="61"/>
      <c r="BP11" s="63"/>
      <c r="BQ11" s="62"/>
      <c r="BR11" s="61"/>
      <c r="BS11" s="63"/>
      <c r="BT11" s="62"/>
      <c r="BU11" s="61"/>
      <c r="BV11" s="63"/>
      <c r="BW11" s="60"/>
      <c r="BX11" s="62">
        <f t="shared" si="5"/>
        <v>0</v>
      </c>
      <c r="BY11" s="61">
        <f t="shared" si="0"/>
        <v>0</v>
      </c>
      <c r="BZ11" s="63">
        <f t="shared" si="1"/>
        <v>0</v>
      </c>
    </row>
    <row r="12" spans="2:78" s="10" customFormat="1">
      <c r="B12" s="425"/>
      <c r="C12" s="427"/>
      <c r="D12" s="22" t="s">
        <v>17</v>
      </c>
      <c r="E12" s="22" t="s">
        <v>111</v>
      </c>
      <c r="F12" s="23">
        <v>22242</v>
      </c>
      <c r="G12" s="23">
        <v>47067</v>
      </c>
      <c r="H12" s="24">
        <v>13168</v>
      </c>
      <c r="I12" s="24">
        <v>1569</v>
      </c>
      <c r="J12" s="24">
        <v>10749</v>
      </c>
      <c r="K12" s="57" t="s">
        <v>70</v>
      </c>
      <c r="L12" s="88" t="s">
        <v>79</v>
      </c>
      <c r="M12" s="57" t="s">
        <v>72</v>
      </c>
      <c r="N12" s="23"/>
      <c r="O12" s="23">
        <v>700000</v>
      </c>
      <c r="P12" s="23">
        <v>1100000</v>
      </c>
      <c r="Q12" s="23">
        <v>1200000</v>
      </c>
      <c r="R12" s="23">
        <v>980000</v>
      </c>
      <c r="S12" s="25">
        <f>4+1+1</f>
        <v>6</v>
      </c>
      <c r="T12" s="26">
        <v>6230000</v>
      </c>
      <c r="U12" s="23">
        <v>750000</v>
      </c>
      <c r="V12" s="23">
        <v>1000000</v>
      </c>
      <c r="W12" s="23">
        <v>1200000</v>
      </c>
      <c r="X12" s="23">
        <v>1900000</v>
      </c>
      <c r="Y12" s="25" t="e">
        <f t="shared" si="2"/>
        <v>#REF!</v>
      </c>
      <c r="Z12" s="26" t="e">
        <f t="shared" si="3"/>
        <v>#REF!</v>
      </c>
      <c r="AA12" s="54" t="e">
        <f t="shared" si="4"/>
        <v>#REF!</v>
      </c>
      <c r="AB12" s="57"/>
      <c r="AD12" s="62"/>
      <c r="AE12" s="61"/>
      <c r="AF12" s="63"/>
      <c r="AG12" s="62"/>
      <c r="AH12" s="61"/>
      <c r="AI12" s="63"/>
      <c r="AJ12" s="62" t="e">
        <f>SUM(#REF!)</f>
        <v>#REF!</v>
      </c>
      <c r="AK12" s="61" t="e">
        <f>SUM(#REF!)</f>
        <v>#REF!</v>
      </c>
      <c r="AL12" s="63" t="e">
        <f>SUM(#REF!)</f>
        <v>#REF!</v>
      </c>
      <c r="AM12" s="62"/>
      <c r="AN12" s="61"/>
      <c r="AO12" s="63"/>
      <c r="AP12" s="62"/>
      <c r="AQ12" s="61"/>
      <c r="AR12" s="63"/>
      <c r="AS12" s="62" t="e">
        <f>SUM(#REF!)</f>
        <v>#REF!</v>
      </c>
      <c r="AT12" s="61" t="e">
        <f>SUM(#REF!)</f>
        <v>#REF!</v>
      </c>
      <c r="AU12" s="63" t="e">
        <f>SUM(#REF!)</f>
        <v>#REF!</v>
      </c>
      <c r="AV12" s="62" t="e">
        <f>SUM(#REF!)</f>
        <v>#REF!</v>
      </c>
      <c r="AW12" s="61" t="e">
        <f>SUM(#REF!)</f>
        <v>#REF!</v>
      </c>
      <c r="AX12" s="63" t="e">
        <f>SUM(#REF!)</f>
        <v>#REF!</v>
      </c>
      <c r="AY12" s="62"/>
      <c r="AZ12" s="61"/>
      <c r="BA12" s="63"/>
      <c r="BB12" s="62" t="e">
        <f>SUM(#REF!)</f>
        <v>#REF!</v>
      </c>
      <c r="BC12" s="61" t="e">
        <f>SUM(#REF!)</f>
        <v>#REF!</v>
      </c>
      <c r="BD12" s="63" t="e">
        <f>SUM(#REF!)</f>
        <v>#REF!</v>
      </c>
      <c r="BE12" s="62"/>
      <c r="BF12" s="61"/>
      <c r="BG12" s="63"/>
      <c r="BH12" s="62"/>
      <c r="BI12" s="61"/>
      <c r="BJ12" s="63"/>
      <c r="BK12" s="62"/>
      <c r="BL12" s="61"/>
      <c r="BM12" s="63"/>
      <c r="BN12" s="62"/>
      <c r="BO12" s="61"/>
      <c r="BP12" s="63"/>
      <c r="BQ12" s="62"/>
      <c r="BR12" s="61"/>
      <c r="BS12" s="63"/>
      <c r="BT12" s="62"/>
      <c r="BU12" s="61"/>
      <c r="BV12" s="63"/>
      <c r="BW12" s="60"/>
      <c r="BX12" s="62" t="e">
        <f t="shared" si="5"/>
        <v>#REF!</v>
      </c>
      <c r="BY12" s="61" t="e">
        <f t="shared" si="0"/>
        <v>#REF!</v>
      </c>
      <c r="BZ12" s="63" t="e">
        <f t="shared" si="1"/>
        <v>#REF!</v>
      </c>
    </row>
    <row r="13" spans="2:78" s="10" customFormat="1" hidden="1">
      <c r="B13" s="425"/>
      <c r="C13" s="427"/>
      <c r="D13" s="22" t="s">
        <v>16</v>
      </c>
      <c r="E13" s="22" t="s">
        <v>109</v>
      </c>
      <c r="F13" s="23">
        <v>11253</v>
      </c>
      <c r="G13" s="23">
        <v>34657</v>
      </c>
      <c r="H13" s="24">
        <v>3361</v>
      </c>
      <c r="I13" s="24">
        <v>21689</v>
      </c>
      <c r="J13" s="24">
        <v>2068</v>
      </c>
      <c r="K13" s="57" t="s">
        <v>80</v>
      </c>
      <c r="L13" s="86" t="s">
        <v>79</v>
      </c>
      <c r="M13" s="57" t="s">
        <v>72</v>
      </c>
      <c r="N13" s="23"/>
      <c r="O13" s="23">
        <v>1700000</v>
      </c>
      <c r="P13" s="23">
        <v>2300000</v>
      </c>
      <c r="Q13" s="23">
        <v>2700000</v>
      </c>
      <c r="R13" s="23"/>
      <c r="S13" s="25"/>
      <c r="T13" s="26">
        <v>0</v>
      </c>
      <c r="U13" s="23"/>
      <c r="V13" s="23"/>
      <c r="W13" s="23"/>
      <c r="X13" s="23"/>
      <c r="Y13" s="25"/>
      <c r="Z13" s="26"/>
      <c r="AA13" s="54"/>
      <c r="AB13" s="57"/>
      <c r="AD13" s="62"/>
      <c r="AE13" s="61"/>
      <c r="AF13" s="63"/>
      <c r="AG13" s="62"/>
      <c r="AH13" s="61"/>
      <c r="AI13" s="63"/>
      <c r="AJ13" s="62"/>
      <c r="AK13" s="61"/>
      <c r="AL13" s="63"/>
      <c r="AM13" s="62"/>
      <c r="AN13" s="61"/>
      <c r="AO13" s="63"/>
      <c r="AP13" s="62"/>
      <c r="AQ13" s="61"/>
      <c r="AR13" s="63"/>
      <c r="AS13" s="62"/>
      <c r="AT13" s="61"/>
      <c r="AU13" s="63"/>
      <c r="AV13" s="62"/>
      <c r="AW13" s="61"/>
      <c r="AX13" s="63"/>
      <c r="AY13" s="62"/>
      <c r="AZ13" s="61"/>
      <c r="BA13" s="63"/>
      <c r="BB13" s="62"/>
      <c r="BC13" s="61"/>
      <c r="BD13" s="63"/>
      <c r="BE13" s="62"/>
      <c r="BF13" s="61"/>
      <c r="BG13" s="63"/>
      <c r="BH13" s="62"/>
      <c r="BI13" s="61"/>
      <c r="BJ13" s="63"/>
      <c r="BK13" s="62"/>
      <c r="BL13" s="61"/>
      <c r="BM13" s="63"/>
      <c r="BN13" s="62"/>
      <c r="BO13" s="61"/>
      <c r="BP13" s="63"/>
      <c r="BQ13" s="62"/>
      <c r="BR13" s="61"/>
      <c r="BS13" s="63"/>
      <c r="BT13" s="62"/>
      <c r="BU13" s="61"/>
      <c r="BV13" s="63"/>
      <c r="BW13" s="60"/>
      <c r="BX13" s="62">
        <f t="shared" si="5"/>
        <v>0</v>
      </c>
      <c r="BY13" s="61">
        <f t="shared" si="0"/>
        <v>0</v>
      </c>
      <c r="BZ13" s="63">
        <f t="shared" si="1"/>
        <v>0</v>
      </c>
    </row>
    <row r="14" spans="2:78" s="10" customFormat="1" hidden="1">
      <c r="B14" s="425"/>
      <c r="C14" s="427"/>
      <c r="D14" s="22" t="s">
        <v>37</v>
      </c>
      <c r="E14" s="22" t="s">
        <v>111</v>
      </c>
      <c r="F14" s="23">
        <v>9175</v>
      </c>
      <c r="G14" s="23">
        <v>22263</v>
      </c>
      <c r="H14" s="24">
        <v>6301</v>
      </c>
      <c r="I14" s="24">
        <v>4281</v>
      </c>
      <c r="J14" s="24">
        <v>3867</v>
      </c>
      <c r="K14" s="57" t="s">
        <v>70</v>
      </c>
      <c r="L14" s="86" t="s">
        <v>71</v>
      </c>
      <c r="M14" s="57" t="s">
        <v>72</v>
      </c>
      <c r="N14" s="23"/>
      <c r="O14" s="23">
        <v>972000</v>
      </c>
      <c r="P14" s="23">
        <v>1500000</v>
      </c>
      <c r="Q14" s="23"/>
      <c r="R14" s="23"/>
      <c r="S14" s="25">
        <v>2</v>
      </c>
      <c r="T14" s="26">
        <v>0</v>
      </c>
      <c r="U14" s="23"/>
      <c r="V14" s="23"/>
      <c r="W14" s="23"/>
      <c r="X14" s="23"/>
      <c r="Y14" s="25"/>
      <c r="Z14" s="26"/>
      <c r="AA14" s="54"/>
      <c r="AB14" s="57"/>
      <c r="AD14" s="62"/>
      <c r="AE14" s="61"/>
      <c r="AF14" s="63"/>
      <c r="AG14" s="62"/>
      <c r="AH14" s="61"/>
      <c r="AI14" s="63"/>
      <c r="AJ14" s="62"/>
      <c r="AK14" s="61"/>
      <c r="AL14" s="63"/>
      <c r="AM14" s="62"/>
      <c r="AN14" s="61"/>
      <c r="AO14" s="63"/>
      <c r="AP14" s="62"/>
      <c r="AQ14" s="61"/>
      <c r="AR14" s="63"/>
      <c r="AS14" s="62"/>
      <c r="AT14" s="61"/>
      <c r="AU14" s="63"/>
      <c r="AV14" s="62"/>
      <c r="AW14" s="61"/>
      <c r="AX14" s="63"/>
      <c r="AY14" s="62"/>
      <c r="AZ14" s="61"/>
      <c r="BA14" s="63"/>
      <c r="BB14" s="62"/>
      <c r="BC14" s="61"/>
      <c r="BD14" s="63"/>
      <c r="BE14" s="62"/>
      <c r="BF14" s="61"/>
      <c r="BG14" s="63"/>
      <c r="BH14" s="62"/>
      <c r="BI14" s="61"/>
      <c r="BJ14" s="63"/>
      <c r="BK14" s="62"/>
      <c r="BL14" s="61"/>
      <c r="BM14" s="63"/>
      <c r="BN14" s="62"/>
      <c r="BO14" s="61"/>
      <c r="BP14" s="63"/>
      <c r="BQ14" s="62"/>
      <c r="BR14" s="61"/>
      <c r="BS14" s="63"/>
      <c r="BT14" s="62"/>
      <c r="BU14" s="61"/>
      <c r="BV14" s="63"/>
      <c r="BW14" s="60"/>
      <c r="BX14" s="62">
        <f t="shared" si="5"/>
        <v>0</v>
      </c>
      <c r="BY14" s="61">
        <f t="shared" si="0"/>
        <v>0</v>
      </c>
      <c r="BZ14" s="63">
        <f t="shared" si="1"/>
        <v>0</v>
      </c>
    </row>
    <row r="15" spans="2:78" s="10" customFormat="1">
      <c r="B15" s="425"/>
      <c r="C15" s="427"/>
      <c r="D15" s="22" t="s">
        <v>81</v>
      </c>
      <c r="E15" s="22" t="s">
        <v>111</v>
      </c>
      <c r="F15" s="23">
        <v>19270</v>
      </c>
      <c r="G15" s="23">
        <v>71449</v>
      </c>
      <c r="H15" s="24">
        <v>1198</v>
      </c>
      <c r="I15" s="24">
        <v>0</v>
      </c>
      <c r="J15" s="24">
        <v>1198</v>
      </c>
      <c r="K15" s="57" t="s">
        <v>70</v>
      </c>
      <c r="L15" s="88" t="s">
        <v>82</v>
      </c>
      <c r="M15" s="57" t="s">
        <v>83</v>
      </c>
      <c r="N15" s="23"/>
      <c r="O15" s="23"/>
      <c r="P15" s="23"/>
      <c r="Q15" s="23"/>
      <c r="R15" s="23">
        <v>1100000</v>
      </c>
      <c r="S15" s="25">
        <v>3</v>
      </c>
      <c r="T15" s="26">
        <v>7545000</v>
      </c>
      <c r="U15" s="23"/>
      <c r="V15" s="23"/>
      <c r="W15" s="23"/>
      <c r="X15" s="23"/>
      <c r="Y15" s="25">
        <f t="shared" si="2"/>
        <v>0</v>
      </c>
      <c r="Z15" s="26">
        <f t="shared" ref="Z15:Z21" si="6">SUM(BZ15)</f>
        <v>0</v>
      </c>
      <c r="AA15" s="54">
        <f t="shared" ref="AA15:AA20" si="7">Z15/T15-1</f>
        <v>-1</v>
      </c>
      <c r="AB15" s="57"/>
      <c r="AD15" s="62"/>
      <c r="AE15" s="61"/>
      <c r="AF15" s="63"/>
      <c r="AG15" s="62"/>
      <c r="AH15" s="61"/>
      <c r="AI15" s="63"/>
      <c r="AJ15" s="62"/>
      <c r="AK15" s="61"/>
      <c r="AL15" s="63"/>
      <c r="AM15" s="62"/>
      <c r="AN15" s="61"/>
      <c r="AO15" s="63"/>
      <c r="AP15" s="62"/>
      <c r="AQ15" s="61"/>
      <c r="AR15" s="63"/>
      <c r="AS15" s="62"/>
      <c r="AT15" s="61"/>
      <c r="AU15" s="63"/>
      <c r="AV15" s="62"/>
      <c r="AW15" s="61"/>
      <c r="AX15" s="63"/>
      <c r="AY15" s="62"/>
      <c r="AZ15" s="61"/>
      <c r="BA15" s="63"/>
      <c r="BB15" s="62"/>
      <c r="BC15" s="61"/>
      <c r="BD15" s="63"/>
      <c r="BE15" s="62"/>
      <c r="BF15" s="61"/>
      <c r="BG15" s="63"/>
      <c r="BH15" s="62"/>
      <c r="BI15" s="61"/>
      <c r="BJ15" s="63"/>
      <c r="BK15" s="62"/>
      <c r="BL15" s="61"/>
      <c r="BM15" s="63"/>
      <c r="BN15" s="62"/>
      <c r="BO15" s="61"/>
      <c r="BP15" s="63"/>
      <c r="BQ15" s="62"/>
      <c r="BR15" s="61"/>
      <c r="BS15" s="63"/>
      <c r="BT15" s="62"/>
      <c r="BU15" s="61"/>
      <c r="BV15" s="63"/>
      <c r="BW15" s="60"/>
      <c r="BX15" s="62">
        <f t="shared" si="5"/>
        <v>0</v>
      </c>
      <c r="BY15" s="61">
        <f t="shared" si="0"/>
        <v>0</v>
      </c>
      <c r="BZ15" s="63">
        <f t="shared" si="1"/>
        <v>0</v>
      </c>
    </row>
    <row r="16" spans="2:78" s="10" customFormat="1" ht="12.75" hidden="1" thickBot="1">
      <c r="B16" s="425"/>
      <c r="C16" s="427"/>
      <c r="D16" s="22" t="s">
        <v>84</v>
      </c>
      <c r="E16" s="22" t="s">
        <v>111</v>
      </c>
      <c r="F16" s="23">
        <v>15080</v>
      </c>
      <c r="G16" s="23">
        <v>25260</v>
      </c>
      <c r="H16" s="24">
        <v>2231</v>
      </c>
      <c r="I16" s="24">
        <v>0</v>
      </c>
      <c r="J16" s="24">
        <v>1818</v>
      </c>
      <c r="K16" s="57" t="s">
        <v>70</v>
      </c>
      <c r="L16" s="88" t="s">
        <v>82</v>
      </c>
      <c r="M16" s="57" t="s">
        <v>85</v>
      </c>
      <c r="N16" s="23"/>
      <c r="O16" s="23"/>
      <c r="P16" s="23"/>
      <c r="Q16" s="23"/>
      <c r="R16" s="23">
        <v>900000</v>
      </c>
      <c r="S16" s="25">
        <v>3</v>
      </c>
      <c r="T16" s="26">
        <v>6615000</v>
      </c>
      <c r="U16" s="23"/>
      <c r="V16" s="23"/>
      <c r="W16" s="23"/>
      <c r="X16" s="23"/>
      <c r="Y16" s="25">
        <f t="shared" si="2"/>
        <v>0</v>
      </c>
      <c r="Z16" s="26">
        <f t="shared" si="6"/>
        <v>0</v>
      </c>
      <c r="AA16" s="55">
        <f t="shared" si="7"/>
        <v>-1</v>
      </c>
      <c r="AB16" s="57"/>
      <c r="AD16" s="64"/>
      <c r="AE16" s="77"/>
      <c r="AF16" s="78"/>
      <c r="AG16" s="64"/>
      <c r="AH16" s="77"/>
      <c r="AI16" s="78"/>
      <c r="AJ16" s="64"/>
      <c r="AK16" s="77"/>
      <c r="AL16" s="78"/>
      <c r="AM16" s="64"/>
      <c r="AN16" s="77"/>
      <c r="AO16" s="78"/>
      <c r="AP16" s="64"/>
      <c r="AQ16" s="77"/>
      <c r="AR16" s="78"/>
      <c r="AS16" s="64"/>
      <c r="AT16" s="77"/>
      <c r="AU16" s="78"/>
      <c r="AV16" s="64"/>
      <c r="AW16" s="77"/>
      <c r="AX16" s="78"/>
      <c r="AY16" s="64"/>
      <c r="AZ16" s="77"/>
      <c r="BA16" s="78"/>
      <c r="BB16" s="64"/>
      <c r="BC16" s="77"/>
      <c r="BD16" s="78"/>
      <c r="BE16" s="64"/>
      <c r="BF16" s="77"/>
      <c r="BG16" s="78"/>
      <c r="BH16" s="64"/>
      <c r="BI16" s="77"/>
      <c r="BJ16" s="78"/>
      <c r="BK16" s="64"/>
      <c r="BL16" s="77"/>
      <c r="BM16" s="78"/>
      <c r="BN16" s="64"/>
      <c r="BO16" s="77"/>
      <c r="BP16" s="78"/>
      <c r="BQ16" s="64"/>
      <c r="BR16" s="77"/>
      <c r="BS16" s="78"/>
      <c r="BT16" s="64"/>
      <c r="BU16" s="77"/>
      <c r="BV16" s="78"/>
      <c r="BW16" s="60"/>
      <c r="BX16" s="64">
        <f t="shared" si="5"/>
        <v>0</v>
      </c>
      <c r="BY16" s="77">
        <f t="shared" si="0"/>
        <v>0</v>
      </c>
      <c r="BZ16" s="78">
        <f t="shared" si="1"/>
        <v>0</v>
      </c>
    </row>
    <row r="17" spans="2:79">
      <c r="B17" s="428" t="s">
        <v>24</v>
      </c>
      <c r="C17" s="426" t="s">
        <v>86</v>
      </c>
      <c r="D17" s="17" t="s">
        <v>87</v>
      </c>
      <c r="E17" s="17" t="s">
        <v>110</v>
      </c>
      <c r="F17" s="36">
        <v>199380</v>
      </c>
      <c r="G17" s="18">
        <v>292991</v>
      </c>
      <c r="H17" s="19">
        <v>70958</v>
      </c>
      <c r="I17" s="19">
        <v>60278</v>
      </c>
      <c r="J17" s="19">
        <v>33839</v>
      </c>
      <c r="K17" s="56" t="s">
        <v>77</v>
      </c>
      <c r="L17" s="85" t="s">
        <v>78</v>
      </c>
      <c r="M17" s="56" t="s">
        <v>72</v>
      </c>
      <c r="N17" s="18"/>
      <c r="O17" s="18">
        <v>2133054</v>
      </c>
      <c r="P17" s="18">
        <v>3534960</v>
      </c>
      <c r="Q17" s="18"/>
      <c r="R17" s="18">
        <v>2212056</v>
      </c>
      <c r="S17" s="20">
        <f>2+2+2</f>
        <v>6</v>
      </c>
      <c r="T17" s="21">
        <v>9614972</v>
      </c>
      <c r="U17" s="18">
        <v>2133054</v>
      </c>
      <c r="V17" s="18">
        <v>3534960</v>
      </c>
      <c r="W17" s="18">
        <v>3534960</v>
      </c>
      <c r="X17" s="18">
        <v>2212056</v>
      </c>
      <c r="Y17" s="20" t="e">
        <f t="shared" si="2"/>
        <v>#REF!</v>
      </c>
      <c r="Z17" s="21" t="e">
        <f t="shared" si="6"/>
        <v>#REF!</v>
      </c>
      <c r="AA17" s="51" t="e">
        <f t="shared" si="7"/>
        <v>#REF!</v>
      </c>
      <c r="AB17" s="56"/>
      <c r="AD17" s="65"/>
      <c r="AE17" s="66"/>
      <c r="AF17" s="67"/>
      <c r="AG17" s="65"/>
      <c r="AH17" s="66"/>
      <c r="AI17" s="67"/>
      <c r="AJ17" s="65"/>
      <c r="AK17" s="66"/>
      <c r="AL17" s="67"/>
      <c r="AM17" s="65"/>
      <c r="AN17" s="66"/>
      <c r="AO17" s="67"/>
      <c r="AP17" s="65"/>
      <c r="AQ17" s="66"/>
      <c r="AR17" s="67"/>
      <c r="AS17" s="65"/>
      <c r="AT17" s="66"/>
      <c r="AU17" s="67"/>
      <c r="AV17" s="65"/>
      <c r="AW17" s="66"/>
      <c r="AX17" s="67"/>
      <c r="AY17" s="65"/>
      <c r="AZ17" s="66"/>
      <c r="BA17" s="67"/>
      <c r="BB17" s="65"/>
      <c r="BC17" s="66"/>
      <c r="BD17" s="67"/>
      <c r="BE17" s="65" t="e">
        <f>SUM(#REF!)</f>
        <v>#REF!</v>
      </c>
      <c r="BF17" s="66" t="e">
        <f>SUM(#REF!)</f>
        <v>#REF!</v>
      </c>
      <c r="BG17" s="67" t="e">
        <f>SUM(#REF!)</f>
        <v>#REF!</v>
      </c>
      <c r="BH17" s="65"/>
      <c r="BI17" s="66"/>
      <c r="BJ17" s="67"/>
      <c r="BK17" s="65"/>
      <c r="BL17" s="66"/>
      <c r="BM17" s="67"/>
      <c r="BN17" s="65"/>
      <c r="BO17" s="66"/>
      <c r="BP17" s="67"/>
      <c r="BQ17" s="65"/>
      <c r="BR17" s="66"/>
      <c r="BS17" s="67"/>
      <c r="BT17" s="65"/>
      <c r="BU17" s="66"/>
      <c r="BV17" s="67"/>
      <c r="BX17" s="65" t="e">
        <f t="shared" si="5"/>
        <v>#REF!</v>
      </c>
      <c r="BY17" s="66" t="e">
        <f t="shared" si="0"/>
        <v>#REF!</v>
      </c>
      <c r="BZ17" s="67" t="e">
        <f t="shared" si="1"/>
        <v>#REF!</v>
      </c>
    </row>
    <row r="18" spans="2:79">
      <c r="B18" s="429"/>
      <c r="C18" s="427"/>
      <c r="D18" s="22" t="s">
        <v>88</v>
      </c>
      <c r="E18" s="22" t="s">
        <v>110</v>
      </c>
      <c r="F18" s="37">
        <v>152434</v>
      </c>
      <c r="G18" s="23">
        <v>238554</v>
      </c>
      <c r="H18" s="24">
        <v>66141</v>
      </c>
      <c r="I18" s="24">
        <v>18909</v>
      </c>
      <c r="J18" s="24">
        <v>33240</v>
      </c>
      <c r="K18" s="57" t="s">
        <v>70</v>
      </c>
      <c r="L18" s="86" t="s">
        <v>78</v>
      </c>
      <c r="M18" s="57" t="s">
        <v>73</v>
      </c>
      <c r="N18" s="23"/>
      <c r="O18" s="23">
        <v>1920000</v>
      </c>
      <c r="P18" s="23">
        <v>3600000</v>
      </c>
      <c r="Q18" s="23"/>
      <c r="R18" s="23"/>
      <c r="S18" s="25">
        <f>3+3+2+4</f>
        <v>12</v>
      </c>
      <c r="T18" s="26">
        <v>37240000</v>
      </c>
      <c r="U18" s="23">
        <v>1600000</v>
      </c>
      <c r="V18" s="23">
        <v>3000000</v>
      </c>
      <c r="W18" s="23">
        <v>3000000</v>
      </c>
      <c r="X18" s="23"/>
      <c r="Y18" s="25" t="e">
        <f t="shared" si="2"/>
        <v>#REF!</v>
      </c>
      <c r="Z18" s="26" t="e">
        <f t="shared" si="6"/>
        <v>#REF!</v>
      </c>
      <c r="AA18" s="54" t="e">
        <f t="shared" si="7"/>
        <v>#REF!</v>
      </c>
      <c r="AB18" s="57"/>
      <c r="AD18" s="62"/>
      <c r="AE18" s="61"/>
      <c r="AF18" s="63"/>
      <c r="AG18" s="62"/>
      <c r="AH18" s="61"/>
      <c r="AI18" s="63"/>
      <c r="AJ18" s="62"/>
      <c r="AK18" s="61"/>
      <c r="AL18" s="63"/>
      <c r="AM18" s="62" t="e">
        <f>SUM(#REF!)</f>
        <v>#REF!</v>
      </c>
      <c r="AN18" s="61" t="e">
        <f>SUM(#REF!)</f>
        <v>#REF!</v>
      </c>
      <c r="AO18" s="63" t="e">
        <f>SUM(#REF!)</f>
        <v>#REF!</v>
      </c>
      <c r="AP18" s="62" t="e">
        <f>SUM(#REF!)</f>
        <v>#REF!</v>
      </c>
      <c r="AQ18" s="61" t="e">
        <f>SUM(#REF!)</f>
        <v>#REF!</v>
      </c>
      <c r="AR18" s="63" t="e">
        <f>SUM(#REF!)</f>
        <v>#REF!</v>
      </c>
      <c r="AS18" s="62" t="e">
        <f>SUM(#REF!)</f>
        <v>#REF!</v>
      </c>
      <c r="AT18" s="61" t="e">
        <f>SUM(#REF!)</f>
        <v>#REF!</v>
      </c>
      <c r="AU18" s="63" t="e">
        <f>SUM(#REF!)</f>
        <v>#REF!</v>
      </c>
      <c r="AV18" s="62" t="e">
        <f>SUM(#REF!)</f>
        <v>#REF!</v>
      </c>
      <c r="AW18" s="61" t="e">
        <f>SUM(#REF!)</f>
        <v>#REF!</v>
      </c>
      <c r="AX18" s="63" t="e">
        <f>SUM(#REF!)</f>
        <v>#REF!</v>
      </c>
      <c r="AY18" s="62"/>
      <c r="AZ18" s="61"/>
      <c r="BA18" s="63"/>
      <c r="BB18" s="62"/>
      <c r="BC18" s="61"/>
      <c r="BD18" s="63"/>
      <c r="BE18" s="62" t="e">
        <f>SUM(#REF!)</f>
        <v>#REF!</v>
      </c>
      <c r="BF18" s="61" t="e">
        <f>SUM(#REF!)</f>
        <v>#REF!</v>
      </c>
      <c r="BG18" s="63" t="e">
        <f>SUM(#REF!)</f>
        <v>#REF!</v>
      </c>
      <c r="BH18" s="62"/>
      <c r="BI18" s="61"/>
      <c r="BJ18" s="63"/>
      <c r="BK18" s="62"/>
      <c r="BL18" s="61"/>
      <c r="BM18" s="63"/>
      <c r="BN18" s="62"/>
      <c r="BO18" s="61"/>
      <c r="BP18" s="63"/>
      <c r="BQ18" s="62" t="e">
        <f>SUM(#REF!)</f>
        <v>#REF!</v>
      </c>
      <c r="BR18" s="61" t="e">
        <f>SUM(#REF!)</f>
        <v>#REF!</v>
      </c>
      <c r="BS18" s="63" t="e">
        <f>SUM(#REF!)</f>
        <v>#REF!</v>
      </c>
      <c r="BT18" s="62"/>
      <c r="BU18" s="61"/>
      <c r="BV18" s="63"/>
      <c r="BX18" s="62" t="e">
        <f t="shared" si="5"/>
        <v>#REF!</v>
      </c>
      <c r="BY18" s="61" t="e">
        <f t="shared" si="0"/>
        <v>#REF!</v>
      </c>
      <c r="BZ18" s="63" t="e">
        <f t="shared" si="1"/>
        <v>#REF!</v>
      </c>
    </row>
    <row r="19" spans="2:79">
      <c r="B19" s="429"/>
      <c r="C19" s="427"/>
      <c r="D19" s="22" t="s">
        <v>102</v>
      </c>
      <c r="E19" s="22" t="s">
        <v>111</v>
      </c>
      <c r="F19" s="27">
        <v>23750</v>
      </c>
      <c r="G19" s="28"/>
      <c r="H19" s="28"/>
      <c r="I19" s="28"/>
      <c r="J19" s="28"/>
      <c r="K19" s="29" t="s">
        <v>80</v>
      </c>
      <c r="L19" s="86" t="s">
        <v>78</v>
      </c>
      <c r="M19" s="57" t="s">
        <v>72</v>
      </c>
      <c r="N19" s="23"/>
      <c r="O19" s="23">
        <v>1500000</v>
      </c>
      <c r="P19" s="23"/>
      <c r="Q19" s="23"/>
      <c r="R19" s="23"/>
      <c r="S19" s="25">
        <f>2+2</f>
        <v>4</v>
      </c>
      <c r="T19" s="26">
        <v>14500000</v>
      </c>
      <c r="U19" s="23">
        <v>1200000</v>
      </c>
      <c r="V19" s="23">
        <v>1800000</v>
      </c>
      <c r="W19" s="23">
        <v>2500000</v>
      </c>
      <c r="X19" s="23"/>
      <c r="Y19" s="25">
        <f t="shared" si="2"/>
        <v>0</v>
      </c>
      <c r="Z19" s="26">
        <f t="shared" si="6"/>
        <v>0</v>
      </c>
      <c r="AA19" s="54">
        <f t="shared" si="7"/>
        <v>-1</v>
      </c>
      <c r="AB19" s="57"/>
      <c r="AD19" s="62"/>
      <c r="AE19" s="61"/>
      <c r="AF19" s="63"/>
      <c r="AG19" s="62"/>
      <c r="AH19" s="61"/>
      <c r="AI19" s="63"/>
      <c r="AJ19" s="62"/>
      <c r="AK19" s="61"/>
      <c r="AL19" s="63"/>
      <c r="AM19" s="62"/>
      <c r="AN19" s="61"/>
      <c r="AO19" s="63"/>
      <c r="AP19" s="62"/>
      <c r="AQ19" s="61"/>
      <c r="AR19" s="63"/>
      <c r="AS19" s="62"/>
      <c r="AT19" s="61"/>
      <c r="AU19" s="63"/>
      <c r="AV19" s="62"/>
      <c r="AW19" s="61"/>
      <c r="AX19" s="63"/>
      <c r="AY19" s="62"/>
      <c r="AZ19" s="61"/>
      <c r="BA19" s="63"/>
      <c r="BB19" s="62"/>
      <c r="BC19" s="61"/>
      <c r="BD19" s="63"/>
      <c r="BE19" s="62"/>
      <c r="BF19" s="61"/>
      <c r="BG19" s="63"/>
      <c r="BH19" s="62"/>
      <c r="BI19" s="61"/>
      <c r="BJ19" s="63"/>
      <c r="BK19" s="62"/>
      <c r="BL19" s="61"/>
      <c r="BM19" s="63"/>
      <c r="BN19" s="62"/>
      <c r="BO19" s="61"/>
      <c r="BP19" s="63"/>
      <c r="BQ19" s="62"/>
      <c r="BR19" s="61"/>
      <c r="BS19" s="63"/>
      <c r="BT19" s="62"/>
      <c r="BU19" s="61"/>
      <c r="BV19" s="63"/>
      <c r="BX19" s="62">
        <f t="shared" si="5"/>
        <v>0</v>
      </c>
      <c r="BY19" s="61">
        <f t="shared" si="0"/>
        <v>0</v>
      </c>
      <c r="BZ19" s="63">
        <f t="shared" si="1"/>
        <v>0</v>
      </c>
    </row>
    <row r="20" spans="2:79">
      <c r="B20" s="429"/>
      <c r="C20" s="427"/>
      <c r="D20" s="22" t="s">
        <v>89</v>
      </c>
      <c r="E20" s="22" t="s">
        <v>110</v>
      </c>
      <c r="F20" s="37">
        <v>133162</v>
      </c>
      <c r="G20" s="23">
        <v>249717</v>
      </c>
      <c r="H20" s="24">
        <v>74722</v>
      </c>
      <c r="I20" s="24">
        <v>24458</v>
      </c>
      <c r="J20" s="24">
        <v>32135</v>
      </c>
      <c r="K20" s="57" t="s">
        <v>70</v>
      </c>
      <c r="L20" s="86" t="s">
        <v>78</v>
      </c>
      <c r="M20" s="57" t="s">
        <v>72</v>
      </c>
      <c r="N20" s="23"/>
      <c r="O20" s="23">
        <v>2133054</v>
      </c>
      <c r="P20" s="23">
        <v>3534960</v>
      </c>
      <c r="Q20" s="23"/>
      <c r="R20" s="23">
        <v>2212056</v>
      </c>
      <c r="S20" s="25">
        <f>4+5+2+3+3+4+2+2+3+4+3</f>
        <v>35</v>
      </c>
      <c r="T20" s="26">
        <v>76425057</v>
      </c>
      <c r="U20" s="23">
        <v>2231174</v>
      </c>
      <c r="V20" s="23">
        <v>3697568</v>
      </c>
      <c r="W20" s="23">
        <v>3697568</v>
      </c>
      <c r="X20" s="23">
        <v>2313810</v>
      </c>
      <c r="Y20" s="25" t="e">
        <f t="shared" si="2"/>
        <v>#REF!</v>
      </c>
      <c r="Z20" s="26" t="e">
        <f t="shared" si="6"/>
        <v>#REF!</v>
      </c>
      <c r="AA20" s="54" t="e">
        <f t="shared" si="7"/>
        <v>#REF!</v>
      </c>
      <c r="AB20" s="57"/>
      <c r="AD20" s="62" t="e">
        <f>SUM(#REF!)</f>
        <v>#REF!</v>
      </c>
      <c r="AE20" s="61" t="e">
        <f>SUM(#REF!)</f>
        <v>#REF!</v>
      </c>
      <c r="AF20" s="63" t="e">
        <f>SUM(#REF!)</f>
        <v>#REF!</v>
      </c>
      <c r="AG20" s="62" t="e">
        <f>SUM(#REF!)</f>
        <v>#REF!</v>
      </c>
      <c r="AH20" s="61" t="e">
        <f>SUM(#REF!)</f>
        <v>#REF!</v>
      </c>
      <c r="AI20" s="63" t="e">
        <f>SUM(#REF!)</f>
        <v>#REF!</v>
      </c>
      <c r="AJ20" s="62" t="e">
        <f>SUM(#REF!)</f>
        <v>#REF!</v>
      </c>
      <c r="AK20" s="61" t="e">
        <f>SUM(#REF!)</f>
        <v>#REF!</v>
      </c>
      <c r="AL20" s="63" t="e">
        <f>SUM(#REF!)</f>
        <v>#REF!</v>
      </c>
      <c r="AM20" s="62" t="e">
        <f>SUM(#REF!)</f>
        <v>#REF!</v>
      </c>
      <c r="AN20" s="61" t="e">
        <f>SUM(#REF!)</f>
        <v>#REF!</v>
      </c>
      <c r="AO20" s="63" t="e">
        <f>SUM(#REF!)</f>
        <v>#REF!</v>
      </c>
      <c r="AP20" s="62"/>
      <c r="AQ20" s="61"/>
      <c r="AR20" s="63"/>
      <c r="AS20" s="62" t="e">
        <f>SUM(#REF!)</f>
        <v>#REF!</v>
      </c>
      <c r="AT20" s="61" t="e">
        <f>SUM(#REF!)</f>
        <v>#REF!</v>
      </c>
      <c r="AU20" s="63" t="e">
        <f>SUM(#REF!)</f>
        <v>#REF!</v>
      </c>
      <c r="AV20" s="62" t="e">
        <f>SUM(#REF!)</f>
        <v>#REF!</v>
      </c>
      <c r="AW20" s="61" t="e">
        <f>SUM(#REF!)</f>
        <v>#REF!</v>
      </c>
      <c r="AX20" s="63" t="e">
        <f>SUM(#REF!)</f>
        <v>#REF!</v>
      </c>
      <c r="AY20" s="62" t="e">
        <f>SUM(#REF!)</f>
        <v>#REF!</v>
      </c>
      <c r="AZ20" s="61" t="e">
        <f>SUM(#REF!)</f>
        <v>#REF!</v>
      </c>
      <c r="BA20" s="63" t="e">
        <f>SUM(#REF!)</f>
        <v>#REF!</v>
      </c>
      <c r="BB20" s="62"/>
      <c r="BC20" s="61"/>
      <c r="BD20" s="63"/>
      <c r="BE20" s="62" t="e">
        <f>SUM(#REF!)</f>
        <v>#REF!</v>
      </c>
      <c r="BF20" s="61" t="e">
        <f>SUM(#REF!)</f>
        <v>#REF!</v>
      </c>
      <c r="BG20" s="63" t="e">
        <f>SUM(#REF!)</f>
        <v>#REF!</v>
      </c>
      <c r="BH20" s="62"/>
      <c r="BI20" s="61"/>
      <c r="BJ20" s="63"/>
      <c r="BK20" s="62"/>
      <c r="BL20" s="61"/>
      <c r="BM20" s="63"/>
      <c r="BN20" s="62"/>
      <c r="BO20" s="61"/>
      <c r="BP20" s="63"/>
      <c r="BQ20" s="62" t="e">
        <f>SUM(#REF!)</f>
        <v>#REF!</v>
      </c>
      <c r="BR20" s="61" t="e">
        <f>SUM(#REF!)</f>
        <v>#REF!</v>
      </c>
      <c r="BS20" s="63" t="e">
        <f>SUM(#REF!)</f>
        <v>#REF!</v>
      </c>
      <c r="BT20" s="62"/>
      <c r="BU20" s="61"/>
      <c r="BV20" s="63"/>
      <c r="BX20" s="62" t="e">
        <f t="shared" si="5"/>
        <v>#REF!</v>
      </c>
      <c r="BY20" s="61" t="e">
        <f t="shared" si="0"/>
        <v>#REF!</v>
      </c>
      <c r="BZ20" s="63" t="e">
        <f t="shared" si="1"/>
        <v>#REF!</v>
      </c>
    </row>
    <row r="21" spans="2:79" s="60" customFormat="1" ht="12.75" thickBot="1">
      <c r="B21" s="429"/>
      <c r="C21" s="427"/>
      <c r="D21" s="94" t="s">
        <v>133</v>
      </c>
      <c r="E21" s="94" t="s">
        <v>113</v>
      </c>
      <c r="F21" s="37">
        <v>148431</v>
      </c>
      <c r="G21" s="37">
        <v>168350.57142857142</v>
      </c>
      <c r="H21" s="37">
        <v>4960.2857142857147</v>
      </c>
      <c r="I21" s="37">
        <v>47212.428571428572</v>
      </c>
      <c r="J21" s="37">
        <v>3027</v>
      </c>
      <c r="K21" s="29" t="s">
        <v>80</v>
      </c>
      <c r="L21" s="86" t="s">
        <v>78</v>
      </c>
      <c r="M21" s="59" t="s">
        <v>72</v>
      </c>
      <c r="N21" s="37"/>
      <c r="O21" s="37"/>
      <c r="P21" s="37"/>
      <c r="Q21" s="37"/>
      <c r="R21" s="37"/>
      <c r="S21" s="98"/>
      <c r="T21" s="99">
        <v>0</v>
      </c>
      <c r="U21" s="37"/>
      <c r="V21" s="37"/>
      <c r="W21" s="37"/>
      <c r="X21" s="37"/>
      <c r="Y21" s="25" t="e">
        <f t="shared" si="2"/>
        <v>#REF!</v>
      </c>
      <c r="Z21" s="26" t="e">
        <f t="shared" si="6"/>
        <v>#REF!</v>
      </c>
      <c r="AA21" s="54"/>
      <c r="AB21" s="59"/>
      <c r="AD21" s="62"/>
      <c r="AE21" s="61"/>
      <c r="AF21" s="63"/>
      <c r="AG21" s="62"/>
      <c r="AH21" s="61"/>
      <c r="AI21" s="63"/>
      <c r="AJ21" s="62"/>
      <c r="AK21" s="61"/>
      <c r="AL21" s="63"/>
      <c r="AM21" s="62"/>
      <c r="AN21" s="61"/>
      <c r="AO21" s="63"/>
      <c r="AP21" s="62"/>
      <c r="AQ21" s="61"/>
      <c r="AR21" s="63"/>
      <c r="AS21" s="95"/>
      <c r="AT21" s="96"/>
      <c r="AU21" s="97"/>
      <c r="AV21" s="95"/>
      <c r="AW21" s="96"/>
      <c r="AX21" s="97"/>
      <c r="AY21" s="95" t="e">
        <f>SUM(#REF!)</f>
        <v>#REF!</v>
      </c>
      <c r="AZ21" s="96" t="e">
        <f>SUM(#REF!)</f>
        <v>#REF!</v>
      </c>
      <c r="BA21" s="97" t="e">
        <f>SUM(#REF!)</f>
        <v>#REF!</v>
      </c>
      <c r="BB21" s="95"/>
      <c r="BC21" s="96"/>
      <c r="BD21" s="97"/>
      <c r="BE21" s="95"/>
      <c r="BF21" s="96"/>
      <c r="BG21" s="97"/>
      <c r="BH21" s="95"/>
      <c r="BI21" s="96"/>
      <c r="BJ21" s="97"/>
      <c r="BK21" s="95"/>
      <c r="BL21" s="96"/>
      <c r="BM21" s="97"/>
      <c r="BN21" s="95"/>
      <c r="BO21" s="96"/>
      <c r="BP21" s="97"/>
      <c r="BQ21" s="95"/>
      <c r="BR21" s="96"/>
      <c r="BS21" s="97"/>
      <c r="BT21" s="95"/>
      <c r="BU21" s="96"/>
      <c r="BV21" s="97"/>
      <c r="BX21" s="95" t="e">
        <f t="shared" si="5"/>
        <v>#REF!</v>
      </c>
      <c r="BY21" s="96" t="e">
        <f t="shared" si="0"/>
        <v>#REF!</v>
      </c>
      <c r="BZ21" s="97" t="e">
        <f t="shared" si="1"/>
        <v>#REF!</v>
      </c>
      <c r="CA21" s="44"/>
    </row>
    <row r="22" spans="2:79" ht="12.75" hidden="1" thickBot="1">
      <c r="B22" s="429"/>
      <c r="C22" s="427"/>
      <c r="D22" s="22" t="s">
        <v>90</v>
      </c>
      <c r="E22" s="22" t="s">
        <v>110</v>
      </c>
      <c r="F22" s="37">
        <v>165485</v>
      </c>
      <c r="G22" s="23">
        <v>187437</v>
      </c>
      <c r="H22" s="24">
        <v>46782</v>
      </c>
      <c r="I22" s="24">
        <v>35085</v>
      </c>
      <c r="J22" s="24">
        <v>17879</v>
      </c>
      <c r="K22" s="57" t="s">
        <v>77</v>
      </c>
      <c r="L22" s="86" t="s">
        <v>91</v>
      </c>
      <c r="M22" s="57" t="s">
        <v>72</v>
      </c>
      <c r="N22" s="23"/>
      <c r="O22" s="23"/>
      <c r="P22" s="23"/>
      <c r="Q22" s="23"/>
      <c r="R22" s="23"/>
      <c r="S22" s="25"/>
      <c r="T22" s="26">
        <v>0</v>
      </c>
      <c r="U22" s="23"/>
      <c r="V22" s="23"/>
      <c r="W22" s="23"/>
      <c r="X22" s="23"/>
      <c r="Y22" s="25"/>
      <c r="Z22" s="26"/>
      <c r="AA22" s="54"/>
      <c r="AB22" s="57"/>
      <c r="AD22" s="62"/>
      <c r="AE22" s="61"/>
      <c r="AF22" s="63"/>
      <c r="AG22" s="62"/>
      <c r="AH22" s="61"/>
      <c r="AI22" s="63"/>
      <c r="AJ22" s="62"/>
      <c r="AK22" s="61"/>
      <c r="AL22" s="63"/>
      <c r="AM22" s="62"/>
      <c r="AN22" s="61"/>
      <c r="AO22" s="63"/>
      <c r="AP22" s="62"/>
      <c r="AQ22" s="61"/>
      <c r="AR22" s="63"/>
      <c r="AS22" s="62"/>
      <c r="AT22" s="61"/>
      <c r="AU22" s="63"/>
      <c r="AV22" s="62"/>
      <c r="AW22" s="61"/>
      <c r="AX22" s="63"/>
      <c r="AY22" s="62"/>
      <c r="AZ22" s="61"/>
      <c r="BA22" s="63"/>
      <c r="BB22" s="62"/>
      <c r="BC22" s="61"/>
      <c r="BD22" s="63"/>
      <c r="BE22" s="62"/>
      <c r="BF22" s="61"/>
      <c r="BG22" s="63"/>
      <c r="BH22" s="62"/>
      <c r="BI22" s="61"/>
      <c r="BJ22" s="63"/>
      <c r="BK22" s="62"/>
      <c r="BL22" s="61"/>
      <c r="BM22" s="63"/>
      <c r="BN22" s="62"/>
      <c r="BO22" s="61"/>
      <c r="BP22" s="63"/>
      <c r="BQ22" s="62"/>
      <c r="BR22" s="61"/>
      <c r="BS22" s="63"/>
      <c r="BT22" s="62"/>
      <c r="BU22" s="61"/>
      <c r="BV22" s="63"/>
      <c r="BX22" s="62">
        <f t="shared" si="5"/>
        <v>0</v>
      </c>
      <c r="BY22" s="61">
        <f t="shared" si="0"/>
        <v>0</v>
      </c>
      <c r="BZ22" s="63">
        <f t="shared" si="1"/>
        <v>0</v>
      </c>
    </row>
    <row r="23" spans="2:79" ht="12.75" hidden="1" thickBot="1">
      <c r="B23" s="429"/>
      <c r="C23" s="427"/>
      <c r="D23" s="22" t="s">
        <v>92</v>
      </c>
      <c r="E23" s="22" t="s">
        <v>110</v>
      </c>
      <c r="F23" s="37">
        <v>109163</v>
      </c>
      <c r="G23" s="23">
        <v>103904</v>
      </c>
      <c r="H23" s="24">
        <v>11514</v>
      </c>
      <c r="I23" s="24">
        <v>3400</v>
      </c>
      <c r="J23" s="24">
        <v>4430</v>
      </c>
      <c r="K23" s="57" t="s">
        <v>70</v>
      </c>
      <c r="L23" s="86" t="s">
        <v>71</v>
      </c>
      <c r="M23" s="57" t="s">
        <v>83</v>
      </c>
      <c r="N23" s="23"/>
      <c r="O23" s="23"/>
      <c r="P23" s="23"/>
      <c r="Q23" s="23"/>
      <c r="R23" s="23"/>
      <c r="S23" s="25"/>
      <c r="T23" s="26">
        <v>0</v>
      </c>
      <c r="U23" s="23"/>
      <c r="V23" s="23"/>
      <c r="W23" s="23"/>
      <c r="X23" s="23"/>
      <c r="Y23" s="25"/>
      <c r="Z23" s="26"/>
      <c r="AA23" s="54"/>
      <c r="AB23" s="57"/>
      <c r="AD23" s="62"/>
      <c r="AE23" s="61"/>
      <c r="AF23" s="63"/>
      <c r="AG23" s="62"/>
      <c r="AH23" s="61"/>
      <c r="AI23" s="63"/>
      <c r="AJ23" s="62"/>
      <c r="AK23" s="61"/>
      <c r="AL23" s="63"/>
      <c r="AM23" s="62"/>
      <c r="AN23" s="61"/>
      <c r="AO23" s="63"/>
      <c r="AP23" s="62"/>
      <c r="AQ23" s="61"/>
      <c r="AR23" s="63"/>
      <c r="AS23" s="62"/>
      <c r="AT23" s="61"/>
      <c r="AU23" s="63"/>
      <c r="AV23" s="62"/>
      <c r="AW23" s="61"/>
      <c r="AX23" s="63"/>
      <c r="AY23" s="62"/>
      <c r="AZ23" s="61"/>
      <c r="BA23" s="63"/>
      <c r="BB23" s="62"/>
      <c r="BC23" s="61"/>
      <c r="BD23" s="63"/>
      <c r="BE23" s="62"/>
      <c r="BF23" s="61"/>
      <c r="BG23" s="63"/>
      <c r="BH23" s="62"/>
      <c r="BI23" s="61"/>
      <c r="BJ23" s="63"/>
      <c r="BK23" s="62"/>
      <c r="BL23" s="61"/>
      <c r="BM23" s="63"/>
      <c r="BN23" s="62"/>
      <c r="BO23" s="61"/>
      <c r="BP23" s="63"/>
      <c r="BQ23" s="62"/>
      <c r="BR23" s="61"/>
      <c r="BS23" s="63"/>
      <c r="BT23" s="62"/>
      <c r="BU23" s="61"/>
      <c r="BV23" s="63"/>
      <c r="BX23" s="62">
        <f t="shared" si="5"/>
        <v>0</v>
      </c>
      <c r="BY23" s="61">
        <f t="shared" si="0"/>
        <v>0</v>
      </c>
      <c r="BZ23" s="63">
        <f t="shared" si="1"/>
        <v>0</v>
      </c>
    </row>
    <row r="24" spans="2:79" ht="12.75" hidden="1" thickBot="1">
      <c r="B24" s="429"/>
      <c r="C24" s="427"/>
      <c r="D24" s="22" t="s">
        <v>93</v>
      </c>
      <c r="E24" s="22" t="s">
        <v>110</v>
      </c>
      <c r="F24" s="37">
        <v>85000</v>
      </c>
      <c r="G24" s="23">
        <v>134621</v>
      </c>
      <c r="H24" s="24">
        <v>12891</v>
      </c>
      <c r="I24" s="24">
        <v>2195</v>
      </c>
      <c r="J24" s="24">
        <v>7592</v>
      </c>
      <c r="K24" s="57" t="s">
        <v>70</v>
      </c>
      <c r="L24" s="88" t="s">
        <v>94</v>
      </c>
      <c r="M24" s="57" t="s">
        <v>83</v>
      </c>
      <c r="N24" s="23"/>
      <c r="O24" s="23"/>
      <c r="P24" s="23"/>
      <c r="Q24" s="23"/>
      <c r="R24" s="23"/>
      <c r="S24" s="25"/>
      <c r="T24" s="26">
        <v>0</v>
      </c>
      <c r="U24" s="23"/>
      <c r="V24" s="23"/>
      <c r="W24" s="23"/>
      <c r="X24" s="23"/>
      <c r="Y24" s="25"/>
      <c r="Z24" s="26"/>
      <c r="AA24" s="54"/>
      <c r="AB24" s="57"/>
      <c r="AD24" s="62"/>
      <c r="AE24" s="61"/>
      <c r="AF24" s="63"/>
      <c r="AG24" s="62"/>
      <c r="AH24" s="61"/>
      <c r="AI24" s="63"/>
      <c r="AJ24" s="62"/>
      <c r="AK24" s="61"/>
      <c r="AL24" s="63"/>
      <c r="AM24" s="62"/>
      <c r="AN24" s="61"/>
      <c r="AO24" s="63"/>
      <c r="AP24" s="62"/>
      <c r="AQ24" s="61"/>
      <c r="AR24" s="63"/>
      <c r="AS24" s="62"/>
      <c r="AT24" s="61"/>
      <c r="AU24" s="63"/>
      <c r="AV24" s="62"/>
      <c r="AW24" s="61"/>
      <c r="AX24" s="63"/>
      <c r="AY24" s="62"/>
      <c r="AZ24" s="61"/>
      <c r="BA24" s="63"/>
      <c r="BB24" s="62"/>
      <c r="BC24" s="61"/>
      <c r="BD24" s="63"/>
      <c r="BE24" s="62"/>
      <c r="BF24" s="61"/>
      <c r="BG24" s="63"/>
      <c r="BH24" s="62"/>
      <c r="BI24" s="61"/>
      <c r="BJ24" s="63"/>
      <c r="BK24" s="62"/>
      <c r="BL24" s="61"/>
      <c r="BM24" s="63"/>
      <c r="BN24" s="62"/>
      <c r="BO24" s="61"/>
      <c r="BP24" s="63"/>
      <c r="BQ24" s="62"/>
      <c r="BR24" s="61"/>
      <c r="BS24" s="63"/>
      <c r="BT24" s="62"/>
      <c r="BU24" s="61"/>
      <c r="BV24" s="63"/>
      <c r="BX24" s="62">
        <f t="shared" si="5"/>
        <v>0</v>
      </c>
      <c r="BY24" s="61">
        <f t="shared" si="0"/>
        <v>0</v>
      </c>
      <c r="BZ24" s="63">
        <f t="shared" si="1"/>
        <v>0</v>
      </c>
    </row>
    <row r="25" spans="2:79" ht="12.75" hidden="1" thickBot="1">
      <c r="B25" s="430"/>
      <c r="C25" s="431"/>
      <c r="D25" s="30" t="s">
        <v>103</v>
      </c>
      <c r="E25" s="30" t="s">
        <v>110</v>
      </c>
      <c r="F25" s="38">
        <v>86667</v>
      </c>
      <c r="G25" s="32">
        <v>145010</v>
      </c>
      <c r="H25" s="33">
        <v>21053</v>
      </c>
      <c r="I25" s="33">
        <v>1213</v>
      </c>
      <c r="J25" s="33">
        <v>14341</v>
      </c>
      <c r="K25" s="58" t="s">
        <v>70</v>
      </c>
      <c r="L25" s="89" t="s">
        <v>71</v>
      </c>
      <c r="M25" s="58" t="s">
        <v>83</v>
      </c>
      <c r="N25" s="32"/>
      <c r="O25" s="32"/>
      <c r="P25" s="32"/>
      <c r="Q25" s="32"/>
      <c r="R25" s="32"/>
      <c r="S25" s="34">
        <f>1</f>
        <v>1</v>
      </c>
      <c r="T25" s="26">
        <v>1200000</v>
      </c>
      <c r="U25" s="32"/>
      <c r="V25" s="32"/>
      <c r="W25" s="32"/>
      <c r="X25" s="32"/>
      <c r="Y25" s="34"/>
      <c r="Z25" s="26"/>
      <c r="AA25" s="55"/>
      <c r="AB25" s="58"/>
      <c r="AD25" s="68"/>
      <c r="AE25" s="69"/>
      <c r="AF25" s="70"/>
      <c r="AG25" s="68"/>
      <c r="AH25" s="69"/>
      <c r="AI25" s="70"/>
      <c r="AJ25" s="68"/>
      <c r="AK25" s="69"/>
      <c r="AL25" s="70"/>
      <c r="AM25" s="68"/>
      <c r="AN25" s="69"/>
      <c r="AO25" s="70"/>
      <c r="AP25" s="68"/>
      <c r="AQ25" s="69"/>
      <c r="AR25" s="70"/>
      <c r="AS25" s="68"/>
      <c r="AT25" s="69"/>
      <c r="AU25" s="70"/>
      <c r="AV25" s="68"/>
      <c r="AW25" s="69"/>
      <c r="AX25" s="70"/>
      <c r="AY25" s="68"/>
      <c r="AZ25" s="69"/>
      <c r="BA25" s="70"/>
      <c r="BB25" s="68"/>
      <c r="BC25" s="69"/>
      <c r="BD25" s="70"/>
      <c r="BE25" s="68"/>
      <c r="BF25" s="69"/>
      <c r="BG25" s="70"/>
      <c r="BH25" s="68"/>
      <c r="BI25" s="69"/>
      <c r="BJ25" s="70"/>
      <c r="BK25" s="68"/>
      <c r="BL25" s="69"/>
      <c r="BM25" s="70"/>
      <c r="BN25" s="68"/>
      <c r="BO25" s="69"/>
      <c r="BP25" s="70"/>
      <c r="BQ25" s="68"/>
      <c r="BR25" s="69"/>
      <c r="BS25" s="70"/>
      <c r="BT25" s="68"/>
      <c r="BU25" s="69"/>
      <c r="BV25" s="70"/>
      <c r="BX25" s="68">
        <f t="shared" si="5"/>
        <v>0</v>
      </c>
      <c r="BY25" s="69">
        <f t="shared" si="0"/>
        <v>0</v>
      </c>
      <c r="BZ25" s="70">
        <f t="shared" si="1"/>
        <v>0</v>
      </c>
    </row>
    <row r="26" spans="2:79">
      <c r="B26" s="424" t="s">
        <v>95</v>
      </c>
      <c r="C26" s="426" t="s">
        <v>96</v>
      </c>
      <c r="D26" s="17" t="s">
        <v>42</v>
      </c>
      <c r="E26" s="17" t="s">
        <v>111</v>
      </c>
      <c r="F26" s="18">
        <v>90002</v>
      </c>
      <c r="G26" s="18">
        <v>131036</v>
      </c>
      <c r="H26" s="19">
        <v>14303</v>
      </c>
      <c r="I26" s="19">
        <v>22833</v>
      </c>
      <c r="J26" s="19">
        <v>8969</v>
      </c>
      <c r="K26" s="56" t="s">
        <v>80</v>
      </c>
      <c r="L26" s="90" t="s">
        <v>94</v>
      </c>
      <c r="M26" s="56" t="s">
        <v>73</v>
      </c>
      <c r="N26" s="18"/>
      <c r="O26" s="18">
        <v>1600000</v>
      </c>
      <c r="P26" s="18"/>
      <c r="Q26" s="18"/>
      <c r="R26" s="18"/>
      <c r="S26" s="20">
        <v>2</v>
      </c>
      <c r="T26" s="21">
        <v>3600000</v>
      </c>
      <c r="U26" s="18"/>
      <c r="V26" s="18"/>
      <c r="W26" s="18"/>
      <c r="X26" s="18">
        <v>1800000</v>
      </c>
      <c r="Y26" s="20">
        <f t="shared" si="2"/>
        <v>0</v>
      </c>
      <c r="Z26" s="21">
        <f>SUM(BZ26)</f>
        <v>0</v>
      </c>
      <c r="AA26" s="51"/>
      <c r="AB26" s="56"/>
      <c r="AD26" s="74"/>
      <c r="AE26" s="75"/>
      <c r="AF26" s="76"/>
      <c r="AG26" s="74"/>
      <c r="AH26" s="75"/>
      <c r="AI26" s="76"/>
      <c r="AJ26" s="74"/>
      <c r="AK26" s="75"/>
      <c r="AL26" s="76"/>
      <c r="AM26" s="74"/>
      <c r="AN26" s="75"/>
      <c r="AO26" s="76"/>
      <c r="AP26" s="74"/>
      <c r="AQ26" s="75"/>
      <c r="AR26" s="76"/>
      <c r="AS26" s="74"/>
      <c r="AT26" s="75"/>
      <c r="AU26" s="76"/>
      <c r="AV26" s="74"/>
      <c r="AW26" s="75"/>
      <c r="AX26" s="76"/>
      <c r="AY26" s="74"/>
      <c r="AZ26" s="75"/>
      <c r="BA26" s="76"/>
      <c r="BB26" s="74"/>
      <c r="BC26" s="75"/>
      <c r="BD26" s="76"/>
      <c r="BE26" s="74"/>
      <c r="BF26" s="75"/>
      <c r="BG26" s="76"/>
      <c r="BH26" s="74"/>
      <c r="BI26" s="75"/>
      <c r="BJ26" s="76"/>
      <c r="BK26" s="74"/>
      <c r="BL26" s="75"/>
      <c r="BM26" s="76"/>
      <c r="BN26" s="74"/>
      <c r="BO26" s="75"/>
      <c r="BP26" s="76"/>
      <c r="BQ26" s="74"/>
      <c r="BR26" s="75"/>
      <c r="BS26" s="76"/>
      <c r="BT26" s="74"/>
      <c r="BU26" s="75"/>
      <c r="BV26" s="76"/>
      <c r="BX26" s="74">
        <f t="shared" si="5"/>
        <v>0</v>
      </c>
      <c r="BY26" s="75">
        <f t="shared" si="0"/>
        <v>0</v>
      </c>
      <c r="BZ26" s="76">
        <f t="shared" si="1"/>
        <v>0</v>
      </c>
    </row>
    <row r="27" spans="2:79" ht="12" hidden="1" customHeight="1">
      <c r="B27" s="425"/>
      <c r="C27" s="427"/>
      <c r="D27" s="22" t="s">
        <v>41</v>
      </c>
      <c r="E27" s="22"/>
      <c r="F27" s="24"/>
      <c r="G27" s="28"/>
      <c r="H27" s="28"/>
      <c r="I27" s="28"/>
      <c r="J27" s="28"/>
      <c r="K27" s="39"/>
      <c r="L27" s="91"/>
      <c r="M27" s="39"/>
      <c r="N27" s="23"/>
      <c r="O27" s="23">
        <v>1105000</v>
      </c>
      <c r="P27" s="23"/>
      <c r="Q27" s="23"/>
      <c r="R27" s="23"/>
      <c r="S27" s="25">
        <f>2</f>
        <v>2</v>
      </c>
      <c r="T27" s="26">
        <v>1400000</v>
      </c>
      <c r="U27" s="23"/>
      <c r="V27" s="23"/>
      <c r="W27" s="23"/>
      <c r="X27" s="23"/>
      <c r="Y27" s="25"/>
      <c r="Z27" s="26"/>
      <c r="AA27" s="54"/>
      <c r="AB27" s="57"/>
      <c r="AD27" s="62"/>
      <c r="AE27" s="61"/>
      <c r="AF27" s="63"/>
      <c r="AG27" s="62"/>
      <c r="AH27" s="61"/>
      <c r="AI27" s="63"/>
      <c r="AJ27" s="62"/>
      <c r="AK27" s="61"/>
      <c r="AL27" s="63"/>
      <c r="AM27" s="62"/>
      <c r="AN27" s="61"/>
      <c r="AO27" s="63"/>
      <c r="AP27" s="62"/>
      <c r="AQ27" s="61"/>
      <c r="AR27" s="63"/>
      <c r="AS27" s="62"/>
      <c r="AT27" s="61"/>
      <c r="AU27" s="63"/>
      <c r="AV27" s="62"/>
      <c r="AW27" s="61"/>
      <c r="AX27" s="63"/>
      <c r="AY27" s="62"/>
      <c r="AZ27" s="61"/>
      <c r="BA27" s="63"/>
      <c r="BB27" s="62"/>
      <c r="BC27" s="61"/>
      <c r="BD27" s="63"/>
      <c r="BE27" s="62"/>
      <c r="BF27" s="61"/>
      <c r="BG27" s="63"/>
      <c r="BH27" s="62"/>
      <c r="BI27" s="61"/>
      <c r="BJ27" s="63"/>
      <c r="BK27" s="62"/>
      <c r="BL27" s="61"/>
      <c r="BM27" s="63"/>
      <c r="BN27" s="62"/>
      <c r="BO27" s="61"/>
      <c r="BP27" s="63"/>
      <c r="BQ27" s="62"/>
      <c r="BR27" s="61"/>
      <c r="BS27" s="63"/>
      <c r="BT27" s="62"/>
      <c r="BU27" s="61"/>
      <c r="BV27" s="63"/>
      <c r="BX27" s="62">
        <f t="shared" si="5"/>
        <v>0</v>
      </c>
      <c r="BY27" s="61">
        <f t="shared" si="0"/>
        <v>0</v>
      </c>
      <c r="BZ27" s="63">
        <f t="shared" si="1"/>
        <v>0</v>
      </c>
    </row>
    <row r="28" spans="2:79" ht="12" hidden="1" customHeight="1">
      <c r="B28" s="425"/>
      <c r="C28" s="427"/>
      <c r="D28" s="22" t="s">
        <v>40</v>
      </c>
      <c r="E28" s="22"/>
      <c r="F28" s="24"/>
      <c r="G28" s="28"/>
      <c r="H28" s="28"/>
      <c r="I28" s="28"/>
      <c r="J28" s="28"/>
      <c r="K28" s="39"/>
      <c r="L28" s="91"/>
      <c r="M28" s="39"/>
      <c r="N28" s="23"/>
      <c r="O28" s="23"/>
      <c r="P28" s="23"/>
      <c r="Q28" s="23"/>
      <c r="R28" s="23"/>
      <c r="S28" s="25"/>
      <c r="T28" s="26">
        <v>0</v>
      </c>
      <c r="U28" s="23"/>
      <c r="V28" s="23"/>
      <c r="W28" s="23"/>
      <c r="X28" s="23"/>
      <c r="Y28" s="25"/>
      <c r="Z28" s="26"/>
      <c r="AA28" s="54"/>
      <c r="AB28" s="57"/>
      <c r="AD28" s="62"/>
      <c r="AE28" s="61"/>
      <c r="AF28" s="63"/>
      <c r="AG28" s="62"/>
      <c r="AH28" s="61"/>
      <c r="AI28" s="63"/>
      <c r="AJ28" s="62"/>
      <c r="AK28" s="61"/>
      <c r="AL28" s="63"/>
      <c r="AM28" s="62"/>
      <c r="AN28" s="61"/>
      <c r="AO28" s="63"/>
      <c r="AP28" s="62"/>
      <c r="AQ28" s="61"/>
      <c r="AR28" s="63"/>
      <c r="AS28" s="62"/>
      <c r="AT28" s="61"/>
      <c r="AU28" s="63"/>
      <c r="AV28" s="62"/>
      <c r="AW28" s="61"/>
      <c r="AX28" s="63"/>
      <c r="AY28" s="62"/>
      <c r="AZ28" s="61"/>
      <c r="BA28" s="63"/>
      <c r="BB28" s="62"/>
      <c r="BC28" s="61"/>
      <c r="BD28" s="63"/>
      <c r="BE28" s="62"/>
      <c r="BF28" s="61"/>
      <c r="BG28" s="63"/>
      <c r="BH28" s="62"/>
      <c r="BI28" s="61"/>
      <c r="BJ28" s="63"/>
      <c r="BK28" s="62"/>
      <c r="BL28" s="61"/>
      <c r="BM28" s="63"/>
      <c r="BN28" s="62"/>
      <c r="BO28" s="61"/>
      <c r="BP28" s="63"/>
      <c r="BQ28" s="62"/>
      <c r="BR28" s="61"/>
      <c r="BS28" s="63"/>
      <c r="BT28" s="62"/>
      <c r="BU28" s="61"/>
      <c r="BV28" s="63"/>
      <c r="BX28" s="62">
        <f t="shared" si="5"/>
        <v>0</v>
      </c>
      <c r="BY28" s="61">
        <f t="shared" si="0"/>
        <v>0</v>
      </c>
      <c r="BZ28" s="63">
        <f t="shared" si="1"/>
        <v>0</v>
      </c>
    </row>
    <row r="29" spans="2:79" ht="12" hidden="1" customHeight="1">
      <c r="B29" s="425"/>
      <c r="C29" s="427"/>
      <c r="D29" s="22" t="s">
        <v>43</v>
      </c>
      <c r="E29" s="22"/>
      <c r="F29" s="24"/>
      <c r="G29" s="28"/>
      <c r="H29" s="28"/>
      <c r="I29" s="28"/>
      <c r="J29" s="28"/>
      <c r="K29" s="39"/>
      <c r="L29" s="91"/>
      <c r="M29" s="39"/>
      <c r="N29" s="23"/>
      <c r="O29" s="23"/>
      <c r="P29" s="23"/>
      <c r="Q29" s="23"/>
      <c r="R29" s="23"/>
      <c r="S29" s="25"/>
      <c r="T29" s="26">
        <v>0</v>
      </c>
      <c r="U29" s="23"/>
      <c r="V29" s="23"/>
      <c r="W29" s="23"/>
      <c r="X29" s="23"/>
      <c r="Y29" s="25"/>
      <c r="Z29" s="26"/>
      <c r="AA29" s="54"/>
      <c r="AB29" s="57"/>
      <c r="AD29" s="62"/>
      <c r="AE29" s="61"/>
      <c r="AF29" s="63"/>
      <c r="AG29" s="62"/>
      <c r="AH29" s="61"/>
      <c r="AI29" s="63"/>
      <c r="AJ29" s="62"/>
      <c r="AK29" s="61"/>
      <c r="AL29" s="63"/>
      <c r="AM29" s="62"/>
      <c r="AN29" s="61"/>
      <c r="AO29" s="63"/>
      <c r="AP29" s="62"/>
      <c r="AQ29" s="61"/>
      <c r="AR29" s="63"/>
      <c r="AS29" s="62"/>
      <c r="AT29" s="61"/>
      <c r="AU29" s="63"/>
      <c r="AV29" s="62"/>
      <c r="AW29" s="61"/>
      <c r="AX29" s="63"/>
      <c r="AY29" s="62"/>
      <c r="AZ29" s="61"/>
      <c r="BA29" s="63"/>
      <c r="BB29" s="62"/>
      <c r="BC29" s="61"/>
      <c r="BD29" s="63"/>
      <c r="BE29" s="62"/>
      <c r="BF29" s="61"/>
      <c r="BG29" s="63"/>
      <c r="BH29" s="62"/>
      <c r="BI29" s="61"/>
      <c r="BJ29" s="63"/>
      <c r="BK29" s="62"/>
      <c r="BL29" s="61"/>
      <c r="BM29" s="63"/>
      <c r="BN29" s="62"/>
      <c r="BO29" s="61"/>
      <c r="BP29" s="63"/>
      <c r="BQ29" s="62"/>
      <c r="BR29" s="61"/>
      <c r="BS29" s="63"/>
      <c r="BT29" s="62"/>
      <c r="BU29" s="61"/>
      <c r="BV29" s="63"/>
      <c r="BX29" s="62">
        <f t="shared" si="5"/>
        <v>0</v>
      </c>
      <c r="BY29" s="61">
        <f t="shared" si="0"/>
        <v>0</v>
      </c>
      <c r="BZ29" s="63">
        <f t="shared" si="1"/>
        <v>0</v>
      </c>
    </row>
    <row r="30" spans="2:79" ht="12" hidden="1" customHeight="1">
      <c r="B30" s="425"/>
      <c r="C30" s="427"/>
      <c r="D30" s="22" t="s">
        <v>36</v>
      </c>
      <c r="E30" s="22" t="s">
        <v>127</v>
      </c>
      <c r="F30" s="27">
        <v>9000</v>
      </c>
      <c r="G30" s="28"/>
      <c r="H30" s="28"/>
      <c r="I30" s="28"/>
      <c r="J30" s="28"/>
      <c r="K30" s="29" t="s">
        <v>77</v>
      </c>
      <c r="L30" s="92" t="s">
        <v>117</v>
      </c>
      <c r="M30" s="29" t="s">
        <v>116</v>
      </c>
      <c r="N30" s="23"/>
      <c r="O30" s="23"/>
      <c r="P30" s="23"/>
      <c r="Q30" s="23"/>
      <c r="R30" s="23"/>
      <c r="S30" s="25"/>
      <c r="T30" s="26">
        <v>0</v>
      </c>
      <c r="U30" s="23">
        <v>700000</v>
      </c>
      <c r="V30" s="23">
        <v>1100000</v>
      </c>
      <c r="W30" s="23"/>
      <c r="X30" s="23"/>
      <c r="Y30" s="25"/>
      <c r="Z30" s="26"/>
      <c r="AA30" s="54"/>
      <c r="AB30" s="57"/>
      <c r="AD30" s="62"/>
      <c r="AE30" s="61"/>
      <c r="AF30" s="63"/>
      <c r="AG30" s="62"/>
      <c r="AH30" s="61"/>
      <c r="AI30" s="63"/>
      <c r="AJ30" s="62"/>
      <c r="AK30" s="61"/>
      <c r="AL30" s="63"/>
      <c r="AM30" s="62"/>
      <c r="AN30" s="61"/>
      <c r="AO30" s="63"/>
      <c r="AP30" s="62"/>
      <c r="AQ30" s="61"/>
      <c r="AR30" s="63"/>
      <c r="AS30" s="62"/>
      <c r="AT30" s="61"/>
      <c r="AU30" s="63"/>
      <c r="AV30" s="62"/>
      <c r="AW30" s="61"/>
      <c r="AX30" s="63"/>
      <c r="AY30" s="62"/>
      <c r="AZ30" s="61"/>
      <c r="BA30" s="63"/>
      <c r="BB30" s="62"/>
      <c r="BC30" s="61"/>
      <c r="BD30" s="63"/>
      <c r="BE30" s="62"/>
      <c r="BF30" s="61"/>
      <c r="BG30" s="63"/>
      <c r="BH30" s="62"/>
      <c r="BI30" s="61"/>
      <c r="BJ30" s="63"/>
      <c r="BK30" s="62"/>
      <c r="BL30" s="61"/>
      <c r="BM30" s="63"/>
      <c r="BN30" s="62"/>
      <c r="BO30" s="61"/>
      <c r="BP30" s="63"/>
      <c r="BQ30" s="62"/>
      <c r="BR30" s="61"/>
      <c r="BS30" s="63"/>
      <c r="BT30" s="62"/>
      <c r="BU30" s="61"/>
      <c r="BV30" s="63"/>
      <c r="BX30" s="62">
        <f t="shared" si="5"/>
        <v>0</v>
      </c>
      <c r="BY30" s="61">
        <f t="shared" si="0"/>
        <v>0</v>
      </c>
      <c r="BZ30" s="63">
        <f t="shared" si="1"/>
        <v>0</v>
      </c>
    </row>
    <row r="31" spans="2:79" ht="12" hidden="1" customHeight="1">
      <c r="B31" s="425"/>
      <c r="C31" s="427"/>
      <c r="D31" s="22" t="s">
        <v>39</v>
      </c>
      <c r="E31" s="22"/>
      <c r="F31" s="24"/>
      <c r="G31" s="28"/>
      <c r="H31" s="28"/>
      <c r="I31" s="28"/>
      <c r="J31" s="28"/>
      <c r="K31" s="39"/>
      <c r="L31" s="91"/>
      <c r="M31" s="39"/>
      <c r="N31" s="23"/>
      <c r="O31" s="23"/>
      <c r="P31" s="23"/>
      <c r="Q31" s="23"/>
      <c r="R31" s="23">
        <v>1200000</v>
      </c>
      <c r="S31" s="25"/>
      <c r="T31" s="26">
        <v>0</v>
      </c>
      <c r="U31" s="23"/>
      <c r="V31" s="23"/>
      <c r="W31" s="23"/>
      <c r="X31" s="23"/>
      <c r="Y31" s="25"/>
      <c r="Z31" s="26"/>
      <c r="AA31" s="54"/>
      <c r="AB31" s="57"/>
      <c r="AD31" s="62"/>
      <c r="AE31" s="61"/>
      <c r="AF31" s="63"/>
      <c r="AG31" s="62"/>
      <c r="AH31" s="61"/>
      <c r="AI31" s="63"/>
      <c r="AJ31" s="62"/>
      <c r="AK31" s="61"/>
      <c r="AL31" s="63"/>
      <c r="AM31" s="62"/>
      <c r="AN31" s="61"/>
      <c r="AO31" s="63"/>
      <c r="AP31" s="62"/>
      <c r="AQ31" s="61"/>
      <c r="AR31" s="63"/>
      <c r="AS31" s="62"/>
      <c r="AT31" s="61"/>
      <c r="AU31" s="63"/>
      <c r="AV31" s="62"/>
      <c r="AW31" s="61"/>
      <c r="AX31" s="63"/>
      <c r="AY31" s="62"/>
      <c r="AZ31" s="61"/>
      <c r="BA31" s="63"/>
      <c r="BB31" s="62"/>
      <c r="BC31" s="61"/>
      <c r="BD31" s="63"/>
      <c r="BE31" s="62"/>
      <c r="BF31" s="61"/>
      <c r="BG31" s="63"/>
      <c r="BH31" s="62"/>
      <c r="BI31" s="61"/>
      <c r="BJ31" s="63"/>
      <c r="BK31" s="62"/>
      <c r="BL31" s="61"/>
      <c r="BM31" s="63"/>
      <c r="BN31" s="62"/>
      <c r="BO31" s="61"/>
      <c r="BP31" s="63"/>
      <c r="BQ31" s="62"/>
      <c r="BR31" s="61"/>
      <c r="BS31" s="63"/>
      <c r="BT31" s="62"/>
      <c r="BU31" s="61"/>
      <c r="BV31" s="63"/>
      <c r="BX31" s="62">
        <f t="shared" si="5"/>
        <v>0</v>
      </c>
      <c r="BY31" s="61">
        <f t="shared" si="0"/>
        <v>0</v>
      </c>
      <c r="BZ31" s="63">
        <f t="shared" si="1"/>
        <v>0</v>
      </c>
    </row>
    <row r="32" spans="2:79" ht="12" hidden="1" customHeight="1">
      <c r="B32" s="425"/>
      <c r="C32" s="427"/>
      <c r="D32" s="22" t="s">
        <v>97</v>
      </c>
      <c r="E32" s="22"/>
      <c r="F32" s="24"/>
      <c r="G32" s="28"/>
      <c r="H32" s="28"/>
      <c r="I32" s="28"/>
      <c r="J32" s="28"/>
      <c r="K32" s="39"/>
      <c r="L32" s="91"/>
      <c r="M32" s="39"/>
      <c r="N32" s="23"/>
      <c r="O32" s="23">
        <v>1100000</v>
      </c>
      <c r="P32" s="23">
        <v>1700000</v>
      </c>
      <c r="Q32" s="23"/>
      <c r="R32" s="23"/>
      <c r="S32" s="25"/>
      <c r="T32" s="26">
        <v>0</v>
      </c>
      <c r="U32" s="23"/>
      <c r="V32" s="23"/>
      <c r="W32" s="23"/>
      <c r="X32" s="23"/>
      <c r="Y32" s="25"/>
      <c r="Z32" s="26"/>
      <c r="AA32" s="54"/>
      <c r="AB32" s="57"/>
      <c r="AD32" s="62"/>
      <c r="AE32" s="61"/>
      <c r="AF32" s="63"/>
      <c r="AG32" s="62"/>
      <c r="AH32" s="61"/>
      <c r="AI32" s="63"/>
      <c r="AJ32" s="62"/>
      <c r="AK32" s="61"/>
      <c r="AL32" s="63"/>
      <c r="AM32" s="62"/>
      <c r="AN32" s="61"/>
      <c r="AO32" s="63"/>
      <c r="AP32" s="62"/>
      <c r="AQ32" s="61"/>
      <c r="AR32" s="63"/>
      <c r="AS32" s="62"/>
      <c r="AT32" s="61"/>
      <c r="AU32" s="63"/>
      <c r="AV32" s="62"/>
      <c r="AW32" s="61"/>
      <c r="AX32" s="63"/>
      <c r="AY32" s="62"/>
      <c r="AZ32" s="61"/>
      <c r="BA32" s="63"/>
      <c r="BB32" s="62"/>
      <c r="BC32" s="61"/>
      <c r="BD32" s="63"/>
      <c r="BE32" s="62"/>
      <c r="BF32" s="61"/>
      <c r="BG32" s="63"/>
      <c r="BH32" s="62"/>
      <c r="BI32" s="61"/>
      <c r="BJ32" s="63"/>
      <c r="BK32" s="62"/>
      <c r="BL32" s="61"/>
      <c r="BM32" s="63"/>
      <c r="BN32" s="62"/>
      <c r="BO32" s="61"/>
      <c r="BP32" s="63"/>
      <c r="BQ32" s="62"/>
      <c r="BR32" s="61"/>
      <c r="BS32" s="63"/>
      <c r="BT32" s="62"/>
      <c r="BU32" s="61"/>
      <c r="BV32" s="63"/>
      <c r="BX32" s="62">
        <f t="shared" si="5"/>
        <v>0</v>
      </c>
      <c r="BY32" s="61">
        <f t="shared" si="0"/>
        <v>0</v>
      </c>
      <c r="BZ32" s="63">
        <f t="shared" si="1"/>
        <v>0</v>
      </c>
    </row>
    <row r="33" spans="2:79" ht="12" hidden="1" customHeight="1">
      <c r="B33" s="425"/>
      <c r="C33" s="427"/>
      <c r="D33" s="22" t="s">
        <v>101</v>
      </c>
      <c r="E33" s="22"/>
      <c r="F33" s="24"/>
      <c r="G33" s="28"/>
      <c r="H33" s="28"/>
      <c r="I33" s="28"/>
      <c r="J33" s="28"/>
      <c r="K33" s="39"/>
      <c r="L33" s="91"/>
      <c r="M33" s="39"/>
      <c r="N33" s="23"/>
      <c r="O33" s="23"/>
      <c r="P33" s="23"/>
      <c r="Q33" s="23"/>
      <c r="R33" s="23"/>
      <c r="S33" s="25">
        <v>1</v>
      </c>
      <c r="T33" s="26">
        <v>1500000</v>
      </c>
      <c r="U33" s="23"/>
      <c r="V33" s="23"/>
      <c r="W33" s="23"/>
      <c r="X33" s="23"/>
      <c r="Y33" s="25"/>
      <c r="Z33" s="26"/>
      <c r="AA33" s="54"/>
      <c r="AB33" s="57"/>
      <c r="AD33" s="62"/>
      <c r="AE33" s="61"/>
      <c r="AF33" s="63"/>
      <c r="AG33" s="62"/>
      <c r="AH33" s="61"/>
      <c r="AI33" s="63"/>
      <c r="AJ33" s="62"/>
      <c r="AK33" s="61"/>
      <c r="AL33" s="63"/>
      <c r="AM33" s="62"/>
      <c r="AN33" s="61"/>
      <c r="AO33" s="63"/>
      <c r="AP33" s="62"/>
      <c r="AQ33" s="61"/>
      <c r="AR33" s="63"/>
      <c r="AS33" s="62"/>
      <c r="AT33" s="61"/>
      <c r="AU33" s="63"/>
      <c r="AV33" s="62"/>
      <c r="AW33" s="61"/>
      <c r="AX33" s="63"/>
      <c r="AY33" s="62"/>
      <c r="AZ33" s="61"/>
      <c r="BA33" s="63"/>
      <c r="BB33" s="62"/>
      <c r="BC33" s="61"/>
      <c r="BD33" s="63"/>
      <c r="BE33" s="62"/>
      <c r="BF33" s="61"/>
      <c r="BG33" s="63"/>
      <c r="BH33" s="62"/>
      <c r="BI33" s="61"/>
      <c r="BJ33" s="63"/>
      <c r="BK33" s="62"/>
      <c r="BL33" s="61"/>
      <c r="BM33" s="63"/>
      <c r="BN33" s="62"/>
      <c r="BO33" s="61"/>
      <c r="BP33" s="63"/>
      <c r="BQ33" s="62"/>
      <c r="BR33" s="61"/>
      <c r="BS33" s="63"/>
      <c r="BT33" s="62"/>
      <c r="BU33" s="61"/>
      <c r="BV33" s="63"/>
      <c r="BX33" s="62">
        <f t="shared" si="5"/>
        <v>0</v>
      </c>
      <c r="BY33" s="61">
        <f t="shared" si="0"/>
        <v>0</v>
      </c>
      <c r="BZ33" s="63">
        <f t="shared" si="1"/>
        <v>0</v>
      </c>
    </row>
    <row r="34" spans="2:79">
      <c r="B34" s="425"/>
      <c r="C34" s="427"/>
      <c r="D34" s="22" t="s">
        <v>104</v>
      </c>
      <c r="E34" s="22"/>
      <c r="F34" s="27">
        <v>8000</v>
      </c>
      <c r="G34" s="28"/>
      <c r="H34" s="28"/>
      <c r="I34" s="28"/>
      <c r="J34" s="28"/>
      <c r="K34" s="39"/>
      <c r="L34" s="91"/>
      <c r="M34" s="39"/>
      <c r="N34" s="23"/>
      <c r="O34" s="23"/>
      <c r="P34" s="23"/>
      <c r="Q34" s="23"/>
      <c r="R34" s="23"/>
      <c r="S34" s="25">
        <f>3</f>
        <v>3</v>
      </c>
      <c r="T34" s="26">
        <v>3000000</v>
      </c>
      <c r="U34" s="23"/>
      <c r="V34" s="23"/>
      <c r="W34" s="23"/>
      <c r="X34" s="23"/>
      <c r="Y34" s="25" t="e">
        <f t="shared" si="2"/>
        <v>#REF!</v>
      </c>
      <c r="Z34" s="26" t="e">
        <f>SUM(BZ34)</f>
        <v>#REF!</v>
      </c>
      <c r="AA34" s="54" t="e">
        <f>Z34/T34-1</f>
        <v>#REF!</v>
      </c>
      <c r="AB34" s="57"/>
      <c r="AD34" s="62" t="e">
        <f>SUM(#REF!)</f>
        <v>#REF!</v>
      </c>
      <c r="AE34" s="61" t="e">
        <f>SUM(#REF!)</f>
        <v>#REF!</v>
      </c>
      <c r="AF34" s="63" t="e">
        <f>SUM(#REF!)</f>
        <v>#REF!</v>
      </c>
      <c r="AG34" s="62" t="e">
        <f>SUM(#REF!)</f>
        <v>#REF!</v>
      </c>
      <c r="AH34" s="61" t="e">
        <f>SUM(#REF!)</f>
        <v>#REF!</v>
      </c>
      <c r="AI34" s="63" t="e">
        <f>SUM(#REF!)</f>
        <v>#REF!</v>
      </c>
      <c r="AJ34" s="62" t="e">
        <f>SUM(#REF!)</f>
        <v>#REF!</v>
      </c>
      <c r="AK34" s="61" t="e">
        <f>SUM(#REF!)</f>
        <v>#REF!</v>
      </c>
      <c r="AL34" s="63" t="e">
        <f>SUM(#REF!)</f>
        <v>#REF!</v>
      </c>
      <c r="AM34" s="62"/>
      <c r="AN34" s="61"/>
      <c r="AO34" s="63"/>
      <c r="AP34" s="62" t="e">
        <f>SUM(#REF!)</f>
        <v>#REF!</v>
      </c>
      <c r="AQ34" s="61" t="e">
        <f>SUM(#REF!)</f>
        <v>#REF!</v>
      </c>
      <c r="AR34" s="63" t="e">
        <f>SUM(#REF!)</f>
        <v>#REF!</v>
      </c>
      <c r="AS34" s="62"/>
      <c r="AT34" s="61"/>
      <c r="AU34" s="63"/>
      <c r="AV34" s="62"/>
      <c r="AW34" s="61"/>
      <c r="AX34" s="63"/>
      <c r="AY34" s="62"/>
      <c r="AZ34" s="61"/>
      <c r="BA34" s="63"/>
      <c r="BB34" s="62"/>
      <c r="BC34" s="61"/>
      <c r="BD34" s="63"/>
      <c r="BE34" s="62" t="e">
        <f>SUM(#REF!)</f>
        <v>#REF!</v>
      </c>
      <c r="BF34" s="61" t="e">
        <f>SUM(#REF!)</f>
        <v>#REF!</v>
      </c>
      <c r="BG34" s="63" t="e">
        <f>SUM(#REF!)</f>
        <v>#REF!</v>
      </c>
      <c r="BH34" s="62" t="e">
        <f>SUM(#REF!)</f>
        <v>#REF!</v>
      </c>
      <c r="BI34" s="61" t="e">
        <f>SUM(#REF!)</f>
        <v>#REF!</v>
      </c>
      <c r="BJ34" s="63" t="e">
        <f>SUM(#REF!)</f>
        <v>#REF!</v>
      </c>
      <c r="BK34" s="62" t="e">
        <f>SUM(#REF!)</f>
        <v>#REF!</v>
      </c>
      <c r="BL34" s="61" t="e">
        <f>SUM(#REF!)</f>
        <v>#REF!</v>
      </c>
      <c r="BM34" s="63" t="e">
        <f>SUM(#REF!)</f>
        <v>#REF!</v>
      </c>
      <c r="BN34" s="62" t="e">
        <f>SUM(#REF!)</f>
        <v>#REF!</v>
      </c>
      <c r="BO34" s="61" t="e">
        <f>SUM(#REF!)</f>
        <v>#REF!</v>
      </c>
      <c r="BP34" s="63" t="e">
        <f>SUM(#REF!)</f>
        <v>#REF!</v>
      </c>
      <c r="BQ34" s="62" t="e">
        <f>SUM(#REF!)</f>
        <v>#REF!</v>
      </c>
      <c r="BR34" s="61" t="e">
        <f>SUM(#REF!)</f>
        <v>#REF!</v>
      </c>
      <c r="BS34" s="63" t="e">
        <f>SUM(#REF!)</f>
        <v>#REF!</v>
      </c>
      <c r="BT34" s="62" t="e">
        <f>SUM(#REF!)</f>
        <v>#REF!</v>
      </c>
      <c r="BU34" s="61" t="e">
        <f>SUM(#REF!)</f>
        <v>#REF!</v>
      </c>
      <c r="BV34" s="63" t="e">
        <f>SUM(#REF!)</f>
        <v>#REF!</v>
      </c>
      <c r="BX34" s="62" t="e">
        <f t="shared" si="5"/>
        <v>#REF!</v>
      </c>
      <c r="BY34" s="61" t="e">
        <f t="shared" si="0"/>
        <v>#REF!</v>
      </c>
      <c r="BZ34" s="63" t="e">
        <f t="shared" si="1"/>
        <v>#REF!</v>
      </c>
    </row>
    <row r="35" spans="2:79" ht="12" hidden="1" customHeight="1">
      <c r="B35" s="425"/>
      <c r="C35" s="427"/>
      <c r="D35" s="22" t="s">
        <v>38</v>
      </c>
      <c r="E35" s="22"/>
      <c r="F35" s="24"/>
      <c r="G35" s="28"/>
      <c r="H35" s="28"/>
      <c r="I35" s="28"/>
      <c r="J35" s="28"/>
      <c r="K35" s="39"/>
      <c r="L35" s="91"/>
      <c r="M35" s="39"/>
      <c r="N35" s="23"/>
      <c r="O35" s="23">
        <v>1150000</v>
      </c>
      <c r="P35" s="23">
        <v>1400000</v>
      </c>
      <c r="Q35" s="23"/>
      <c r="R35" s="23"/>
      <c r="S35" s="25"/>
      <c r="T35" s="26">
        <v>0</v>
      </c>
      <c r="U35" s="23"/>
      <c r="V35" s="23"/>
      <c r="W35" s="23"/>
      <c r="X35" s="23"/>
      <c r="Y35" s="25"/>
      <c r="Z35" s="26"/>
      <c r="AA35" s="54"/>
      <c r="AB35" s="57"/>
      <c r="AD35" s="62"/>
      <c r="AE35" s="61"/>
      <c r="AF35" s="63"/>
      <c r="AG35" s="62"/>
      <c r="AH35" s="61"/>
      <c r="AI35" s="63"/>
      <c r="AJ35" s="62"/>
      <c r="AK35" s="61"/>
      <c r="AL35" s="63"/>
      <c r="AM35" s="62"/>
      <c r="AN35" s="61"/>
      <c r="AO35" s="63"/>
      <c r="AP35" s="62"/>
      <c r="AQ35" s="61"/>
      <c r="AR35" s="63"/>
      <c r="AS35" s="62"/>
      <c r="AT35" s="61"/>
      <c r="AU35" s="63"/>
      <c r="AV35" s="62"/>
      <c r="AW35" s="61"/>
      <c r="AX35" s="63"/>
      <c r="AY35" s="62"/>
      <c r="AZ35" s="61"/>
      <c r="BA35" s="63"/>
      <c r="BB35" s="62"/>
      <c r="BC35" s="61"/>
      <c r="BD35" s="63"/>
      <c r="BE35" s="62"/>
      <c r="BF35" s="61"/>
      <c r="BG35" s="63"/>
      <c r="BH35" s="62"/>
      <c r="BI35" s="61"/>
      <c r="BJ35" s="63"/>
      <c r="BK35" s="62"/>
      <c r="BL35" s="61"/>
      <c r="BM35" s="63"/>
      <c r="BN35" s="62"/>
      <c r="BO35" s="61"/>
      <c r="BP35" s="63"/>
      <c r="BQ35" s="62"/>
      <c r="BR35" s="61"/>
      <c r="BS35" s="63"/>
      <c r="BT35" s="62"/>
      <c r="BU35" s="61"/>
      <c r="BV35" s="63"/>
      <c r="BX35" s="62">
        <f t="shared" si="5"/>
        <v>0</v>
      </c>
      <c r="BY35" s="61">
        <f t="shared" si="0"/>
        <v>0</v>
      </c>
      <c r="BZ35" s="63">
        <f t="shared" si="1"/>
        <v>0</v>
      </c>
    </row>
    <row r="36" spans="2:79">
      <c r="B36" s="425"/>
      <c r="C36" s="427"/>
      <c r="D36" s="22" t="s">
        <v>105</v>
      </c>
      <c r="E36" s="22" t="s">
        <v>128</v>
      </c>
      <c r="F36" s="27">
        <v>8000</v>
      </c>
      <c r="G36" s="28"/>
      <c r="H36" s="28"/>
      <c r="I36" s="28"/>
      <c r="J36" s="28"/>
      <c r="K36" s="29" t="s">
        <v>77</v>
      </c>
      <c r="L36" s="92" t="s">
        <v>118</v>
      </c>
      <c r="M36" s="29" t="s">
        <v>72</v>
      </c>
      <c r="N36" s="23"/>
      <c r="O36" s="23"/>
      <c r="P36" s="23"/>
      <c r="Q36" s="23"/>
      <c r="R36" s="23"/>
      <c r="S36" s="25">
        <v>2</v>
      </c>
      <c r="T36" s="26">
        <v>2300000</v>
      </c>
      <c r="U36" s="23">
        <v>1900000</v>
      </c>
      <c r="V36" s="23">
        <v>2500000</v>
      </c>
      <c r="W36" s="23">
        <v>2800000</v>
      </c>
      <c r="X36" s="23">
        <v>2400000</v>
      </c>
      <c r="Y36" s="25">
        <f t="shared" si="2"/>
        <v>0</v>
      </c>
      <c r="Z36" s="26">
        <f>SUM(BZ36)</f>
        <v>0</v>
      </c>
      <c r="AA36" s="54">
        <f>Z36/T36-1</f>
        <v>-1</v>
      </c>
      <c r="AB36" s="57"/>
      <c r="AD36" s="62"/>
      <c r="AE36" s="61"/>
      <c r="AF36" s="63"/>
      <c r="AG36" s="62"/>
      <c r="AH36" s="61"/>
      <c r="AI36" s="63"/>
      <c r="AJ36" s="62"/>
      <c r="AK36" s="61"/>
      <c r="AL36" s="63"/>
      <c r="AM36" s="62"/>
      <c r="AN36" s="61"/>
      <c r="AO36" s="63"/>
      <c r="AP36" s="62"/>
      <c r="AQ36" s="61"/>
      <c r="AR36" s="63"/>
      <c r="AS36" s="62"/>
      <c r="AT36" s="61"/>
      <c r="AU36" s="63"/>
      <c r="AV36" s="62"/>
      <c r="AW36" s="61"/>
      <c r="AX36" s="63"/>
      <c r="AY36" s="62"/>
      <c r="AZ36" s="61"/>
      <c r="BA36" s="63"/>
      <c r="BB36" s="62"/>
      <c r="BC36" s="61"/>
      <c r="BD36" s="63"/>
      <c r="BE36" s="62"/>
      <c r="BF36" s="61"/>
      <c r="BG36" s="63"/>
      <c r="BH36" s="62"/>
      <c r="BI36" s="61"/>
      <c r="BJ36" s="63"/>
      <c r="BK36" s="62"/>
      <c r="BL36" s="61"/>
      <c r="BM36" s="63"/>
      <c r="BN36" s="62"/>
      <c r="BO36" s="61"/>
      <c r="BP36" s="63"/>
      <c r="BQ36" s="62"/>
      <c r="BR36" s="61"/>
      <c r="BS36" s="63"/>
      <c r="BT36" s="62"/>
      <c r="BU36" s="61"/>
      <c r="BV36" s="63"/>
      <c r="BX36" s="62">
        <f t="shared" si="5"/>
        <v>0</v>
      </c>
      <c r="BY36" s="61">
        <f t="shared" si="0"/>
        <v>0</v>
      </c>
      <c r="BZ36" s="63">
        <f t="shared" si="1"/>
        <v>0</v>
      </c>
    </row>
    <row r="37" spans="2:79">
      <c r="B37" s="425"/>
      <c r="C37" s="427"/>
      <c r="D37" s="22" t="s">
        <v>115</v>
      </c>
      <c r="E37" s="22" t="s">
        <v>111</v>
      </c>
      <c r="F37" s="27">
        <v>15000</v>
      </c>
      <c r="G37" s="28"/>
      <c r="H37" s="28"/>
      <c r="I37" s="28"/>
      <c r="J37" s="28"/>
      <c r="K37" s="29" t="s">
        <v>70</v>
      </c>
      <c r="L37" s="92" t="s">
        <v>117</v>
      </c>
      <c r="M37" s="29" t="s">
        <v>72</v>
      </c>
      <c r="N37" s="23"/>
      <c r="O37" s="23"/>
      <c r="P37" s="23"/>
      <c r="Q37" s="23"/>
      <c r="R37" s="23"/>
      <c r="S37" s="25"/>
      <c r="T37" s="26"/>
      <c r="U37" s="23">
        <v>1530000</v>
      </c>
      <c r="V37" s="23">
        <v>2371500</v>
      </c>
      <c r="W37" s="23"/>
      <c r="X37" s="23">
        <v>2422500</v>
      </c>
      <c r="Y37" s="25" t="e">
        <f t="shared" si="2"/>
        <v>#REF!</v>
      </c>
      <c r="Z37" s="26" t="e">
        <f>SUM(BZ37)</f>
        <v>#REF!</v>
      </c>
      <c r="AA37" s="54"/>
      <c r="AB37" s="57"/>
      <c r="AD37" s="62"/>
      <c r="AE37" s="61"/>
      <c r="AF37" s="63"/>
      <c r="AG37" s="62"/>
      <c r="AH37" s="61"/>
      <c r="AI37" s="63"/>
      <c r="AJ37" s="62" t="e">
        <f>SUM(#REF!)</f>
        <v>#REF!</v>
      </c>
      <c r="AK37" s="61" t="e">
        <f>SUM(#REF!)</f>
        <v>#REF!</v>
      </c>
      <c r="AL37" s="63" t="e">
        <f>SUM(#REF!)</f>
        <v>#REF!</v>
      </c>
      <c r="AM37" s="62"/>
      <c r="AN37" s="61"/>
      <c r="AO37" s="63"/>
      <c r="AP37" s="62"/>
      <c r="AQ37" s="61"/>
      <c r="AR37" s="63"/>
      <c r="AS37" s="62"/>
      <c r="AT37" s="61"/>
      <c r="AU37" s="63"/>
      <c r="AV37" s="62"/>
      <c r="AW37" s="61"/>
      <c r="AX37" s="63"/>
      <c r="AY37" s="62"/>
      <c r="AZ37" s="61"/>
      <c r="BA37" s="63"/>
      <c r="BB37" s="62"/>
      <c r="BC37" s="61"/>
      <c r="BD37" s="63"/>
      <c r="BE37" s="62"/>
      <c r="BF37" s="61"/>
      <c r="BG37" s="63"/>
      <c r="BH37" s="62"/>
      <c r="BI37" s="61"/>
      <c r="BJ37" s="63"/>
      <c r="BK37" s="62"/>
      <c r="BL37" s="61"/>
      <c r="BM37" s="63"/>
      <c r="BN37" s="62"/>
      <c r="BO37" s="61"/>
      <c r="BP37" s="63"/>
      <c r="BQ37" s="62" t="e">
        <f>SUM(#REF!)</f>
        <v>#REF!</v>
      </c>
      <c r="BR37" s="61" t="e">
        <f>SUM(#REF!)</f>
        <v>#REF!</v>
      </c>
      <c r="BS37" s="63" t="e">
        <f>SUM(#REF!)</f>
        <v>#REF!</v>
      </c>
      <c r="BT37" s="62"/>
      <c r="BU37" s="61"/>
      <c r="BV37" s="63"/>
      <c r="BX37" s="62" t="e">
        <f t="shared" si="5"/>
        <v>#REF!</v>
      </c>
      <c r="BY37" s="61" t="e">
        <f t="shared" si="0"/>
        <v>#REF!</v>
      </c>
      <c r="BZ37" s="63" t="e">
        <f t="shared" si="1"/>
        <v>#REF!</v>
      </c>
    </row>
    <row r="38" spans="2:79" ht="12" hidden="1" customHeight="1">
      <c r="B38" s="425"/>
      <c r="C38" s="427"/>
      <c r="D38" s="22" t="s">
        <v>119</v>
      </c>
      <c r="E38" s="22" t="s">
        <v>127</v>
      </c>
      <c r="F38" s="27">
        <v>6000</v>
      </c>
      <c r="G38" s="24"/>
      <c r="H38" s="24"/>
      <c r="I38" s="24"/>
      <c r="J38" s="24"/>
      <c r="K38" s="40" t="s">
        <v>77</v>
      </c>
      <c r="L38" s="93" t="s">
        <v>120</v>
      </c>
      <c r="M38" s="40" t="s">
        <v>116</v>
      </c>
      <c r="N38" s="23"/>
      <c r="O38" s="23"/>
      <c r="P38" s="23"/>
      <c r="Q38" s="23"/>
      <c r="R38" s="23"/>
      <c r="S38" s="25"/>
      <c r="T38" s="26"/>
      <c r="U38" s="23"/>
      <c r="V38" s="23"/>
      <c r="W38" s="23"/>
      <c r="X38" s="23"/>
      <c r="Y38" s="25"/>
      <c r="Z38" s="26"/>
      <c r="AA38" s="54"/>
      <c r="AB38" s="57"/>
      <c r="AD38" s="62"/>
      <c r="AE38" s="61"/>
      <c r="AF38" s="63"/>
      <c r="AG38" s="62"/>
      <c r="AH38" s="61"/>
      <c r="AI38" s="63"/>
      <c r="AJ38" s="62"/>
      <c r="AK38" s="61"/>
      <c r="AL38" s="63"/>
      <c r="AM38" s="62"/>
      <c r="AN38" s="61"/>
      <c r="AO38" s="63"/>
      <c r="AP38" s="62"/>
      <c r="AQ38" s="61"/>
      <c r="AR38" s="63"/>
      <c r="AS38" s="62"/>
      <c r="AT38" s="61"/>
      <c r="AU38" s="63"/>
      <c r="AV38" s="62"/>
      <c r="AW38" s="61"/>
      <c r="AX38" s="63"/>
      <c r="AY38" s="62"/>
      <c r="AZ38" s="61"/>
      <c r="BA38" s="63"/>
      <c r="BB38" s="62"/>
      <c r="BC38" s="61"/>
      <c r="BD38" s="63"/>
      <c r="BE38" s="62"/>
      <c r="BF38" s="61"/>
      <c r="BG38" s="63"/>
      <c r="BH38" s="62"/>
      <c r="BI38" s="61"/>
      <c r="BJ38" s="63"/>
      <c r="BK38" s="62"/>
      <c r="BL38" s="61"/>
      <c r="BM38" s="63"/>
      <c r="BN38" s="62"/>
      <c r="BO38" s="61"/>
      <c r="BP38" s="63"/>
      <c r="BQ38" s="62"/>
      <c r="BR38" s="61"/>
      <c r="BS38" s="63"/>
      <c r="BT38" s="62"/>
      <c r="BU38" s="61"/>
      <c r="BV38" s="63"/>
      <c r="BX38" s="62">
        <f t="shared" si="5"/>
        <v>0</v>
      </c>
      <c r="BY38" s="61">
        <f t="shared" si="0"/>
        <v>0</v>
      </c>
      <c r="BZ38" s="63">
        <f t="shared" si="1"/>
        <v>0</v>
      </c>
    </row>
    <row r="39" spans="2:79" ht="12.75" thickBot="1">
      <c r="B39" s="432"/>
      <c r="C39" s="431"/>
      <c r="D39" s="30"/>
      <c r="E39" s="30"/>
      <c r="F39" s="32"/>
      <c r="G39" s="32"/>
      <c r="H39" s="33"/>
      <c r="I39" s="33"/>
      <c r="J39" s="33"/>
      <c r="K39" s="58"/>
      <c r="L39" s="58"/>
      <c r="M39" s="58"/>
      <c r="N39" s="32"/>
      <c r="O39" s="32"/>
      <c r="P39" s="35"/>
      <c r="Q39" s="32"/>
      <c r="R39" s="35"/>
      <c r="S39" s="34"/>
      <c r="T39" s="35"/>
      <c r="U39" s="32"/>
      <c r="V39" s="35"/>
      <c r="W39" s="32"/>
      <c r="X39" s="35"/>
      <c r="Y39" s="34"/>
      <c r="Z39" s="35"/>
      <c r="AA39" s="35"/>
      <c r="AB39" s="58"/>
      <c r="AD39" s="64"/>
      <c r="AE39" s="77"/>
      <c r="AF39" s="78"/>
      <c r="AG39" s="64"/>
      <c r="AH39" s="77"/>
      <c r="AI39" s="78"/>
      <c r="AJ39" s="64"/>
      <c r="AK39" s="77"/>
      <c r="AL39" s="78"/>
      <c r="AM39" s="64"/>
      <c r="AN39" s="77"/>
      <c r="AO39" s="78"/>
      <c r="AP39" s="64"/>
      <c r="AQ39" s="77"/>
      <c r="AR39" s="78"/>
      <c r="AS39" s="64"/>
      <c r="AT39" s="77"/>
      <c r="AU39" s="78"/>
      <c r="AV39" s="64"/>
      <c r="AW39" s="77"/>
      <c r="AX39" s="78"/>
      <c r="AY39" s="64"/>
      <c r="AZ39" s="77"/>
      <c r="BA39" s="78"/>
      <c r="BB39" s="64"/>
      <c r="BC39" s="77"/>
      <c r="BD39" s="78"/>
      <c r="BE39" s="64"/>
      <c r="BF39" s="77"/>
      <c r="BG39" s="78"/>
      <c r="BH39" s="64"/>
      <c r="BI39" s="77"/>
      <c r="BJ39" s="78"/>
      <c r="BK39" s="64"/>
      <c r="BL39" s="77"/>
      <c r="BM39" s="78"/>
      <c r="BN39" s="64"/>
      <c r="BO39" s="77"/>
      <c r="BP39" s="78"/>
      <c r="BQ39" s="64"/>
      <c r="BR39" s="77"/>
      <c r="BS39" s="78"/>
      <c r="BT39" s="64"/>
      <c r="BU39" s="77"/>
      <c r="BV39" s="78"/>
      <c r="BX39" s="64">
        <f t="shared" si="5"/>
        <v>0</v>
      </c>
      <c r="BY39" s="77">
        <f t="shared" si="0"/>
        <v>0</v>
      </c>
      <c r="BZ39" s="78">
        <f t="shared" si="1"/>
        <v>0</v>
      </c>
    </row>
    <row r="40" spans="2:79" ht="12.75" thickBot="1">
      <c r="C40" s="41"/>
      <c r="D40" s="41"/>
      <c r="E40" s="41"/>
      <c r="F40" s="41"/>
      <c r="G40" s="41"/>
      <c r="H40" s="41"/>
      <c r="I40" s="41"/>
      <c r="J40" s="41"/>
      <c r="K40" s="41"/>
      <c r="L40" s="41"/>
      <c r="M40" s="41"/>
      <c r="N40" s="41"/>
      <c r="O40" s="41"/>
      <c r="P40" s="41"/>
      <c r="Q40" s="41"/>
      <c r="R40" s="41"/>
      <c r="S40" s="42"/>
      <c r="T40" s="41"/>
      <c r="U40" s="41"/>
      <c r="V40" s="41"/>
      <c r="W40" s="41"/>
      <c r="X40" s="41"/>
      <c r="Y40" s="42"/>
      <c r="Z40" s="41"/>
      <c r="AA40" s="41"/>
      <c r="AB40" s="41"/>
      <c r="AD40" s="71" t="e">
        <f t="shared" ref="AD40:BI40" si="8">SUM(AD6:AD39)</f>
        <v>#REF!</v>
      </c>
      <c r="AE40" s="72" t="e">
        <f t="shared" si="8"/>
        <v>#REF!</v>
      </c>
      <c r="AF40" s="73" t="e">
        <f t="shared" si="8"/>
        <v>#REF!</v>
      </c>
      <c r="AG40" s="71" t="e">
        <f t="shared" si="8"/>
        <v>#REF!</v>
      </c>
      <c r="AH40" s="72" t="e">
        <f t="shared" si="8"/>
        <v>#REF!</v>
      </c>
      <c r="AI40" s="73" t="e">
        <f t="shared" si="8"/>
        <v>#REF!</v>
      </c>
      <c r="AJ40" s="71" t="e">
        <f>SUM(AJ6:AJ39)</f>
        <v>#REF!</v>
      </c>
      <c r="AK40" s="72" t="e">
        <f>SUM(AK6:AK39)</f>
        <v>#REF!</v>
      </c>
      <c r="AL40" s="73" t="e">
        <f>SUM(AL6:AL39)</f>
        <v>#REF!</v>
      </c>
      <c r="AM40" s="71" t="e">
        <f t="shared" si="8"/>
        <v>#REF!</v>
      </c>
      <c r="AN40" s="72" t="e">
        <f t="shared" si="8"/>
        <v>#REF!</v>
      </c>
      <c r="AO40" s="73" t="e">
        <f t="shared" si="8"/>
        <v>#REF!</v>
      </c>
      <c r="AP40" s="71" t="e">
        <f t="shared" ref="AP40:AX40" si="9">SUM(AP6:AP39)</f>
        <v>#REF!</v>
      </c>
      <c r="AQ40" s="72" t="e">
        <f t="shared" si="9"/>
        <v>#REF!</v>
      </c>
      <c r="AR40" s="73" t="e">
        <f t="shared" si="9"/>
        <v>#REF!</v>
      </c>
      <c r="AS40" s="71" t="e">
        <f t="shared" si="9"/>
        <v>#REF!</v>
      </c>
      <c r="AT40" s="72" t="e">
        <f t="shared" si="9"/>
        <v>#REF!</v>
      </c>
      <c r="AU40" s="73" t="e">
        <f t="shared" si="9"/>
        <v>#REF!</v>
      </c>
      <c r="AV40" s="71" t="e">
        <f t="shared" si="9"/>
        <v>#REF!</v>
      </c>
      <c r="AW40" s="72" t="e">
        <f t="shared" si="9"/>
        <v>#REF!</v>
      </c>
      <c r="AX40" s="73" t="e">
        <f t="shared" si="9"/>
        <v>#REF!</v>
      </c>
      <c r="AY40" s="71" t="e">
        <f t="shared" si="8"/>
        <v>#REF!</v>
      </c>
      <c r="AZ40" s="72" t="e">
        <f t="shared" si="8"/>
        <v>#REF!</v>
      </c>
      <c r="BA40" s="73" t="e">
        <f t="shared" si="8"/>
        <v>#REF!</v>
      </c>
      <c r="BB40" s="71" t="e">
        <f t="shared" si="8"/>
        <v>#REF!</v>
      </c>
      <c r="BC40" s="72" t="e">
        <f t="shared" si="8"/>
        <v>#REF!</v>
      </c>
      <c r="BD40" s="73" t="e">
        <f t="shared" si="8"/>
        <v>#REF!</v>
      </c>
      <c r="BE40" s="71" t="e">
        <f>SUM(BE6:BE39)</f>
        <v>#REF!</v>
      </c>
      <c r="BF40" s="72" t="e">
        <f>SUM(BF6:BF39)</f>
        <v>#REF!</v>
      </c>
      <c r="BG40" s="73" t="e">
        <f>SUM(BG6:BG39)</f>
        <v>#REF!</v>
      </c>
      <c r="BH40" s="71" t="e">
        <f t="shared" si="8"/>
        <v>#REF!</v>
      </c>
      <c r="BI40" s="72" t="e">
        <f t="shared" si="8"/>
        <v>#REF!</v>
      </c>
      <c r="BJ40" s="73" t="e">
        <f t="shared" ref="BJ40:BV40" si="10">SUM(BJ6:BJ39)</f>
        <v>#REF!</v>
      </c>
      <c r="BK40" s="71" t="e">
        <f t="shared" si="10"/>
        <v>#REF!</v>
      </c>
      <c r="BL40" s="72" t="e">
        <f t="shared" si="10"/>
        <v>#REF!</v>
      </c>
      <c r="BM40" s="73" t="e">
        <f t="shared" si="10"/>
        <v>#REF!</v>
      </c>
      <c r="BN40" s="71" t="e">
        <f t="shared" ref="BN40:BS40" si="11">SUM(BN6:BN39)</f>
        <v>#REF!</v>
      </c>
      <c r="BO40" s="72" t="e">
        <f t="shared" si="11"/>
        <v>#REF!</v>
      </c>
      <c r="BP40" s="73" t="e">
        <f t="shared" si="11"/>
        <v>#REF!</v>
      </c>
      <c r="BQ40" s="71" t="e">
        <f t="shared" si="11"/>
        <v>#REF!</v>
      </c>
      <c r="BR40" s="72" t="e">
        <f t="shared" si="11"/>
        <v>#REF!</v>
      </c>
      <c r="BS40" s="73" t="e">
        <f t="shared" si="11"/>
        <v>#REF!</v>
      </c>
      <c r="BT40" s="71" t="e">
        <f t="shared" si="10"/>
        <v>#REF!</v>
      </c>
      <c r="BU40" s="72" t="e">
        <f t="shared" si="10"/>
        <v>#REF!</v>
      </c>
      <c r="BV40" s="73" t="e">
        <f t="shared" si="10"/>
        <v>#REF!</v>
      </c>
      <c r="BX40" s="71" t="e">
        <f t="shared" ref="BX40:BZ41" si="12">SUM(AD40+AG40+AJ40+AP40+AM40+AY40+BE40+BB40+AS40+AV40+BH40+BK40+BQ40+BT40+BN40)</f>
        <v>#REF!</v>
      </c>
      <c r="BY40" s="72" t="e">
        <f t="shared" si="12"/>
        <v>#REF!</v>
      </c>
      <c r="BZ40" s="73" t="e">
        <f t="shared" si="12"/>
        <v>#REF!</v>
      </c>
    </row>
    <row r="41" spans="2:79" ht="12.75" thickBot="1">
      <c r="F41" s="43" t="s">
        <v>98</v>
      </c>
      <c r="G41" s="44" t="s">
        <v>99</v>
      </c>
      <c r="AD41" s="82" t="e">
        <f>SUM(#REF!)</f>
        <v>#REF!</v>
      </c>
      <c r="AE41" s="83"/>
      <c r="AF41" s="84" t="e">
        <f>SUM(#REF!+#REF!)</f>
        <v>#REF!</v>
      </c>
      <c r="AG41" s="82" t="e">
        <f>SUM(#REF!)</f>
        <v>#REF!</v>
      </c>
      <c r="AH41" s="83"/>
      <c r="AI41" s="84" t="e">
        <f>SUM(#REF!+#REF!)</f>
        <v>#REF!</v>
      </c>
      <c r="AJ41" s="82" t="e">
        <f>SUM(#REF!)</f>
        <v>#REF!</v>
      </c>
      <c r="AK41" s="83"/>
      <c r="AL41" s="84" t="e">
        <f>SUM(#REF!+#REF!)</f>
        <v>#REF!</v>
      </c>
      <c r="AM41" s="82" t="e">
        <f>SUM(#REF!)</f>
        <v>#REF!</v>
      </c>
      <c r="AN41" s="83"/>
      <c r="AO41" s="84" t="e">
        <f>SUM(#REF!+#REF!)</f>
        <v>#REF!</v>
      </c>
      <c r="AP41" s="82" t="e">
        <f>SUM(#REF!)</f>
        <v>#REF!</v>
      </c>
      <c r="AQ41" s="83"/>
      <c r="AR41" s="84" t="e">
        <f>SUM(#REF!+#REF!)</f>
        <v>#REF!</v>
      </c>
      <c r="AS41" s="82" t="e">
        <f>SUM(#REF!)</f>
        <v>#REF!</v>
      </c>
      <c r="AT41" s="83"/>
      <c r="AU41" s="84" t="e">
        <f>SUM(#REF!+#REF!)</f>
        <v>#REF!</v>
      </c>
      <c r="AV41" s="82" t="e">
        <f>SUM(#REF!)</f>
        <v>#REF!</v>
      </c>
      <c r="AW41" s="83"/>
      <c r="AX41" s="84" t="e">
        <f>SUM(#REF!+#REF!)</f>
        <v>#REF!</v>
      </c>
      <c r="AY41" s="82" t="e">
        <f>SUM(#REF!)</f>
        <v>#REF!</v>
      </c>
      <c r="AZ41" s="83"/>
      <c r="BA41" s="84" t="e">
        <f>SUM(#REF!+#REF!)</f>
        <v>#REF!</v>
      </c>
      <c r="BB41" s="82" t="e">
        <f>SUM(#REF!)</f>
        <v>#REF!</v>
      </c>
      <c r="BC41" s="83"/>
      <c r="BD41" s="84" t="e">
        <f>SUM(#REF!)</f>
        <v>#REF!</v>
      </c>
      <c r="BE41" s="82" t="e">
        <f>SUM(#REF!)</f>
        <v>#REF!</v>
      </c>
      <c r="BF41" s="83"/>
      <c r="BG41" s="84" t="e">
        <f>SUM(#REF!+#REF!)</f>
        <v>#REF!</v>
      </c>
      <c r="BH41" s="82" t="e">
        <f>SUM(#REF!)</f>
        <v>#REF!</v>
      </c>
      <c r="BI41" s="83"/>
      <c r="BJ41" s="84" t="e">
        <f>SUM(#REF!)</f>
        <v>#REF!</v>
      </c>
      <c r="BK41" s="82" t="e">
        <f>SUM(#REF!)</f>
        <v>#REF!</v>
      </c>
      <c r="BL41" s="83"/>
      <c r="BM41" s="84" t="e">
        <f>SUM(#REF!)</f>
        <v>#REF!</v>
      </c>
      <c r="BN41" s="82" t="e">
        <f>SUM(#REF!)</f>
        <v>#REF!</v>
      </c>
      <c r="BO41" s="83"/>
      <c r="BP41" s="84" t="e">
        <f>SUM(#REF!)</f>
        <v>#REF!</v>
      </c>
      <c r="BQ41" s="82" t="e">
        <f>SUM(#REF!)</f>
        <v>#REF!</v>
      </c>
      <c r="BR41" s="83"/>
      <c r="BS41" s="84" t="e">
        <f>SUM(#REF!+#REF!)</f>
        <v>#REF!</v>
      </c>
      <c r="BT41" s="82" t="e">
        <f>SUM(#REF!)</f>
        <v>#REF!</v>
      </c>
      <c r="BU41" s="83"/>
      <c r="BV41" s="84" t="e">
        <f>SUM(#REF!+#REF!)</f>
        <v>#REF!</v>
      </c>
      <c r="BX41" s="82" t="e">
        <f t="shared" si="12"/>
        <v>#REF!</v>
      </c>
      <c r="BY41" s="83">
        <f t="shared" si="12"/>
        <v>0</v>
      </c>
      <c r="BZ41" s="84" t="e">
        <f t="shared" si="12"/>
        <v>#REF!</v>
      </c>
    </row>
    <row r="42" spans="2:79" ht="12.75" thickBot="1">
      <c r="F42" s="46"/>
      <c r="G42" s="44" t="s">
        <v>100</v>
      </c>
      <c r="AD42" s="79" t="e">
        <f>SUM(AD40-AD41)</f>
        <v>#REF!</v>
      </c>
      <c r="AE42" s="80"/>
      <c r="AF42" s="81" t="e">
        <f>SUM(AF40-AF41)</f>
        <v>#REF!</v>
      </c>
      <c r="AG42" s="79" t="e">
        <f>SUM(AG40-AG41)</f>
        <v>#REF!</v>
      </c>
      <c r="AH42" s="80"/>
      <c r="AI42" s="81" t="e">
        <f>SUM(AI40-AI41)</f>
        <v>#REF!</v>
      </c>
      <c r="AJ42" s="79" t="e">
        <f>SUM(AJ40-AJ41)</f>
        <v>#REF!</v>
      </c>
      <c r="AK42" s="80"/>
      <c r="AL42" s="81" t="e">
        <f>SUM(AL40-AL41)</f>
        <v>#REF!</v>
      </c>
      <c r="AM42" s="79" t="e">
        <f>SUM(AM40-AM41)</f>
        <v>#REF!</v>
      </c>
      <c r="AN42" s="80"/>
      <c r="AO42" s="81" t="e">
        <f>SUM(AO40-AO41)</f>
        <v>#REF!</v>
      </c>
      <c r="AP42" s="79" t="e">
        <f>SUM(AP40-AP41)</f>
        <v>#REF!</v>
      </c>
      <c r="AQ42" s="80"/>
      <c r="AR42" s="81" t="e">
        <f>SUM(AR40-AR41)</f>
        <v>#REF!</v>
      </c>
      <c r="AS42" s="79" t="e">
        <f>SUM(AS40-AS41)</f>
        <v>#REF!</v>
      </c>
      <c r="AT42" s="80"/>
      <c r="AU42" s="81" t="e">
        <f>SUM(AU40-AU41)</f>
        <v>#REF!</v>
      </c>
      <c r="AV42" s="79" t="e">
        <f>SUM(AV40-AV41)</f>
        <v>#REF!</v>
      </c>
      <c r="AW42" s="80"/>
      <c r="AX42" s="81" t="e">
        <f>SUM(AX40-AX41)</f>
        <v>#REF!</v>
      </c>
      <c r="AY42" s="79" t="e">
        <f>SUM(AY40-AY41)</f>
        <v>#REF!</v>
      </c>
      <c r="AZ42" s="80"/>
      <c r="BA42" s="81" t="e">
        <f>SUM(BA40-BA41)</f>
        <v>#REF!</v>
      </c>
      <c r="BB42" s="79" t="e">
        <f>SUM(BB40-BB41)</f>
        <v>#REF!</v>
      </c>
      <c r="BC42" s="80"/>
      <c r="BD42" s="81" t="e">
        <f>SUM(BD40-BD41)</f>
        <v>#REF!</v>
      </c>
      <c r="BE42" s="79" t="e">
        <f>SUM(BE40-BE41)</f>
        <v>#REF!</v>
      </c>
      <c r="BF42" s="80"/>
      <c r="BG42" s="81" t="e">
        <f>SUM(BG40-BG41)</f>
        <v>#REF!</v>
      </c>
      <c r="BH42" s="79" t="e">
        <f>SUM(BH40-BH41)</f>
        <v>#REF!</v>
      </c>
      <c r="BI42" s="80"/>
      <c r="BJ42" s="81" t="e">
        <f>SUM(BJ40-BJ41)</f>
        <v>#REF!</v>
      </c>
      <c r="BK42" s="79" t="e">
        <f>SUM(BK40-BK41)</f>
        <v>#REF!</v>
      </c>
      <c r="BL42" s="80"/>
      <c r="BM42" s="81" t="e">
        <f>SUM(BM40-BM41)</f>
        <v>#REF!</v>
      </c>
      <c r="BN42" s="79" t="e">
        <f>SUM(BN40-BN41)</f>
        <v>#REF!</v>
      </c>
      <c r="BO42" s="80"/>
      <c r="BP42" s="81" t="e">
        <f>SUM(BP40-BP41)</f>
        <v>#REF!</v>
      </c>
      <c r="BQ42" s="79" t="e">
        <f>SUM(BQ40-BQ41)</f>
        <v>#REF!</v>
      </c>
      <c r="BR42" s="80"/>
      <c r="BS42" s="81" t="e">
        <f>SUM(BS40-BS41)</f>
        <v>#REF!</v>
      </c>
      <c r="BT42" s="79" t="e">
        <f>SUM(BT40-BT41)</f>
        <v>#REF!</v>
      </c>
      <c r="BU42" s="80"/>
      <c r="BV42" s="81" t="e">
        <f>SUM(BV40-BV41)</f>
        <v>#REF!</v>
      </c>
      <c r="BX42" s="79" t="e">
        <f>SUM(BX40-BX41)</f>
        <v>#REF!</v>
      </c>
      <c r="BY42" s="80"/>
      <c r="BZ42" s="81" t="e">
        <f>SUM(BZ40-BZ41)</f>
        <v>#REF!</v>
      </c>
    </row>
    <row r="44" spans="2:79">
      <c r="D44" s="47" t="s">
        <v>121</v>
      </c>
      <c r="E44" s="47" t="s">
        <v>121</v>
      </c>
      <c r="F44" s="48"/>
      <c r="G44" s="47"/>
      <c r="H44" s="48"/>
      <c r="BY44" s="181" t="s">
        <v>132</v>
      </c>
      <c r="BZ44" s="105" t="e">
        <f>SUM(BZ41:BZ43)</f>
        <v>#REF!</v>
      </c>
    </row>
    <row r="45" spans="2:79">
      <c r="D45" s="49" t="s">
        <v>122</v>
      </c>
      <c r="E45" s="49" t="s">
        <v>122</v>
      </c>
      <c r="F45" s="50"/>
      <c r="G45" s="49"/>
      <c r="H45" s="50"/>
      <c r="BY45" s="106"/>
      <c r="BZ45" s="109"/>
      <c r="CA45" s="108"/>
    </row>
    <row r="46" spans="2:79">
      <c r="D46" s="49" t="s">
        <v>123</v>
      </c>
      <c r="E46" s="49" t="s">
        <v>123</v>
      </c>
      <c r="F46" s="50"/>
      <c r="G46" s="49"/>
      <c r="H46" s="50"/>
      <c r="BY46" s="106"/>
      <c r="BZ46" s="107"/>
      <c r="CA46" s="108"/>
    </row>
    <row r="47" spans="2:79">
      <c r="BY47" s="106"/>
      <c r="BZ47" s="107"/>
      <c r="CA47" s="108"/>
    </row>
    <row r="48" spans="2:79">
      <c r="BY48" s="106"/>
      <c r="BZ48" s="107"/>
      <c r="CA48" s="108"/>
    </row>
    <row r="51" spans="78:78" s="10" customFormat="1">
      <c r="BZ51" s="100"/>
    </row>
  </sheetData>
  <mergeCells count="33">
    <mergeCell ref="BH5:BJ5"/>
    <mergeCell ref="BK5:BM5"/>
    <mergeCell ref="BT5:BV5"/>
    <mergeCell ref="BQ5:BS5"/>
    <mergeCell ref="BX5:BZ5"/>
    <mergeCell ref="BN5:BP5"/>
    <mergeCell ref="AY5:BA5"/>
    <mergeCell ref="BE5:BG5"/>
    <mergeCell ref="BB5:BD5"/>
    <mergeCell ref="AS5:AU5"/>
    <mergeCell ref="AV5:AX5"/>
    <mergeCell ref="K4:M4"/>
    <mergeCell ref="N4:O4"/>
    <mergeCell ref="B6:B9"/>
    <mergeCell ref="C6:C9"/>
    <mergeCell ref="N2:T2"/>
    <mergeCell ref="N3:R3"/>
    <mergeCell ref="S3:T3"/>
    <mergeCell ref="B17:B25"/>
    <mergeCell ref="C17:C25"/>
    <mergeCell ref="B26:B39"/>
    <mergeCell ref="C26:C39"/>
    <mergeCell ref="H4:J4"/>
    <mergeCell ref="AP5:AR5"/>
    <mergeCell ref="B10:B16"/>
    <mergeCell ref="C10:C16"/>
    <mergeCell ref="AJ5:AL5"/>
    <mergeCell ref="AM5:AO5"/>
    <mergeCell ref="U2:Z2"/>
    <mergeCell ref="U3:X3"/>
    <mergeCell ref="Y3:Z3"/>
    <mergeCell ref="AD5:AF5"/>
    <mergeCell ref="AG5:AI5"/>
  </mergeCells>
  <conditionalFormatting sqref="H39:I39">
    <cfRule type="dataBar" priority="34">
      <dataBar>
        <cfvo type="min"/>
        <cfvo type="max"/>
        <color rgb="FF008AEF"/>
      </dataBar>
    </cfRule>
    <cfRule type="colorScale" priority="35">
      <colorScale>
        <cfvo type="min"/>
        <cfvo type="max"/>
        <color rgb="FFFF7128"/>
        <color rgb="FFFFEF9C"/>
      </colorScale>
    </cfRule>
  </conditionalFormatting>
  <conditionalFormatting sqref="G35:G39 G6:G9 G11:G20 G22:G31">
    <cfRule type="dataBar" priority="33">
      <dataBar>
        <cfvo type="min"/>
        <cfvo type="max"/>
        <color rgb="FF63C384"/>
      </dataBar>
    </cfRule>
  </conditionalFormatting>
  <conditionalFormatting sqref="J28:J39">
    <cfRule type="colorScale" priority="32">
      <colorScale>
        <cfvo type="min"/>
        <cfvo type="max"/>
        <color rgb="FFFF7128"/>
        <color rgb="FFFFEF9C"/>
      </colorScale>
    </cfRule>
  </conditionalFormatting>
  <conditionalFormatting sqref="I28:I39">
    <cfRule type="colorScale" priority="31">
      <colorScale>
        <cfvo type="min"/>
        <cfvo type="max"/>
        <color rgb="FFFF7128"/>
        <color rgb="FFFFEF9C"/>
      </colorScale>
    </cfRule>
  </conditionalFormatting>
  <conditionalFormatting sqref="G10">
    <cfRule type="dataBar" priority="30">
      <dataBar>
        <cfvo type="min"/>
        <cfvo type="max"/>
        <color rgb="FF63C384"/>
      </dataBar>
    </cfRule>
  </conditionalFormatting>
  <conditionalFormatting sqref="H10:I10">
    <cfRule type="dataBar" priority="29">
      <dataBar>
        <cfvo type="min"/>
        <cfvo type="max"/>
        <color rgb="FFFF555A"/>
      </dataBar>
    </cfRule>
  </conditionalFormatting>
  <conditionalFormatting sqref="J10">
    <cfRule type="dataBar" priority="28">
      <dataBar>
        <cfvo type="min"/>
        <cfvo type="max"/>
        <color rgb="FF008AEF"/>
      </dataBar>
    </cfRule>
  </conditionalFormatting>
  <conditionalFormatting sqref="I10">
    <cfRule type="dataBar" priority="27">
      <dataBar>
        <cfvo type="min"/>
        <cfvo type="max"/>
        <color rgb="FF008AEF"/>
      </dataBar>
    </cfRule>
  </conditionalFormatting>
  <conditionalFormatting sqref="H6:I9 H11:I20 H22:I39">
    <cfRule type="dataBar" priority="36">
      <dataBar>
        <cfvo type="min"/>
        <cfvo type="max"/>
        <color rgb="FFFF555A"/>
      </dataBar>
    </cfRule>
  </conditionalFormatting>
  <conditionalFormatting sqref="J6:J9 J11:J20 J22:J39">
    <cfRule type="dataBar" priority="37">
      <dataBar>
        <cfvo type="min"/>
        <cfvo type="max"/>
        <color rgb="FF008AEF"/>
      </dataBar>
    </cfRule>
  </conditionalFormatting>
  <conditionalFormatting sqref="T6:T20 T22:T39">
    <cfRule type="dataBar" priority="38">
      <dataBar>
        <cfvo type="min"/>
        <cfvo type="max"/>
        <color rgb="FFFFB628"/>
      </dataBar>
    </cfRule>
  </conditionalFormatting>
  <conditionalFormatting sqref="I6:I9 I11:I20 I22:I39">
    <cfRule type="dataBar" priority="39">
      <dataBar>
        <cfvo type="min"/>
        <cfvo type="max"/>
        <color rgb="FF008AEF"/>
      </dataBar>
    </cfRule>
  </conditionalFormatting>
  <conditionalFormatting sqref="I10">
    <cfRule type="dataBar" priority="26">
      <dataBar>
        <cfvo type="min"/>
        <cfvo type="max"/>
        <color rgb="FFFF555A"/>
      </dataBar>
    </cfRule>
  </conditionalFormatting>
  <conditionalFormatting sqref="I10">
    <cfRule type="dataBar" priority="25">
      <dataBar>
        <cfvo type="min"/>
        <cfvo type="max"/>
        <color rgb="FFFF555A"/>
      </dataBar>
    </cfRule>
  </conditionalFormatting>
  <conditionalFormatting sqref="Z13:AA20 Z22:AA39">
    <cfRule type="dataBar" priority="24">
      <dataBar>
        <cfvo type="min"/>
        <cfvo type="max"/>
        <color rgb="FFFFB628"/>
      </dataBar>
    </cfRule>
  </conditionalFormatting>
  <conditionalFormatting sqref="Z6:AA12 AA13:AA20 AA22:AA38">
    <cfRule type="dataBar" priority="23">
      <dataBar>
        <cfvo type="min"/>
        <cfvo type="max"/>
        <color rgb="FFFFB628"/>
      </dataBar>
    </cfRule>
  </conditionalFormatting>
  <conditionalFormatting sqref="AA6:AA20 AA22:AA39">
    <cfRule type="dataBar" priority="22">
      <dataBar>
        <cfvo type="min"/>
        <cfvo type="max"/>
        <color rgb="FF008AEF"/>
      </dataBar>
    </cfRule>
  </conditionalFormatting>
  <conditionalFormatting sqref="AD42 AF42 AM42 AR42 BV42 BN42 BE42 BA42:BB42 BG42:BH42">
    <cfRule type="cellIs" dxfId="218" priority="21" operator="lessThan">
      <formula>0</formula>
    </cfRule>
  </conditionalFormatting>
  <conditionalFormatting sqref="AG42 AI42 BD42 AU42:AV42 BJ42:BK42 BM42 BP42 BZ42 BX42 BT42 AO42:AP42 AX42:AY42 AS42">
    <cfRule type="cellIs" dxfId="217" priority="19" operator="lessThan">
      <formula>0</formula>
    </cfRule>
  </conditionalFormatting>
  <conditionalFormatting sqref="G21">
    <cfRule type="dataBar" priority="14">
      <dataBar>
        <cfvo type="min"/>
        <cfvo type="max"/>
        <color rgb="FF63C384"/>
      </dataBar>
    </cfRule>
  </conditionalFormatting>
  <conditionalFormatting sqref="H21:I21">
    <cfRule type="dataBar" priority="15">
      <dataBar>
        <cfvo type="min"/>
        <cfvo type="max"/>
        <color rgb="FFFF555A"/>
      </dataBar>
    </cfRule>
  </conditionalFormatting>
  <conditionalFormatting sqref="J21">
    <cfRule type="dataBar" priority="16">
      <dataBar>
        <cfvo type="min"/>
        <cfvo type="max"/>
        <color rgb="FF008AEF"/>
      </dataBar>
    </cfRule>
  </conditionalFormatting>
  <conditionalFormatting sqref="T21">
    <cfRule type="dataBar" priority="17">
      <dataBar>
        <cfvo type="min"/>
        <cfvo type="max"/>
        <color rgb="FFFFB628"/>
      </dataBar>
    </cfRule>
  </conditionalFormatting>
  <conditionalFormatting sqref="I21">
    <cfRule type="dataBar" priority="18">
      <dataBar>
        <cfvo type="min"/>
        <cfvo type="max"/>
        <color rgb="FF008AEF"/>
      </dataBar>
    </cfRule>
  </conditionalFormatting>
  <conditionalFormatting sqref="AA21">
    <cfRule type="dataBar" priority="13">
      <dataBar>
        <cfvo type="min"/>
        <cfvo type="max"/>
        <color rgb="FFFFB628"/>
      </dataBar>
    </cfRule>
  </conditionalFormatting>
  <conditionalFormatting sqref="AA21">
    <cfRule type="dataBar" priority="12">
      <dataBar>
        <cfvo type="min"/>
        <cfvo type="max"/>
        <color rgb="FFFFB628"/>
      </dataBar>
    </cfRule>
  </conditionalFormatting>
  <conditionalFormatting sqref="AA21">
    <cfRule type="dataBar" priority="11">
      <dataBar>
        <cfvo type="min"/>
        <cfvo type="max"/>
        <color rgb="FF008AEF"/>
      </dataBar>
    </cfRule>
  </conditionalFormatting>
  <conditionalFormatting sqref="Z21">
    <cfRule type="dataBar" priority="10">
      <dataBar>
        <cfvo type="min"/>
        <cfvo type="max"/>
        <color rgb="FFFFB628"/>
      </dataBar>
    </cfRule>
  </conditionalFormatting>
  <conditionalFormatting sqref="BQ42 BS42">
    <cfRule type="cellIs" dxfId="216" priority="9" operator="lessThan">
      <formula>0</formula>
    </cfRule>
  </conditionalFormatting>
  <conditionalFormatting sqref="AJ42">
    <cfRule type="cellIs" dxfId="215" priority="6" operator="lessThan">
      <formula>0</formula>
    </cfRule>
  </conditionalFormatting>
  <conditionalFormatting sqref="AL42">
    <cfRule type="cellIs" dxfId="214" priority="5" operator="lessThan">
      <formula>0</formula>
    </cfRule>
  </conditionalFormatting>
  <pageMargins left="0.7" right="0.7" top="0.75" bottom="0.75" header="0.3" footer="0.3"/>
  <pageSetup paperSize="9" orientation="portrait" verticalDpi="30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1"/>
  </sheetPr>
  <dimension ref="B2:J50"/>
  <sheetViews>
    <sheetView zoomScale="90" zoomScaleNormal="90" workbookViewId="0">
      <selection activeCell="U18" sqref="U18"/>
    </sheetView>
  </sheetViews>
  <sheetFormatPr defaultColWidth="11.42578125" defaultRowHeight="12.75"/>
  <cols>
    <col min="1" max="1" width="3.5703125" style="196" customWidth="1"/>
    <col min="2" max="2" width="11.42578125" style="196" customWidth="1"/>
    <col min="3" max="6" width="11.42578125" style="196"/>
    <col min="7" max="7" width="14.140625" style="196" customWidth="1"/>
    <col min="8" max="16384" width="11.42578125" style="196"/>
  </cols>
  <sheetData>
    <row r="2" spans="2:7" ht="8.25" customHeight="1" thickBot="1">
      <c r="B2" s="280"/>
      <c r="C2" s="280"/>
      <c r="D2" s="280"/>
      <c r="E2" s="280"/>
      <c r="F2" s="280"/>
      <c r="G2" s="280"/>
    </row>
    <row r="3" spans="2:7">
      <c r="B3" s="332"/>
      <c r="C3" s="333"/>
      <c r="D3" s="333"/>
      <c r="E3" s="333"/>
      <c r="F3" s="333"/>
      <c r="G3" s="334"/>
    </row>
    <row r="4" spans="2:7">
      <c r="B4" s="335"/>
      <c r="C4" s="280"/>
      <c r="D4" s="280"/>
      <c r="E4" s="280"/>
      <c r="F4" s="280"/>
      <c r="G4" s="336"/>
    </row>
    <row r="5" spans="2:7">
      <c r="B5" s="335"/>
      <c r="C5" s="280"/>
      <c r="D5" s="280"/>
      <c r="E5" s="280"/>
      <c r="F5" s="280"/>
      <c r="G5" s="336"/>
    </row>
    <row r="6" spans="2:7">
      <c r="B6" s="335"/>
      <c r="C6" s="280"/>
      <c r="D6" s="280"/>
      <c r="E6" s="280"/>
      <c r="F6" s="280"/>
      <c r="G6" s="336"/>
    </row>
    <row r="7" spans="2:7">
      <c r="B7" s="335"/>
      <c r="C7" s="280"/>
      <c r="D7" s="280"/>
      <c r="E7" s="280"/>
      <c r="F7" s="280"/>
      <c r="G7" s="336"/>
    </row>
    <row r="8" spans="2:7">
      <c r="B8" s="335"/>
      <c r="C8" s="280"/>
      <c r="D8" s="280"/>
      <c r="E8" s="280"/>
      <c r="F8" s="280"/>
      <c r="G8" s="336"/>
    </row>
    <row r="9" spans="2:7">
      <c r="B9" s="335"/>
      <c r="C9" s="280"/>
      <c r="D9" s="280"/>
      <c r="E9" s="280"/>
      <c r="F9" s="280"/>
      <c r="G9" s="336"/>
    </row>
    <row r="10" spans="2:7">
      <c r="B10" s="335"/>
      <c r="C10" s="280"/>
      <c r="D10" s="280"/>
      <c r="E10" s="280"/>
      <c r="F10" s="280"/>
      <c r="G10" s="336"/>
    </row>
    <row r="11" spans="2:7">
      <c r="B11" s="335"/>
      <c r="C11" s="280"/>
      <c r="D11" s="280"/>
      <c r="E11" s="280"/>
      <c r="F11" s="280"/>
      <c r="G11" s="336"/>
    </row>
    <row r="12" spans="2:7">
      <c r="B12" s="335"/>
      <c r="C12" s="280"/>
      <c r="D12" s="280"/>
      <c r="E12" s="280"/>
      <c r="F12" s="280"/>
      <c r="G12" s="336"/>
    </row>
    <row r="13" spans="2:7">
      <c r="B13" s="335"/>
      <c r="C13" s="280"/>
      <c r="D13" s="280"/>
      <c r="E13" s="280"/>
      <c r="F13" s="280"/>
      <c r="G13" s="336"/>
    </row>
    <row r="14" spans="2:7">
      <c r="B14" s="335"/>
      <c r="C14" s="280"/>
      <c r="D14" s="280"/>
      <c r="E14" s="280"/>
      <c r="F14" s="280"/>
      <c r="G14" s="336"/>
    </row>
    <row r="15" spans="2:7">
      <c r="B15" s="335"/>
      <c r="C15" s="280"/>
      <c r="D15" s="280"/>
      <c r="E15" s="280"/>
      <c r="F15" s="280"/>
      <c r="G15" s="336"/>
    </row>
    <row r="16" spans="2:7">
      <c r="B16" s="335"/>
      <c r="C16" s="280"/>
      <c r="D16" s="280"/>
      <c r="E16" s="280"/>
      <c r="F16" s="280"/>
      <c r="G16" s="336"/>
    </row>
    <row r="17" spans="2:10">
      <c r="B17" s="335"/>
      <c r="C17" s="280"/>
      <c r="D17" s="280"/>
      <c r="E17" s="280"/>
      <c r="F17" s="280"/>
      <c r="G17" s="336"/>
    </row>
    <row r="18" spans="2:10">
      <c r="B18" s="335"/>
      <c r="C18" s="280"/>
      <c r="D18" s="280"/>
      <c r="E18" s="280"/>
      <c r="F18" s="280"/>
      <c r="G18" s="336"/>
    </row>
    <row r="19" spans="2:10">
      <c r="B19" s="335"/>
      <c r="C19" s="280"/>
      <c r="D19" s="280"/>
      <c r="E19" s="280"/>
      <c r="F19" s="280"/>
      <c r="G19" s="336"/>
    </row>
    <row r="20" spans="2:10">
      <c r="B20" s="335"/>
      <c r="C20" s="280"/>
      <c r="D20" s="280"/>
      <c r="E20" s="280"/>
      <c r="F20" s="280"/>
      <c r="G20" s="336"/>
    </row>
    <row r="21" spans="2:10">
      <c r="B21" s="335"/>
      <c r="C21" s="280"/>
      <c r="D21" s="280"/>
      <c r="E21" s="280"/>
      <c r="F21" s="280"/>
      <c r="G21" s="336"/>
    </row>
    <row r="22" spans="2:10">
      <c r="B22" s="335"/>
      <c r="C22" s="280"/>
      <c r="D22" s="280"/>
      <c r="E22" s="280"/>
      <c r="F22" s="280"/>
      <c r="G22" s="336"/>
    </row>
    <row r="23" spans="2:10">
      <c r="B23" s="335"/>
      <c r="C23" s="280"/>
      <c r="D23" s="280"/>
      <c r="E23" s="280"/>
      <c r="F23" s="280"/>
      <c r="G23" s="336"/>
    </row>
    <row r="24" spans="2:10">
      <c r="B24" s="335"/>
      <c r="C24" s="280"/>
      <c r="D24" s="280"/>
      <c r="E24" s="280"/>
      <c r="F24" s="280"/>
      <c r="G24" s="336"/>
    </row>
    <row r="25" spans="2:10">
      <c r="B25" s="335"/>
      <c r="C25" s="280"/>
      <c r="D25" s="280"/>
      <c r="E25" s="280"/>
      <c r="F25" s="280"/>
      <c r="G25" s="336"/>
      <c r="J25" s="197"/>
    </row>
    <row r="26" spans="2:10">
      <c r="B26" s="335"/>
      <c r="C26" s="280"/>
      <c r="D26" s="280"/>
      <c r="E26" s="280"/>
      <c r="F26" s="280"/>
      <c r="G26" s="336"/>
    </row>
    <row r="27" spans="2:10">
      <c r="B27" s="335"/>
      <c r="C27" s="280"/>
      <c r="D27" s="280"/>
      <c r="E27" s="280"/>
      <c r="F27" s="280"/>
      <c r="G27" s="336"/>
    </row>
    <row r="28" spans="2:10">
      <c r="B28" s="335"/>
      <c r="C28" s="280"/>
      <c r="D28" s="280"/>
      <c r="E28" s="280"/>
      <c r="F28" s="280"/>
      <c r="G28" s="336"/>
    </row>
    <row r="29" spans="2:10">
      <c r="B29" s="335"/>
      <c r="C29" s="280"/>
      <c r="D29" s="280"/>
      <c r="E29" s="280"/>
      <c r="F29" s="280"/>
      <c r="G29" s="336"/>
    </row>
    <row r="30" spans="2:10">
      <c r="B30" s="335"/>
      <c r="C30" s="280"/>
      <c r="D30" s="280"/>
      <c r="E30" s="280"/>
      <c r="F30" s="280"/>
      <c r="G30" s="336"/>
    </row>
    <row r="31" spans="2:10">
      <c r="B31" s="335"/>
      <c r="C31" s="280"/>
      <c r="D31" s="280"/>
      <c r="E31" s="280"/>
      <c r="F31" s="280"/>
      <c r="G31" s="336"/>
    </row>
    <row r="32" spans="2:10">
      <c r="B32" s="335"/>
      <c r="C32" s="280"/>
      <c r="D32" s="280"/>
      <c r="E32" s="280"/>
      <c r="F32" s="280"/>
      <c r="G32" s="336"/>
    </row>
    <row r="33" spans="2:7">
      <c r="B33" s="335"/>
      <c r="C33" s="280"/>
      <c r="D33" s="280"/>
      <c r="E33" s="280"/>
      <c r="F33" s="280"/>
      <c r="G33" s="336"/>
    </row>
    <row r="34" spans="2:7" ht="9.9499999999999993" customHeight="1">
      <c r="B34" s="335"/>
      <c r="C34" s="280"/>
      <c r="D34" s="280"/>
      <c r="E34" s="280"/>
      <c r="F34" s="280"/>
      <c r="G34" s="336"/>
    </row>
    <row r="35" spans="2:7" ht="9.9499999999999993" customHeight="1">
      <c r="B35" s="335"/>
      <c r="C35" s="280"/>
      <c r="D35" s="280"/>
      <c r="E35" s="280"/>
      <c r="F35" s="280"/>
      <c r="G35" s="336"/>
    </row>
    <row r="36" spans="2:7">
      <c r="B36" s="335"/>
      <c r="C36" s="280"/>
      <c r="D36" s="280"/>
      <c r="E36" s="280"/>
      <c r="F36" s="280"/>
      <c r="G36" s="336"/>
    </row>
    <row r="37" spans="2:7">
      <c r="B37" s="335"/>
      <c r="C37" s="280"/>
      <c r="D37" s="280"/>
      <c r="E37" s="280"/>
      <c r="F37" s="280"/>
      <c r="G37" s="336"/>
    </row>
    <row r="38" spans="2:7">
      <c r="B38" s="335"/>
      <c r="C38" s="280"/>
      <c r="D38" s="280"/>
      <c r="E38" s="280"/>
      <c r="F38" s="280"/>
      <c r="G38" s="336"/>
    </row>
    <row r="39" spans="2:7">
      <c r="B39" s="335"/>
      <c r="C39" s="280"/>
      <c r="D39" s="280"/>
      <c r="E39" s="280"/>
      <c r="F39" s="280"/>
      <c r="G39" s="336"/>
    </row>
    <row r="40" spans="2:7">
      <c r="B40" s="335"/>
      <c r="C40" s="280"/>
      <c r="D40" s="280"/>
      <c r="E40" s="280"/>
      <c r="F40" s="280"/>
      <c r="G40" s="336"/>
    </row>
    <row r="41" spans="2:7">
      <c r="B41" s="335"/>
      <c r="C41" s="280"/>
      <c r="D41" s="280"/>
      <c r="E41" s="280"/>
      <c r="F41" s="280"/>
      <c r="G41" s="336"/>
    </row>
    <row r="42" spans="2:7">
      <c r="B42" s="335"/>
      <c r="C42" s="280"/>
      <c r="D42" s="280"/>
      <c r="E42" s="280"/>
      <c r="F42" s="280"/>
      <c r="G42" s="336"/>
    </row>
    <row r="43" spans="2:7">
      <c r="B43" s="335"/>
      <c r="C43" s="280"/>
      <c r="D43" s="280"/>
      <c r="E43" s="280"/>
      <c r="F43" s="280"/>
      <c r="G43" s="336"/>
    </row>
    <row r="44" spans="2:7">
      <c r="B44" s="335"/>
      <c r="C44" s="280"/>
      <c r="D44" s="280"/>
      <c r="E44" s="280"/>
      <c r="F44" s="280"/>
      <c r="G44" s="336"/>
    </row>
    <row r="45" spans="2:7">
      <c r="B45" s="335"/>
      <c r="C45" s="280"/>
      <c r="D45" s="280"/>
      <c r="E45" s="280"/>
      <c r="F45" s="280"/>
      <c r="G45" s="336"/>
    </row>
    <row r="46" spans="2:7">
      <c r="B46" s="335"/>
      <c r="C46" s="280"/>
      <c r="D46" s="280"/>
      <c r="E46" s="280"/>
      <c r="F46" s="280"/>
      <c r="G46" s="336"/>
    </row>
    <row r="47" spans="2:7">
      <c r="B47" s="335"/>
      <c r="C47" s="280"/>
      <c r="D47" s="280"/>
      <c r="E47" s="280"/>
      <c r="F47" s="280"/>
      <c r="G47" s="336"/>
    </row>
    <row r="48" spans="2:7">
      <c r="B48" s="335"/>
      <c r="C48" s="280"/>
      <c r="D48" s="280"/>
      <c r="E48" s="280"/>
      <c r="F48" s="280"/>
      <c r="G48" s="336"/>
    </row>
    <row r="49" spans="2:7">
      <c r="B49" s="335"/>
      <c r="C49" s="280"/>
      <c r="D49" s="280"/>
      <c r="E49" s="280"/>
      <c r="F49" s="280"/>
      <c r="G49" s="336"/>
    </row>
    <row r="50" spans="2:7" ht="13.5" thickBot="1">
      <c r="B50" s="337"/>
      <c r="C50" s="338"/>
      <c r="D50" s="338"/>
      <c r="E50" s="338"/>
      <c r="F50" s="338"/>
      <c r="G50" s="339"/>
    </row>
  </sheetData>
  <sheetProtection algorithmName="SHA-512" hashValue="MCL54cv+Tw7NmtP0FVQEgRKH9sVunD3BENDWjdhmTeSPqG09gVa0sJWLyzA9FB0akvBdWzgiwyu/swHUxzqtZg==" saltValue="XDHdbsh+5CMLSUy4ZtCTew==" spinCount="100000" sheet="1" objects="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Cargar_Hoja">
                <anchor moveWithCells="1">
                  <from>
                    <xdr:col>2</xdr:col>
                    <xdr:colOff>104775</xdr:colOff>
                    <xdr:row>6</xdr:row>
                    <xdr:rowOff>152400</xdr:rowOff>
                  </from>
                  <to>
                    <xdr:col>3</xdr:col>
                    <xdr:colOff>581025</xdr:colOff>
                    <xdr:row>10</xdr:row>
                    <xdr:rowOff>76200</xdr:rowOff>
                  </to>
                </anchor>
              </controlPr>
            </control>
          </mc:Choice>
        </mc:AlternateContent>
        <mc:AlternateContent xmlns:mc="http://schemas.openxmlformats.org/markup-compatibility/2006">
          <mc:Choice Requires="x14">
            <control shapeId="204802" r:id="rId5" name="Button 2">
              <controlPr defaultSize="0" print="0" autoFill="0" autoPict="0" macro="[0]!Cargar_Hoja_ext">
                <anchor moveWithCells="1">
                  <from>
                    <xdr:col>4</xdr:col>
                    <xdr:colOff>238125</xdr:colOff>
                    <xdr:row>6</xdr:row>
                    <xdr:rowOff>152400</xdr:rowOff>
                  </from>
                  <to>
                    <xdr:col>5</xdr:col>
                    <xdr:colOff>733425</xdr:colOff>
                    <xdr:row>10</xdr:row>
                    <xdr:rowOff>95250</xdr:rowOff>
                  </to>
                </anchor>
              </controlPr>
            </control>
          </mc:Choice>
        </mc:AlternateContent>
        <mc:AlternateContent xmlns:mc="http://schemas.openxmlformats.org/markup-compatibility/2006">
          <mc:Choice Requires="x14">
            <control shapeId="204803" r:id="rId6" name="Button 3">
              <controlPr defaultSize="0" print="0" autoFill="0" autoPict="0" macro="[0]!distribucion">
                <anchor moveWithCells="1">
                  <from>
                    <xdr:col>3</xdr:col>
                    <xdr:colOff>19050</xdr:colOff>
                    <xdr:row>15</xdr:row>
                    <xdr:rowOff>76200</xdr:rowOff>
                  </from>
                  <to>
                    <xdr:col>4</xdr:col>
                    <xdr:colOff>723900</xdr:colOff>
                    <xdr:row>20</xdr:row>
                    <xdr:rowOff>9525</xdr:rowOff>
                  </to>
                </anchor>
              </controlPr>
            </control>
          </mc:Choice>
        </mc:AlternateContent>
        <mc:AlternateContent xmlns:mc="http://schemas.openxmlformats.org/markup-compatibility/2006">
          <mc:Choice Requires="x14">
            <control shapeId="204804" r:id="rId7" name="Button 4">
              <controlPr defaultSize="0" print="0" autoFill="0" autoPict="0" macro="[0]!YTD">
                <anchor moveWithCells="1">
                  <from>
                    <xdr:col>2</xdr:col>
                    <xdr:colOff>762000</xdr:colOff>
                    <xdr:row>24</xdr:row>
                    <xdr:rowOff>9525</xdr:rowOff>
                  </from>
                  <to>
                    <xdr:col>4</xdr:col>
                    <xdr:colOff>609600</xdr:colOff>
                    <xdr:row>27</xdr:row>
                    <xdr:rowOff>76200</xdr:rowOff>
                  </to>
                </anchor>
              </controlPr>
            </control>
          </mc:Choice>
        </mc:AlternateContent>
        <mc:AlternateContent xmlns:mc="http://schemas.openxmlformats.org/markup-compatibility/2006">
          <mc:Choice Requires="x14">
            <control shapeId="204805" r:id="rId8" name="Button 5">
              <controlPr defaultSize="0" print="0" autoFill="0" autoPict="0" macro="[0]!generar_documento2">
                <anchor moveWithCells="1">
                  <from>
                    <xdr:col>3</xdr:col>
                    <xdr:colOff>104775</xdr:colOff>
                    <xdr:row>32</xdr:row>
                    <xdr:rowOff>9525</xdr:rowOff>
                  </from>
                  <to>
                    <xdr:col>4</xdr:col>
                    <xdr:colOff>561975</xdr:colOff>
                    <xdr:row>36</xdr:row>
                    <xdr:rowOff>123825</xdr:rowOff>
                  </to>
                </anchor>
              </controlPr>
            </control>
          </mc:Choice>
        </mc:AlternateContent>
        <mc:AlternateContent xmlns:mc="http://schemas.openxmlformats.org/markup-compatibility/2006">
          <mc:Choice Requires="x14">
            <control shapeId="204806" r:id="rId9" name="Button 6">
              <controlPr defaultSize="0" print="0" autoFill="0" autoPict="0" macro="[0]!agregar_hoja_plan">
                <anchor moveWithCells="1">
                  <from>
                    <xdr:col>2</xdr:col>
                    <xdr:colOff>28575</xdr:colOff>
                    <xdr:row>40</xdr:row>
                    <xdr:rowOff>142875</xdr:rowOff>
                  </from>
                  <to>
                    <xdr:col>3</xdr:col>
                    <xdr:colOff>457200</xdr:colOff>
                    <xdr:row>44</xdr:row>
                    <xdr:rowOff>104775</xdr:rowOff>
                  </to>
                </anchor>
              </controlPr>
            </control>
          </mc:Choice>
        </mc:AlternateContent>
        <mc:AlternateContent xmlns:mc="http://schemas.openxmlformats.org/markup-compatibility/2006">
          <mc:Choice Requires="x14">
            <control shapeId="204807" r:id="rId10" name="Button 7">
              <controlPr defaultSize="0" print="0" autoFill="0" autoPict="0" macro="[0]!agregar_hoja">
                <anchor moveWithCells="1">
                  <from>
                    <xdr:col>4</xdr:col>
                    <xdr:colOff>133350</xdr:colOff>
                    <xdr:row>40</xdr:row>
                    <xdr:rowOff>133350</xdr:rowOff>
                  </from>
                  <to>
                    <xdr:col>5</xdr:col>
                    <xdr:colOff>457200</xdr:colOff>
                    <xdr:row>44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1:T38"/>
  <sheetViews>
    <sheetView zoomScale="90" zoomScaleNormal="90" workbookViewId="0">
      <pane ySplit="2" topLeftCell="A21" activePane="bottomLeft" state="frozen"/>
      <selection pane="bottomLeft" activeCell="H45" sqref="H45"/>
    </sheetView>
  </sheetViews>
  <sheetFormatPr defaultColWidth="11.42578125" defaultRowHeight="12"/>
  <cols>
    <col min="1" max="1" width="0.42578125" style="170" customWidth="1"/>
    <col min="2" max="2" width="6.5703125" style="169" customWidth="1"/>
    <col min="3" max="3" width="16.85546875" style="170" customWidth="1"/>
    <col min="4" max="4" width="14" style="171" customWidth="1"/>
    <col min="5" max="5" width="2.140625" style="172" customWidth="1"/>
    <col min="6" max="17" width="13.42578125" style="172" customWidth="1"/>
    <col min="18" max="19" width="13.42578125" style="172" bestFit="1" customWidth="1"/>
    <col min="20" max="20" width="14.28515625" style="172" bestFit="1" customWidth="1"/>
    <col min="21" max="16384" width="11.42578125" style="170"/>
  </cols>
  <sheetData>
    <row r="1" spans="2:20" ht="14.1" customHeight="1"/>
    <row r="2" spans="2:20" s="169" customFormat="1" ht="14.1" customHeight="1">
      <c r="B2" s="177" t="s">
        <v>11</v>
      </c>
      <c r="C2" s="177" t="s">
        <v>18</v>
      </c>
      <c r="D2" s="178" t="s">
        <v>257</v>
      </c>
      <c r="E2" s="173"/>
      <c r="F2" s="178" t="s">
        <v>217</v>
      </c>
      <c r="G2" s="178" t="s">
        <v>218</v>
      </c>
      <c r="H2" s="178" t="s">
        <v>219</v>
      </c>
      <c r="I2" s="178" t="s">
        <v>220</v>
      </c>
      <c r="J2" s="178" t="s">
        <v>221</v>
      </c>
      <c r="K2" s="178" t="s">
        <v>222</v>
      </c>
      <c r="L2" s="178" t="s">
        <v>223</v>
      </c>
      <c r="M2" s="178" t="s">
        <v>224</v>
      </c>
      <c r="N2" s="178" t="s">
        <v>253</v>
      </c>
      <c r="O2" s="178" t="s">
        <v>225</v>
      </c>
      <c r="P2" s="178" t="s">
        <v>226</v>
      </c>
      <c r="Q2" s="178" t="s">
        <v>227</v>
      </c>
      <c r="R2" s="178" t="s">
        <v>228</v>
      </c>
      <c r="S2" s="178" t="s">
        <v>229</v>
      </c>
      <c r="T2" s="178" t="s">
        <v>132</v>
      </c>
    </row>
    <row r="3" spans="2:20" ht="14.1" customHeight="1"/>
    <row r="4" spans="2:20" s="175" customFormat="1" ht="14.1" customHeight="1">
      <c r="B4" s="439" t="s">
        <v>230</v>
      </c>
      <c r="C4" s="174" t="s">
        <v>231</v>
      </c>
      <c r="D4" s="270">
        <f>SUM(F4:Q4)</f>
        <v>0</v>
      </c>
      <c r="E4" s="271"/>
      <c r="F4" s="270">
        <v>0</v>
      </c>
      <c r="G4" s="266">
        <v>0</v>
      </c>
      <c r="H4" s="266">
        <v>0</v>
      </c>
      <c r="I4" s="266">
        <v>0</v>
      </c>
      <c r="J4" s="266">
        <v>0</v>
      </c>
      <c r="K4" s="266">
        <v>0</v>
      </c>
      <c r="L4" s="266">
        <v>0</v>
      </c>
      <c r="M4" s="266">
        <v>0</v>
      </c>
      <c r="N4" s="266">
        <v>0</v>
      </c>
      <c r="O4" s="266">
        <v>0</v>
      </c>
      <c r="P4" s="266">
        <v>0</v>
      </c>
      <c r="Q4" s="266">
        <v>0</v>
      </c>
      <c r="R4" s="267">
        <f ca="1">IF($F$2=TEXT(Tapa!$J$3,"mmm"),0,IF($G$2=TEXT(Tapa!$J$3,"mmm"),F4,IF($H$2=TEXT(Tapa!$J$3,"mmm"),SUM(F4:G4),IF($I$2=TEXT(Tapa!$J$3,"mmm"),SUM(F4:H4),IF($J$2=TEXT(Tapa!$J$3,"mmm"),SUM(F4:I4),IF($K$2=TEXT(Tapa!$J$3,"mmm"),SUM(F4:J4),IF($L$2=TEXT(Tapa!$J$3,"mmm"),SUM(F4:K4),IF($M$2=TEXT(Tapa!$J$3,"mmm"),SUM(F4:L4),IF($N$2=TEXT(Tapa!$J$3,"mmm"),SUM(F4:M4),IF($O$2=TEXT(Tapa!$J$3,"mmm"),SUM(F4:N4),IF($P$2=TEXT(Tapa!$J$3,"mmm"),SUM(F4:O4),IF($Q$2=TEXT(Tapa!$J$3,"mmm"),SUM(F4:P4),"otros"))))))))))))</f>
        <v>0</v>
      </c>
      <c r="S4" s="267">
        <f ca="1">+D4-R4</f>
        <v>0</v>
      </c>
      <c r="T4" s="267">
        <f ca="1">SUM(R4:S4)</f>
        <v>0</v>
      </c>
    </row>
    <row r="5" spans="2:20" s="175" customFormat="1" ht="14.1" customHeight="1">
      <c r="B5" s="440"/>
      <c r="C5" s="174" t="s">
        <v>35</v>
      </c>
      <c r="D5" s="270">
        <f t="shared" ref="D5:D12" si="0">SUM(F5:Q5)</f>
        <v>0</v>
      </c>
      <c r="E5" s="271"/>
      <c r="F5" s="270">
        <v>0</v>
      </c>
      <c r="G5" s="266">
        <v>0</v>
      </c>
      <c r="H5" s="266">
        <v>0</v>
      </c>
      <c r="I5" s="266">
        <v>0</v>
      </c>
      <c r="J5" s="266">
        <v>0</v>
      </c>
      <c r="K5" s="266">
        <v>0</v>
      </c>
      <c r="L5" s="266">
        <v>0</v>
      </c>
      <c r="M5" s="266">
        <v>0</v>
      </c>
      <c r="N5" s="266">
        <v>0</v>
      </c>
      <c r="O5" s="266">
        <v>0</v>
      </c>
      <c r="P5" s="266">
        <v>0</v>
      </c>
      <c r="Q5" s="266">
        <v>0</v>
      </c>
      <c r="R5" s="267">
        <f ca="1">IF($F$2=TEXT(Tapa!$J$3,"mmm"),0,IF($G$2=TEXT(Tapa!$J$3,"mmm"),F5,IF($H$2=TEXT(Tapa!$J$3,"mmm"),SUM(F5:G5),IF($I$2=TEXT(Tapa!$J$3,"mmm"),SUM(F5:H5),IF($J$2=TEXT(Tapa!$J$3,"mmm"),SUM(F5:I5),IF($K$2=TEXT(Tapa!$J$3,"mmm"),SUM(F5:J5),IF($L$2=TEXT(Tapa!$J$3,"mmm"),SUM(F5:K5),IF($M$2=TEXT(Tapa!$J$3,"mmm"),SUM(F5:L5),IF($N$2=TEXT(Tapa!$J$3,"mmm"),SUM(F5:M5),IF($O$2=TEXT(Tapa!$J$3,"mmm"),SUM(F5:N5),IF($P$2=TEXT(Tapa!$J$3,"mmm"),SUM(F5:O5),IF($Q$2=TEXT(Tapa!$J$3,"mmm"),SUM(F5:P5),"otros"))))))))))))</f>
        <v>0</v>
      </c>
      <c r="S5" s="267">
        <f t="shared" ref="S5:S12" ca="1" si="1">+D5-R5</f>
        <v>0</v>
      </c>
      <c r="T5" s="267">
        <f t="shared" ref="T5:T12" ca="1" si="2">SUM(R5:S5)</f>
        <v>0</v>
      </c>
    </row>
    <row r="6" spans="2:20" s="175" customFormat="1" ht="14.1" customHeight="1">
      <c r="B6" s="440"/>
      <c r="C6" s="174" t="s">
        <v>141</v>
      </c>
      <c r="D6" s="270">
        <f t="shared" si="0"/>
        <v>0</v>
      </c>
      <c r="E6" s="271"/>
      <c r="F6" s="270">
        <v>0</v>
      </c>
      <c r="G6" s="266">
        <v>0</v>
      </c>
      <c r="H6" s="266">
        <v>0</v>
      </c>
      <c r="I6" s="266">
        <v>0</v>
      </c>
      <c r="J6" s="266">
        <v>0</v>
      </c>
      <c r="K6" s="266">
        <v>0</v>
      </c>
      <c r="L6" s="266">
        <v>0</v>
      </c>
      <c r="M6" s="266">
        <v>0</v>
      </c>
      <c r="N6" s="266">
        <v>0</v>
      </c>
      <c r="O6" s="266">
        <v>0</v>
      </c>
      <c r="P6" s="266">
        <v>0</v>
      </c>
      <c r="Q6" s="266">
        <v>0</v>
      </c>
      <c r="R6" s="267">
        <f ca="1">IF($F$2=TEXT(Tapa!$J$3,"mmm"),0,IF($G$2=TEXT(Tapa!$J$3,"mmm"),F6,IF($H$2=TEXT(Tapa!$J$3,"mmm"),SUM(F6:G6),IF($I$2=TEXT(Tapa!$J$3,"mmm"),SUM(F6:H6),IF($J$2=TEXT(Tapa!$J$3,"mmm"),SUM(F6:I6),IF($K$2=TEXT(Tapa!$J$3,"mmm"),SUM(F6:J6),IF($L$2=TEXT(Tapa!$J$3,"mmm"),SUM(F6:K6),IF($M$2=TEXT(Tapa!$J$3,"mmm"),SUM(F6:L6),IF($N$2=TEXT(Tapa!$J$3,"mmm"),SUM(F6:M6),IF($O$2=TEXT(Tapa!$J$3,"mmm"),SUM(F6:N6),IF($P$2=TEXT(Tapa!$J$3,"mmm"),SUM(F6:O6),IF($Q$2=TEXT(Tapa!$J$3,"mmm"),SUM(F6:P6),"otros"))))))))))))</f>
        <v>0</v>
      </c>
      <c r="S6" s="267">
        <f t="shared" ca="1" si="1"/>
        <v>0</v>
      </c>
      <c r="T6" s="267">
        <f t="shared" ca="1" si="2"/>
        <v>0</v>
      </c>
    </row>
    <row r="7" spans="2:20" s="175" customFormat="1" ht="14.1" customHeight="1">
      <c r="B7" s="440"/>
      <c r="C7" s="174" t="s">
        <v>138</v>
      </c>
      <c r="D7" s="270">
        <f t="shared" si="0"/>
        <v>0</v>
      </c>
      <c r="E7" s="271"/>
      <c r="F7" s="270">
        <v>0</v>
      </c>
      <c r="G7" s="266">
        <v>0</v>
      </c>
      <c r="H7" s="266">
        <v>0</v>
      </c>
      <c r="I7" s="266">
        <v>0</v>
      </c>
      <c r="J7" s="266">
        <v>0</v>
      </c>
      <c r="K7" s="266">
        <v>0</v>
      </c>
      <c r="L7" s="266">
        <v>0</v>
      </c>
      <c r="M7" s="266">
        <v>0</v>
      </c>
      <c r="N7" s="266">
        <v>0</v>
      </c>
      <c r="O7" s="266">
        <v>0</v>
      </c>
      <c r="P7" s="266">
        <v>0</v>
      </c>
      <c r="Q7" s="266">
        <v>0</v>
      </c>
      <c r="R7" s="267">
        <f ca="1">IF($F$2=TEXT(Tapa!$J$3,"mmm"),0,IF($G$2=TEXT(Tapa!$J$3,"mmm"),F7,IF($H$2=TEXT(Tapa!$J$3,"mmm"),SUM(F7:G7),IF($I$2=TEXT(Tapa!$J$3,"mmm"),SUM(F7:H7),IF($J$2=TEXT(Tapa!$J$3,"mmm"),SUM(F7:I7),IF($K$2=TEXT(Tapa!$J$3,"mmm"),SUM(F7:J7),IF($L$2=TEXT(Tapa!$J$3,"mmm"),SUM(F7:K7),IF($M$2=TEXT(Tapa!$J$3,"mmm"),SUM(F7:L7),IF($N$2=TEXT(Tapa!$J$3,"mmm"),SUM(F7:M7),IF($O$2=TEXT(Tapa!$J$3,"mmm"),SUM(F7:N7),IF($P$2=TEXT(Tapa!$J$3,"mmm"),SUM(F7:O7),IF($Q$2=TEXT(Tapa!$J$3,"mmm"),SUM(F7:P7),"otros"))))))))))))</f>
        <v>0</v>
      </c>
      <c r="S7" s="267">
        <f t="shared" ca="1" si="1"/>
        <v>0</v>
      </c>
      <c r="T7" s="267">
        <f t="shared" ca="1" si="2"/>
        <v>0</v>
      </c>
    </row>
    <row r="8" spans="2:20" s="175" customFormat="1" ht="14.1" customHeight="1">
      <c r="B8" s="440"/>
      <c r="C8" s="174" t="s">
        <v>107</v>
      </c>
      <c r="D8" s="270">
        <f t="shared" si="0"/>
        <v>0</v>
      </c>
      <c r="E8" s="271"/>
      <c r="F8" s="270">
        <v>0</v>
      </c>
      <c r="G8" s="266">
        <v>0</v>
      </c>
      <c r="H8" s="266">
        <v>0</v>
      </c>
      <c r="I8" s="266">
        <v>0</v>
      </c>
      <c r="J8" s="266">
        <v>0</v>
      </c>
      <c r="K8" s="266">
        <v>0</v>
      </c>
      <c r="L8" s="266">
        <v>0</v>
      </c>
      <c r="M8" s="266">
        <v>0</v>
      </c>
      <c r="N8" s="266">
        <v>0</v>
      </c>
      <c r="O8" s="266">
        <v>0</v>
      </c>
      <c r="P8" s="266">
        <v>0</v>
      </c>
      <c r="Q8" s="266">
        <v>0</v>
      </c>
      <c r="R8" s="267">
        <f ca="1">IF($F$2=TEXT(Tapa!$J$3,"mmm"),0,IF($G$2=TEXT(Tapa!$J$3,"mmm"),F8,IF($H$2=TEXT(Tapa!$J$3,"mmm"),SUM(F8:G8),IF($I$2=TEXT(Tapa!$J$3,"mmm"),SUM(F8:H8),IF($J$2=TEXT(Tapa!$J$3,"mmm"),SUM(F8:I8),IF($K$2=TEXT(Tapa!$J$3,"mmm"),SUM(F8:J8),IF($L$2=TEXT(Tapa!$J$3,"mmm"),SUM(F8:K8),IF($M$2=TEXT(Tapa!$J$3,"mmm"),SUM(F8:L8),IF($N$2=TEXT(Tapa!$J$3,"mmm"),SUM(F8:M8),IF($O$2=TEXT(Tapa!$J$3,"mmm"),SUM(F8:N8),IF($P$2=TEXT(Tapa!$J$3,"mmm"),SUM(F8:O8),IF($Q$2=TEXT(Tapa!$J$3,"mmm"),SUM(F8:P8),"otros"))))))))))))</f>
        <v>0</v>
      </c>
      <c r="S8" s="267">
        <f t="shared" ca="1" si="1"/>
        <v>0</v>
      </c>
      <c r="T8" s="267">
        <f t="shared" ca="1" si="2"/>
        <v>0</v>
      </c>
    </row>
    <row r="9" spans="2:20" s="175" customFormat="1" ht="14.1" customHeight="1">
      <c r="B9" s="440"/>
      <c r="C9" s="174" t="s">
        <v>232</v>
      </c>
      <c r="D9" s="270">
        <f t="shared" si="0"/>
        <v>0</v>
      </c>
      <c r="E9" s="271"/>
      <c r="F9" s="270">
        <v>0</v>
      </c>
      <c r="G9" s="266">
        <v>0</v>
      </c>
      <c r="H9" s="266">
        <v>0</v>
      </c>
      <c r="I9" s="266">
        <v>0</v>
      </c>
      <c r="J9" s="266">
        <v>0</v>
      </c>
      <c r="K9" s="266">
        <v>0</v>
      </c>
      <c r="L9" s="266">
        <v>0</v>
      </c>
      <c r="M9" s="266">
        <v>0</v>
      </c>
      <c r="N9" s="266">
        <v>0</v>
      </c>
      <c r="O9" s="266">
        <v>0</v>
      </c>
      <c r="P9" s="266">
        <v>0</v>
      </c>
      <c r="Q9" s="266">
        <v>0</v>
      </c>
      <c r="R9" s="267">
        <f ca="1">IF($F$2=TEXT(Tapa!$J$3,"mmm"),0,IF($G$2=TEXT(Tapa!$J$3,"mmm"),F9,IF($H$2=TEXT(Tapa!$J$3,"mmm"),SUM(F9:G9),IF($I$2=TEXT(Tapa!$J$3,"mmm"),SUM(F9:H9),IF($J$2=TEXT(Tapa!$J$3,"mmm"),SUM(F9:I9),IF($K$2=TEXT(Tapa!$J$3,"mmm"),SUM(F9:J9),IF($L$2=TEXT(Tapa!$J$3,"mmm"),SUM(F9:K9),IF($M$2=TEXT(Tapa!$J$3,"mmm"),SUM(F9:L9),IF($N$2=TEXT(Tapa!$J$3,"mmm"),SUM(F9:M9),IF($O$2=TEXT(Tapa!$J$3,"mmm"),SUM(F9:N9),IF($P$2=TEXT(Tapa!$J$3,"mmm"),SUM(F9:O9),IF($Q$2=TEXT(Tapa!$J$3,"mmm"),SUM(F9:P9),"otros"))))))))))))</f>
        <v>0</v>
      </c>
      <c r="S9" s="267">
        <f t="shared" ca="1" si="1"/>
        <v>0</v>
      </c>
      <c r="T9" s="267">
        <f t="shared" ca="1" si="2"/>
        <v>0</v>
      </c>
    </row>
    <row r="10" spans="2:20" s="175" customFormat="1" ht="14.1" customHeight="1">
      <c r="B10" s="440"/>
      <c r="C10" s="174" t="s">
        <v>139</v>
      </c>
      <c r="D10" s="270">
        <f t="shared" si="0"/>
        <v>0</v>
      </c>
      <c r="E10" s="271"/>
      <c r="F10" s="270">
        <v>0</v>
      </c>
      <c r="G10" s="266">
        <v>0</v>
      </c>
      <c r="H10" s="266">
        <v>0</v>
      </c>
      <c r="I10" s="266">
        <v>0</v>
      </c>
      <c r="J10" s="266">
        <v>0</v>
      </c>
      <c r="K10" s="266">
        <v>0</v>
      </c>
      <c r="L10" s="266">
        <v>0</v>
      </c>
      <c r="M10" s="266">
        <v>0</v>
      </c>
      <c r="N10" s="266">
        <v>0</v>
      </c>
      <c r="O10" s="266">
        <v>0</v>
      </c>
      <c r="P10" s="266">
        <v>0</v>
      </c>
      <c r="Q10" s="266">
        <v>0</v>
      </c>
      <c r="R10" s="267">
        <f ca="1">IF($F$2=TEXT(Tapa!$J$3,"mmm"),0,IF($G$2=TEXT(Tapa!$J$3,"mmm"),F10,IF($H$2=TEXT(Tapa!$J$3,"mmm"),SUM(F10:G10),IF($I$2=TEXT(Tapa!$J$3,"mmm"),SUM(F10:H10),IF($J$2=TEXT(Tapa!$J$3,"mmm"),SUM(F10:I10),IF($K$2=TEXT(Tapa!$J$3,"mmm"),SUM(F10:J10),IF($L$2=TEXT(Tapa!$J$3,"mmm"),SUM(F10:K10),IF($M$2=TEXT(Tapa!$J$3,"mmm"),SUM(F10:L10),IF($N$2=TEXT(Tapa!$J$3,"mmm"),SUM(F10:M10),IF($O$2=TEXT(Tapa!$J$3,"mmm"),SUM(F10:N10),IF($P$2=TEXT(Tapa!$J$3,"mmm"),SUM(F10:O10),IF($Q$2=TEXT(Tapa!$J$3,"mmm"),SUM(F10:P10),"otros"))))))))))))</f>
        <v>0</v>
      </c>
      <c r="S10" s="267">
        <f t="shared" ca="1" si="1"/>
        <v>0</v>
      </c>
      <c r="T10" s="267">
        <f t="shared" ca="1" si="2"/>
        <v>0</v>
      </c>
    </row>
    <row r="11" spans="2:20" s="175" customFormat="1" ht="14.1" customHeight="1">
      <c r="B11" s="440"/>
      <c r="C11" s="174" t="s">
        <v>106</v>
      </c>
      <c r="D11" s="270">
        <f t="shared" si="0"/>
        <v>0</v>
      </c>
      <c r="E11" s="271"/>
      <c r="F11" s="270">
        <v>0</v>
      </c>
      <c r="G11" s="266">
        <v>0</v>
      </c>
      <c r="H11" s="266">
        <v>0</v>
      </c>
      <c r="I11" s="266">
        <v>0</v>
      </c>
      <c r="J11" s="266">
        <v>0</v>
      </c>
      <c r="K11" s="266">
        <v>0</v>
      </c>
      <c r="L11" s="266">
        <v>0</v>
      </c>
      <c r="M11" s="266">
        <v>0</v>
      </c>
      <c r="N11" s="266">
        <v>0</v>
      </c>
      <c r="O11" s="266">
        <v>0</v>
      </c>
      <c r="P11" s="266">
        <v>0</v>
      </c>
      <c r="Q11" s="266">
        <v>0</v>
      </c>
      <c r="R11" s="267">
        <f ca="1">IF($F$2=TEXT(Tapa!$J$3,"mmm"),0,IF($G$2=TEXT(Tapa!$J$3,"mmm"),F11,IF($H$2=TEXT(Tapa!$J$3,"mmm"),SUM(F11:G11),IF($I$2=TEXT(Tapa!$J$3,"mmm"),SUM(F11:H11),IF($J$2=TEXT(Tapa!$J$3,"mmm"),SUM(F11:I11),IF($K$2=TEXT(Tapa!$J$3,"mmm"),SUM(F11:J11),IF($L$2=TEXT(Tapa!$J$3,"mmm"),SUM(F11:K11),IF($M$2=TEXT(Tapa!$J$3,"mmm"),SUM(F11:L11),IF($N$2=TEXT(Tapa!$J$3,"mmm"),SUM(F11:M11),IF($O$2=TEXT(Tapa!$J$3,"mmm"),SUM(F11:N11),IF($P$2=TEXT(Tapa!$J$3,"mmm"),SUM(F11:O11),IF($Q$2=TEXT(Tapa!$J$3,"mmm"),SUM(F11:P11),"otros"))))))))))))</f>
        <v>0</v>
      </c>
      <c r="S11" s="267">
        <f t="shared" ca="1" si="1"/>
        <v>0</v>
      </c>
      <c r="T11" s="267">
        <f t="shared" ca="1" si="2"/>
        <v>0</v>
      </c>
    </row>
    <row r="12" spans="2:20" s="175" customFormat="1" ht="14.1" customHeight="1">
      <c r="B12" s="441"/>
      <c r="C12" s="174" t="s">
        <v>137</v>
      </c>
      <c r="D12" s="270">
        <f t="shared" si="0"/>
        <v>0</v>
      </c>
      <c r="E12" s="271"/>
      <c r="F12" s="270">
        <v>0</v>
      </c>
      <c r="G12" s="266">
        <v>0</v>
      </c>
      <c r="H12" s="266">
        <v>0</v>
      </c>
      <c r="I12" s="266">
        <v>0</v>
      </c>
      <c r="J12" s="266">
        <v>0</v>
      </c>
      <c r="K12" s="266">
        <v>0</v>
      </c>
      <c r="L12" s="266">
        <v>0</v>
      </c>
      <c r="M12" s="266">
        <v>0</v>
      </c>
      <c r="N12" s="266">
        <v>0</v>
      </c>
      <c r="O12" s="266">
        <v>0</v>
      </c>
      <c r="P12" s="266">
        <v>0</v>
      </c>
      <c r="Q12" s="266">
        <v>0</v>
      </c>
      <c r="R12" s="267">
        <f ca="1">IF($F$2=TEXT(Tapa!$J$3,"mmm"),0,IF($G$2=TEXT(Tapa!$J$3,"mmm"),F12,IF($H$2=TEXT(Tapa!$J$3,"mmm"),SUM(F12:G12),IF($I$2=TEXT(Tapa!$J$3,"mmm"),SUM(F12:H12),IF($J$2=TEXT(Tapa!$J$3,"mmm"),SUM(F12:I12),IF($K$2=TEXT(Tapa!$J$3,"mmm"),SUM(F12:J12),IF($L$2=TEXT(Tapa!$J$3,"mmm"),SUM(F12:K12),IF($M$2=TEXT(Tapa!$J$3,"mmm"),SUM(F12:L12),IF($N$2=TEXT(Tapa!$J$3,"mmm"),SUM(F12:M12),IF($O$2=TEXT(Tapa!$J$3,"mmm"),SUM(F12:N12),IF($P$2=TEXT(Tapa!$J$3,"mmm"),SUM(F12:O12),IF($Q$2=TEXT(Tapa!$J$3,"mmm"),SUM(F12:P12),"otros"))))))))))))</f>
        <v>0</v>
      </c>
      <c r="S12" s="267">
        <f t="shared" ca="1" si="1"/>
        <v>0</v>
      </c>
      <c r="T12" s="267">
        <f t="shared" ca="1" si="2"/>
        <v>0</v>
      </c>
    </row>
    <row r="13" spans="2:20" s="169" customFormat="1" ht="13.5" customHeight="1">
      <c r="B13" s="179" t="s">
        <v>132</v>
      </c>
      <c r="C13" s="176"/>
      <c r="D13" s="272">
        <f>SUM(D4:D12)</f>
        <v>0</v>
      </c>
      <c r="E13" s="273">
        <f t="shared" ref="E13:S13" si="3">SUM(E4:E12)</f>
        <v>0</v>
      </c>
      <c r="F13" s="272">
        <f t="shared" si="3"/>
        <v>0</v>
      </c>
      <c r="G13" s="272">
        <f t="shared" si="3"/>
        <v>0</v>
      </c>
      <c r="H13" s="272">
        <f t="shared" si="3"/>
        <v>0</v>
      </c>
      <c r="I13" s="272">
        <f t="shared" si="3"/>
        <v>0</v>
      </c>
      <c r="J13" s="272">
        <f t="shared" si="3"/>
        <v>0</v>
      </c>
      <c r="K13" s="272">
        <f t="shared" si="3"/>
        <v>0</v>
      </c>
      <c r="L13" s="272">
        <f t="shared" si="3"/>
        <v>0</v>
      </c>
      <c r="M13" s="272">
        <f t="shared" si="3"/>
        <v>0</v>
      </c>
      <c r="N13" s="272">
        <f t="shared" si="3"/>
        <v>0</v>
      </c>
      <c r="O13" s="272">
        <f t="shared" si="3"/>
        <v>0</v>
      </c>
      <c r="P13" s="272">
        <f t="shared" si="3"/>
        <v>0</v>
      </c>
      <c r="Q13" s="272">
        <f t="shared" si="3"/>
        <v>0</v>
      </c>
      <c r="R13" s="272">
        <f t="shared" ca="1" si="3"/>
        <v>0</v>
      </c>
      <c r="S13" s="272">
        <f t="shared" ca="1" si="3"/>
        <v>0</v>
      </c>
      <c r="T13" s="272">
        <f ca="1">SUM(T4:T12)</f>
        <v>0</v>
      </c>
    </row>
    <row r="14" spans="2:20" ht="14.1" customHeight="1"/>
    <row r="15" spans="2:20" ht="14.1" customHeight="1"/>
    <row r="16" spans="2:20" s="175" customFormat="1" ht="14.1" customHeight="1">
      <c r="B16" s="259" t="s">
        <v>233</v>
      </c>
      <c r="C16" s="180"/>
      <c r="D16" s="264">
        <f>SUM(D17:D25)</f>
        <v>0</v>
      </c>
      <c r="E16" s="265"/>
      <c r="F16" s="264">
        <f>SUM(F17:F25)</f>
        <v>0</v>
      </c>
      <c r="G16" s="264">
        <f t="shared" ref="G16:T16" si="4">SUM(G17:G25)</f>
        <v>0</v>
      </c>
      <c r="H16" s="264">
        <f t="shared" si="4"/>
        <v>0</v>
      </c>
      <c r="I16" s="264">
        <f t="shared" si="4"/>
        <v>0</v>
      </c>
      <c r="J16" s="264">
        <f t="shared" si="4"/>
        <v>0</v>
      </c>
      <c r="K16" s="264">
        <f t="shared" si="4"/>
        <v>0</v>
      </c>
      <c r="L16" s="264">
        <f t="shared" si="4"/>
        <v>0</v>
      </c>
      <c r="M16" s="264">
        <f t="shared" si="4"/>
        <v>0</v>
      </c>
      <c r="N16" s="264">
        <f t="shared" si="4"/>
        <v>0</v>
      </c>
      <c r="O16" s="264">
        <f t="shared" si="4"/>
        <v>0</v>
      </c>
      <c r="P16" s="264">
        <f t="shared" si="4"/>
        <v>0</v>
      </c>
      <c r="Q16" s="264">
        <f t="shared" si="4"/>
        <v>0</v>
      </c>
      <c r="R16" s="264">
        <f t="shared" ca="1" si="4"/>
        <v>0</v>
      </c>
      <c r="S16" s="264">
        <f t="shared" ca="1" si="4"/>
        <v>0</v>
      </c>
      <c r="T16" s="264">
        <f t="shared" ca="1" si="4"/>
        <v>0</v>
      </c>
    </row>
    <row r="17" spans="2:20" s="175" customFormat="1" ht="13.5" customHeight="1">
      <c r="B17" s="260"/>
      <c r="C17" s="174" t="s">
        <v>231</v>
      </c>
      <c r="D17" s="270">
        <f>SUM(F17:Q17)</f>
        <v>0</v>
      </c>
      <c r="E17" s="271"/>
      <c r="F17" s="270">
        <v>0</v>
      </c>
      <c r="G17" s="266">
        <v>0</v>
      </c>
      <c r="H17" s="266">
        <v>0</v>
      </c>
      <c r="I17" s="266">
        <v>0</v>
      </c>
      <c r="J17" s="266">
        <v>0</v>
      </c>
      <c r="K17" s="266">
        <v>0</v>
      </c>
      <c r="L17" s="266">
        <v>0</v>
      </c>
      <c r="M17" s="266">
        <v>0</v>
      </c>
      <c r="N17" s="266">
        <v>0</v>
      </c>
      <c r="O17" s="266">
        <v>0</v>
      </c>
      <c r="P17" s="266">
        <v>0</v>
      </c>
      <c r="Q17" s="266">
        <v>0</v>
      </c>
      <c r="R17" s="267">
        <f ca="1">IF($F$2=TEXT(Tapa!$J$3,"mmm"),0,IF($G$2=TEXT(Tapa!$J$3,"mmm"),F17,IF($H$2=TEXT(Tapa!$J$3,"mmm"),SUM(F17:G17),IF($I$2=TEXT(Tapa!$J$3,"mmm"),SUM(F17:H17),IF($J$2=TEXT(Tapa!$J$3,"mmm"),SUM(F17:I17),IF($K$2=TEXT(Tapa!$J$3,"mmm"),SUM(F17:J17),IF($L$2=TEXT(Tapa!$J$3,"mmm"),SUM(F17:K17),IF($M$2=TEXT(Tapa!$J$3,"mmm"),SUM(F17:L17),IF($N$2=TEXT(Tapa!$J$3,"mmm"),SUM(F17:M17),IF($O$2=TEXT(Tapa!$J$3,"mmm"),SUM(F17:N17),IF($P$2=TEXT(Tapa!$J$3,"mmm"),SUM(F17:O17),IF($Q$2=TEXT(Tapa!$J$3,"mmm"),SUM(F17:P17),"otros"))))))))))))</f>
        <v>0</v>
      </c>
      <c r="S17" s="267">
        <f ca="1">+D17-R17</f>
        <v>0</v>
      </c>
      <c r="T17" s="267">
        <f ca="1">SUM(R17:S17)</f>
        <v>0</v>
      </c>
    </row>
    <row r="18" spans="2:20" s="175" customFormat="1" ht="14.1" customHeight="1">
      <c r="B18" s="260"/>
      <c r="C18" s="174" t="s">
        <v>35</v>
      </c>
      <c r="D18" s="270">
        <f t="shared" ref="D18:D26" si="5">SUM(F18:Q18)</f>
        <v>0</v>
      </c>
      <c r="E18" s="271"/>
      <c r="F18" s="270">
        <v>0</v>
      </c>
      <c r="G18" s="266">
        <v>0</v>
      </c>
      <c r="H18" s="266">
        <v>0</v>
      </c>
      <c r="I18" s="266">
        <v>0</v>
      </c>
      <c r="J18" s="266">
        <v>0</v>
      </c>
      <c r="K18" s="266">
        <v>0</v>
      </c>
      <c r="L18" s="266">
        <v>0</v>
      </c>
      <c r="M18" s="266">
        <v>0</v>
      </c>
      <c r="N18" s="266">
        <v>0</v>
      </c>
      <c r="O18" s="266">
        <v>0</v>
      </c>
      <c r="P18" s="266">
        <v>0</v>
      </c>
      <c r="Q18" s="266">
        <v>0</v>
      </c>
      <c r="R18" s="267">
        <f ca="1">IF($F$2=TEXT(Tapa!$J$3,"mmm"),0,IF($G$2=TEXT(Tapa!$J$3,"mmm"),F18,IF($H$2=TEXT(Tapa!$J$3,"mmm"),SUM(F18:G18),IF($I$2=TEXT(Tapa!$J$3,"mmm"),SUM(F18:H18),IF($J$2=TEXT(Tapa!$J$3,"mmm"),SUM(F18:I18),IF($K$2=TEXT(Tapa!$J$3,"mmm"),SUM(F18:J18),IF($L$2=TEXT(Tapa!$J$3,"mmm"),SUM(F18:K18),IF($M$2=TEXT(Tapa!$J$3,"mmm"),SUM(F18:L18),IF($N$2=TEXT(Tapa!$J$3,"mmm"),SUM(F18:M18),IF($O$2=TEXT(Tapa!$J$3,"mmm"),SUM(F18:N18),IF($P$2=TEXT(Tapa!$J$3,"mmm"),SUM(F18:O18),IF($Q$2=TEXT(Tapa!$J$3,"mmm"),SUM(F18:P18),"otros"))))))))))))</f>
        <v>0</v>
      </c>
      <c r="S18" s="267">
        <f t="shared" ref="S18:S26" ca="1" si="6">+D18-R18</f>
        <v>0</v>
      </c>
      <c r="T18" s="267">
        <f t="shared" ref="T18:T26" ca="1" si="7">SUM(R18:S18)</f>
        <v>0</v>
      </c>
    </row>
    <row r="19" spans="2:20" s="175" customFormat="1" ht="14.1" customHeight="1">
      <c r="B19" s="260"/>
      <c r="C19" s="174" t="s">
        <v>141</v>
      </c>
      <c r="D19" s="270">
        <f t="shared" si="5"/>
        <v>0</v>
      </c>
      <c r="E19" s="271"/>
      <c r="F19" s="270">
        <v>0</v>
      </c>
      <c r="G19" s="266">
        <v>0</v>
      </c>
      <c r="H19" s="266">
        <v>0</v>
      </c>
      <c r="I19" s="266">
        <v>0</v>
      </c>
      <c r="J19" s="266">
        <v>0</v>
      </c>
      <c r="K19" s="266">
        <v>0</v>
      </c>
      <c r="L19" s="266">
        <v>0</v>
      </c>
      <c r="M19" s="266">
        <v>0</v>
      </c>
      <c r="N19" s="266">
        <v>0</v>
      </c>
      <c r="O19" s="266">
        <v>0</v>
      </c>
      <c r="P19" s="266">
        <v>0</v>
      </c>
      <c r="Q19" s="266">
        <v>0</v>
      </c>
      <c r="R19" s="267">
        <f ca="1">IF($F$2=TEXT(Tapa!$J$3,"mmm"),0,IF($G$2=TEXT(Tapa!$J$3,"mmm"),F19,IF($H$2=TEXT(Tapa!$J$3,"mmm"),SUM(F19:G19),IF($I$2=TEXT(Tapa!$J$3,"mmm"),SUM(F19:H19),IF($J$2=TEXT(Tapa!$J$3,"mmm"),SUM(F19:I19),IF($K$2=TEXT(Tapa!$J$3,"mmm"),SUM(F19:J19),IF($L$2=TEXT(Tapa!$J$3,"mmm"),SUM(F19:K19),IF($M$2=TEXT(Tapa!$J$3,"mmm"),SUM(F19:L19),IF($N$2=TEXT(Tapa!$J$3,"mmm"),SUM(F19:M19),IF($O$2=TEXT(Tapa!$J$3,"mmm"),SUM(F19:N19),IF($P$2=TEXT(Tapa!$J$3,"mmm"),SUM(F19:O19),IF($Q$2=TEXT(Tapa!$J$3,"mmm"),SUM(F19:P19),"otros"))))))))))))</f>
        <v>0</v>
      </c>
      <c r="S19" s="267">
        <f t="shared" ca="1" si="6"/>
        <v>0</v>
      </c>
      <c r="T19" s="267">
        <f t="shared" ca="1" si="7"/>
        <v>0</v>
      </c>
    </row>
    <row r="20" spans="2:20" s="175" customFormat="1" ht="14.1" customHeight="1">
      <c r="B20" s="260"/>
      <c r="C20" s="174" t="s">
        <v>138</v>
      </c>
      <c r="D20" s="270">
        <f t="shared" si="5"/>
        <v>0</v>
      </c>
      <c r="E20" s="271"/>
      <c r="F20" s="270">
        <v>0</v>
      </c>
      <c r="G20" s="266">
        <v>0</v>
      </c>
      <c r="H20" s="266">
        <v>0</v>
      </c>
      <c r="I20" s="266">
        <v>0</v>
      </c>
      <c r="J20" s="266">
        <v>0</v>
      </c>
      <c r="K20" s="266">
        <v>0</v>
      </c>
      <c r="L20" s="266">
        <v>0</v>
      </c>
      <c r="M20" s="266">
        <v>0</v>
      </c>
      <c r="N20" s="266">
        <v>0</v>
      </c>
      <c r="O20" s="266">
        <v>0</v>
      </c>
      <c r="P20" s="266">
        <v>0</v>
      </c>
      <c r="Q20" s="266">
        <v>0</v>
      </c>
      <c r="R20" s="267">
        <f ca="1">IF($F$2=TEXT(Tapa!$J$3,"mmm"),0,IF($G$2=TEXT(Tapa!$J$3,"mmm"),F20,IF($H$2=TEXT(Tapa!$J$3,"mmm"),SUM(F20:G20),IF($I$2=TEXT(Tapa!$J$3,"mmm"),SUM(F20:H20),IF($J$2=TEXT(Tapa!$J$3,"mmm"),SUM(F20:I20),IF($K$2=TEXT(Tapa!$J$3,"mmm"),SUM(F20:J20),IF($L$2=TEXT(Tapa!$J$3,"mmm"),SUM(F20:K20),IF($M$2=TEXT(Tapa!$J$3,"mmm"),SUM(F20:L20),IF($N$2=TEXT(Tapa!$J$3,"mmm"),SUM(F20:M20),IF($O$2=TEXT(Tapa!$J$3,"mmm"),SUM(F20:N20),IF($P$2=TEXT(Tapa!$J$3,"mmm"),SUM(F20:O20),IF($Q$2=TEXT(Tapa!$J$3,"mmm"),SUM(F20:P20),"otros"))))))))))))</f>
        <v>0</v>
      </c>
      <c r="S20" s="267">
        <f t="shared" ca="1" si="6"/>
        <v>0</v>
      </c>
      <c r="T20" s="267">
        <f t="shared" ca="1" si="7"/>
        <v>0</v>
      </c>
    </row>
    <row r="21" spans="2:20" s="175" customFormat="1" ht="14.1" customHeight="1">
      <c r="B21" s="260"/>
      <c r="C21" s="174" t="s">
        <v>107</v>
      </c>
      <c r="D21" s="270">
        <f t="shared" si="5"/>
        <v>0</v>
      </c>
      <c r="E21" s="271"/>
      <c r="F21" s="270">
        <v>0</v>
      </c>
      <c r="G21" s="266">
        <v>0</v>
      </c>
      <c r="H21" s="266">
        <v>0</v>
      </c>
      <c r="I21" s="266">
        <v>0</v>
      </c>
      <c r="J21" s="266">
        <v>0</v>
      </c>
      <c r="K21" s="266">
        <v>0</v>
      </c>
      <c r="L21" s="266">
        <v>0</v>
      </c>
      <c r="M21" s="266">
        <v>0</v>
      </c>
      <c r="N21" s="266">
        <v>0</v>
      </c>
      <c r="O21" s="266">
        <v>0</v>
      </c>
      <c r="P21" s="266">
        <v>0</v>
      </c>
      <c r="Q21" s="266">
        <v>0</v>
      </c>
      <c r="R21" s="267">
        <f ca="1">IF($F$2=TEXT(Tapa!$J$3,"mmm"),0,IF($G$2=TEXT(Tapa!$J$3,"mmm"),F21,IF($H$2=TEXT(Tapa!$J$3,"mmm"),SUM(F21:G21),IF($I$2=TEXT(Tapa!$J$3,"mmm"),SUM(F21:H21),IF($J$2=TEXT(Tapa!$J$3,"mmm"),SUM(F21:I21),IF($K$2=TEXT(Tapa!$J$3,"mmm"),SUM(F21:J21),IF($L$2=TEXT(Tapa!$J$3,"mmm"),SUM(F21:K21),IF($M$2=TEXT(Tapa!$J$3,"mmm"),SUM(F21:L21),IF($N$2=TEXT(Tapa!$J$3,"mmm"),SUM(F21:M21),IF($O$2=TEXT(Tapa!$J$3,"mmm"),SUM(F21:N21),IF($P$2=TEXT(Tapa!$J$3,"mmm"),SUM(F21:O21),IF($Q$2=TEXT(Tapa!$J$3,"mmm"),SUM(F21:P21),"otros"))))))))))))</f>
        <v>0</v>
      </c>
      <c r="S21" s="267">
        <f t="shared" ca="1" si="6"/>
        <v>0</v>
      </c>
      <c r="T21" s="267">
        <f t="shared" ca="1" si="7"/>
        <v>0</v>
      </c>
    </row>
    <row r="22" spans="2:20" s="175" customFormat="1" ht="14.1" customHeight="1">
      <c r="B22" s="260"/>
      <c r="C22" s="174" t="s">
        <v>232</v>
      </c>
      <c r="D22" s="270">
        <f t="shared" si="5"/>
        <v>0</v>
      </c>
      <c r="E22" s="271"/>
      <c r="F22" s="270">
        <v>0</v>
      </c>
      <c r="G22" s="266">
        <v>0</v>
      </c>
      <c r="H22" s="266">
        <v>0</v>
      </c>
      <c r="I22" s="266">
        <v>0</v>
      </c>
      <c r="J22" s="266">
        <v>0</v>
      </c>
      <c r="K22" s="266">
        <v>0</v>
      </c>
      <c r="L22" s="266">
        <v>0</v>
      </c>
      <c r="M22" s="266">
        <v>0</v>
      </c>
      <c r="N22" s="266">
        <v>0</v>
      </c>
      <c r="O22" s="266">
        <v>0</v>
      </c>
      <c r="P22" s="266">
        <v>0</v>
      </c>
      <c r="Q22" s="266">
        <v>0</v>
      </c>
      <c r="R22" s="267">
        <f ca="1">IF($F$2=TEXT(Tapa!$J$3,"mmm"),0,IF($G$2=TEXT(Tapa!$J$3,"mmm"),F22,IF($H$2=TEXT(Tapa!$J$3,"mmm"),SUM(F22:G22),IF($I$2=TEXT(Tapa!$J$3,"mmm"),SUM(F22:H22),IF($J$2=TEXT(Tapa!$J$3,"mmm"),SUM(F22:I22),IF($K$2=TEXT(Tapa!$J$3,"mmm"),SUM(F22:J22),IF($L$2=TEXT(Tapa!$J$3,"mmm"),SUM(F22:K22),IF($M$2=TEXT(Tapa!$J$3,"mmm"),SUM(F22:L22),IF($N$2=TEXT(Tapa!$J$3,"mmm"),SUM(F22:M22),IF($O$2=TEXT(Tapa!$J$3,"mmm"),SUM(F22:N22),IF($P$2=TEXT(Tapa!$J$3,"mmm"),SUM(F22:O22),IF($Q$2=TEXT(Tapa!$J$3,"mmm"),SUM(F22:P22),"otros"))))))))))))</f>
        <v>0</v>
      </c>
      <c r="S22" s="267">
        <f t="shared" ca="1" si="6"/>
        <v>0</v>
      </c>
      <c r="T22" s="267">
        <f t="shared" ca="1" si="7"/>
        <v>0</v>
      </c>
    </row>
    <row r="23" spans="2:20" s="175" customFormat="1" ht="14.1" customHeight="1">
      <c r="B23" s="260"/>
      <c r="C23" s="174" t="s">
        <v>139</v>
      </c>
      <c r="D23" s="270">
        <f t="shared" si="5"/>
        <v>0</v>
      </c>
      <c r="E23" s="271"/>
      <c r="F23" s="270">
        <v>0</v>
      </c>
      <c r="G23" s="266">
        <v>0</v>
      </c>
      <c r="H23" s="266">
        <v>0</v>
      </c>
      <c r="I23" s="266">
        <v>0</v>
      </c>
      <c r="J23" s="266">
        <v>0</v>
      </c>
      <c r="K23" s="266">
        <v>0</v>
      </c>
      <c r="L23" s="266">
        <v>0</v>
      </c>
      <c r="M23" s="266">
        <v>0</v>
      </c>
      <c r="N23" s="266">
        <v>0</v>
      </c>
      <c r="O23" s="266">
        <v>0</v>
      </c>
      <c r="P23" s="266">
        <v>0</v>
      </c>
      <c r="Q23" s="266">
        <v>0</v>
      </c>
      <c r="R23" s="267">
        <f ca="1">IF($F$2=TEXT(Tapa!$J$3,"mmm"),0,IF($G$2=TEXT(Tapa!$J$3,"mmm"),F23,IF($H$2=TEXT(Tapa!$J$3,"mmm"),SUM(F23:G23),IF($I$2=TEXT(Tapa!$J$3,"mmm"),SUM(F23:H23),IF($J$2=TEXT(Tapa!$J$3,"mmm"),SUM(F23:I23),IF($K$2=TEXT(Tapa!$J$3,"mmm"),SUM(F23:J23),IF($L$2=TEXT(Tapa!$J$3,"mmm"),SUM(F23:K23),IF($M$2=TEXT(Tapa!$J$3,"mmm"),SUM(F23:L23),IF($N$2=TEXT(Tapa!$J$3,"mmm"),SUM(F23:M23),IF($O$2=TEXT(Tapa!$J$3,"mmm"),SUM(F23:N23),IF($P$2=TEXT(Tapa!$J$3,"mmm"),SUM(F23:O23),IF($Q$2=TEXT(Tapa!$J$3,"mmm"),SUM(F23:P23),"otros"))))))))))))</f>
        <v>0</v>
      </c>
      <c r="S23" s="267">
        <f t="shared" ca="1" si="6"/>
        <v>0</v>
      </c>
      <c r="T23" s="267">
        <f t="shared" ca="1" si="7"/>
        <v>0</v>
      </c>
    </row>
    <row r="24" spans="2:20" s="175" customFormat="1" ht="14.1" customHeight="1">
      <c r="B24" s="260"/>
      <c r="C24" s="174" t="s">
        <v>106</v>
      </c>
      <c r="D24" s="270">
        <f t="shared" si="5"/>
        <v>0</v>
      </c>
      <c r="E24" s="271"/>
      <c r="F24" s="270">
        <v>0</v>
      </c>
      <c r="G24" s="266">
        <v>0</v>
      </c>
      <c r="H24" s="266">
        <v>0</v>
      </c>
      <c r="I24" s="266">
        <v>0</v>
      </c>
      <c r="J24" s="266">
        <v>0</v>
      </c>
      <c r="K24" s="266">
        <v>0</v>
      </c>
      <c r="L24" s="266">
        <v>0</v>
      </c>
      <c r="M24" s="266">
        <v>0</v>
      </c>
      <c r="N24" s="266">
        <v>0</v>
      </c>
      <c r="O24" s="266">
        <v>0</v>
      </c>
      <c r="P24" s="266">
        <v>0</v>
      </c>
      <c r="Q24" s="266">
        <v>0</v>
      </c>
      <c r="R24" s="267">
        <f ca="1">IF($F$2=TEXT(Tapa!$J$3,"mmm"),0,IF($G$2=TEXT(Tapa!$J$3,"mmm"),F24,IF($H$2=TEXT(Tapa!$J$3,"mmm"),SUM(F24:G24),IF($I$2=TEXT(Tapa!$J$3,"mmm"),SUM(F24:H24),IF($J$2=TEXT(Tapa!$J$3,"mmm"),SUM(F24:I24),IF($K$2=TEXT(Tapa!$J$3,"mmm"),SUM(F24:J24),IF($L$2=TEXT(Tapa!$J$3,"mmm"),SUM(F24:K24),IF($M$2=TEXT(Tapa!$J$3,"mmm"),SUM(F24:L24),IF($N$2=TEXT(Tapa!$J$3,"mmm"),SUM(F24:M24),IF($O$2=TEXT(Tapa!$J$3,"mmm"),SUM(F24:N24),IF($P$2=TEXT(Tapa!$J$3,"mmm"),SUM(F24:O24),IF($Q$2=TEXT(Tapa!$J$3,"mmm"),SUM(F24:P24),"otros"))))))))))))</f>
        <v>0</v>
      </c>
      <c r="S24" s="267">
        <f t="shared" ca="1" si="6"/>
        <v>0</v>
      </c>
      <c r="T24" s="267">
        <f t="shared" ca="1" si="7"/>
        <v>0</v>
      </c>
    </row>
    <row r="25" spans="2:20" s="175" customFormat="1" ht="14.1" customHeight="1">
      <c r="B25" s="261"/>
      <c r="C25" s="174" t="s">
        <v>137</v>
      </c>
      <c r="D25" s="270">
        <f t="shared" si="5"/>
        <v>0</v>
      </c>
      <c r="E25" s="271"/>
      <c r="F25" s="270">
        <v>0</v>
      </c>
      <c r="G25" s="266">
        <v>0</v>
      </c>
      <c r="H25" s="266">
        <v>0</v>
      </c>
      <c r="I25" s="266">
        <v>0</v>
      </c>
      <c r="J25" s="266">
        <v>0</v>
      </c>
      <c r="K25" s="266">
        <v>0</v>
      </c>
      <c r="L25" s="266">
        <v>0</v>
      </c>
      <c r="M25" s="266">
        <v>0</v>
      </c>
      <c r="N25" s="266">
        <v>0</v>
      </c>
      <c r="O25" s="266">
        <v>0</v>
      </c>
      <c r="P25" s="266">
        <v>0</v>
      </c>
      <c r="Q25" s="266">
        <v>0</v>
      </c>
      <c r="R25" s="267">
        <f ca="1">IF($F$2=TEXT(Tapa!$J$3,"mmm"),0,IF($G$2=TEXT(Tapa!$J$3,"mmm"),F25,IF($H$2=TEXT(Tapa!$J$3,"mmm"),SUM(F25:G25),IF($I$2=TEXT(Tapa!$J$3,"mmm"),SUM(F25:H25),IF($J$2=TEXT(Tapa!$J$3,"mmm"),SUM(F25:I25),IF($K$2=TEXT(Tapa!$J$3,"mmm"),SUM(F25:J25),IF($L$2=TEXT(Tapa!$J$3,"mmm"),SUM(F25:K25),IF($M$2=TEXT(Tapa!$J$3,"mmm"),SUM(F25:L25),IF($N$2=TEXT(Tapa!$J$3,"mmm"),SUM(F25:M25),IF($O$2=TEXT(Tapa!$J$3,"mmm"),SUM(F25:N25),IF($P$2=TEXT(Tapa!$J$3,"mmm"),SUM(F25:O25),IF($Q$2=TEXT(Tapa!$J$3,"mmm"),SUM(F25:P25),"otros"))))))))))))</f>
        <v>0</v>
      </c>
      <c r="S25" s="267">
        <f t="shared" ca="1" si="6"/>
        <v>0</v>
      </c>
      <c r="T25" s="267">
        <f t="shared" ca="1" si="7"/>
        <v>0</v>
      </c>
    </row>
    <row r="26" spans="2:20" s="169" customFormat="1" ht="14.1" customHeight="1">
      <c r="B26" s="179" t="s">
        <v>132</v>
      </c>
      <c r="C26" s="176"/>
      <c r="D26" s="272">
        <f t="shared" si="5"/>
        <v>0</v>
      </c>
      <c r="E26" s="269"/>
      <c r="F26" s="268">
        <v>0</v>
      </c>
      <c r="G26" s="268">
        <v>0</v>
      </c>
      <c r="H26" s="268">
        <v>0</v>
      </c>
      <c r="I26" s="268">
        <v>0</v>
      </c>
      <c r="J26" s="268">
        <v>0</v>
      </c>
      <c r="K26" s="268">
        <v>0</v>
      </c>
      <c r="L26" s="268">
        <v>0</v>
      </c>
      <c r="M26" s="268">
        <v>0</v>
      </c>
      <c r="N26" s="268">
        <v>0</v>
      </c>
      <c r="O26" s="268">
        <v>0</v>
      </c>
      <c r="P26" s="268">
        <v>0</v>
      </c>
      <c r="Q26" s="268">
        <v>0</v>
      </c>
      <c r="R26" s="275">
        <f ca="1">IF($F$2=TEXT(Tapa!$J$3,"mmm"),0,IF($G$2=TEXT(Tapa!$J$3,"mmm"),F26,IF($H$2=TEXT(Tapa!$J$3,"mmm"),SUM(F26:G26),IF($I$2=TEXT(Tapa!$J$3,"mmm"),SUM(F26:H26),IF($J$2=TEXT(Tapa!$J$3,"mmm"),SUM(F26:I26),IF($K$2=TEXT(Tapa!$J$3,"mmm"),SUM(F26:J26),IF($L$2=TEXT(Tapa!$J$3,"mmm"),SUM(F26:K26),IF($M$2=TEXT(Tapa!$J$3,"mmm"),SUM(F26:L26),IF($N$2=TEXT(Tapa!$J$3,"mmm"),SUM(F26:M26),IF($O$2=TEXT(Tapa!$J$3,"mmm"),SUM(F26:N26),IF($P$2=TEXT(Tapa!$J$3,"mmm"),SUM(F26:O26),IF($Q$2=TEXT(Tapa!$J$3,"mmm"),SUM(F26:P26),"otros"))))))))))))</f>
        <v>0</v>
      </c>
      <c r="S26" s="275">
        <f t="shared" ca="1" si="6"/>
        <v>0</v>
      </c>
      <c r="T26" s="275">
        <f t="shared" ca="1" si="7"/>
        <v>0</v>
      </c>
    </row>
    <row r="28" spans="2:20" s="175" customFormat="1" ht="13.5" customHeight="1">
      <c r="B28" s="259"/>
      <c r="C28" s="180"/>
      <c r="D28" s="264">
        <f>SUM(D29:D37)</f>
        <v>0</v>
      </c>
      <c r="E28" s="265"/>
      <c r="F28" s="264">
        <f>SUM(F29:F37)</f>
        <v>0</v>
      </c>
      <c r="G28" s="264">
        <f t="shared" ref="G28:T28" si="8">SUM(G29:G37)</f>
        <v>0</v>
      </c>
      <c r="H28" s="264">
        <f t="shared" si="8"/>
        <v>0</v>
      </c>
      <c r="I28" s="264">
        <f t="shared" si="8"/>
        <v>0</v>
      </c>
      <c r="J28" s="264">
        <f t="shared" si="8"/>
        <v>0</v>
      </c>
      <c r="K28" s="264">
        <f t="shared" si="8"/>
        <v>0</v>
      </c>
      <c r="L28" s="264">
        <f t="shared" si="8"/>
        <v>0</v>
      </c>
      <c r="M28" s="264">
        <f t="shared" si="8"/>
        <v>0</v>
      </c>
      <c r="N28" s="264">
        <f t="shared" si="8"/>
        <v>0</v>
      </c>
      <c r="O28" s="264">
        <f t="shared" si="8"/>
        <v>0</v>
      </c>
      <c r="P28" s="264">
        <f t="shared" si="8"/>
        <v>0</v>
      </c>
      <c r="Q28" s="264">
        <f t="shared" si="8"/>
        <v>0</v>
      </c>
      <c r="R28" s="264">
        <f t="shared" ca="1" si="8"/>
        <v>0</v>
      </c>
      <c r="S28" s="264">
        <f t="shared" ca="1" si="8"/>
        <v>0</v>
      </c>
      <c r="T28" s="264">
        <f t="shared" ca="1" si="8"/>
        <v>0</v>
      </c>
    </row>
    <row r="29" spans="2:20" s="175" customFormat="1" ht="13.5" customHeight="1">
      <c r="B29" s="260"/>
      <c r="C29" s="174" t="s">
        <v>231</v>
      </c>
      <c r="D29" s="270">
        <f>SUM(F29:Q29)</f>
        <v>0</v>
      </c>
      <c r="E29" s="271"/>
      <c r="F29" s="270">
        <v>0</v>
      </c>
      <c r="G29" s="266">
        <v>0</v>
      </c>
      <c r="H29" s="266">
        <v>0</v>
      </c>
      <c r="I29" s="266">
        <v>0</v>
      </c>
      <c r="J29" s="266">
        <v>0</v>
      </c>
      <c r="K29" s="266">
        <v>0</v>
      </c>
      <c r="L29" s="266">
        <v>0</v>
      </c>
      <c r="M29" s="266">
        <v>0</v>
      </c>
      <c r="N29" s="266">
        <v>0</v>
      </c>
      <c r="O29" s="266">
        <v>0</v>
      </c>
      <c r="P29" s="266">
        <v>0</v>
      </c>
      <c r="Q29" s="266">
        <v>0</v>
      </c>
      <c r="R29" s="267">
        <f ca="1">IF($F$2=TEXT(Tapa!$J$3,"mmm"),0,IF($G$2=TEXT(Tapa!$J$3,"mmm"),F29,IF($H$2=TEXT(Tapa!$J$3,"mmm"),SUM(F29:G29),IF($I$2=TEXT(Tapa!$J$3,"mmm"),SUM(F29:H29),IF($J$2=TEXT(Tapa!$J$3,"mmm"),SUM(F29:I29),IF($K$2=TEXT(Tapa!$J$3,"mmm"),SUM(F29:J29),IF($L$2=TEXT(Tapa!$J$3,"mmm"),SUM(F29:K29),IF($M$2=TEXT(Tapa!$J$3,"mmm"),SUM(F29:L29),IF($N$2=TEXT(Tapa!$J$3,"mmm"),SUM(F29:M29),IF($O$2=TEXT(Tapa!$J$3,"mmm"),SUM(F29:N29),IF($P$2=TEXT(Tapa!$J$3,"mmm"),SUM(F29:O29),IF($Q$2=TEXT(Tapa!$J$3,"mmm"),SUM(F29:P29),"otros"))))))))))))</f>
        <v>0</v>
      </c>
      <c r="S29" s="267">
        <f ca="1">+D29-R29</f>
        <v>0</v>
      </c>
      <c r="T29" s="267">
        <f ca="1">SUM(R29:S29)</f>
        <v>0</v>
      </c>
    </row>
    <row r="30" spans="2:20" s="175" customFormat="1" ht="14.1" customHeight="1">
      <c r="B30" s="260"/>
      <c r="C30" s="174" t="s">
        <v>35</v>
      </c>
      <c r="D30" s="270">
        <f t="shared" ref="D30:D38" si="9">SUM(F30:Q30)</f>
        <v>0</v>
      </c>
      <c r="E30" s="271"/>
      <c r="F30" s="270">
        <v>0</v>
      </c>
      <c r="G30" s="266">
        <v>0</v>
      </c>
      <c r="H30" s="266">
        <v>0</v>
      </c>
      <c r="I30" s="266">
        <v>0</v>
      </c>
      <c r="J30" s="266">
        <v>0</v>
      </c>
      <c r="K30" s="266">
        <v>0</v>
      </c>
      <c r="L30" s="266">
        <v>0</v>
      </c>
      <c r="M30" s="266">
        <v>0</v>
      </c>
      <c r="N30" s="266">
        <v>0</v>
      </c>
      <c r="O30" s="266">
        <v>0</v>
      </c>
      <c r="P30" s="266">
        <v>0</v>
      </c>
      <c r="Q30" s="266">
        <v>0</v>
      </c>
      <c r="R30" s="267">
        <f ca="1">IF($F$2=TEXT(Tapa!$J$3,"mmm"),0,IF($G$2=TEXT(Tapa!$J$3,"mmm"),F30,IF($H$2=TEXT(Tapa!$J$3,"mmm"),SUM(F30:G30),IF($I$2=TEXT(Tapa!$J$3,"mmm"),SUM(F30:H30),IF($J$2=TEXT(Tapa!$J$3,"mmm"),SUM(F30:I30),IF($K$2=TEXT(Tapa!$J$3,"mmm"),SUM(F30:J30),IF($L$2=TEXT(Tapa!$J$3,"mmm"),SUM(F30:K30),IF($M$2=TEXT(Tapa!$J$3,"mmm"),SUM(F30:L30),IF($N$2=TEXT(Tapa!$J$3,"mmm"),SUM(F30:M30),IF($O$2=TEXT(Tapa!$J$3,"mmm"),SUM(F30:N30),IF($P$2=TEXT(Tapa!$J$3,"mmm"),SUM(F30:O30),IF($Q$2=TEXT(Tapa!$J$3,"mmm"),SUM(F30:P30),"otros"))))))))))))</f>
        <v>0</v>
      </c>
      <c r="S30" s="267">
        <f t="shared" ref="S30:S38" ca="1" si="10">+D30-R30</f>
        <v>0</v>
      </c>
      <c r="T30" s="267">
        <f t="shared" ref="T30:T38" ca="1" si="11">SUM(R30:S30)</f>
        <v>0</v>
      </c>
    </row>
    <row r="31" spans="2:20" s="175" customFormat="1" ht="14.1" customHeight="1">
      <c r="B31" s="260"/>
      <c r="C31" s="174" t="s">
        <v>141</v>
      </c>
      <c r="D31" s="270">
        <f t="shared" si="9"/>
        <v>0</v>
      </c>
      <c r="E31" s="271"/>
      <c r="F31" s="270">
        <v>0</v>
      </c>
      <c r="G31" s="266">
        <v>0</v>
      </c>
      <c r="H31" s="266">
        <v>0</v>
      </c>
      <c r="I31" s="266">
        <v>0</v>
      </c>
      <c r="J31" s="266">
        <v>0</v>
      </c>
      <c r="K31" s="266">
        <v>0</v>
      </c>
      <c r="L31" s="266">
        <v>0</v>
      </c>
      <c r="M31" s="266">
        <v>0</v>
      </c>
      <c r="N31" s="266">
        <v>0</v>
      </c>
      <c r="O31" s="266">
        <v>0</v>
      </c>
      <c r="P31" s="266">
        <v>0</v>
      </c>
      <c r="Q31" s="266">
        <v>0</v>
      </c>
      <c r="R31" s="267">
        <f ca="1">IF($F$2=TEXT(Tapa!$J$3,"mmm"),0,IF($G$2=TEXT(Tapa!$J$3,"mmm"),F31,IF($H$2=TEXT(Tapa!$J$3,"mmm"),SUM(F31:G31),IF($I$2=TEXT(Tapa!$J$3,"mmm"),SUM(F31:H31),IF($J$2=TEXT(Tapa!$J$3,"mmm"),SUM(F31:I31),IF($K$2=TEXT(Tapa!$J$3,"mmm"),SUM(F31:J31),IF($L$2=TEXT(Tapa!$J$3,"mmm"),SUM(F31:K31),IF($M$2=TEXT(Tapa!$J$3,"mmm"),SUM(F31:L31),IF($N$2=TEXT(Tapa!$J$3,"mmm"),SUM(F31:M31),IF($O$2=TEXT(Tapa!$J$3,"mmm"),SUM(F31:N31),IF($P$2=TEXT(Tapa!$J$3,"mmm"),SUM(F31:O31),IF($Q$2=TEXT(Tapa!$J$3,"mmm"),SUM(F31:P31),"otros"))))))))))))</f>
        <v>0</v>
      </c>
      <c r="S31" s="267">
        <f t="shared" ca="1" si="10"/>
        <v>0</v>
      </c>
      <c r="T31" s="267">
        <f t="shared" ca="1" si="11"/>
        <v>0</v>
      </c>
    </row>
    <row r="32" spans="2:20" s="175" customFormat="1" ht="14.1" customHeight="1">
      <c r="B32" s="260"/>
      <c r="C32" s="174" t="s">
        <v>138</v>
      </c>
      <c r="D32" s="270">
        <f t="shared" si="9"/>
        <v>0</v>
      </c>
      <c r="E32" s="271"/>
      <c r="F32" s="270">
        <v>0</v>
      </c>
      <c r="G32" s="266">
        <v>0</v>
      </c>
      <c r="H32" s="266">
        <v>0</v>
      </c>
      <c r="I32" s="266">
        <v>0</v>
      </c>
      <c r="J32" s="266">
        <v>0</v>
      </c>
      <c r="K32" s="266">
        <v>0</v>
      </c>
      <c r="L32" s="266">
        <v>0</v>
      </c>
      <c r="M32" s="266">
        <v>0</v>
      </c>
      <c r="N32" s="266">
        <v>0</v>
      </c>
      <c r="O32" s="266">
        <v>0</v>
      </c>
      <c r="P32" s="266">
        <v>0</v>
      </c>
      <c r="Q32" s="266">
        <v>0</v>
      </c>
      <c r="R32" s="267">
        <f ca="1">IF($F$2=TEXT(Tapa!$J$3,"mmm"),0,IF($G$2=TEXT(Tapa!$J$3,"mmm"),F32,IF($H$2=TEXT(Tapa!$J$3,"mmm"),SUM(F32:G32),IF($I$2=TEXT(Tapa!$J$3,"mmm"),SUM(F32:H32),IF($J$2=TEXT(Tapa!$J$3,"mmm"),SUM(F32:I32),IF($K$2=TEXT(Tapa!$J$3,"mmm"),SUM(F32:J32),IF($L$2=TEXT(Tapa!$J$3,"mmm"),SUM(F32:K32),IF($M$2=TEXT(Tapa!$J$3,"mmm"),SUM(F32:L32),IF($N$2=TEXT(Tapa!$J$3,"mmm"),SUM(F32:M32),IF($O$2=TEXT(Tapa!$J$3,"mmm"),SUM(F32:N32),IF($P$2=TEXT(Tapa!$J$3,"mmm"),SUM(F32:O32),IF($Q$2=TEXT(Tapa!$J$3,"mmm"),SUM(F32:P32),"otros"))))))))))))</f>
        <v>0</v>
      </c>
      <c r="S32" s="267">
        <f t="shared" ca="1" si="10"/>
        <v>0</v>
      </c>
      <c r="T32" s="267">
        <f t="shared" ca="1" si="11"/>
        <v>0</v>
      </c>
    </row>
    <row r="33" spans="2:20" s="175" customFormat="1" ht="14.1" customHeight="1">
      <c r="B33" s="260"/>
      <c r="C33" s="174" t="s">
        <v>107</v>
      </c>
      <c r="D33" s="270">
        <f t="shared" si="9"/>
        <v>0</v>
      </c>
      <c r="E33" s="271"/>
      <c r="F33" s="270">
        <v>0</v>
      </c>
      <c r="G33" s="266">
        <v>0</v>
      </c>
      <c r="H33" s="266">
        <v>0</v>
      </c>
      <c r="I33" s="266">
        <v>0</v>
      </c>
      <c r="J33" s="266">
        <v>0</v>
      </c>
      <c r="K33" s="266">
        <v>0</v>
      </c>
      <c r="L33" s="266">
        <v>0</v>
      </c>
      <c r="M33" s="266">
        <v>0</v>
      </c>
      <c r="N33" s="266">
        <v>0</v>
      </c>
      <c r="O33" s="266">
        <v>0</v>
      </c>
      <c r="P33" s="266">
        <v>0</v>
      </c>
      <c r="Q33" s="266">
        <v>0</v>
      </c>
      <c r="R33" s="267">
        <f ca="1">IF($F$2=TEXT(Tapa!$J$3,"mmm"),0,IF($G$2=TEXT(Tapa!$J$3,"mmm"),F33,IF($H$2=TEXT(Tapa!$J$3,"mmm"),SUM(F33:G33),IF($I$2=TEXT(Tapa!$J$3,"mmm"),SUM(F33:H33),IF($J$2=TEXT(Tapa!$J$3,"mmm"),SUM(F33:I33),IF($K$2=TEXT(Tapa!$J$3,"mmm"),SUM(F33:J33),IF($L$2=TEXT(Tapa!$J$3,"mmm"),SUM(F33:K33),IF($M$2=TEXT(Tapa!$J$3,"mmm"),SUM(F33:L33),IF($N$2=TEXT(Tapa!$J$3,"mmm"),SUM(F33:M33),IF($O$2=TEXT(Tapa!$J$3,"mmm"),SUM(F33:N33),IF($P$2=TEXT(Tapa!$J$3,"mmm"),SUM(F33:O33),IF($Q$2=TEXT(Tapa!$J$3,"mmm"),SUM(F33:P33),"otros"))))))))))))</f>
        <v>0</v>
      </c>
      <c r="S33" s="267">
        <f t="shared" ca="1" si="10"/>
        <v>0</v>
      </c>
      <c r="T33" s="267">
        <f t="shared" ca="1" si="11"/>
        <v>0</v>
      </c>
    </row>
    <row r="34" spans="2:20" s="175" customFormat="1" ht="14.1" customHeight="1">
      <c r="B34" s="260"/>
      <c r="C34" s="174" t="s">
        <v>232</v>
      </c>
      <c r="D34" s="270">
        <f t="shared" si="9"/>
        <v>0</v>
      </c>
      <c r="E34" s="271"/>
      <c r="F34" s="270">
        <v>0</v>
      </c>
      <c r="G34" s="266">
        <v>0</v>
      </c>
      <c r="H34" s="266">
        <v>0</v>
      </c>
      <c r="I34" s="266">
        <v>0</v>
      </c>
      <c r="J34" s="266">
        <v>0</v>
      </c>
      <c r="K34" s="266">
        <v>0</v>
      </c>
      <c r="L34" s="266">
        <v>0</v>
      </c>
      <c r="M34" s="266">
        <v>0</v>
      </c>
      <c r="N34" s="266">
        <v>0</v>
      </c>
      <c r="O34" s="266">
        <v>0</v>
      </c>
      <c r="P34" s="266">
        <v>0</v>
      </c>
      <c r="Q34" s="266">
        <v>0</v>
      </c>
      <c r="R34" s="267">
        <f ca="1">IF($F$2=TEXT(Tapa!$J$3,"mmm"),0,IF($G$2=TEXT(Tapa!$J$3,"mmm"),F34,IF($H$2=TEXT(Tapa!$J$3,"mmm"),SUM(F34:G34),IF($I$2=TEXT(Tapa!$J$3,"mmm"),SUM(F34:H34),IF($J$2=TEXT(Tapa!$J$3,"mmm"),SUM(F34:I34),IF($K$2=TEXT(Tapa!$J$3,"mmm"),SUM(F34:J34),IF($L$2=TEXT(Tapa!$J$3,"mmm"),SUM(F34:K34),IF($M$2=TEXT(Tapa!$J$3,"mmm"),SUM(F34:L34),IF($N$2=TEXT(Tapa!$J$3,"mmm"),SUM(F34:M34),IF($O$2=TEXT(Tapa!$J$3,"mmm"),SUM(F34:N34),IF($P$2=TEXT(Tapa!$J$3,"mmm"),SUM(F34:O34),IF($Q$2=TEXT(Tapa!$J$3,"mmm"),SUM(F34:P34),"otros"))))))))))))</f>
        <v>0</v>
      </c>
      <c r="S34" s="267">
        <f t="shared" ca="1" si="10"/>
        <v>0</v>
      </c>
      <c r="T34" s="267">
        <f t="shared" ca="1" si="11"/>
        <v>0</v>
      </c>
    </row>
    <row r="35" spans="2:20" s="175" customFormat="1" ht="14.1" customHeight="1">
      <c r="B35" s="260"/>
      <c r="C35" s="174" t="s">
        <v>139</v>
      </c>
      <c r="D35" s="270">
        <f t="shared" si="9"/>
        <v>0</v>
      </c>
      <c r="E35" s="271"/>
      <c r="F35" s="270">
        <v>0</v>
      </c>
      <c r="G35" s="266">
        <v>0</v>
      </c>
      <c r="H35" s="266">
        <v>0</v>
      </c>
      <c r="I35" s="266">
        <v>0</v>
      </c>
      <c r="J35" s="266">
        <v>0</v>
      </c>
      <c r="K35" s="266">
        <v>0</v>
      </c>
      <c r="L35" s="266">
        <v>0</v>
      </c>
      <c r="M35" s="266">
        <v>0</v>
      </c>
      <c r="N35" s="266">
        <v>0</v>
      </c>
      <c r="O35" s="266">
        <v>0</v>
      </c>
      <c r="P35" s="266">
        <v>0</v>
      </c>
      <c r="Q35" s="266">
        <v>0</v>
      </c>
      <c r="R35" s="267">
        <f ca="1">IF($F$2=TEXT(Tapa!$J$3,"mmm"),0,IF($G$2=TEXT(Tapa!$J$3,"mmm"),F35,IF($H$2=TEXT(Tapa!$J$3,"mmm"),SUM(F35:G35),IF($I$2=TEXT(Tapa!$J$3,"mmm"),SUM(F35:H35),IF($J$2=TEXT(Tapa!$J$3,"mmm"),SUM(F35:I35),IF($K$2=TEXT(Tapa!$J$3,"mmm"),SUM(F35:J35),IF($L$2=TEXT(Tapa!$J$3,"mmm"),SUM(F35:K35),IF($M$2=TEXT(Tapa!$J$3,"mmm"),SUM(F35:L35),IF($N$2=TEXT(Tapa!$J$3,"mmm"),SUM(F35:M35),IF($O$2=TEXT(Tapa!$J$3,"mmm"),SUM(F35:N35),IF($P$2=TEXT(Tapa!$J$3,"mmm"),SUM(F35:O35),IF($Q$2=TEXT(Tapa!$J$3,"mmm"),SUM(F35:P35),"otros"))))))))))))</f>
        <v>0</v>
      </c>
      <c r="S35" s="267">
        <f t="shared" ca="1" si="10"/>
        <v>0</v>
      </c>
      <c r="T35" s="267">
        <f t="shared" ca="1" si="11"/>
        <v>0</v>
      </c>
    </row>
    <row r="36" spans="2:20" s="175" customFormat="1" ht="14.1" customHeight="1">
      <c r="B36" s="260"/>
      <c r="C36" s="174" t="s">
        <v>106</v>
      </c>
      <c r="D36" s="270">
        <f t="shared" si="9"/>
        <v>0</v>
      </c>
      <c r="E36" s="271"/>
      <c r="F36" s="270">
        <v>0</v>
      </c>
      <c r="G36" s="266">
        <v>0</v>
      </c>
      <c r="H36" s="266">
        <v>0</v>
      </c>
      <c r="I36" s="266">
        <v>0</v>
      </c>
      <c r="J36" s="266">
        <v>0</v>
      </c>
      <c r="K36" s="266">
        <v>0</v>
      </c>
      <c r="L36" s="266">
        <v>0</v>
      </c>
      <c r="M36" s="266">
        <v>0</v>
      </c>
      <c r="N36" s="266">
        <v>0</v>
      </c>
      <c r="O36" s="266">
        <v>0</v>
      </c>
      <c r="P36" s="266">
        <v>0</v>
      </c>
      <c r="Q36" s="266">
        <v>0</v>
      </c>
      <c r="R36" s="267">
        <f ca="1">IF($F$2=TEXT(Tapa!$J$3,"mmm"),0,IF($G$2=TEXT(Tapa!$J$3,"mmm"),F36,IF($H$2=TEXT(Tapa!$J$3,"mmm"),SUM(F36:G36),IF($I$2=TEXT(Tapa!$J$3,"mmm"),SUM(F36:H36),IF($J$2=TEXT(Tapa!$J$3,"mmm"),SUM(F36:I36),IF($K$2=TEXT(Tapa!$J$3,"mmm"),SUM(F36:J36),IF($L$2=TEXT(Tapa!$J$3,"mmm"),SUM(F36:K36),IF($M$2=TEXT(Tapa!$J$3,"mmm"),SUM(F36:L36),IF($N$2=TEXT(Tapa!$J$3,"mmm"),SUM(F36:M36),IF($O$2=TEXT(Tapa!$J$3,"mmm"),SUM(F36:N36),IF($P$2=TEXT(Tapa!$J$3,"mmm"),SUM(F36:O36),IF($Q$2=TEXT(Tapa!$J$3,"mmm"),SUM(F36:P36),"otros"))))))))))))</f>
        <v>0</v>
      </c>
      <c r="S36" s="267">
        <f t="shared" ca="1" si="10"/>
        <v>0</v>
      </c>
      <c r="T36" s="267">
        <f t="shared" ca="1" si="11"/>
        <v>0</v>
      </c>
    </row>
    <row r="37" spans="2:20" s="175" customFormat="1" ht="14.1" customHeight="1">
      <c r="B37" s="261"/>
      <c r="C37" s="174" t="s">
        <v>137</v>
      </c>
      <c r="D37" s="270">
        <f t="shared" si="9"/>
        <v>0</v>
      </c>
      <c r="E37" s="271"/>
      <c r="F37" s="270">
        <v>0</v>
      </c>
      <c r="G37" s="266">
        <v>0</v>
      </c>
      <c r="H37" s="266">
        <v>0</v>
      </c>
      <c r="I37" s="266">
        <v>0</v>
      </c>
      <c r="J37" s="266">
        <v>0</v>
      </c>
      <c r="K37" s="266">
        <v>0</v>
      </c>
      <c r="L37" s="266">
        <v>0</v>
      </c>
      <c r="M37" s="266">
        <v>0</v>
      </c>
      <c r="N37" s="266">
        <v>0</v>
      </c>
      <c r="O37" s="266">
        <v>0</v>
      </c>
      <c r="P37" s="266">
        <v>0</v>
      </c>
      <c r="Q37" s="266">
        <v>0</v>
      </c>
      <c r="R37" s="267">
        <f ca="1">IF($F$2=TEXT(Tapa!$J$3,"mmm"),0,IF($G$2=TEXT(Tapa!$J$3,"mmm"),F37,IF($H$2=TEXT(Tapa!$J$3,"mmm"),SUM(F37:G37),IF($I$2=TEXT(Tapa!$J$3,"mmm"),SUM(F37:H37),IF($J$2=TEXT(Tapa!$J$3,"mmm"),SUM(F37:I37),IF($K$2=TEXT(Tapa!$J$3,"mmm"),SUM(F37:J37),IF($L$2=TEXT(Tapa!$J$3,"mmm"),SUM(F37:K37),IF($M$2=TEXT(Tapa!$J$3,"mmm"),SUM(F37:L37),IF($N$2=TEXT(Tapa!$J$3,"mmm"),SUM(F37:M37),IF($O$2=TEXT(Tapa!$J$3,"mmm"),SUM(F37:N37),IF($P$2=TEXT(Tapa!$J$3,"mmm"),SUM(F37:O37),IF($Q$2=TEXT(Tapa!$J$3,"mmm"),SUM(F37:P37),"otros"))))))))))))</f>
        <v>0</v>
      </c>
      <c r="S37" s="267">
        <f t="shared" ca="1" si="10"/>
        <v>0</v>
      </c>
      <c r="T37" s="267">
        <f t="shared" ca="1" si="11"/>
        <v>0</v>
      </c>
    </row>
    <row r="38" spans="2:20" s="169" customFormat="1" ht="14.1" customHeight="1">
      <c r="B38" s="179" t="s">
        <v>132</v>
      </c>
      <c r="C38" s="176"/>
      <c r="D38" s="272">
        <f t="shared" si="9"/>
        <v>0</v>
      </c>
      <c r="E38" s="269"/>
      <c r="F38" s="268">
        <v>0</v>
      </c>
      <c r="G38" s="268">
        <v>0</v>
      </c>
      <c r="H38" s="268">
        <v>0</v>
      </c>
      <c r="I38" s="268">
        <v>0</v>
      </c>
      <c r="J38" s="268">
        <v>0</v>
      </c>
      <c r="K38" s="268">
        <v>0</v>
      </c>
      <c r="L38" s="268">
        <v>0</v>
      </c>
      <c r="M38" s="268">
        <v>0</v>
      </c>
      <c r="N38" s="268">
        <v>0</v>
      </c>
      <c r="O38" s="268">
        <v>0</v>
      </c>
      <c r="P38" s="268">
        <v>0</v>
      </c>
      <c r="Q38" s="268">
        <v>0</v>
      </c>
      <c r="R38" s="275">
        <f ca="1">IF($F$2=TEXT(Tapa!$J$3,"mmm"),0,IF($G$2=TEXT(Tapa!$J$3,"mmm"),F38,IF($H$2=TEXT(Tapa!$J$3,"mmm"),SUM(F38:G38),IF($I$2=TEXT(Tapa!$J$3,"mmm"),SUM(F38:H38),IF($J$2=TEXT(Tapa!$J$3,"mmm"),SUM(F38:I38),IF($K$2=TEXT(Tapa!$J$3,"mmm"),SUM(F38:J38),IF($L$2=TEXT(Tapa!$J$3,"mmm"),SUM(F38:K38),IF($M$2=TEXT(Tapa!$J$3,"mmm"),SUM(F38:L38),IF($N$2=TEXT(Tapa!$J$3,"mmm"),SUM(F38:M38),IF($O$2=TEXT(Tapa!$J$3,"mmm"),SUM(F38:N38),IF($P$2=TEXT(Tapa!$J$3,"mmm"),SUM(F38:O38),IF($Q$2=TEXT(Tapa!$J$3,"mmm"),SUM(F38:P38),"otros"))))))))))))</f>
        <v>0</v>
      </c>
      <c r="S38" s="275">
        <f t="shared" ca="1" si="10"/>
        <v>0</v>
      </c>
      <c r="T38" s="275">
        <f t="shared" ca="1" si="11"/>
        <v>0</v>
      </c>
    </row>
  </sheetData>
  <sheetProtection sheet="1" objects="1" scenarios="1"/>
  <mergeCells count="1">
    <mergeCell ref="B4:B1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B1:I20"/>
  <sheetViews>
    <sheetView zoomScaleNormal="100" workbookViewId="0">
      <selection sqref="A1:XFD1048576"/>
    </sheetView>
  </sheetViews>
  <sheetFormatPr defaultColWidth="11.42578125" defaultRowHeight="12.75"/>
  <cols>
    <col min="1" max="1" width="2.140625" style="196" customWidth="1"/>
    <col min="2" max="3" width="11.42578125" style="196"/>
    <col min="4" max="9" width="15.7109375" style="196" customWidth="1"/>
    <col min="10" max="16384" width="11.42578125" style="196"/>
  </cols>
  <sheetData>
    <row r="1" spans="2:9" ht="7.5" customHeight="1" thickBot="1"/>
    <row r="2" spans="2:9">
      <c r="B2" s="184" t="s">
        <v>147</v>
      </c>
      <c r="C2" s="185" t="s">
        <v>146</v>
      </c>
      <c r="D2" s="185" t="s">
        <v>145</v>
      </c>
      <c r="E2" s="185" t="s">
        <v>143</v>
      </c>
      <c r="F2" s="185" t="s">
        <v>144</v>
      </c>
      <c r="G2" s="185" t="s">
        <v>142</v>
      </c>
      <c r="H2" s="185" t="s">
        <v>132</v>
      </c>
      <c r="I2" s="185" t="s">
        <v>150</v>
      </c>
    </row>
    <row r="3" spans="2:9">
      <c r="B3" s="200"/>
      <c r="C3" s="189"/>
      <c r="D3" s="278"/>
      <c r="E3" s="278"/>
      <c r="F3" s="278"/>
      <c r="G3" s="278"/>
      <c r="H3" s="278"/>
      <c r="I3" s="278"/>
    </row>
    <row r="4" spans="2:9" ht="13.5" thickBot="1">
      <c r="B4" s="186"/>
      <c r="C4" s="190" t="s">
        <v>124</v>
      </c>
      <c r="D4" s="190"/>
      <c r="E4" s="187"/>
      <c r="F4" s="188"/>
      <c r="G4" s="188"/>
      <c r="H4" s="188"/>
      <c r="I4" s="188"/>
    </row>
    <row r="5" spans="2:9">
      <c r="B5" s="199"/>
      <c r="C5" s="192" t="s">
        <v>251</v>
      </c>
      <c r="D5" s="276"/>
      <c r="E5" s="198"/>
      <c r="F5" s="198"/>
      <c r="G5" s="198"/>
      <c r="H5" s="198"/>
      <c r="I5" s="198"/>
    </row>
    <row r="6" spans="2:9">
      <c r="B6" s="199"/>
      <c r="C6" s="191" t="s">
        <v>252</v>
      </c>
      <c r="D6" s="277"/>
      <c r="E6" s="198"/>
      <c r="F6" s="198"/>
      <c r="G6" s="198"/>
      <c r="H6" s="198"/>
      <c r="I6" s="198"/>
    </row>
    <row r="12" spans="2:9">
      <c r="B12" s="197"/>
    </row>
    <row r="13" spans="2:9" ht="13.5" thickBot="1"/>
    <row r="14" spans="2:9" ht="13.5" thickBot="1">
      <c r="B14" s="101"/>
      <c r="C14" s="102" t="s">
        <v>124</v>
      </c>
      <c r="D14" s="103"/>
      <c r="E14" s="103"/>
      <c r="F14" s="103"/>
      <c r="G14" s="103"/>
      <c r="H14" s="104">
        <f>SUM(F14+E14+G14)</f>
        <v>0</v>
      </c>
      <c r="I14" s="103"/>
    </row>
    <row r="20" spans="7:7">
      <c r="G20" s="201"/>
    </row>
  </sheetData>
  <sheetProtection sheet="1" objects="1" scenarios="1"/>
  <pageMargins left="0.7" right="0.7" top="0.75" bottom="0.75" header="0.3" footer="0.3"/>
  <pageSetup orientation="landscape" horizontalDpi="4294967295" verticalDpi="4294967295"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B1:T59"/>
  <sheetViews>
    <sheetView zoomScale="90" zoomScaleNormal="90" workbookViewId="0">
      <pane ySplit="2" topLeftCell="A3" activePane="bottomLeft" state="frozen"/>
      <selection pane="bottomLeft" activeCell="B49" sqref="B49:B58"/>
    </sheetView>
  </sheetViews>
  <sheetFormatPr defaultColWidth="11.42578125" defaultRowHeight="12" outlineLevelRow="1"/>
  <cols>
    <col min="1" max="1" width="0.42578125" style="170" customWidth="1"/>
    <col min="2" max="2" width="6.5703125" style="169" customWidth="1"/>
    <col min="3" max="3" width="16.85546875" style="170" customWidth="1"/>
    <col min="4" max="4" width="14" style="171" customWidth="1"/>
    <col min="5" max="5" width="2.140625" style="172" customWidth="1"/>
    <col min="6" max="19" width="13.42578125" style="172" customWidth="1"/>
    <col min="20" max="20" width="14.28515625" style="172" customWidth="1"/>
    <col min="21" max="16384" width="11.42578125" style="170"/>
  </cols>
  <sheetData>
    <row r="1" spans="2:20" ht="14.1" customHeight="1"/>
    <row r="2" spans="2:20" s="169" customFormat="1" ht="14.1" customHeight="1">
      <c r="B2" s="177" t="s">
        <v>11</v>
      </c>
      <c r="C2" s="177" t="s">
        <v>18</v>
      </c>
      <c r="D2" s="178" t="s">
        <v>257</v>
      </c>
      <c r="E2" s="173"/>
      <c r="F2" s="178" t="s">
        <v>217</v>
      </c>
      <c r="G2" s="178" t="s">
        <v>218</v>
      </c>
      <c r="H2" s="178" t="s">
        <v>219</v>
      </c>
      <c r="I2" s="178" t="s">
        <v>220</v>
      </c>
      <c r="J2" s="178" t="s">
        <v>221</v>
      </c>
      <c r="K2" s="178" t="s">
        <v>222</v>
      </c>
      <c r="L2" s="178" t="s">
        <v>223</v>
      </c>
      <c r="M2" s="178" t="s">
        <v>224</v>
      </c>
      <c r="N2" s="178" t="s">
        <v>253</v>
      </c>
      <c r="O2" s="178" t="s">
        <v>225</v>
      </c>
      <c r="P2" s="178" t="s">
        <v>226</v>
      </c>
      <c r="Q2" s="178" t="s">
        <v>227</v>
      </c>
      <c r="R2" s="178" t="s">
        <v>228</v>
      </c>
      <c r="S2" s="178" t="s">
        <v>229</v>
      </c>
      <c r="T2" s="178" t="s">
        <v>132</v>
      </c>
    </row>
    <row r="3" spans="2:20" ht="14.1" customHeight="1"/>
    <row r="4" spans="2:20" s="175" customFormat="1" ht="14.1" customHeight="1">
      <c r="B4" s="439" t="s">
        <v>230</v>
      </c>
      <c r="C4" s="174" t="s">
        <v>231</v>
      </c>
      <c r="D4" s="270">
        <v>138662843</v>
      </c>
      <c r="E4" s="271"/>
      <c r="F4" s="270">
        <v>0</v>
      </c>
      <c r="G4" s="266">
        <v>0</v>
      </c>
      <c r="H4" s="266">
        <v>0</v>
      </c>
      <c r="I4" s="266">
        <v>73352430</v>
      </c>
      <c r="J4" s="266">
        <v>65310413</v>
      </c>
      <c r="K4" s="266">
        <v>0</v>
      </c>
      <c r="L4" s="266">
        <v>0</v>
      </c>
      <c r="M4" s="266">
        <v>0</v>
      </c>
      <c r="N4" s="266">
        <v>0</v>
      </c>
      <c r="O4" s="266">
        <v>0</v>
      </c>
      <c r="P4" s="266">
        <v>0</v>
      </c>
      <c r="Q4" s="266">
        <v>0</v>
      </c>
      <c r="R4" s="267">
        <f ca="1">IF($F$2=TEXT(Tapa!$J$3,"mmm"),0,IF($G$2=TEXT(Tapa!$J$3,"mmm"),F4,IF($H$2=TEXT(Tapa!$J$3,"mmm"),SUM(F4:G4),IF($I$2=TEXT(Tapa!$J$3,"mmm"),SUM(F4:H4),IF($J$2=TEXT(Tapa!$J$3,"mmm"),SUM(F4:I4),IF($K$2=TEXT(Tapa!$J$3,"mmm"),SUM(F4:J4),IF($L$2=TEXT(Tapa!$J$3,"mmm"),SUM(F4:K4),IF($M$2=TEXT(Tapa!$J$3,"mmm"),SUM(F4:L4),IF($N$2=TEXT(Tapa!$J$3,"mmm"),SUM(F4:M4),IF($O$2=TEXT(Tapa!$J$3,"mmm"),SUM(F4:N4),IF($P$2=TEXT(Tapa!$J$3,"mmm"),SUM(F4:O4),IF($Q$2=TEXT(Tapa!$J$3,"mmm"),SUM(F4:P4),"otros"))))))))))))</f>
        <v>0</v>
      </c>
      <c r="S4" s="267">
        <f ca="1">+D4-R4</f>
        <v>138662843</v>
      </c>
      <c r="T4" s="267">
        <f ca="1">SUM(R4:S4)</f>
        <v>138662843</v>
      </c>
    </row>
    <row r="5" spans="2:20" s="175" customFormat="1" ht="14.1" customHeight="1">
      <c r="B5" s="440"/>
      <c r="C5" s="174" t="s">
        <v>35</v>
      </c>
      <c r="D5" s="270">
        <v>0</v>
      </c>
      <c r="E5" s="271"/>
      <c r="F5" s="270">
        <v>0</v>
      </c>
      <c r="G5" s="266">
        <v>0</v>
      </c>
      <c r="H5" s="266">
        <v>0</v>
      </c>
      <c r="I5" s="266">
        <v>0</v>
      </c>
      <c r="J5" s="266">
        <v>0</v>
      </c>
      <c r="K5" s="266">
        <v>0</v>
      </c>
      <c r="L5" s="266">
        <v>0</v>
      </c>
      <c r="M5" s="266">
        <v>0</v>
      </c>
      <c r="N5" s="266">
        <v>0</v>
      </c>
      <c r="O5" s="266">
        <v>0</v>
      </c>
      <c r="P5" s="266">
        <v>0</v>
      </c>
      <c r="Q5" s="266">
        <v>0</v>
      </c>
      <c r="R5" s="267">
        <f ca="1">IF($F$2=TEXT(Tapa!$J$3,"mmm"),0,IF($G$2=TEXT(Tapa!$J$3,"mmm"),F5,IF($H$2=TEXT(Tapa!$J$3,"mmm"),SUM(F5:G5),IF($I$2=TEXT(Tapa!$J$3,"mmm"),SUM(F5:H5),IF($J$2=TEXT(Tapa!$J$3,"mmm"),SUM(F5:I5),IF($K$2=TEXT(Tapa!$J$3,"mmm"),SUM(F5:J5),IF($L$2=TEXT(Tapa!$J$3,"mmm"),SUM(F5:K5),IF($M$2=TEXT(Tapa!$J$3,"mmm"),SUM(F5:L5),IF($N$2=TEXT(Tapa!$J$3,"mmm"),SUM(F5:M5),IF($O$2=TEXT(Tapa!$J$3,"mmm"),SUM(F5:N5),IF($P$2=TEXT(Tapa!$J$3,"mmm"),SUM(F5:O5),IF($Q$2=TEXT(Tapa!$J$3,"mmm"),SUM(F5:P5),"otros"))))))))))))</f>
        <v>0</v>
      </c>
      <c r="S5" s="267">
        <f t="shared" ref="S5:S12" ca="1" si="0">+D5-R5</f>
        <v>0</v>
      </c>
      <c r="T5" s="267">
        <f t="shared" ref="T5:T12" ca="1" si="1">SUM(R5:S5)</f>
        <v>0</v>
      </c>
    </row>
    <row r="6" spans="2:20" s="175" customFormat="1" ht="14.1" customHeight="1">
      <c r="B6" s="440"/>
      <c r="C6" s="174" t="s">
        <v>141</v>
      </c>
      <c r="D6" s="270">
        <v>0</v>
      </c>
      <c r="E6" s="271"/>
      <c r="F6" s="270">
        <v>0</v>
      </c>
      <c r="G6" s="266">
        <v>0</v>
      </c>
      <c r="H6" s="266">
        <v>0</v>
      </c>
      <c r="I6" s="266">
        <v>0</v>
      </c>
      <c r="J6" s="266">
        <v>0</v>
      </c>
      <c r="K6" s="266">
        <v>0</v>
      </c>
      <c r="L6" s="266">
        <v>0</v>
      </c>
      <c r="M6" s="266">
        <v>0</v>
      </c>
      <c r="N6" s="266">
        <v>0</v>
      </c>
      <c r="O6" s="266">
        <v>0</v>
      </c>
      <c r="P6" s="266">
        <v>0</v>
      </c>
      <c r="Q6" s="266">
        <v>0</v>
      </c>
      <c r="R6" s="267">
        <f ca="1">IF($F$2=TEXT(Tapa!$J$3,"mmm"),0,IF($G$2=TEXT(Tapa!$J$3,"mmm"),F6,IF($H$2=TEXT(Tapa!$J$3,"mmm"),SUM(F6:G6),IF($I$2=TEXT(Tapa!$J$3,"mmm"),SUM(F6:H6),IF($J$2=TEXT(Tapa!$J$3,"mmm"),SUM(F6:I6),IF($K$2=TEXT(Tapa!$J$3,"mmm"),SUM(F6:J6),IF($L$2=TEXT(Tapa!$J$3,"mmm"),SUM(F6:K6),IF($M$2=TEXT(Tapa!$J$3,"mmm"),SUM(F6:L6),IF($N$2=TEXT(Tapa!$J$3,"mmm"),SUM(F6:M6),IF($O$2=TEXT(Tapa!$J$3,"mmm"),SUM(F6:N6),IF($P$2=TEXT(Tapa!$J$3,"mmm"),SUM(F6:O6),IF($Q$2=TEXT(Tapa!$J$3,"mmm"),SUM(F6:P6),"otros"))))))))))))</f>
        <v>0</v>
      </c>
      <c r="S6" s="267">
        <f t="shared" ca="1" si="0"/>
        <v>0</v>
      </c>
      <c r="T6" s="267">
        <f t="shared" ca="1" si="1"/>
        <v>0</v>
      </c>
    </row>
    <row r="7" spans="2:20" s="175" customFormat="1" ht="14.1" customHeight="1">
      <c r="B7" s="440"/>
      <c r="C7" s="174" t="s">
        <v>138</v>
      </c>
      <c r="D7" s="270">
        <v>0</v>
      </c>
      <c r="E7" s="271"/>
      <c r="F7" s="270">
        <v>0</v>
      </c>
      <c r="G7" s="266">
        <v>0</v>
      </c>
      <c r="H7" s="266">
        <v>0</v>
      </c>
      <c r="I7" s="266">
        <v>0</v>
      </c>
      <c r="J7" s="266">
        <v>0</v>
      </c>
      <c r="K7" s="266">
        <v>0</v>
      </c>
      <c r="L7" s="266">
        <v>0</v>
      </c>
      <c r="M7" s="266">
        <v>0</v>
      </c>
      <c r="N7" s="266">
        <v>0</v>
      </c>
      <c r="O7" s="266">
        <v>0</v>
      </c>
      <c r="P7" s="266">
        <v>0</v>
      </c>
      <c r="Q7" s="266">
        <v>0</v>
      </c>
      <c r="R7" s="267">
        <f ca="1">IF($F$2=TEXT(Tapa!$J$3,"mmm"),0,IF($G$2=TEXT(Tapa!$J$3,"mmm"),F7,IF($H$2=TEXT(Tapa!$J$3,"mmm"),SUM(F7:G7),IF($I$2=TEXT(Tapa!$J$3,"mmm"),SUM(F7:H7),IF($J$2=TEXT(Tapa!$J$3,"mmm"),SUM(F7:I7),IF($K$2=TEXT(Tapa!$J$3,"mmm"),SUM(F7:J7),IF($L$2=TEXT(Tapa!$J$3,"mmm"),SUM(F7:K7),IF($M$2=TEXT(Tapa!$J$3,"mmm"),SUM(F7:L7),IF($N$2=TEXT(Tapa!$J$3,"mmm"),SUM(F7:M7),IF($O$2=TEXT(Tapa!$J$3,"mmm"),SUM(F7:N7),IF($P$2=TEXT(Tapa!$J$3,"mmm"),SUM(F7:O7),IF($Q$2=TEXT(Tapa!$J$3,"mmm"),SUM(F7:P7),"otros"))))))))))))</f>
        <v>0</v>
      </c>
      <c r="S7" s="267">
        <f t="shared" ca="1" si="0"/>
        <v>0</v>
      </c>
      <c r="T7" s="267">
        <f t="shared" ca="1" si="1"/>
        <v>0</v>
      </c>
    </row>
    <row r="8" spans="2:20" s="175" customFormat="1" ht="14.1" customHeight="1">
      <c r="B8" s="440"/>
      <c r="C8" s="174" t="s">
        <v>107</v>
      </c>
      <c r="D8" s="270">
        <v>0</v>
      </c>
      <c r="E8" s="271"/>
      <c r="F8" s="270">
        <v>0</v>
      </c>
      <c r="G8" s="266">
        <v>0</v>
      </c>
      <c r="H8" s="266">
        <v>0</v>
      </c>
      <c r="I8" s="266">
        <v>0</v>
      </c>
      <c r="J8" s="266">
        <v>0</v>
      </c>
      <c r="K8" s="266">
        <v>0</v>
      </c>
      <c r="L8" s="266">
        <v>0</v>
      </c>
      <c r="M8" s="266">
        <v>0</v>
      </c>
      <c r="N8" s="266">
        <v>0</v>
      </c>
      <c r="O8" s="266">
        <v>0</v>
      </c>
      <c r="P8" s="266">
        <v>0</v>
      </c>
      <c r="Q8" s="266">
        <v>0</v>
      </c>
      <c r="R8" s="267">
        <f ca="1">IF($F$2=TEXT(Tapa!$J$3,"mmm"),0,IF($G$2=TEXT(Tapa!$J$3,"mmm"),F8,IF($H$2=TEXT(Tapa!$J$3,"mmm"),SUM(F8:G8),IF($I$2=TEXT(Tapa!$J$3,"mmm"),SUM(F8:H8),IF($J$2=TEXT(Tapa!$J$3,"mmm"),SUM(F8:I8),IF($K$2=TEXT(Tapa!$J$3,"mmm"),SUM(F8:J8),IF($L$2=TEXT(Tapa!$J$3,"mmm"),SUM(F8:K8),IF($M$2=TEXT(Tapa!$J$3,"mmm"),SUM(F8:L8),IF($N$2=TEXT(Tapa!$J$3,"mmm"),SUM(F8:M8),IF($O$2=TEXT(Tapa!$J$3,"mmm"),SUM(F8:N8),IF($P$2=TEXT(Tapa!$J$3,"mmm"),SUM(F8:O8),IF($Q$2=TEXT(Tapa!$J$3,"mmm"),SUM(F8:P8),"otros"))))))))))))</f>
        <v>0</v>
      </c>
      <c r="S8" s="267">
        <f t="shared" ca="1" si="0"/>
        <v>0</v>
      </c>
      <c r="T8" s="267">
        <f t="shared" ca="1" si="1"/>
        <v>0</v>
      </c>
    </row>
    <row r="9" spans="2:20" s="175" customFormat="1" ht="14.1" customHeight="1">
      <c r="B9" s="440"/>
      <c r="C9" s="174" t="s">
        <v>232</v>
      </c>
      <c r="D9" s="270">
        <v>0</v>
      </c>
      <c r="E9" s="271"/>
      <c r="F9" s="270">
        <v>0</v>
      </c>
      <c r="G9" s="266">
        <v>0</v>
      </c>
      <c r="H9" s="266">
        <v>0</v>
      </c>
      <c r="I9" s="266">
        <v>0</v>
      </c>
      <c r="J9" s="266">
        <v>0</v>
      </c>
      <c r="K9" s="266">
        <v>0</v>
      </c>
      <c r="L9" s="266">
        <v>0</v>
      </c>
      <c r="M9" s="266">
        <v>0</v>
      </c>
      <c r="N9" s="266">
        <v>0</v>
      </c>
      <c r="O9" s="266">
        <v>0</v>
      </c>
      <c r="P9" s="266">
        <v>0</v>
      </c>
      <c r="Q9" s="266">
        <v>0</v>
      </c>
      <c r="R9" s="267">
        <f ca="1">IF($F$2=TEXT(Tapa!$J$3,"mmm"),0,IF($G$2=TEXT(Tapa!$J$3,"mmm"),F9,IF($H$2=TEXT(Tapa!$J$3,"mmm"),SUM(F9:G9),IF($I$2=TEXT(Tapa!$J$3,"mmm"),SUM(F9:H9),IF($J$2=TEXT(Tapa!$J$3,"mmm"),SUM(F9:I9),IF($K$2=TEXT(Tapa!$J$3,"mmm"),SUM(F9:J9),IF($L$2=TEXT(Tapa!$J$3,"mmm"),SUM(F9:K9),IF($M$2=TEXT(Tapa!$J$3,"mmm"),SUM(F9:L9),IF($N$2=TEXT(Tapa!$J$3,"mmm"),SUM(F9:M9),IF($O$2=TEXT(Tapa!$J$3,"mmm"),SUM(F9:N9),IF($P$2=TEXT(Tapa!$J$3,"mmm"),SUM(F9:O9),IF($Q$2=TEXT(Tapa!$J$3,"mmm"),SUM(F9:P9),"otros"))))))))))))</f>
        <v>0</v>
      </c>
      <c r="S9" s="267">
        <f t="shared" ca="1" si="0"/>
        <v>0</v>
      </c>
      <c r="T9" s="267">
        <f t="shared" ca="1" si="1"/>
        <v>0</v>
      </c>
    </row>
    <row r="10" spans="2:20" s="175" customFormat="1" ht="14.1" customHeight="1">
      <c r="B10" s="440"/>
      <c r="C10" s="174" t="s">
        <v>139</v>
      </c>
      <c r="D10" s="270">
        <v>0</v>
      </c>
      <c r="E10" s="271"/>
      <c r="F10" s="270">
        <v>0</v>
      </c>
      <c r="G10" s="266">
        <v>0</v>
      </c>
      <c r="H10" s="266">
        <v>0</v>
      </c>
      <c r="I10" s="266">
        <v>0</v>
      </c>
      <c r="J10" s="266">
        <v>0</v>
      </c>
      <c r="K10" s="266">
        <v>0</v>
      </c>
      <c r="L10" s="266">
        <v>0</v>
      </c>
      <c r="M10" s="266">
        <v>0</v>
      </c>
      <c r="N10" s="266">
        <v>0</v>
      </c>
      <c r="O10" s="266">
        <v>0</v>
      </c>
      <c r="P10" s="266">
        <v>0</v>
      </c>
      <c r="Q10" s="266">
        <v>0</v>
      </c>
      <c r="R10" s="267">
        <f ca="1">IF($F$2=TEXT(Tapa!$J$3,"mmm"),0,IF($G$2=TEXT(Tapa!$J$3,"mmm"),F10,IF($H$2=TEXT(Tapa!$J$3,"mmm"),SUM(F10:G10),IF($I$2=TEXT(Tapa!$J$3,"mmm"),SUM(F10:H10),IF($J$2=TEXT(Tapa!$J$3,"mmm"),SUM(F10:I10),IF($K$2=TEXT(Tapa!$J$3,"mmm"),SUM(F10:J10),IF($L$2=TEXT(Tapa!$J$3,"mmm"),SUM(F10:K10),IF($M$2=TEXT(Tapa!$J$3,"mmm"),SUM(F10:L10),IF($N$2=TEXT(Tapa!$J$3,"mmm"),SUM(F10:M10),IF($O$2=TEXT(Tapa!$J$3,"mmm"),SUM(F10:N10),IF($P$2=TEXT(Tapa!$J$3,"mmm"),SUM(F10:O10),IF($Q$2=TEXT(Tapa!$J$3,"mmm"),SUM(F10:P10),"otros"))))))))))))</f>
        <v>0</v>
      </c>
      <c r="S10" s="267">
        <f t="shared" ca="1" si="0"/>
        <v>0</v>
      </c>
      <c r="T10" s="267">
        <f t="shared" ca="1" si="1"/>
        <v>0</v>
      </c>
    </row>
    <row r="11" spans="2:20" s="175" customFormat="1" ht="14.1" customHeight="1">
      <c r="B11" s="440"/>
      <c r="C11" s="174" t="s">
        <v>106</v>
      </c>
      <c r="D11" s="270">
        <v>18574970</v>
      </c>
      <c r="E11" s="271"/>
      <c r="F11" s="270">
        <v>0</v>
      </c>
      <c r="G11" s="266">
        <v>0</v>
      </c>
      <c r="H11" s="266">
        <v>0</v>
      </c>
      <c r="I11" s="266">
        <v>3524990</v>
      </c>
      <c r="J11" s="266">
        <v>15049980</v>
      </c>
      <c r="K11" s="266">
        <v>0</v>
      </c>
      <c r="L11" s="266">
        <v>0</v>
      </c>
      <c r="M11" s="266">
        <v>0</v>
      </c>
      <c r="N11" s="266">
        <v>0</v>
      </c>
      <c r="O11" s="266">
        <v>0</v>
      </c>
      <c r="P11" s="266">
        <v>0</v>
      </c>
      <c r="Q11" s="266">
        <v>0</v>
      </c>
      <c r="R11" s="267">
        <f ca="1">IF($F$2=TEXT(Tapa!$J$3,"mmm"),0,IF($G$2=TEXT(Tapa!$J$3,"mmm"),F11,IF($H$2=TEXT(Tapa!$J$3,"mmm"),SUM(F11:G11),IF($I$2=TEXT(Tapa!$J$3,"mmm"),SUM(F11:H11),IF($J$2=TEXT(Tapa!$J$3,"mmm"),SUM(F11:I11),IF($K$2=TEXT(Tapa!$J$3,"mmm"),SUM(F11:J11),IF($L$2=TEXT(Tapa!$J$3,"mmm"),SUM(F11:K11),IF($M$2=TEXT(Tapa!$J$3,"mmm"),SUM(F11:L11),IF($N$2=TEXT(Tapa!$J$3,"mmm"),SUM(F11:M11),IF($O$2=TEXT(Tapa!$J$3,"mmm"),SUM(F11:N11),IF($P$2=TEXT(Tapa!$J$3,"mmm"),SUM(F11:O11),IF($Q$2=TEXT(Tapa!$J$3,"mmm"),SUM(F11:P11),"otros"))))))))))))</f>
        <v>0</v>
      </c>
      <c r="S11" s="267">
        <f t="shared" ca="1" si="0"/>
        <v>18574970</v>
      </c>
      <c r="T11" s="267">
        <f t="shared" ca="1" si="1"/>
        <v>18574970</v>
      </c>
    </row>
    <row r="12" spans="2:20" s="175" customFormat="1" ht="14.1" customHeight="1">
      <c r="B12" s="441"/>
      <c r="C12" s="174" t="s">
        <v>137</v>
      </c>
      <c r="D12" s="270">
        <v>0</v>
      </c>
      <c r="E12" s="271"/>
      <c r="F12" s="270">
        <v>0</v>
      </c>
      <c r="G12" s="266">
        <v>0</v>
      </c>
      <c r="H12" s="266">
        <v>0</v>
      </c>
      <c r="I12" s="266">
        <v>0</v>
      </c>
      <c r="J12" s="266">
        <v>0</v>
      </c>
      <c r="K12" s="266">
        <v>0</v>
      </c>
      <c r="L12" s="266">
        <v>0</v>
      </c>
      <c r="M12" s="266">
        <v>0</v>
      </c>
      <c r="N12" s="266">
        <v>0</v>
      </c>
      <c r="O12" s="266">
        <v>0</v>
      </c>
      <c r="P12" s="266">
        <v>0</v>
      </c>
      <c r="Q12" s="266">
        <v>0</v>
      </c>
      <c r="R12" s="267">
        <f ca="1">IF($F$2=TEXT(Tapa!$J$3,"mmm"),0,IF($G$2=TEXT(Tapa!$J$3,"mmm"),F12,IF($H$2=TEXT(Tapa!$J$3,"mmm"),SUM(F12:G12),IF($I$2=TEXT(Tapa!$J$3,"mmm"),SUM(F12:H12),IF($J$2=TEXT(Tapa!$J$3,"mmm"),SUM(F12:I12),IF($K$2=TEXT(Tapa!$J$3,"mmm"),SUM(F12:J12),IF($L$2=TEXT(Tapa!$J$3,"mmm"),SUM(F12:K12),IF($M$2=TEXT(Tapa!$J$3,"mmm"),SUM(F12:L12),IF($N$2=TEXT(Tapa!$J$3,"mmm"),SUM(F12:M12),IF($O$2=TEXT(Tapa!$J$3,"mmm"),SUM(F12:N12),IF($P$2=TEXT(Tapa!$J$3,"mmm"),SUM(F12:O12),IF($Q$2=TEXT(Tapa!$J$3,"mmm"),SUM(F12:P12),"otros"))))))))))))</f>
        <v>0</v>
      </c>
      <c r="S12" s="267">
        <f t="shared" ca="1" si="0"/>
        <v>0</v>
      </c>
      <c r="T12" s="267">
        <f t="shared" ca="1" si="1"/>
        <v>0</v>
      </c>
    </row>
    <row r="13" spans="2:20" s="169" customFormat="1" ht="14.1" customHeight="1">
      <c r="B13" s="179" t="s">
        <v>132</v>
      </c>
      <c r="C13" s="176"/>
      <c r="D13" s="272">
        <f>SUM(D4:D12)</f>
        <v>157237813</v>
      </c>
      <c r="E13" s="273">
        <f t="shared" ref="E13:S13" si="2">SUM(E4:E12)</f>
        <v>0</v>
      </c>
      <c r="F13" s="272">
        <f t="shared" si="2"/>
        <v>0</v>
      </c>
      <c r="G13" s="272">
        <f t="shared" si="2"/>
        <v>0</v>
      </c>
      <c r="H13" s="272">
        <f t="shared" si="2"/>
        <v>0</v>
      </c>
      <c r="I13" s="272">
        <f t="shared" si="2"/>
        <v>76877420</v>
      </c>
      <c r="J13" s="272">
        <f t="shared" si="2"/>
        <v>80360393</v>
      </c>
      <c r="K13" s="272">
        <f t="shared" si="2"/>
        <v>0</v>
      </c>
      <c r="L13" s="272">
        <f t="shared" si="2"/>
        <v>0</v>
      </c>
      <c r="M13" s="272">
        <f t="shared" si="2"/>
        <v>0</v>
      </c>
      <c r="N13" s="272">
        <f t="shared" si="2"/>
        <v>0</v>
      </c>
      <c r="O13" s="272">
        <f t="shared" si="2"/>
        <v>0</v>
      </c>
      <c r="P13" s="272">
        <f t="shared" si="2"/>
        <v>0</v>
      </c>
      <c r="Q13" s="272">
        <f t="shared" si="2"/>
        <v>0</v>
      </c>
      <c r="R13" s="272">
        <f t="shared" ca="1" si="2"/>
        <v>0</v>
      </c>
      <c r="S13" s="272">
        <f t="shared" ca="1" si="2"/>
        <v>157237813</v>
      </c>
      <c r="T13" s="272">
        <f ca="1">SUM(T4:T12)</f>
        <v>157237813</v>
      </c>
    </row>
    <row r="14" spans="2:20" ht="14.1" customHeight="1"/>
    <row r="15" spans="2:20" s="175" customFormat="1" ht="14.1" customHeight="1">
      <c r="B15" s="442" t="s">
        <v>233</v>
      </c>
      <c r="C15" s="180" t="s">
        <v>295</v>
      </c>
      <c r="D15" s="264">
        <f>SUM(D16:D24)</f>
        <v>18574970</v>
      </c>
      <c r="E15" s="265"/>
      <c r="F15" s="264">
        <f>SUM(F16:F24)</f>
        <v>0</v>
      </c>
      <c r="G15" s="264">
        <f t="shared" ref="G15:T15" si="3">SUM(G16:G24)</f>
        <v>0</v>
      </c>
      <c r="H15" s="264">
        <f t="shared" si="3"/>
        <v>0</v>
      </c>
      <c r="I15" s="264">
        <f t="shared" si="3"/>
        <v>3524990</v>
      </c>
      <c r="J15" s="264">
        <f t="shared" si="3"/>
        <v>15049980</v>
      </c>
      <c r="K15" s="264">
        <f t="shared" si="3"/>
        <v>0</v>
      </c>
      <c r="L15" s="264">
        <f t="shared" si="3"/>
        <v>0</v>
      </c>
      <c r="M15" s="264">
        <f t="shared" si="3"/>
        <v>0</v>
      </c>
      <c r="N15" s="264">
        <f t="shared" si="3"/>
        <v>0</v>
      </c>
      <c r="O15" s="264">
        <f t="shared" si="3"/>
        <v>0</v>
      </c>
      <c r="P15" s="264">
        <f t="shared" si="3"/>
        <v>0</v>
      </c>
      <c r="Q15" s="264">
        <f t="shared" si="3"/>
        <v>0</v>
      </c>
      <c r="R15" s="264">
        <f t="shared" ca="1" si="3"/>
        <v>0</v>
      </c>
      <c r="S15" s="264">
        <f t="shared" ca="1" si="3"/>
        <v>18574970</v>
      </c>
      <c r="T15" s="264">
        <f t="shared" ca="1" si="3"/>
        <v>18574970</v>
      </c>
    </row>
    <row r="16" spans="2:20" s="175" customFormat="1" ht="14.1" hidden="1" customHeight="1" outlineLevel="1">
      <c r="B16" s="440"/>
      <c r="C16" s="174" t="s">
        <v>231</v>
      </c>
      <c r="D16" s="270">
        <v>0</v>
      </c>
      <c r="E16" s="271"/>
      <c r="F16" s="270">
        <v>0</v>
      </c>
      <c r="G16" s="266">
        <v>0</v>
      </c>
      <c r="H16" s="266">
        <v>0</v>
      </c>
      <c r="I16" s="266">
        <v>0</v>
      </c>
      <c r="J16" s="266">
        <v>0</v>
      </c>
      <c r="K16" s="266">
        <v>0</v>
      </c>
      <c r="L16" s="266">
        <v>0</v>
      </c>
      <c r="M16" s="266">
        <v>0</v>
      </c>
      <c r="N16" s="266">
        <v>0</v>
      </c>
      <c r="O16" s="266">
        <v>0</v>
      </c>
      <c r="P16" s="266">
        <v>0</v>
      </c>
      <c r="Q16" s="266">
        <v>0</v>
      </c>
      <c r="R16" s="267">
        <f ca="1">IF($F$2=TEXT(Tapa!$J$3,"mmm"),0,IF($G$2=TEXT(Tapa!$J$3,"mmm"),F16,IF($H$2=TEXT(Tapa!$J$3,"mmm"),SUM(F16:G16),IF($I$2=TEXT(Tapa!$J$3,"mmm"),SUM(F16:H16),IF($J$2=TEXT(Tapa!$J$3,"mmm"),SUM(F16:I16),IF($K$2=TEXT(Tapa!$J$3,"mmm"),SUM(F16:J16),IF($L$2=TEXT(Tapa!$J$3,"mmm"),SUM(F16:K16),IF($M$2=TEXT(Tapa!$J$3,"mmm"),SUM(F16:L16),IF($N$2=TEXT(Tapa!$J$3,"mmm"),SUM(F16:M16),IF($O$2=TEXT(Tapa!$J$3,"mmm"),SUM(F16:N16),IF($P$2=TEXT(Tapa!$J$3,"mmm"),SUM(F16:O16),IF($Q$2=TEXT(Tapa!$J$3,"mmm"),SUM(F16:P16),"otros"))))))))))))</f>
        <v>0</v>
      </c>
      <c r="S16" s="267">
        <f ca="1">+D16-R16</f>
        <v>0</v>
      </c>
      <c r="T16" s="267">
        <f ca="1">SUM(R16:S16)</f>
        <v>0</v>
      </c>
    </row>
    <row r="17" spans="2:20" s="175" customFormat="1" ht="14.1" hidden="1" customHeight="1" outlineLevel="1">
      <c r="B17" s="440"/>
      <c r="C17" s="174" t="s">
        <v>35</v>
      </c>
      <c r="D17" s="270">
        <v>0</v>
      </c>
      <c r="E17" s="271"/>
      <c r="F17" s="270">
        <v>0</v>
      </c>
      <c r="G17" s="266">
        <v>0</v>
      </c>
      <c r="H17" s="266">
        <v>0</v>
      </c>
      <c r="I17" s="266">
        <v>0</v>
      </c>
      <c r="J17" s="266">
        <v>0</v>
      </c>
      <c r="K17" s="266">
        <v>0</v>
      </c>
      <c r="L17" s="266">
        <v>0</v>
      </c>
      <c r="M17" s="266">
        <v>0</v>
      </c>
      <c r="N17" s="266">
        <v>0</v>
      </c>
      <c r="O17" s="266">
        <v>0</v>
      </c>
      <c r="P17" s="266">
        <v>0</v>
      </c>
      <c r="Q17" s="266">
        <v>0</v>
      </c>
      <c r="R17" s="267">
        <f ca="1">IF($F$2=TEXT(Tapa!$J$3,"mmm"),0,IF($G$2=TEXT(Tapa!$J$3,"mmm"),F17,IF($H$2=TEXT(Tapa!$J$3,"mmm"),SUM(F17:G17),IF($I$2=TEXT(Tapa!$J$3,"mmm"),SUM(F17:H17),IF($J$2=TEXT(Tapa!$J$3,"mmm"),SUM(F17:I17),IF($K$2=TEXT(Tapa!$J$3,"mmm"),SUM(F17:J17),IF($L$2=TEXT(Tapa!$J$3,"mmm"),SUM(F17:K17),IF($M$2=TEXT(Tapa!$J$3,"mmm"),SUM(F17:L17),IF($N$2=TEXT(Tapa!$J$3,"mmm"),SUM(F17:M17),IF($O$2=TEXT(Tapa!$J$3,"mmm"),SUM(F17:N17),IF($P$2=TEXT(Tapa!$J$3,"mmm"),SUM(F17:O17),IF($Q$2=TEXT(Tapa!$J$3,"mmm"),SUM(F17:P17),"otros"))))))))))))</f>
        <v>0</v>
      </c>
      <c r="S17" s="267">
        <f t="shared" ref="S17:S24" ca="1" si="4">+D17-R17</f>
        <v>0</v>
      </c>
      <c r="T17" s="267">
        <f t="shared" ref="T17:T24" ca="1" si="5">SUM(R17:S17)</f>
        <v>0</v>
      </c>
    </row>
    <row r="18" spans="2:20" s="175" customFormat="1" ht="14.1" hidden="1" customHeight="1" outlineLevel="1">
      <c r="B18" s="440"/>
      <c r="C18" s="174" t="s">
        <v>141</v>
      </c>
      <c r="D18" s="270">
        <v>0</v>
      </c>
      <c r="E18" s="271"/>
      <c r="F18" s="270">
        <v>0</v>
      </c>
      <c r="G18" s="266">
        <v>0</v>
      </c>
      <c r="H18" s="266">
        <v>0</v>
      </c>
      <c r="I18" s="266">
        <v>0</v>
      </c>
      <c r="J18" s="266">
        <v>0</v>
      </c>
      <c r="K18" s="266">
        <v>0</v>
      </c>
      <c r="L18" s="266">
        <v>0</v>
      </c>
      <c r="M18" s="266">
        <v>0</v>
      </c>
      <c r="N18" s="266">
        <v>0</v>
      </c>
      <c r="O18" s="266">
        <v>0</v>
      </c>
      <c r="P18" s="266">
        <v>0</v>
      </c>
      <c r="Q18" s="266">
        <v>0</v>
      </c>
      <c r="R18" s="267">
        <f ca="1">IF($F$2=TEXT(Tapa!$J$3,"mmm"),0,IF($G$2=TEXT(Tapa!$J$3,"mmm"),F18,IF($H$2=TEXT(Tapa!$J$3,"mmm"),SUM(F18:G18),IF($I$2=TEXT(Tapa!$J$3,"mmm"),SUM(F18:H18),IF($J$2=TEXT(Tapa!$J$3,"mmm"),SUM(F18:I18),IF($K$2=TEXT(Tapa!$J$3,"mmm"),SUM(F18:J18),IF($L$2=TEXT(Tapa!$J$3,"mmm"),SUM(F18:K18),IF($M$2=TEXT(Tapa!$J$3,"mmm"),SUM(F18:L18),IF($N$2=TEXT(Tapa!$J$3,"mmm"),SUM(F18:M18),IF($O$2=TEXT(Tapa!$J$3,"mmm"),SUM(F18:N18),IF($P$2=TEXT(Tapa!$J$3,"mmm"),SUM(F18:O18),IF($Q$2=TEXT(Tapa!$J$3,"mmm"),SUM(F18:P18),"otros"))))))))))))</f>
        <v>0</v>
      </c>
      <c r="S18" s="267">
        <f t="shared" ca="1" si="4"/>
        <v>0</v>
      </c>
      <c r="T18" s="267">
        <f t="shared" ca="1" si="5"/>
        <v>0</v>
      </c>
    </row>
    <row r="19" spans="2:20" s="175" customFormat="1" ht="14.1" hidden="1" customHeight="1" outlineLevel="1">
      <c r="B19" s="440"/>
      <c r="C19" s="174" t="s">
        <v>138</v>
      </c>
      <c r="D19" s="270">
        <v>0</v>
      </c>
      <c r="E19" s="271"/>
      <c r="F19" s="270">
        <v>0</v>
      </c>
      <c r="G19" s="266">
        <v>0</v>
      </c>
      <c r="H19" s="266">
        <v>0</v>
      </c>
      <c r="I19" s="266">
        <v>0</v>
      </c>
      <c r="J19" s="266">
        <v>0</v>
      </c>
      <c r="K19" s="266">
        <v>0</v>
      </c>
      <c r="L19" s="266">
        <v>0</v>
      </c>
      <c r="M19" s="266">
        <v>0</v>
      </c>
      <c r="N19" s="266">
        <v>0</v>
      </c>
      <c r="O19" s="266">
        <v>0</v>
      </c>
      <c r="P19" s="266">
        <v>0</v>
      </c>
      <c r="Q19" s="266">
        <v>0</v>
      </c>
      <c r="R19" s="267">
        <f ca="1">IF($F$2=TEXT(Tapa!$J$3,"mmm"),0,IF($G$2=TEXT(Tapa!$J$3,"mmm"),F19,IF($H$2=TEXT(Tapa!$J$3,"mmm"),SUM(F19:G19),IF($I$2=TEXT(Tapa!$J$3,"mmm"),SUM(F19:H19),IF($J$2=TEXT(Tapa!$J$3,"mmm"),SUM(F19:I19),IF($K$2=TEXT(Tapa!$J$3,"mmm"),SUM(F19:J19),IF($L$2=TEXT(Tapa!$J$3,"mmm"),SUM(F19:K19),IF($M$2=TEXT(Tapa!$J$3,"mmm"),SUM(F19:L19),IF($N$2=TEXT(Tapa!$J$3,"mmm"),SUM(F19:M19),IF($O$2=TEXT(Tapa!$J$3,"mmm"),SUM(F19:N19),IF($P$2=TEXT(Tapa!$J$3,"mmm"),SUM(F19:O19),IF($Q$2=TEXT(Tapa!$J$3,"mmm"),SUM(F19:P19),"otros"))))))))))))</f>
        <v>0</v>
      </c>
      <c r="S19" s="267">
        <f t="shared" ca="1" si="4"/>
        <v>0</v>
      </c>
      <c r="T19" s="267">
        <f t="shared" ca="1" si="5"/>
        <v>0</v>
      </c>
    </row>
    <row r="20" spans="2:20" s="175" customFormat="1" ht="14.1" hidden="1" customHeight="1" outlineLevel="1">
      <c r="B20" s="440"/>
      <c r="C20" s="174" t="s">
        <v>107</v>
      </c>
      <c r="D20" s="270">
        <v>0</v>
      </c>
      <c r="E20" s="271"/>
      <c r="F20" s="270">
        <v>0</v>
      </c>
      <c r="G20" s="266">
        <v>0</v>
      </c>
      <c r="H20" s="266">
        <v>0</v>
      </c>
      <c r="I20" s="266">
        <v>0</v>
      </c>
      <c r="J20" s="266">
        <v>0</v>
      </c>
      <c r="K20" s="266">
        <v>0</v>
      </c>
      <c r="L20" s="266">
        <v>0</v>
      </c>
      <c r="M20" s="266">
        <v>0</v>
      </c>
      <c r="N20" s="266">
        <v>0</v>
      </c>
      <c r="O20" s="266">
        <v>0</v>
      </c>
      <c r="P20" s="266">
        <v>0</v>
      </c>
      <c r="Q20" s="266">
        <v>0</v>
      </c>
      <c r="R20" s="267">
        <f ca="1">IF($F$2=TEXT(Tapa!$J$3,"mmm"),0,IF($G$2=TEXT(Tapa!$J$3,"mmm"),F20,IF($H$2=TEXT(Tapa!$J$3,"mmm"),SUM(F20:G20),IF($I$2=TEXT(Tapa!$J$3,"mmm"),SUM(F20:H20),IF($J$2=TEXT(Tapa!$J$3,"mmm"),SUM(F20:I20),IF($K$2=TEXT(Tapa!$J$3,"mmm"),SUM(F20:J20),IF($L$2=TEXT(Tapa!$J$3,"mmm"),SUM(F20:K20),IF($M$2=TEXT(Tapa!$J$3,"mmm"),SUM(F20:L20),IF($N$2=TEXT(Tapa!$J$3,"mmm"),SUM(F20:M20),IF($O$2=TEXT(Tapa!$J$3,"mmm"),SUM(F20:N20),IF($P$2=TEXT(Tapa!$J$3,"mmm"),SUM(F20:O20),IF($Q$2=TEXT(Tapa!$J$3,"mmm"),SUM(F20:P20),"otros"))))))))))))</f>
        <v>0</v>
      </c>
      <c r="S20" s="267">
        <f t="shared" ca="1" si="4"/>
        <v>0</v>
      </c>
      <c r="T20" s="267">
        <f t="shared" ca="1" si="5"/>
        <v>0</v>
      </c>
    </row>
    <row r="21" spans="2:20" s="175" customFormat="1" ht="14.1" hidden="1" customHeight="1" outlineLevel="1">
      <c r="B21" s="440"/>
      <c r="C21" s="174" t="s">
        <v>232</v>
      </c>
      <c r="D21" s="270">
        <v>0</v>
      </c>
      <c r="E21" s="271"/>
      <c r="F21" s="270">
        <v>0</v>
      </c>
      <c r="G21" s="266">
        <v>0</v>
      </c>
      <c r="H21" s="266">
        <v>0</v>
      </c>
      <c r="I21" s="266">
        <v>0</v>
      </c>
      <c r="J21" s="266">
        <v>0</v>
      </c>
      <c r="K21" s="266">
        <v>0</v>
      </c>
      <c r="L21" s="266">
        <v>0</v>
      </c>
      <c r="M21" s="266">
        <v>0</v>
      </c>
      <c r="N21" s="266">
        <v>0</v>
      </c>
      <c r="O21" s="266">
        <v>0</v>
      </c>
      <c r="P21" s="266">
        <v>0</v>
      </c>
      <c r="Q21" s="266">
        <v>0</v>
      </c>
      <c r="R21" s="267">
        <f ca="1">IF($F$2=TEXT(Tapa!$J$3,"mmm"),0,IF($G$2=TEXT(Tapa!$J$3,"mmm"),F21,IF($H$2=TEXT(Tapa!$J$3,"mmm"),SUM(F21:G21),IF($I$2=TEXT(Tapa!$J$3,"mmm"),SUM(F21:H21),IF($J$2=TEXT(Tapa!$J$3,"mmm"),SUM(F21:I21),IF($K$2=TEXT(Tapa!$J$3,"mmm"),SUM(F21:J21),IF($L$2=TEXT(Tapa!$J$3,"mmm"),SUM(F21:K21),IF($M$2=TEXT(Tapa!$J$3,"mmm"),SUM(F21:L21),IF($N$2=TEXT(Tapa!$J$3,"mmm"),SUM(F21:M21),IF($O$2=TEXT(Tapa!$J$3,"mmm"),SUM(F21:N21),IF($P$2=TEXT(Tapa!$J$3,"mmm"),SUM(F21:O21),IF($Q$2=TEXT(Tapa!$J$3,"mmm"),SUM(F21:P21),"otros"))))))))))))</f>
        <v>0</v>
      </c>
      <c r="S21" s="267">
        <f t="shared" ca="1" si="4"/>
        <v>0</v>
      </c>
      <c r="T21" s="267">
        <f t="shared" ca="1" si="5"/>
        <v>0</v>
      </c>
    </row>
    <row r="22" spans="2:20" s="175" customFormat="1" ht="14.1" hidden="1" customHeight="1" outlineLevel="1">
      <c r="B22" s="440"/>
      <c r="C22" s="174" t="s">
        <v>139</v>
      </c>
      <c r="D22" s="270">
        <v>0</v>
      </c>
      <c r="E22" s="271"/>
      <c r="F22" s="270">
        <v>0</v>
      </c>
      <c r="G22" s="266">
        <v>0</v>
      </c>
      <c r="H22" s="266">
        <v>0</v>
      </c>
      <c r="I22" s="266">
        <v>0</v>
      </c>
      <c r="J22" s="266">
        <v>0</v>
      </c>
      <c r="K22" s="266">
        <v>0</v>
      </c>
      <c r="L22" s="266">
        <v>0</v>
      </c>
      <c r="M22" s="266">
        <v>0</v>
      </c>
      <c r="N22" s="266">
        <v>0</v>
      </c>
      <c r="O22" s="266">
        <v>0</v>
      </c>
      <c r="P22" s="266">
        <v>0</v>
      </c>
      <c r="Q22" s="266">
        <v>0</v>
      </c>
      <c r="R22" s="267">
        <f ca="1">IF($F$2=TEXT(Tapa!$J$3,"mmm"),0,IF($G$2=TEXT(Tapa!$J$3,"mmm"),F22,IF($H$2=TEXT(Tapa!$J$3,"mmm"),SUM(F22:G22),IF($I$2=TEXT(Tapa!$J$3,"mmm"),SUM(F22:H22),IF($J$2=TEXT(Tapa!$J$3,"mmm"),SUM(F22:I22),IF($K$2=TEXT(Tapa!$J$3,"mmm"),SUM(F22:J22),IF($L$2=TEXT(Tapa!$J$3,"mmm"),SUM(F22:K22),IF($M$2=TEXT(Tapa!$J$3,"mmm"),SUM(F22:L22),IF($N$2=TEXT(Tapa!$J$3,"mmm"),SUM(F22:M22),IF($O$2=TEXT(Tapa!$J$3,"mmm"),SUM(F22:N22),IF($P$2=TEXT(Tapa!$J$3,"mmm"),SUM(F22:O22),IF($Q$2=TEXT(Tapa!$J$3,"mmm"),SUM(F22:P22),"otros"))))))))))))</f>
        <v>0</v>
      </c>
      <c r="S22" s="267">
        <f t="shared" ca="1" si="4"/>
        <v>0</v>
      </c>
      <c r="T22" s="267">
        <f t="shared" ca="1" si="5"/>
        <v>0</v>
      </c>
    </row>
    <row r="23" spans="2:20" s="175" customFormat="1" ht="14.1" hidden="1" customHeight="1" outlineLevel="1">
      <c r="B23" s="440"/>
      <c r="C23" s="174" t="s">
        <v>106</v>
      </c>
      <c r="D23" s="270">
        <v>18574970</v>
      </c>
      <c r="E23" s="271"/>
      <c r="F23" s="270">
        <v>0</v>
      </c>
      <c r="G23" s="266">
        <v>0</v>
      </c>
      <c r="H23" s="266">
        <v>0</v>
      </c>
      <c r="I23" s="266">
        <v>3524990</v>
      </c>
      <c r="J23" s="266">
        <v>15049980</v>
      </c>
      <c r="K23" s="266">
        <v>0</v>
      </c>
      <c r="L23" s="266">
        <v>0</v>
      </c>
      <c r="M23" s="266">
        <v>0</v>
      </c>
      <c r="N23" s="266">
        <v>0</v>
      </c>
      <c r="O23" s="266">
        <v>0</v>
      </c>
      <c r="P23" s="266">
        <v>0</v>
      </c>
      <c r="Q23" s="266">
        <v>0</v>
      </c>
      <c r="R23" s="267">
        <f ca="1">IF($F$2=TEXT(Tapa!$J$3,"mmm"),0,IF($G$2=TEXT(Tapa!$J$3,"mmm"),F23,IF($H$2=TEXT(Tapa!$J$3,"mmm"),SUM(F23:G23),IF($I$2=TEXT(Tapa!$J$3,"mmm"),SUM(F23:H23),IF($J$2=TEXT(Tapa!$J$3,"mmm"),SUM(F23:I23),IF($K$2=TEXT(Tapa!$J$3,"mmm"),SUM(F23:J23),IF($L$2=TEXT(Tapa!$J$3,"mmm"),SUM(F23:K23),IF($M$2=TEXT(Tapa!$J$3,"mmm"),SUM(F23:L23),IF($N$2=TEXT(Tapa!$J$3,"mmm"),SUM(F23:M23),IF($O$2=TEXT(Tapa!$J$3,"mmm"),SUM(F23:N23),IF($P$2=TEXT(Tapa!$J$3,"mmm"),SUM(F23:O23),IF($Q$2=TEXT(Tapa!$J$3,"mmm"),SUM(F23:P23),"otros"))))))))))))</f>
        <v>0</v>
      </c>
      <c r="S23" s="267">
        <f t="shared" ca="1" si="4"/>
        <v>18574970</v>
      </c>
      <c r="T23" s="267">
        <f t="shared" ca="1" si="5"/>
        <v>18574970</v>
      </c>
    </row>
    <row r="24" spans="2:20" s="175" customFormat="1" ht="14.1" hidden="1" customHeight="1" outlineLevel="1">
      <c r="B24" s="440"/>
      <c r="C24" s="174" t="s">
        <v>137</v>
      </c>
      <c r="D24" s="270">
        <v>0</v>
      </c>
      <c r="E24" s="271"/>
      <c r="F24" s="270">
        <v>0</v>
      </c>
      <c r="G24" s="266">
        <v>0</v>
      </c>
      <c r="H24" s="266">
        <v>0</v>
      </c>
      <c r="I24" s="266">
        <v>0</v>
      </c>
      <c r="J24" s="266">
        <v>0</v>
      </c>
      <c r="K24" s="266">
        <v>0</v>
      </c>
      <c r="L24" s="266">
        <v>0</v>
      </c>
      <c r="M24" s="266">
        <v>0</v>
      </c>
      <c r="N24" s="266">
        <v>0</v>
      </c>
      <c r="O24" s="266">
        <v>0</v>
      </c>
      <c r="P24" s="266">
        <v>0</v>
      </c>
      <c r="Q24" s="266">
        <v>0</v>
      </c>
      <c r="R24" s="267">
        <f ca="1">IF($F$2=TEXT(Tapa!$J$3,"mmm"),0,IF($G$2=TEXT(Tapa!$J$3,"mmm"),F24,IF($H$2=TEXT(Tapa!$J$3,"mmm"),SUM(F24:G24),IF($I$2=TEXT(Tapa!$J$3,"mmm"),SUM(F24:H24),IF($J$2=TEXT(Tapa!$J$3,"mmm"),SUM(F24:I24),IF($K$2=TEXT(Tapa!$J$3,"mmm"),SUM(F24:J24),IF($L$2=TEXT(Tapa!$J$3,"mmm"),SUM(F24:K24),IF($M$2=TEXT(Tapa!$J$3,"mmm"),SUM(F24:L24),IF($N$2=TEXT(Tapa!$J$3,"mmm"),SUM(F24:M24),IF($O$2=TEXT(Tapa!$J$3,"mmm"),SUM(F24:N24),IF($P$2=TEXT(Tapa!$J$3,"mmm"),SUM(F24:O24),IF($Q$2=TEXT(Tapa!$J$3,"mmm"),SUM(F24:P24),"otros"))))))))))))</f>
        <v>0</v>
      </c>
      <c r="S24" s="267">
        <f t="shared" ca="1" si="4"/>
        <v>0</v>
      </c>
      <c r="T24" s="267">
        <f t="shared" ca="1" si="5"/>
        <v>0</v>
      </c>
    </row>
    <row r="25" spans="2:20" ht="14.1" customHeight="1" collapsed="1">
      <c r="B25" s="440"/>
      <c r="C25" s="180" t="s">
        <v>279</v>
      </c>
      <c r="D25" s="264">
        <f>SUM(D26:D34)</f>
        <v>138662843</v>
      </c>
      <c r="E25" s="265"/>
      <c r="F25" s="264">
        <f>SUM(F26:F34)</f>
        <v>0</v>
      </c>
      <c r="G25" s="264">
        <f t="shared" ref="G25:T25" si="6">SUM(G26:G34)</f>
        <v>0</v>
      </c>
      <c r="H25" s="264">
        <f t="shared" si="6"/>
        <v>0</v>
      </c>
      <c r="I25" s="264">
        <f t="shared" si="6"/>
        <v>73352430</v>
      </c>
      <c r="J25" s="264">
        <f t="shared" si="6"/>
        <v>65310413</v>
      </c>
      <c r="K25" s="264">
        <f t="shared" si="6"/>
        <v>0</v>
      </c>
      <c r="L25" s="264">
        <f t="shared" si="6"/>
        <v>0</v>
      </c>
      <c r="M25" s="264">
        <f t="shared" si="6"/>
        <v>0</v>
      </c>
      <c r="N25" s="264">
        <f t="shared" si="6"/>
        <v>0</v>
      </c>
      <c r="O25" s="264">
        <f t="shared" si="6"/>
        <v>0</v>
      </c>
      <c r="P25" s="264">
        <f t="shared" si="6"/>
        <v>0</v>
      </c>
      <c r="Q25" s="264">
        <f t="shared" si="6"/>
        <v>0</v>
      </c>
      <c r="R25" s="264">
        <f t="shared" ca="1" si="6"/>
        <v>0</v>
      </c>
      <c r="S25" s="264">
        <f t="shared" ca="1" si="6"/>
        <v>138662843</v>
      </c>
      <c r="T25" s="264">
        <f t="shared" ca="1" si="6"/>
        <v>138662843</v>
      </c>
    </row>
    <row r="26" spans="2:20" ht="14.1" hidden="1" customHeight="1" outlineLevel="1">
      <c r="B26" s="440"/>
      <c r="C26" s="174" t="s">
        <v>231</v>
      </c>
      <c r="D26" s="270">
        <v>138662843</v>
      </c>
      <c r="E26" s="271"/>
      <c r="F26" s="270">
        <v>0</v>
      </c>
      <c r="G26" s="266">
        <v>0</v>
      </c>
      <c r="H26" s="266">
        <v>0</v>
      </c>
      <c r="I26" s="266">
        <v>73352430</v>
      </c>
      <c r="J26" s="266">
        <v>65310413</v>
      </c>
      <c r="K26" s="266">
        <v>0</v>
      </c>
      <c r="L26" s="266">
        <v>0</v>
      </c>
      <c r="M26" s="266">
        <v>0</v>
      </c>
      <c r="N26" s="266">
        <v>0</v>
      </c>
      <c r="O26" s="266">
        <v>0</v>
      </c>
      <c r="P26" s="266">
        <v>0</v>
      </c>
      <c r="Q26" s="266">
        <v>0</v>
      </c>
      <c r="R26" s="267">
        <f ca="1">IF($F$2=TEXT(Tapa!$J$3,"mmm"),0,IF($G$2=TEXT(Tapa!$J$3,"mmm"),F26,IF($H$2=TEXT(Tapa!$J$3,"mmm"),SUM(F26:G26),IF($I$2=TEXT(Tapa!$J$3,"mmm"),SUM(F26:H26),IF($J$2=TEXT(Tapa!$J$3,"mmm"),SUM(F26:I26),IF($K$2=TEXT(Tapa!$J$3,"mmm"),SUM(F26:J26),IF($L$2=TEXT(Tapa!$J$3,"mmm"),SUM(F26:K26),IF($M$2=TEXT(Tapa!$J$3,"mmm"),SUM(F26:L26),IF($N$2=TEXT(Tapa!$J$3,"mmm"),SUM(F26:M26),IF($O$2=TEXT(Tapa!$J$3,"mmm"),SUM(F26:N26),IF($P$2=TEXT(Tapa!$J$3,"mmm"),SUM(F26:O26),IF($Q$2=TEXT(Tapa!$J$3,"mmm"),SUM(F26:P26),"otros"))))))))))))</f>
        <v>0</v>
      </c>
      <c r="S26" s="267">
        <f ca="1">+D26-R26</f>
        <v>138662843</v>
      </c>
      <c r="T26" s="267">
        <f ca="1">SUM(R26:S26)</f>
        <v>138662843</v>
      </c>
    </row>
    <row r="27" spans="2:20" ht="14.1" hidden="1" customHeight="1" outlineLevel="1">
      <c r="B27" s="440"/>
      <c r="C27" s="174" t="s">
        <v>35</v>
      </c>
      <c r="D27" s="270">
        <v>0</v>
      </c>
      <c r="E27" s="271"/>
      <c r="F27" s="270">
        <v>0</v>
      </c>
      <c r="G27" s="266">
        <v>0</v>
      </c>
      <c r="H27" s="266">
        <v>0</v>
      </c>
      <c r="I27" s="266">
        <v>0</v>
      </c>
      <c r="J27" s="266">
        <v>0</v>
      </c>
      <c r="K27" s="266">
        <v>0</v>
      </c>
      <c r="L27" s="266">
        <v>0</v>
      </c>
      <c r="M27" s="266">
        <v>0</v>
      </c>
      <c r="N27" s="266">
        <v>0</v>
      </c>
      <c r="O27" s="266">
        <v>0</v>
      </c>
      <c r="P27" s="266">
        <v>0</v>
      </c>
      <c r="Q27" s="266">
        <v>0</v>
      </c>
      <c r="R27" s="267">
        <f ca="1">IF($F$2=TEXT(Tapa!$J$3,"mmm"),0,IF($G$2=TEXT(Tapa!$J$3,"mmm"),F27,IF($H$2=TEXT(Tapa!$J$3,"mmm"),SUM(F27:G27),IF($I$2=TEXT(Tapa!$J$3,"mmm"),SUM(F27:H27),IF($J$2=TEXT(Tapa!$J$3,"mmm"),SUM(F27:I27),IF($K$2=TEXT(Tapa!$J$3,"mmm"),SUM(F27:J27),IF($L$2=TEXT(Tapa!$J$3,"mmm"),SUM(F27:K27),IF($M$2=TEXT(Tapa!$J$3,"mmm"),SUM(F27:L27),IF($N$2=TEXT(Tapa!$J$3,"mmm"),SUM(F27:M27),IF($O$2=TEXT(Tapa!$J$3,"mmm"),SUM(F27:N27),IF($P$2=TEXT(Tapa!$J$3,"mmm"),SUM(F27:O27),IF($Q$2=TEXT(Tapa!$J$3,"mmm"),SUM(F27:P27),"otros"))))))))))))</f>
        <v>0</v>
      </c>
      <c r="S27" s="267">
        <f t="shared" ref="S27:S35" ca="1" si="7">+D27-R27</f>
        <v>0</v>
      </c>
      <c r="T27" s="267">
        <f t="shared" ref="T27:T35" ca="1" si="8">SUM(R27:S27)</f>
        <v>0</v>
      </c>
    </row>
    <row r="28" spans="2:20" ht="14.1" hidden="1" customHeight="1" outlineLevel="1">
      <c r="B28" s="440"/>
      <c r="C28" s="174" t="s">
        <v>141</v>
      </c>
      <c r="D28" s="270">
        <v>0</v>
      </c>
      <c r="E28" s="271"/>
      <c r="F28" s="270">
        <v>0</v>
      </c>
      <c r="G28" s="266">
        <v>0</v>
      </c>
      <c r="H28" s="266">
        <v>0</v>
      </c>
      <c r="I28" s="266">
        <v>0</v>
      </c>
      <c r="J28" s="266">
        <v>0</v>
      </c>
      <c r="K28" s="266">
        <v>0</v>
      </c>
      <c r="L28" s="266">
        <v>0</v>
      </c>
      <c r="M28" s="266">
        <v>0</v>
      </c>
      <c r="N28" s="266">
        <v>0</v>
      </c>
      <c r="O28" s="266">
        <v>0</v>
      </c>
      <c r="P28" s="266">
        <v>0</v>
      </c>
      <c r="Q28" s="266">
        <v>0</v>
      </c>
      <c r="R28" s="267">
        <f ca="1">IF($F$2=TEXT(Tapa!$J$3,"mmm"),0,IF($G$2=TEXT(Tapa!$J$3,"mmm"),F28,IF($H$2=TEXT(Tapa!$J$3,"mmm"),SUM(F28:G28),IF($I$2=TEXT(Tapa!$J$3,"mmm"),SUM(F28:H28),IF($J$2=TEXT(Tapa!$J$3,"mmm"),SUM(F28:I28),IF($K$2=TEXT(Tapa!$J$3,"mmm"),SUM(F28:J28),IF($L$2=TEXT(Tapa!$J$3,"mmm"),SUM(F28:K28),IF($M$2=TEXT(Tapa!$J$3,"mmm"),SUM(F28:L28),IF($N$2=TEXT(Tapa!$J$3,"mmm"),SUM(F28:M28),IF($O$2=TEXT(Tapa!$J$3,"mmm"),SUM(F28:N28),IF($P$2=TEXT(Tapa!$J$3,"mmm"),SUM(F28:O28),IF($Q$2=TEXT(Tapa!$J$3,"mmm"),SUM(F28:P28),"otros"))))))))))))</f>
        <v>0</v>
      </c>
      <c r="S28" s="267">
        <f t="shared" ca="1" si="7"/>
        <v>0</v>
      </c>
      <c r="T28" s="267">
        <f t="shared" ca="1" si="8"/>
        <v>0</v>
      </c>
    </row>
    <row r="29" spans="2:20" ht="14.1" hidden="1" customHeight="1" outlineLevel="1">
      <c r="B29" s="440"/>
      <c r="C29" s="174" t="s">
        <v>138</v>
      </c>
      <c r="D29" s="270">
        <v>0</v>
      </c>
      <c r="E29" s="271"/>
      <c r="F29" s="270">
        <v>0</v>
      </c>
      <c r="G29" s="266">
        <v>0</v>
      </c>
      <c r="H29" s="266">
        <v>0</v>
      </c>
      <c r="I29" s="266">
        <v>0</v>
      </c>
      <c r="J29" s="266">
        <v>0</v>
      </c>
      <c r="K29" s="266">
        <v>0</v>
      </c>
      <c r="L29" s="266">
        <v>0</v>
      </c>
      <c r="M29" s="266">
        <v>0</v>
      </c>
      <c r="N29" s="266">
        <v>0</v>
      </c>
      <c r="O29" s="266">
        <v>0</v>
      </c>
      <c r="P29" s="266">
        <v>0</v>
      </c>
      <c r="Q29" s="266">
        <v>0</v>
      </c>
      <c r="R29" s="267">
        <f ca="1">IF($F$2=TEXT(Tapa!$J$3,"mmm"),0,IF($G$2=TEXT(Tapa!$J$3,"mmm"),F29,IF($H$2=TEXT(Tapa!$J$3,"mmm"),SUM(F29:G29),IF($I$2=TEXT(Tapa!$J$3,"mmm"),SUM(F29:H29),IF($J$2=TEXT(Tapa!$J$3,"mmm"),SUM(F29:I29),IF($K$2=TEXT(Tapa!$J$3,"mmm"),SUM(F29:J29),IF($L$2=TEXT(Tapa!$J$3,"mmm"),SUM(F29:K29),IF($M$2=TEXT(Tapa!$J$3,"mmm"),SUM(F29:L29),IF($N$2=TEXT(Tapa!$J$3,"mmm"),SUM(F29:M29),IF($O$2=TEXT(Tapa!$J$3,"mmm"),SUM(F29:N29),IF($P$2=TEXT(Tapa!$J$3,"mmm"),SUM(F29:O29),IF($Q$2=TEXT(Tapa!$J$3,"mmm"),SUM(F29:P29),"otros"))))))))))))</f>
        <v>0</v>
      </c>
      <c r="S29" s="267">
        <f t="shared" ca="1" si="7"/>
        <v>0</v>
      </c>
      <c r="T29" s="267">
        <f t="shared" ca="1" si="8"/>
        <v>0</v>
      </c>
    </row>
    <row r="30" spans="2:20" ht="14.1" hidden="1" customHeight="1" outlineLevel="1">
      <c r="B30" s="440"/>
      <c r="C30" s="174" t="s">
        <v>107</v>
      </c>
      <c r="D30" s="270">
        <v>0</v>
      </c>
      <c r="E30" s="271"/>
      <c r="F30" s="270">
        <v>0</v>
      </c>
      <c r="G30" s="266">
        <v>0</v>
      </c>
      <c r="H30" s="266">
        <v>0</v>
      </c>
      <c r="I30" s="266">
        <v>0</v>
      </c>
      <c r="J30" s="266">
        <v>0</v>
      </c>
      <c r="K30" s="266">
        <v>0</v>
      </c>
      <c r="L30" s="266">
        <v>0</v>
      </c>
      <c r="M30" s="266">
        <v>0</v>
      </c>
      <c r="N30" s="266">
        <v>0</v>
      </c>
      <c r="O30" s="266">
        <v>0</v>
      </c>
      <c r="P30" s="266">
        <v>0</v>
      </c>
      <c r="Q30" s="266">
        <v>0</v>
      </c>
      <c r="R30" s="267">
        <f ca="1">IF($F$2=TEXT(Tapa!$J$3,"mmm"),0,IF($G$2=TEXT(Tapa!$J$3,"mmm"),F30,IF($H$2=TEXT(Tapa!$J$3,"mmm"),SUM(F30:G30),IF($I$2=TEXT(Tapa!$J$3,"mmm"),SUM(F30:H30),IF($J$2=TEXT(Tapa!$J$3,"mmm"),SUM(F30:I30),IF($K$2=TEXT(Tapa!$J$3,"mmm"),SUM(F30:J30),IF($L$2=TEXT(Tapa!$J$3,"mmm"),SUM(F30:K30),IF($M$2=TEXT(Tapa!$J$3,"mmm"),SUM(F30:L30),IF($N$2=TEXT(Tapa!$J$3,"mmm"),SUM(F30:M30),IF($O$2=TEXT(Tapa!$J$3,"mmm"),SUM(F30:N30),IF($P$2=TEXT(Tapa!$J$3,"mmm"),SUM(F30:O30),IF($Q$2=TEXT(Tapa!$J$3,"mmm"),SUM(F30:P30),"otros"))))))))))))</f>
        <v>0</v>
      </c>
      <c r="S30" s="267">
        <f t="shared" ca="1" si="7"/>
        <v>0</v>
      </c>
      <c r="T30" s="267">
        <f t="shared" ca="1" si="8"/>
        <v>0</v>
      </c>
    </row>
    <row r="31" spans="2:20" ht="14.1" hidden="1" customHeight="1" outlineLevel="1">
      <c r="B31" s="440"/>
      <c r="C31" s="174" t="s">
        <v>232</v>
      </c>
      <c r="D31" s="270">
        <v>0</v>
      </c>
      <c r="E31" s="271"/>
      <c r="F31" s="270">
        <v>0</v>
      </c>
      <c r="G31" s="266">
        <v>0</v>
      </c>
      <c r="H31" s="266">
        <v>0</v>
      </c>
      <c r="I31" s="266">
        <v>0</v>
      </c>
      <c r="J31" s="266">
        <v>0</v>
      </c>
      <c r="K31" s="266">
        <v>0</v>
      </c>
      <c r="L31" s="266">
        <v>0</v>
      </c>
      <c r="M31" s="266">
        <v>0</v>
      </c>
      <c r="N31" s="266">
        <v>0</v>
      </c>
      <c r="O31" s="266">
        <v>0</v>
      </c>
      <c r="P31" s="266">
        <v>0</v>
      </c>
      <c r="Q31" s="266">
        <v>0</v>
      </c>
      <c r="R31" s="267">
        <f ca="1">IF($F$2=TEXT(Tapa!$J$3,"mmm"),0,IF($G$2=TEXT(Tapa!$J$3,"mmm"),F31,IF($H$2=TEXT(Tapa!$J$3,"mmm"),SUM(F31:G31),IF($I$2=TEXT(Tapa!$J$3,"mmm"),SUM(F31:H31),IF($J$2=TEXT(Tapa!$J$3,"mmm"),SUM(F31:I31),IF($K$2=TEXT(Tapa!$J$3,"mmm"),SUM(F31:J31),IF($L$2=TEXT(Tapa!$J$3,"mmm"),SUM(F31:K31),IF($M$2=TEXT(Tapa!$J$3,"mmm"),SUM(F31:L31),IF($N$2=TEXT(Tapa!$J$3,"mmm"),SUM(F31:M31),IF($O$2=TEXT(Tapa!$J$3,"mmm"),SUM(F31:N31),IF($P$2=TEXT(Tapa!$J$3,"mmm"),SUM(F31:O31),IF($Q$2=TEXT(Tapa!$J$3,"mmm"),SUM(F31:P31),"otros"))))))))))))</f>
        <v>0</v>
      </c>
      <c r="S31" s="267">
        <f t="shared" ca="1" si="7"/>
        <v>0</v>
      </c>
      <c r="T31" s="267">
        <f t="shared" ca="1" si="8"/>
        <v>0</v>
      </c>
    </row>
    <row r="32" spans="2:20" ht="14.1" hidden="1" customHeight="1" outlineLevel="1">
      <c r="B32" s="440"/>
      <c r="C32" s="174" t="s">
        <v>139</v>
      </c>
      <c r="D32" s="270">
        <v>0</v>
      </c>
      <c r="E32" s="271"/>
      <c r="F32" s="270">
        <v>0</v>
      </c>
      <c r="G32" s="266">
        <v>0</v>
      </c>
      <c r="H32" s="266">
        <v>0</v>
      </c>
      <c r="I32" s="266">
        <v>0</v>
      </c>
      <c r="J32" s="266">
        <v>0</v>
      </c>
      <c r="K32" s="266">
        <v>0</v>
      </c>
      <c r="L32" s="266">
        <v>0</v>
      </c>
      <c r="M32" s="266">
        <v>0</v>
      </c>
      <c r="N32" s="266">
        <v>0</v>
      </c>
      <c r="O32" s="266">
        <v>0</v>
      </c>
      <c r="P32" s="266">
        <v>0</v>
      </c>
      <c r="Q32" s="266">
        <v>0</v>
      </c>
      <c r="R32" s="267">
        <f ca="1">IF($F$2=TEXT(Tapa!$J$3,"mmm"),0,IF($G$2=TEXT(Tapa!$J$3,"mmm"),F32,IF($H$2=TEXT(Tapa!$J$3,"mmm"),SUM(F32:G32),IF($I$2=TEXT(Tapa!$J$3,"mmm"),SUM(F32:H32),IF($J$2=TEXT(Tapa!$J$3,"mmm"),SUM(F32:I32),IF($K$2=TEXT(Tapa!$J$3,"mmm"),SUM(F32:J32),IF($L$2=TEXT(Tapa!$J$3,"mmm"),SUM(F32:K32),IF($M$2=TEXT(Tapa!$J$3,"mmm"),SUM(F32:L32),IF($N$2=TEXT(Tapa!$J$3,"mmm"),SUM(F32:M32),IF($O$2=TEXT(Tapa!$J$3,"mmm"),SUM(F32:N32),IF($P$2=TEXT(Tapa!$J$3,"mmm"),SUM(F32:O32),IF($Q$2=TEXT(Tapa!$J$3,"mmm"),SUM(F32:P32),"otros"))))))))))))</f>
        <v>0</v>
      </c>
      <c r="S32" s="267">
        <f t="shared" ca="1" si="7"/>
        <v>0</v>
      </c>
      <c r="T32" s="267">
        <f t="shared" ca="1" si="8"/>
        <v>0</v>
      </c>
    </row>
    <row r="33" spans="2:20" ht="14.1" hidden="1" customHeight="1" outlineLevel="1">
      <c r="B33" s="440"/>
      <c r="C33" s="174" t="s">
        <v>106</v>
      </c>
      <c r="D33" s="270">
        <v>0</v>
      </c>
      <c r="E33" s="271"/>
      <c r="F33" s="270">
        <v>0</v>
      </c>
      <c r="G33" s="266">
        <v>0</v>
      </c>
      <c r="H33" s="266">
        <v>0</v>
      </c>
      <c r="I33" s="266">
        <v>0</v>
      </c>
      <c r="J33" s="266">
        <v>0</v>
      </c>
      <c r="K33" s="266">
        <v>0</v>
      </c>
      <c r="L33" s="266">
        <v>0</v>
      </c>
      <c r="M33" s="266">
        <v>0</v>
      </c>
      <c r="N33" s="266">
        <v>0</v>
      </c>
      <c r="O33" s="266">
        <v>0</v>
      </c>
      <c r="P33" s="266">
        <v>0</v>
      </c>
      <c r="Q33" s="266">
        <v>0</v>
      </c>
      <c r="R33" s="267">
        <f ca="1">IF($F$2=TEXT(Tapa!$J$3,"mmm"),0,IF($G$2=TEXT(Tapa!$J$3,"mmm"),F33,IF($H$2=TEXT(Tapa!$J$3,"mmm"),SUM(F33:G33),IF($I$2=TEXT(Tapa!$J$3,"mmm"),SUM(F33:H33),IF($J$2=TEXT(Tapa!$J$3,"mmm"),SUM(F33:I33),IF($K$2=TEXT(Tapa!$J$3,"mmm"),SUM(F33:J33),IF($L$2=TEXT(Tapa!$J$3,"mmm"),SUM(F33:K33),IF($M$2=TEXT(Tapa!$J$3,"mmm"),SUM(F33:L33),IF($N$2=TEXT(Tapa!$J$3,"mmm"),SUM(F33:M33),IF($O$2=TEXT(Tapa!$J$3,"mmm"),SUM(F33:N33),IF($P$2=TEXT(Tapa!$J$3,"mmm"),SUM(F33:O33),IF($Q$2=TEXT(Tapa!$J$3,"mmm"),SUM(F33:P33),"otros"))))))))))))</f>
        <v>0</v>
      </c>
      <c r="S33" s="267">
        <f t="shared" ca="1" si="7"/>
        <v>0</v>
      </c>
      <c r="T33" s="267">
        <f t="shared" ca="1" si="8"/>
        <v>0</v>
      </c>
    </row>
    <row r="34" spans="2:20" ht="14.1" hidden="1" customHeight="1" outlineLevel="1">
      <c r="B34" s="443"/>
      <c r="C34" s="174" t="s">
        <v>137</v>
      </c>
      <c r="D34" s="270">
        <v>0</v>
      </c>
      <c r="E34" s="271"/>
      <c r="F34" s="270">
        <v>0</v>
      </c>
      <c r="G34" s="266">
        <v>0</v>
      </c>
      <c r="H34" s="266">
        <v>0</v>
      </c>
      <c r="I34" s="266">
        <v>0</v>
      </c>
      <c r="J34" s="266">
        <v>0</v>
      </c>
      <c r="K34" s="266">
        <v>0</v>
      </c>
      <c r="L34" s="266">
        <v>0</v>
      </c>
      <c r="M34" s="266">
        <v>0</v>
      </c>
      <c r="N34" s="266">
        <v>0</v>
      </c>
      <c r="O34" s="266">
        <v>0</v>
      </c>
      <c r="P34" s="266">
        <v>0</v>
      </c>
      <c r="Q34" s="266">
        <v>0</v>
      </c>
      <c r="R34" s="267">
        <f ca="1">IF($F$2=TEXT(Tapa!$J$3,"mmm"),0,IF($G$2=TEXT(Tapa!$J$3,"mmm"),F34,IF($H$2=TEXT(Tapa!$J$3,"mmm"),SUM(F34:G34),IF($I$2=TEXT(Tapa!$J$3,"mmm"),SUM(F34:H34),IF($J$2=TEXT(Tapa!$J$3,"mmm"),SUM(F34:I34),IF($K$2=TEXT(Tapa!$J$3,"mmm"),SUM(F34:J34),IF($L$2=TEXT(Tapa!$J$3,"mmm"),SUM(F34:K34),IF($M$2=TEXT(Tapa!$J$3,"mmm"),SUM(F34:L34),IF($N$2=TEXT(Tapa!$J$3,"mmm"),SUM(F34:M34),IF($O$2=TEXT(Tapa!$J$3,"mmm"),SUM(F34:N34),IF($P$2=TEXT(Tapa!$J$3,"mmm"),SUM(F34:O34),IF($Q$2=TEXT(Tapa!$J$3,"mmm"),SUM(F34:P34),"otros"))))))))))))</f>
        <v>0</v>
      </c>
      <c r="S34" s="267">
        <f t="shared" ca="1" si="7"/>
        <v>0</v>
      </c>
      <c r="T34" s="267">
        <f t="shared" ca="1" si="8"/>
        <v>0</v>
      </c>
    </row>
    <row r="35" spans="2:20" ht="14.1" customHeight="1" collapsed="1">
      <c r="B35" s="179" t="s">
        <v>132</v>
      </c>
      <c r="C35" s="176"/>
      <c r="D35" s="272">
        <f t="shared" ref="D27:D35" si="9">SUM(F35:Q35)</f>
        <v>157237813</v>
      </c>
      <c r="E35" s="269"/>
      <c r="F35" s="268">
        <v>0</v>
      </c>
      <c r="G35" s="268">
        <v>0</v>
      </c>
      <c r="H35" s="268">
        <v>0</v>
      </c>
      <c r="I35" s="268">
        <v>76877420</v>
      </c>
      <c r="J35" s="268">
        <v>80360393</v>
      </c>
      <c r="K35" s="268">
        <v>0</v>
      </c>
      <c r="L35" s="268">
        <v>0</v>
      </c>
      <c r="M35" s="268">
        <v>0</v>
      </c>
      <c r="N35" s="268">
        <v>0</v>
      </c>
      <c r="O35" s="268">
        <v>0</v>
      </c>
      <c r="P35" s="268">
        <v>0</v>
      </c>
      <c r="Q35" s="268">
        <v>0</v>
      </c>
      <c r="R35" s="275">
        <f ca="1">IF($F$2=TEXT(Tapa!$J$3,"mmm"),0,IF($G$2=TEXT(Tapa!$J$3,"mmm"),F35,IF($H$2=TEXT(Tapa!$J$3,"mmm"),SUM(F35:G35),IF($I$2=TEXT(Tapa!$J$3,"mmm"),SUM(F35:H35),IF($J$2=TEXT(Tapa!$J$3,"mmm"),SUM(F35:I35),IF($K$2=TEXT(Tapa!$J$3,"mmm"),SUM(F35:J35),IF($L$2=TEXT(Tapa!$J$3,"mmm"),SUM(F35:K35),IF($M$2=TEXT(Tapa!$J$3,"mmm"),SUM(F35:L35),IF($N$2=TEXT(Tapa!$J$3,"mmm"),SUM(F35:M35),IF($O$2=TEXT(Tapa!$J$3,"mmm"),SUM(F35:N35),IF($P$2=TEXT(Tapa!$J$3,"mmm"),SUM(F35:O35),IF($Q$2=TEXT(Tapa!$J$3,"mmm"),SUM(F35:P35),"otros"))))))))))))</f>
        <v>0</v>
      </c>
      <c r="S35" s="275">
        <f t="shared" ca="1" si="7"/>
        <v>157237813</v>
      </c>
      <c r="T35" s="275">
        <f t="shared" ca="1" si="8"/>
        <v>157237813</v>
      </c>
    </row>
    <row r="36" spans="2:20" ht="14.1" customHeight="1"/>
    <row r="37" spans="2:20" ht="14.1" customHeight="1">
      <c r="B37" s="442" t="s">
        <v>295</v>
      </c>
      <c r="C37" s="180" t="s">
        <v>293</v>
      </c>
      <c r="D37" s="264">
        <f>SUM(D38:D46)</f>
        <v>18574970</v>
      </c>
      <c r="E37" s="265"/>
      <c r="F37" s="264">
        <f>SUM(F38:F46)</f>
        <v>0</v>
      </c>
      <c r="G37" s="264">
        <f t="shared" ref="G37:T37" si="10">SUM(G38:G46)</f>
        <v>0</v>
      </c>
      <c r="H37" s="264">
        <f t="shared" si="10"/>
        <v>0</v>
      </c>
      <c r="I37" s="264">
        <f t="shared" si="10"/>
        <v>3524990</v>
      </c>
      <c r="J37" s="264">
        <f t="shared" si="10"/>
        <v>15049980</v>
      </c>
      <c r="K37" s="264">
        <f t="shared" si="10"/>
        <v>0</v>
      </c>
      <c r="L37" s="264">
        <f t="shared" si="10"/>
        <v>0</v>
      </c>
      <c r="M37" s="264">
        <f t="shared" si="10"/>
        <v>0</v>
      </c>
      <c r="N37" s="264">
        <f t="shared" si="10"/>
        <v>0</v>
      </c>
      <c r="O37" s="264">
        <f t="shared" si="10"/>
        <v>0</v>
      </c>
      <c r="P37" s="264">
        <f t="shared" si="10"/>
        <v>0</v>
      </c>
      <c r="Q37" s="264">
        <f t="shared" si="10"/>
        <v>0</v>
      </c>
      <c r="R37" s="264">
        <f t="shared" ca="1" si="10"/>
        <v>0</v>
      </c>
      <c r="S37" s="264">
        <f t="shared" ca="1" si="10"/>
        <v>18574970</v>
      </c>
      <c r="T37" s="264">
        <f t="shared" ca="1" si="10"/>
        <v>18574970</v>
      </c>
    </row>
    <row r="38" spans="2:20" ht="14.1" hidden="1" customHeight="1" outlineLevel="1">
      <c r="B38" s="440"/>
      <c r="C38" s="174" t="s">
        <v>231</v>
      </c>
      <c r="D38" s="270">
        <v>0</v>
      </c>
      <c r="E38" s="271"/>
      <c r="F38" s="270">
        <v>0</v>
      </c>
      <c r="G38" s="266">
        <v>0</v>
      </c>
      <c r="H38" s="266">
        <v>0</v>
      </c>
      <c r="I38" s="266">
        <v>0</v>
      </c>
      <c r="J38" s="266">
        <v>0</v>
      </c>
      <c r="K38" s="266">
        <v>0</v>
      </c>
      <c r="L38" s="266">
        <v>0</v>
      </c>
      <c r="M38" s="266">
        <v>0</v>
      </c>
      <c r="N38" s="266">
        <v>0</v>
      </c>
      <c r="O38" s="266">
        <v>0</v>
      </c>
      <c r="P38" s="266">
        <v>0</v>
      </c>
      <c r="Q38" s="266">
        <v>0</v>
      </c>
      <c r="R38" s="267">
        <f ca="1">IF($F$2=TEXT(Tapa!$J$3,"mmm"),0,IF($G$2=TEXT(Tapa!$J$3,"mmm"),F38,IF($H$2=TEXT(Tapa!$J$3,"mmm"),SUM(F38:G38),IF($I$2=TEXT(Tapa!$J$3,"mmm"),SUM(F38:H38),IF($J$2=TEXT(Tapa!$J$3,"mmm"),SUM(F38:I38),IF($K$2=TEXT(Tapa!$J$3,"mmm"),SUM(F38:J38),IF($L$2=TEXT(Tapa!$J$3,"mmm"),SUM(F38:K38),IF($M$2=TEXT(Tapa!$J$3,"mmm"),SUM(F38:L38),IF($N$2=TEXT(Tapa!$J$3,"mmm"),SUM(F38:M38),IF($O$2=TEXT(Tapa!$J$3,"mmm"),SUM(F38:N38),IF($P$2=TEXT(Tapa!$J$3,"mmm"),SUM(F38:O38),IF($Q$2=TEXT(Tapa!$J$3,"mmm"),SUM(F38:P38),"otros"))))))))))))</f>
        <v>0</v>
      </c>
      <c r="S38" s="267">
        <f ca="1">+D38-R38</f>
        <v>0</v>
      </c>
      <c r="T38" s="267">
        <f ca="1">SUM(R38:S38)</f>
        <v>0</v>
      </c>
    </row>
    <row r="39" spans="2:20" ht="14.1" hidden="1" customHeight="1" outlineLevel="1">
      <c r="B39" s="440"/>
      <c r="C39" s="174" t="s">
        <v>35</v>
      </c>
      <c r="D39" s="270">
        <v>0</v>
      </c>
      <c r="E39" s="271"/>
      <c r="F39" s="270">
        <v>0</v>
      </c>
      <c r="G39" s="266">
        <v>0</v>
      </c>
      <c r="H39" s="266">
        <v>0</v>
      </c>
      <c r="I39" s="266">
        <v>0</v>
      </c>
      <c r="J39" s="266">
        <v>0</v>
      </c>
      <c r="K39" s="266">
        <v>0</v>
      </c>
      <c r="L39" s="266">
        <v>0</v>
      </c>
      <c r="M39" s="266">
        <v>0</v>
      </c>
      <c r="N39" s="266">
        <v>0</v>
      </c>
      <c r="O39" s="266">
        <v>0</v>
      </c>
      <c r="P39" s="266">
        <v>0</v>
      </c>
      <c r="Q39" s="266">
        <v>0</v>
      </c>
      <c r="R39" s="267">
        <f ca="1">IF($F$2=TEXT(Tapa!$J$3,"mmm"),0,IF($G$2=TEXT(Tapa!$J$3,"mmm"),F39,IF($H$2=TEXT(Tapa!$J$3,"mmm"),SUM(F39:G39),IF($I$2=TEXT(Tapa!$J$3,"mmm"),SUM(F39:H39),IF($J$2=TEXT(Tapa!$J$3,"mmm"),SUM(F39:I39),IF($K$2=TEXT(Tapa!$J$3,"mmm"),SUM(F39:J39),IF($L$2=TEXT(Tapa!$J$3,"mmm"),SUM(F39:K39),IF($M$2=TEXT(Tapa!$J$3,"mmm"),SUM(F39:L39),IF($N$2=TEXT(Tapa!$J$3,"mmm"),SUM(F39:M39),IF($O$2=TEXT(Tapa!$J$3,"mmm"),SUM(F39:N39),IF($P$2=TEXT(Tapa!$J$3,"mmm"),SUM(F39:O39),IF($Q$2=TEXT(Tapa!$J$3,"mmm"),SUM(F39:P39),"otros"))))))))))))</f>
        <v>0</v>
      </c>
      <c r="S39" s="267">
        <f t="shared" ref="S39:S47" ca="1" si="11">+D39-R39</f>
        <v>0</v>
      </c>
      <c r="T39" s="267">
        <f t="shared" ref="T39:T47" ca="1" si="12">SUM(R39:S39)</f>
        <v>0</v>
      </c>
    </row>
    <row r="40" spans="2:20" ht="14.1" hidden="1" customHeight="1" outlineLevel="1">
      <c r="B40" s="440"/>
      <c r="C40" s="174" t="s">
        <v>141</v>
      </c>
      <c r="D40" s="270">
        <v>0</v>
      </c>
      <c r="E40" s="271"/>
      <c r="F40" s="270">
        <v>0</v>
      </c>
      <c r="G40" s="266">
        <v>0</v>
      </c>
      <c r="H40" s="266">
        <v>0</v>
      </c>
      <c r="I40" s="266">
        <v>0</v>
      </c>
      <c r="J40" s="266">
        <v>0</v>
      </c>
      <c r="K40" s="266">
        <v>0</v>
      </c>
      <c r="L40" s="266">
        <v>0</v>
      </c>
      <c r="M40" s="266">
        <v>0</v>
      </c>
      <c r="N40" s="266">
        <v>0</v>
      </c>
      <c r="O40" s="266">
        <v>0</v>
      </c>
      <c r="P40" s="266">
        <v>0</v>
      </c>
      <c r="Q40" s="266">
        <v>0</v>
      </c>
      <c r="R40" s="267">
        <f ca="1">IF($F$2=TEXT(Tapa!$J$3,"mmm"),0,IF($G$2=TEXT(Tapa!$J$3,"mmm"),F40,IF($H$2=TEXT(Tapa!$J$3,"mmm"),SUM(F40:G40),IF($I$2=TEXT(Tapa!$J$3,"mmm"),SUM(F40:H40),IF($J$2=TEXT(Tapa!$J$3,"mmm"),SUM(F40:I40),IF($K$2=TEXT(Tapa!$J$3,"mmm"),SUM(F40:J40),IF($L$2=TEXT(Tapa!$J$3,"mmm"),SUM(F40:K40),IF($M$2=TEXT(Tapa!$J$3,"mmm"),SUM(F40:L40),IF($N$2=TEXT(Tapa!$J$3,"mmm"),SUM(F40:M40),IF($O$2=TEXT(Tapa!$J$3,"mmm"),SUM(F40:N40),IF($P$2=TEXT(Tapa!$J$3,"mmm"),SUM(F40:O40),IF($Q$2=TEXT(Tapa!$J$3,"mmm"),SUM(F40:P40),"otros"))))))))))))</f>
        <v>0</v>
      </c>
      <c r="S40" s="267">
        <f t="shared" ca="1" si="11"/>
        <v>0</v>
      </c>
      <c r="T40" s="267">
        <f t="shared" ca="1" si="12"/>
        <v>0</v>
      </c>
    </row>
    <row r="41" spans="2:20" ht="14.1" hidden="1" customHeight="1" outlineLevel="1">
      <c r="B41" s="440"/>
      <c r="C41" s="174" t="s">
        <v>138</v>
      </c>
      <c r="D41" s="270">
        <v>0</v>
      </c>
      <c r="E41" s="271"/>
      <c r="F41" s="270">
        <v>0</v>
      </c>
      <c r="G41" s="266">
        <v>0</v>
      </c>
      <c r="H41" s="266">
        <v>0</v>
      </c>
      <c r="I41" s="266">
        <v>0</v>
      </c>
      <c r="J41" s="266">
        <v>0</v>
      </c>
      <c r="K41" s="266">
        <v>0</v>
      </c>
      <c r="L41" s="266">
        <v>0</v>
      </c>
      <c r="M41" s="266">
        <v>0</v>
      </c>
      <c r="N41" s="266">
        <v>0</v>
      </c>
      <c r="O41" s="266">
        <v>0</v>
      </c>
      <c r="P41" s="266">
        <v>0</v>
      </c>
      <c r="Q41" s="266">
        <v>0</v>
      </c>
      <c r="R41" s="267">
        <f ca="1">IF($F$2=TEXT(Tapa!$J$3,"mmm"),0,IF($G$2=TEXT(Tapa!$J$3,"mmm"),F41,IF($H$2=TEXT(Tapa!$J$3,"mmm"),SUM(F41:G41),IF($I$2=TEXT(Tapa!$J$3,"mmm"),SUM(F41:H41),IF($J$2=TEXT(Tapa!$J$3,"mmm"),SUM(F41:I41),IF($K$2=TEXT(Tapa!$J$3,"mmm"),SUM(F41:J41),IF($L$2=TEXT(Tapa!$J$3,"mmm"),SUM(F41:K41),IF($M$2=TEXT(Tapa!$J$3,"mmm"),SUM(F41:L41),IF($N$2=TEXT(Tapa!$J$3,"mmm"),SUM(F41:M41),IF($O$2=TEXT(Tapa!$J$3,"mmm"),SUM(F41:N41),IF($P$2=TEXT(Tapa!$J$3,"mmm"),SUM(F41:O41),IF($Q$2=TEXT(Tapa!$J$3,"mmm"),SUM(F41:P41),"otros"))))))))))))</f>
        <v>0</v>
      </c>
      <c r="S41" s="267">
        <f t="shared" ca="1" si="11"/>
        <v>0</v>
      </c>
      <c r="T41" s="267">
        <f t="shared" ca="1" si="12"/>
        <v>0</v>
      </c>
    </row>
    <row r="42" spans="2:20" ht="14.1" hidden="1" customHeight="1" outlineLevel="1">
      <c r="B42" s="440"/>
      <c r="C42" s="174" t="s">
        <v>107</v>
      </c>
      <c r="D42" s="270">
        <v>0</v>
      </c>
      <c r="E42" s="271"/>
      <c r="F42" s="270">
        <v>0</v>
      </c>
      <c r="G42" s="266">
        <v>0</v>
      </c>
      <c r="H42" s="266">
        <v>0</v>
      </c>
      <c r="I42" s="266">
        <v>0</v>
      </c>
      <c r="J42" s="266">
        <v>0</v>
      </c>
      <c r="K42" s="266">
        <v>0</v>
      </c>
      <c r="L42" s="266">
        <v>0</v>
      </c>
      <c r="M42" s="266">
        <v>0</v>
      </c>
      <c r="N42" s="266">
        <v>0</v>
      </c>
      <c r="O42" s="266">
        <v>0</v>
      </c>
      <c r="P42" s="266">
        <v>0</v>
      </c>
      <c r="Q42" s="266">
        <v>0</v>
      </c>
      <c r="R42" s="267">
        <f ca="1">IF($F$2=TEXT(Tapa!$J$3,"mmm"),0,IF($G$2=TEXT(Tapa!$J$3,"mmm"),F42,IF($H$2=TEXT(Tapa!$J$3,"mmm"),SUM(F42:G42),IF($I$2=TEXT(Tapa!$J$3,"mmm"),SUM(F42:H42),IF($J$2=TEXT(Tapa!$J$3,"mmm"),SUM(F42:I42),IF($K$2=TEXT(Tapa!$J$3,"mmm"),SUM(F42:J42),IF($L$2=TEXT(Tapa!$J$3,"mmm"),SUM(F42:K42),IF($M$2=TEXT(Tapa!$J$3,"mmm"),SUM(F42:L42),IF($N$2=TEXT(Tapa!$J$3,"mmm"),SUM(F42:M42),IF($O$2=TEXT(Tapa!$J$3,"mmm"),SUM(F42:N42),IF($P$2=TEXT(Tapa!$J$3,"mmm"),SUM(F42:O42),IF($Q$2=TEXT(Tapa!$J$3,"mmm"),SUM(F42:P42),"otros"))))))))))))</f>
        <v>0</v>
      </c>
      <c r="S42" s="267">
        <f t="shared" ca="1" si="11"/>
        <v>0</v>
      </c>
      <c r="T42" s="267">
        <f t="shared" ca="1" si="12"/>
        <v>0</v>
      </c>
    </row>
    <row r="43" spans="2:20" ht="14.1" hidden="1" customHeight="1" outlineLevel="1">
      <c r="B43" s="440"/>
      <c r="C43" s="174" t="s">
        <v>232</v>
      </c>
      <c r="D43" s="270">
        <v>0</v>
      </c>
      <c r="E43" s="271"/>
      <c r="F43" s="270">
        <v>0</v>
      </c>
      <c r="G43" s="266">
        <v>0</v>
      </c>
      <c r="H43" s="266">
        <v>0</v>
      </c>
      <c r="I43" s="266">
        <v>0</v>
      </c>
      <c r="J43" s="266">
        <v>0</v>
      </c>
      <c r="K43" s="266">
        <v>0</v>
      </c>
      <c r="L43" s="266">
        <v>0</v>
      </c>
      <c r="M43" s="266">
        <v>0</v>
      </c>
      <c r="N43" s="266">
        <v>0</v>
      </c>
      <c r="O43" s="266">
        <v>0</v>
      </c>
      <c r="P43" s="266">
        <v>0</v>
      </c>
      <c r="Q43" s="266">
        <v>0</v>
      </c>
      <c r="R43" s="267">
        <f ca="1">IF($F$2=TEXT(Tapa!$J$3,"mmm"),0,IF($G$2=TEXT(Tapa!$J$3,"mmm"),F43,IF($H$2=TEXT(Tapa!$J$3,"mmm"),SUM(F43:G43),IF($I$2=TEXT(Tapa!$J$3,"mmm"),SUM(F43:H43),IF($J$2=TEXT(Tapa!$J$3,"mmm"),SUM(F43:I43),IF($K$2=TEXT(Tapa!$J$3,"mmm"),SUM(F43:J43),IF($L$2=TEXT(Tapa!$J$3,"mmm"),SUM(F43:K43),IF($M$2=TEXT(Tapa!$J$3,"mmm"),SUM(F43:L43),IF($N$2=TEXT(Tapa!$J$3,"mmm"),SUM(F43:M43),IF($O$2=TEXT(Tapa!$J$3,"mmm"),SUM(F43:N43),IF($P$2=TEXT(Tapa!$J$3,"mmm"),SUM(F43:O43),IF($Q$2=TEXT(Tapa!$J$3,"mmm"),SUM(F43:P43),"otros"))))))))))))</f>
        <v>0</v>
      </c>
      <c r="S43" s="267">
        <f t="shared" ca="1" si="11"/>
        <v>0</v>
      </c>
      <c r="T43" s="267">
        <f t="shared" ca="1" si="12"/>
        <v>0</v>
      </c>
    </row>
    <row r="44" spans="2:20" ht="14.1" hidden="1" customHeight="1" outlineLevel="1">
      <c r="B44" s="440"/>
      <c r="C44" s="174" t="s">
        <v>139</v>
      </c>
      <c r="D44" s="270">
        <v>0</v>
      </c>
      <c r="E44" s="271"/>
      <c r="F44" s="270">
        <v>0</v>
      </c>
      <c r="G44" s="266">
        <v>0</v>
      </c>
      <c r="H44" s="266">
        <v>0</v>
      </c>
      <c r="I44" s="266">
        <v>0</v>
      </c>
      <c r="J44" s="266">
        <v>0</v>
      </c>
      <c r="K44" s="266">
        <v>0</v>
      </c>
      <c r="L44" s="266">
        <v>0</v>
      </c>
      <c r="M44" s="266">
        <v>0</v>
      </c>
      <c r="N44" s="266">
        <v>0</v>
      </c>
      <c r="O44" s="266">
        <v>0</v>
      </c>
      <c r="P44" s="266">
        <v>0</v>
      </c>
      <c r="Q44" s="266">
        <v>0</v>
      </c>
      <c r="R44" s="267">
        <f ca="1">IF($F$2=TEXT(Tapa!$J$3,"mmm"),0,IF($G$2=TEXT(Tapa!$J$3,"mmm"),F44,IF($H$2=TEXT(Tapa!$J$3,"mmm"),SUM(F44:G44),IF($I$2=TEXT(Tapa!$J$3,"mmm"),SUM(F44:H44),IF($J$2=TEXT(Tapa!$J$3,"mmm"),SUM(F44:I44),IF($K$2=TEXT(Tapa!$J$3,"mmm"),SUM(F44:J44),IF($L$2=TEXT(Tapa!$J$3,"mmm"),SUM(F44:K44),IF($M$2=TEXT(Tapa!$J$3,"mmm"),SUM(F44:L44),IF($N$2=TEXT(Tapa!$J$3,"mmm"),SUM(F44:M44),IF($O$2=TEXT(Tapa!$J$3,"mmm"),SUM(F44:N44),IF($P$2=TEXT(Tapa!$J$3,"mmm"),SUM(F44:O44),IF($Q$2=TEXT(Tapa!$J$3,"mmm"),SUM(F44:P44),"otros"))))))))))))</f>
        <v>0</v>
      </c>
      <c r="S44" s="267">
        <f t="shared" ca="1" si="11"/>
        <v>0</v>
      </c>
      <c r="T44" s="267">
        <f t="shared" ca="1" si="12"/>
        <v>0</v>
      </c>
    </row>
    <row r="45" spans="2:20" ht="14.1" hidden="1" customHeight="1" outlineLevel="1">
      <c r="B45" s="440"/>
      <c r="C45" s="174" t="s">
        <v>106</v>
      </c>
      <c r="D45" s="270">
        <v>18574970</v>
      </c>
      <c r="E45" s="271"/>
      <c r="F45" s="270">
        <v>0</v>
      </c>
      <c r="G45" s="266">
        <v>0</v>
      </c>
      <c r="H45" s="266">
        <v>0</v>
      </c>
      <c r="I45" s="266">
        <v>3524990</v>
      </c>
      <c r="J45" s="266">
        <v>15049980</v>
      </c>
      <c r="K45" s="266">
        <v>0</v>
      </c>
      <c r="L45" s="266">
        <v>0</v>
      </c>
      <c r="M45" s="266">
        <v>0</v>
      </c>
      <c r="N45" s="266">
        <v>0</v>
      </c>
      <c r="O45" s="266">
        <v>0</v>
      </c>
      <c r="P45" s="266">
        <v>0</v>
      </c>
      <c r="Q45" s="266">
        <v>0</v>
      </c>
      <c r="R45" s="267">
        <f ca="1">IF($F$2=TEXT(Tapa!$J$3,"mmm"),0,IF($G$2=TEXT(Tapa!$J$3,"mmm"),F45,IF($H$2=TEXT(Tapa!$J$3,"mmm"),SUM(F45:G45),IF($I$2=TEXT(Tapa!$J$3,"mmm"),SUM(F45:H45),IF($J$2=TEXT(Tapa!$J$3,"mmm"),SUM(F45:I45),IF($K$2=TEXT(Tapa!$J$3,"mmm"),SUM(F45:J45),IF($L$2=TEXT(Tapa!$J$3,"mmm"),SUM(F45:K45),IF($M$2=TEXT(Tapa!$J$3,"mmm"),SUM(F45:L45),IF($N$2=TEXT(Tapa!$J$3,"mmm"),SUM(F45:M45),IF($O$2=TEXT(Tapa!$J$3,"mmm"),SUM(F45:N45),IF($P$2=TEXT(Tapa!$J$3,"mmm"),SUM(F45:O45),IF($Q$2=TEXT(Tapa!$J$3,"mmm"),SUM(F45:P45),"otros"))))))))))))</f>
        <v>0</v>
      </c>
      <c r="S45" s="267">
        <f t="shared" ca="1" si="11"/>
        <v>18574970</v>
      </c>
      <c r="T45" s="267">
        <f t="shared" ca="1" si="12"/>
        <v>18574970</v>
      </c>
    </row>
    <row r="46" spans="2:20" ht="14.1" hidden="1" customHeight="1" outlineLevel="1">
      <c r="B46" s="443"/>
      <c r="C46" s="174" t="s">
        <v>137</v>
      </c>
      <c r="D46" s="270">
        <v>0</v>
      </c>
      <c r="E46" s="271"/>
      <c r="F46" s="270">
        <v>0</v>
      </c>
      <c r="G46" s="266">
        <v>0</v>
      </c>
      <c r="H46" s="266">
        <v>0</v>
      </c>
      <c r="I46" s="266">
        <v>0</v>
      </c>
      <c r="J46" s="266">
        <v>0</v>
      </c>
      <c r="K46" s="266">
        <v>0</v>
      </c>
      <c r="L46" s="266">
        <v>0</v>
      </c>
      <c r="M46" s="266">
        <v>0</v>
      </c>
      <c r="N46" s="266">
        <v>0</v>
      </c>
      <c r="O46" s="266">
        <v>0</v>
      </c>
      <c r="P46" s="266">
        <v>0</v>
      </c>
      <c r="Q46" s="266">
        <v>0</v>
      </c>
      <c r="R46" s="267">
        <f ca="1">IF($F$2=TEXT(Tapa!$J$3,"mmm"),0,IF($G$2=TEXT(Tapa!$J$3,"mmm"),F46,IF($H$2=TEXT(Tapa!$J$3,"mmm"),SUM(F46:G46),IF($I$2=TEXT(Tapa!$J$3,"mmm"),SUM(F46:H46),IF($J$2=TEXT(Tapa!$J$3,"mmm"),SUM(F46:I46),IF($K$2=TEXT(Tapa!$J$3,"mmm"),SUM(F46:J46),IF($L$2=TEXT(Tapa!$J$3,"mmm"),SUM(F46:K46),IF($M$2=TEXT(Tapa!$J$3,"mmm"),SUM(F46:L46),IF($N$2=TEXT(Tapa!$J$3,"mmm"),SUM(F46:M46),IF($O$2=TEXT(Tapa!$J$3,"mmm"),SUM(F46:N46),IF($P$2=TEXT(Tapa!$J$3,"mmm"),SUM(F46:O46),IF($Q$2=TEXT(Tapa!$J$3,"mmm"),SUM(F46:P46),"otros"))))))))))))</f>
        <v>0</v>
      </c>
      <c r="S46" s="267">
        <f t="shared" ca="1" si="11"/>
        <v>0</v>
      </c>
      <c r="T46" s="267">
        <f t="shared" ca="1" si="12"/>
        <v>0</v>
      </c>
    </row>
    <row r="47" spans="2:20" ht="14.1" customHeight="1" collapsed="1">
      <c r="B47" s="179" t="s">
        <v>132</v>
      </c>
      <c r="C47" s="176"/>
      <c r="D47" s="272">
        <f t="shared" ref="D39:D47" si="13">SUM(F47:Q47)</f>
        <v>18574970</v>
      </c>
      <c r="E47" s="269"/>
      <c r="F47" s="268">
        <v>0</v>
      </c>
      <c r="G47" s="268">
        <v>0</v>
      </c>
      <c r="H47" s="268">
        <v>0</v>
      </c>
      <c r="I47" s="268">
        <v>3524990</v>
      </c>
      <c r="J47" s="268">
        <v>15049980</v>
      </c>
      <c r="K47" s="268">
        <v>0</v>
      </c>
      <c r="L47" s="268">
        <v>0</v>
      </c>
      <c r="M47" s="268">
        <v>0</v>
      </c>
      <c r="N47" s="268">
        <v>0</v>
      </c>
      <c r="O47" s="268">
        <v>0</v>
      </c>
      <c r="P47" s="268">
        <v>0</v>
      </c>
      <c r="Q47" s="268">
        <v>0</v>
      </c>
      <c r="R47" s="275">
        <f ca="1">IF($F$2=TEXT(Tapa!$J$3,"mmm"),0,IF($G$2=TEXT(Tapa!$J$3,"mmm"),F47,IF($H$2=TEXT(Tapa!$J$3,"mmm"),SUM(F47:G47),IF($I$2=TEXT(Tapa!$J$3,"mmm"),SUM(F47:H47),IF($J$2=TEXT(Tapa!$J$3,"mmm"),SUM(F47:I47),IF($K$2=TEXT(Tapa!$J$3,"mmm"),SUM(F47:J47),IF($L$2=TEXT(Tapa!$J$3,"mmm"),SUM(F47:K47),IF($M$2=TEXT(Tapa!$J$3,"mmm"),SUM(F47:L47),IF($N$2=TEXT(Tapa!$J$3,"mmm"),SUM(F47:M47),IF($O$2=TEXT(Tapa!$J$3,"mmm"),SUM(F47:N47),IF($P$2=TEXT(Tapa!$J$3,"mmm"),SUM(F47:O47),IF($Q$2=TEXT(Tapa!$J$3,"mmm"),SUM(F47:P47),"otros"))))))))))))</f>
        <v>0</v>
      </c>
      <c r="S47" s="275">
        <f t="shared" ca="1" si="11"/>
        <v>18574970</v>
      </c>
      <c r="T47" s="275">
        <f t="shared" ca="1" si="12"/>
        <v>18574970</v>
      </c>
    </row>
    <row r="48" spans="2:20" ht="14.1" customHeight="1"/>
    <row r="49" spans="2:20" ht="14.1" customHeight="1">
      <c r="B49" s="442" t="s">
        <v>279</v>
      </c>
      <c r="C49" s="180" t="s">
        <v>152</v>
      </c>
      <c r="D49" s="264">
        <f>SUM(D50:D58)</f>
        <v>138662843</v>
      </c>
      <c r="E49" s="265"/>
      <c r="F49" s="264">
        <f>SUM(F50:F58)</f>
        <v>0</v>
      </c>
      <c r="G49" s="264">
        <f t="shared" ref="G49:T49" si="14">SUM(G50:G58)</f>
        <v>0</v>
      </c>
      <c r="H49" s="264">
        <f t="shared" si="14"/>
        <v>0</v>
      </c>
      <c r="I49" s="264">
        <f t="shared" si="14"/>
        <v>73352429.74000001</v>
      </c>
      <c r="J49" s="264">
        <f t="shared" si="14"/>
        <v>65310413.420000002</v>
      </c>
      <c r="K49" s="264">
        <f t="shared" si="14"/>
        <v>0</v>
      </c>
      <c r="L49" s="264">
        <f t="shared" si="14"/>
        <v>0</v>
      </c>
      <c r="M49" s="264">
        <f t="shared" si="14"/>
        <v>0</v>
      </c>
      <c r="N49" s="264">
        <f t="shared" si="14"/>
        <v>0</v>
      </c>
      <c r="O49" s="264">
        <f t="shared" si="14"/>
        <v>0</v>
      </c>
      <c r="P49" s="264">
        <f t="shared" si="14"/>
        <v>0</v>
      </c>
      <c r="Q49" s="264">
        <f t="shared" si="14"/>
        <v>0</v>
      </c>
      <c r="R49" s="264">
        <f t="shared" ca="1" si="14"/>
        <v>0</v>
      </c>
      <c r="S49" s="264">
        <f t="shared" ca="1" si="14"/>
        <v>138662843</v>
      </c>
      <c r="T49" s="264">
        <f t="shared" ca="1" si="14"/>
        <v>138662843</v>
      </c>
    </row>
    <row r="50" spans="2:20" ht="14.1" hidden="1" customHeight="1" outlineLevel="1">
      <c r="B50" s="440"/>
      <c r="C50" s="174" t="s">
        <v>231</v>
      </c>
      <c r="D50" s="270">
        <v>138662843</v>
      </c>
      <c r="E50" s="271"/>
      <c r="F50" s="270">
        <v>0</v>
      </c>
      <c r="G50" s="266">
        <v>0</v>
      </c>
      <c r="H50" s="266">
        <v>0</v>
      </c>
      <c r="I50" s="266">
        <v>73352429.74000001</v>
      </c>
      <c r="J50" s="266">
        <v>65310413.420000002</v>
      </c>
      <c r="K50" s="266">
        <v>0</v>
      </c>
      <c r="L50" s="266">
        <v>0</v>
      </c>
      <c r="M50" s="266">
        <v>0</v>
      </c>
      <c r="N50" s="266">
        <v>0</v>
      </c>
      <c r="O50" s="266">
        <v>0</v>
      </c>
      <c r="P50" s="266">
        <v>0</v>
      </c>
      <c r="Q50" s="266">
        <v>0</v>
      </c>
      <c r="R50" s="267">
        <f ca="1">IF($F$2=TEXT(Tapa!$J$3,"mmm"),0,IF($G$2=TEXT(Tapa!$J$3,"mmm"),F50,IF($H$2=TEXT(Tapa!$J$3,"mmm"),SUM(F50:G50),IF($I$2=TEXT(Tapa!$J$3,"mmm"),SUM(F50:H50),IF($J$2=TEXT(Tapa!$J$3,"mmm"),SUM(F50:I50),IF($K$2=TEXT(Tapa!$J$3,"mmm"),SUM(F50:J50),IF($L$2=TEXT(Tapa!$J$3,"mmm"),SUM(F50:K50),IF($M$2=TEXT(Tapa!$J$3,"mmm"),SUM(F50:L50),IF($N$2=TEXT(Tapa!$J$3,"mmm"),SUM(F50:M50),IF($O$2=TEXT(Tapa!$J$3,"mmm"),SUM(F50:N50),IF($P$2=TEXT(Tapa!$J$3,"mmm"),SUM(F50:O50),IF($Q$2=TEXT(Tapa!$J$3,"mmm"),SUM(F50:P50),"otros"))))))))))))</f>
        <v>0</v>
      </c>
      <c r="S50" s="267">
        <f ca="1">+D50-R50</f>
        <v>138662843</v>
      </c>
      <c r="T50" s="267">
        <f ca="1">SUM(R50:S50)</f>
        <v>138662843</v>
      </c>
    </row>
    <row r="51" spans="2:20" ht="14.1" hidden="1" customHeight="1" outlineLevel="1">
      <c r="B51" s="440"/>
      <c r="C51" s="174" t="s">
        <v>35</v>
      </c>
      <c r="D51" s="270">
        <v>0</v>
      </c>
      <c r="E51" s="271"/>
      <c r="F51" s="270">
        <v>0</v>
      </c>
      <c r="G51" s="266">
        <v>0</v>
      </c>
      <c r="H51" s="266">
        <v>0</v>
      </c>
      <c r="I51" s="266">
        <v>0</v>
      </c>
      <c r="J51" s="266">
        <v>0</v>
      </c>
      <c r="K51" s="266">
        <v>0</v>
      </c>
      <c r="L51" s="266">
        <v>0</v>
      </c>
      <c r="M51" s="266">
        <v>0</v>
      </c>
      <c r="N51" s="266">
        <v>0</v>
      </c>
      <c r="O51" s="266">
        <v>0</v>
      </c>
      <c r="P51" s="266">
        <v>0</v>
      </c>
      <c r="Q51" s="266">
        <v>0</v>
      </c>
      <c r="R51" s="267">
        <f ca="1">IF($F$2=TEXT(Tapa!$J$3,"mmm"),0,IF($G$2=TEXT(Tapa!$J$3,"mmm"),F51,IF($H$2=TEXT(Tapa!$J$3,"mmm"),SUM(F51:G51),IF($I$2=TEXT(Tapa!$J$3,"mmm"),SUM(F51:H51),IF($J$2=TEXT(Tapa!$J$3,"mmm"),SUM(F51:I51),IF($K$2=TEXT(Tapa!$J$3,"mmm"),SUM(F51:J51),IF($L$2=TEXT(Tapa!$J$3,"mmm"),SUM(F51:K51),IF($M$2=TEXT(Tapa!$J$3,"mmm"),SUM(F51:L51),IF($N$2=TEXT(Tapa!$J$3,"mmm"),SUM(F51:M51),IF($O$2=TEXT(Tapa!$J$3,"mmm"),SUM(F51:N51),IF($P$2=TEXT(Tapa!$J$3,"mmm"),SUM(F51:O51),IF($Q$2=TEXT(Tapa!$J$3,"mmm"),SUM(F51:P51),"otros"))))))))))))</f>
        <v>0</v>
      </c>
      <c r="S51" s="267">
        <f t="shared" ref="S51:S59" ca="1" si="15">+D51-R51</f>
        <v>0</v>
      </c>
      <c r="T51" s="267">
        <f t="shared" ref="T51:T59" ca="1" si="16">SUM(R51:S51)</f>
        <v>0</v>
      </c>
    </row>
    <row r="52" spans="2:20" ht="14.1" hidden="1" customHeight="1" outlineLevel="1">
      <c r="B52" s="440"/>
      <c r="C52" s="174" t="s">
        <v>141</v>
      </c>
      <c r="D52" s="270">
        <v>0</v>
      </c>
      <c r="E52" s="271"/>
      <c r="F52" s="270">
        <v>0</v>
      </c>
      <c r="G52" s="266">
        <v>0</v>
      </c>
      <c r="H52" s="266">
        <v>0</v>
      </c>
      <c r="I52" s="266">
        <v>0</v>
      </c>
      <c r="J52" s="266">
        <v>0</v>
      </c>
      <c r="K52" s="266">
        <v>0</v>
      </c>
      <c r="L52" s="266">
        <v>0</v>
      </c>
      <c r="M52" s="266">
        <v>0</v>
      </c>
      <c r="N52" s="266">
        <v>0</v>
      </c>
      <c r="O52" s="266">
        <v>0</v>
      </c>
      <c r="P52" s="266">
        <v>0</v>
      </c>
      <c r="Q52" s="266">
        <v>0</v>
      </c>
      <c r="R52" s="267">
        <f ca="1">IF($F$2=TEXT(Tapa!$J$3,"mmm"),0,IF($G$2=TEXT(Tapa!$J$3,"mmm"),F52,IF($H$2=TEXT(Tapa!$J$3,"mmm"),SUM(F52:G52),IF($I$2=TEXT(Tapa!$J$3,"mmm"),SUM(F52:H52),IF($J$2=TEXT(Tapa!$J$3,"mmm"),SUM(F52:I52),IF($K$2=TEXT(Tapa!$J$3,"mmm"),SUM(F52:J52),IF($L$2=TEXT(Tapa!$J$3,"mmm"),SUM(F52:K52),IF($M$2=TEXT(Tapa!$J$3,"mmm"),SUM(F52:L52),IF($N$2=TEXT(Tapa!$J$3,"mmm"),SUM(F52:M52),IF($O$2=TEXT(Tapa!$J$3,"mmm"),SUM(F52:N52),IF($P$2=TEXT(Tapa!$J$3,"mmm"),SUM(F52:O52),IF($Q$2=TEXT(Tapa!$J$3,"mmm"),SUM(F52:P52),"otros"))))))))))))</f>
        <v>0</v>
      </c>
      <c r="S52" s="267">
        <f t="shared" ca="1" si="15"/>
        <v>0</v>
      </c>
      <c r="T52" s="267">
        <f t="shared" ca="1" si="16"/>
        <v>0</v>
      </c>
    </row>
    <row r="53" spans="2:20" ht="14.1" hidden="1" customHeight="1" outlineLevel="1">
      <c r="B53" s="440"/>
      <c r="C53" s="174" t="s">
        <v>138</v>
      </c>
      <c r="D53" s="270">
        <v>0</v>
      </c>
      <c r="E53" s="271"/>
      <c r="F53" s="270">
        <v>0</v>
      </c>
      <c r="G53" s="266">
        <v>0</v>
      </c>
      <c r="H53" s="266">
        <v>0</v>
      </c>
      <c r="I53" s="266">
        <v>0</v>
      </c>
      <c r="J53" s="266">
        <v>0</v>
      </c>
      <c r="K53" s="266">
        <v>0</v>
      </c>
      <c r="L53" s="266">
        <v>0</v>
      </c>
      <c r="M53" s="266">
        <v>0</v>
      </c>
      <c r="N53" s="266">
        <v>0</v>
      </c>
      <c r="O53" s="266">
        <v>0</v>
      </c>
      <c r="P53" s="266">
        <v>0</v>
      </c>
      <c r="Q53" s="266">
        <v>0</v>
      </c>
      <c r="R53" s="267">
        <f ca="1">IF($F$2=TEXT(Tapa!$J$3,"mmm"),0,IF($G$2=TEXT(Tapa!$J$3,"mmm"),F53,IF($H$2=TEXT(Tapa!$J$3,"mmm"),SUM(F53:G53),IF($I$2=TEXT(Tapa!$J$3,"mmm"),SUM(F53:H53),IF($J$2=TEXT(Tapa!$J$3,"mmm"),SUM(F53:I53),IF($K$2=TEXT(Tapa!$J$3,"mmm"),SUM(F53:J53),IF($L$2=TEXT(Tapa!$J$3,"mmm"),SUM(F53:K53),IF($M$2=TEXT(Tapa!$J$3,"mmm"),SUM(F53:L53),IF($N$2=TEXT(Tapa!$J$3,"mmm"),SUM(F53:M53),IF($O$2=TEXT(Tapa!$J$3,"mmm"),SUM(F53:N53),IF($P$2=TEXT(Tapa!$J$3,"mmm"),SUM(F53:O53),IF($Q$2=TEXT(Tapa!$J$3,"mmm"),SUM(F53:P53),"otros"))))))))))))</f>
        <v>0</v>
      </c>
      <c r="S53" s="267">
        <f t="shared" ca="1" si="15"/>
        <v>0</v>
      </c>
      <c r="T53" s="267">
        <f t="shared" ca="1" si="16"/>
        <v>0</v>
      </c>
    </row>
    <row r="54" spans="2:20" ht="14.1" hidden="1" customHeight="1" outlineLevel="1">
      <c r="B54" s="440"/>
      <c r="C54" s="174" t="s">
        <v>107</v>
      </c>
      <c r="D54" s="270">
        <v>0</v>
      </c>
      <c r="E54" s="271"/>
      <c r="F54" s="270">
        <v>0</v>
      </c>
      <c r="G54" s="266">
        <v>0</v>
      </c>
      <c r="H54" s="266">
        <v>0</v>
      </c>
      <c r="I54" s="266">
        <v>0</v>
      </c>
      <c r="J54" s="266">
        <v>0</v>
      </c>
      <c r="K54" s="266">
        <v>0</v>
      </c>
      <c r="L54" s="266">
        <v>0</v>
      </c>
      <c r="M54" s="266">
        <v>0</v>
      </c>
      <c r="N54" s="266">
        <v>0</v>
      </c>
      <c r="O54" s="266">
        <v>0</v>
      </c>
      <c r="P54" s="266">
        <v>0</v>
      </c>
      <c r="Q54" s="266">
        <v>0</v>
      </c>
      <c r="R54" s="267">
        <f ca="1">IF($F$2=TEXT(Tapa!$J$3,"mmm"),0,IF($G$2=TEXT(Tapa!$J$3,"mmm"),F54,IF($H$2=TEXT(Tapa!$J$3,"mmm"),SUM(F54:G54),IF($I$2=TEXT(Tapa!$J$3,"mmm"),SUM(F54:H54),IF($J$2=TEXT(Tapa!$J$3,"mmm"),SUM(F54:I54),IF($K$2=TEXT(Tapa!$J$3,"mmm"),SUM(F54:J54),IF($L$2=TEXT(Tapa!$J$3,"mmm"),SUM(F54:K54),IF($M$2=TEXT(Tapa!$J$3,"mmm"),SUM(F54:L54),IF($N$2=TEXT(Tapa!$J$3,"mmm"),SUM(F54:M54),IF($O$2=TEXT(Tapa!$J$3,"mmm"),SUM(F54:N54),IF($P$2=TEXT(Tapa!$J$3,"mmm"),SUM(F54:O54),IF($Q$2=TEXT(Tapa!$J$3,"mmm"),SUM(F54:P54),"otros"))))))))))))</f>
        <v>0</v>
      </c>
      <c r="S54" s="267">
        <f t="shared" ca="1" si="15"/>
        <v>0</v>
      </c>
      <c r="T54" s="267">
        <f t="shared" ca="1" si="16"/>
        <v>0</v>
      </c>
    </row>
    <row r="55" spans="2:20" ht="14.1" hidden="1" customHeight="1" outlineLevel="1">
      <c r="B55" s="440"/>
      <c r="C55" s="174" t="s">
        <v>232</v>
      </c>
      <c r="D55" s="270">
        <v>0</v>
      </c>
      <c r="E55" s="271"/>
      <c r="F55" s="270">
        <v>0</v>
      </c>
      <c r="G55" s="266">
        <v>0</v>
      </c>
      <c r="H55" s="266">
        <v>0</v>
      </c>
      <c r="I55" s="266">
        <v>0</v>
      </c>
      <c r="J55" s="266">
        <v>0</v>
      </c>
      <c r="K55" s="266">
        <v>0</v>
      </c>
      <c r="L55" s="266">
        <v>0</v>
      </c>
      <c r="M55" s="266">
        <v>0</v>
      </c>
      <c r="N55" s="266">
        <v>0</v>
      </c>
      <c r="O55" s="266">
        <v>0</v>
      </c>
      <c r="P55" s="266">
        <v>0</v>
      </c>
      <c r="Q55" s="266">
        <v>0</v>
      </c>
      <c r="R55" s="267">
        <f ca="1">IF($F$2=TEXT(Tapa!$J$3,"mmm"),0,IF($G$2=TEXT(Tapa!$J$3,"mmm"),F55,IF($H$2=TEXT(Tapa!$J$3,"mmm"),SUM(F55:G55),IF($I$2=TEXT(Tapa!$J$3,"mmm"),SUM(F55:H55),IF($J$2=TEXT(Tapa!$J$3,"mmm"),SUM(F55:I55),IF($K$2=TEXT(Tapa!$J$3,"mmm"),SUM(F55:J55),IF($L$2=TEXT(Tapa!$J$3,"mmm"),SUM(F55:K55),IF($M$2=TEXT(Tapa!$J$3,"mmm"),SUM(F55:L55),IF($N$2=TEXT(Tapa!$J$3,"mmm"),SUM(F55:M55),IF($O$2=TEXT(Tapa!$J$3,"mmm"),SUM(F55:N55),IF($P$2=TEXT(Tapa!$J$3,"mmm"),SUM(F55:O55),IF($Q$2=TEXT(Tapa!$J$3,"mmm"),SUM(F55:P55),"otros"))))))))))))</f>
        <v>0</v>
      </c>
      <c r="S55" s="267">
        <f t="shared" ca="1" si="15"/>
        <v>0</v>
      </c>
      <c r="T55" s="267">
        <f t="shared" ca="1" si="16"/>
        <v>0</v>
      </c>
    </row>
    <row r="56" spans="2:20" ht="14.1" hidden="1" customHeight="1" outlineLevel="1">
      <c r="B56" s="440"/>
      <c r="C56" s="174" t="s">
        <v>139</v>
      </c>
      <c r="D56" s="270">
        <v>0</v>
      </c>
      <c r="E56" s="271"/>
      <c r="F56" s="270">
        <v>0</v>
      </c>
      <c r="G56" s="266">
        <v>0</v>
      </c>
      <c r="H56" s="266">
        <v>0</v>
      </c>
      <c r="I56" s="266">
        <v>0</v>
      </c>
      <c r="J56" s="266">
        <v>0</v>
      </c>
      <c r="K56" s="266">
        <v>0</v>
      </c>
      <c r="L56" s="266">
        <v>0</v>
      </c>
      <c r="M56" s="266">
        <v>0</v>
      </c>
      <c r="N56" s="266">
        <v>0</v>
      </c>
      <c r="O56" s="266">
        <v>0</v>
      </c>
      <c r="P56" s="266">
        <v>0</v>
      </c>
      <c r="Q56" s="266">
        <v>0</v>
      </c>
      <c r="R56" s="267">
        <f ca="1">IF($F$2=TEXT(Tapa!$J$3,"mmm"),0,IF($G$2=TEXT(Tapa!$J$3,"mmm"),F56,IF($H$2=TEXT(Tapa!$J$3,"mmm"),SUM(F56:G56),IF($I$2=TEXT(Tapa!$J$3,"mmm"),SUM(F56:H56),IF($J$2=TEXT(Tapa!$J$3,"mmm"),SUM(F56:I56),IF($K$2=TEXT(Tapa!$J$3,"mmm"),SUM(F56:J56),IF($L$2=TEXT(Tapa!$J$3,"mmm"),SUM(F56:K56),IF($M$2=TEXT(Tapa!$J$3,"mmm"),SUM(F56:L56),IF($N$2=TEXT(Tapa!$J$3,"mmm"),SUM(F56:M56),IF($O$2=TEXT(Tapa!$J$3,"mmm"),SUM(F56:N56),IF($P$2=TEXT(Tapa!$J$3,"mmm"),SUM(F56:O56),IF($Q$2=TEXT(Tapa!$J$3,"mmm"),SUM(F56:P56),"otros"))))))))))))</f>
        <v>0</v>
      </c>
      <c r="S56" s="267">
        <f t="shared" ca="1" si="15"/>
        <v>0</v>
      </c>
      <c r="T56" s="267">
        <f t="shared" ca="1" si="16"/>
        <v>0</v>
      </c>
    </row>
    <row r="57" spans="2:20" ht="14.1" hidden="1" customHeight="1" outlineLevel="1">
      <c r="B57" s="440"/>
      <c r="C57" s="174" t="s">
        <v>106</v>
      </c>
      <c r="D57" s="270">
        <v>0</v>
      </c>
      <c r="E57" s="271"/>
      <c r="F57" s="270">
        <v>0</v>
      </c>
      <c r="G57" s="266">
        <v>0</v>
      </c>
      <c r="H57" s="266">
        <v>0</v>
      </c>
      <c r="I57" s="266">
        <v>0</v>
      </c>
      <c r="J57" s="266">
        <v>0</v>
      </c>
      <c r="K57" s="266">
        <v>0</v>
      </c>
      <c r="L57" s="266">
        <v>0</v>
      </c>
      <c r="M57" s="266">
        <v>0</v>
      </c>
      <c r="N57" s="266">
        <v>0</v>
      </c>
      <c r="O57" s="266">
        <v>0</v>
      </c>
      <c r="P57" s="266">
        <v>0</v>
      </c>
      <c r="Q57" s="266">
        <v>0</v>
      </c>
      <c r="R57" s="267">
        <f ca="1">IF($F$2=TEXT(Tapa!$J$3,"mmm"),0,IF($G$2=TEXT(Tapa!$J$3,"mmm"),F57,IF($H$2=TEXT(Tapa!$J$3,"mmm"),SUM(F57:G57),IF($I$2=TEXT(Tapa!$J$3,"mmm"),SUM(F57:H57),IF($J$2=TEXT(Tapa!$J$3,"mmm"),SUM(F57:I57),IF($K$2=TEXT(Tapa!$J$3,"mmm"),SUM(F57:J57),IF($L$2=TEXT(Tapa!$J$3,"mmm"),SUM(F57:K57),IF($M$2=TEXT(Tapa!$J$3,"mmm"),SUM(F57:L57),IF($N$2=TEXT(Tapa!$J$3,"mmm"),SUM(F57:M57),IF($O$2=TEXT(Tapa!$J$3,"mmm"),SUM(F57:N57),IF($P$2=TEXT(Tapa!$J$3,"mmm"),SUM(F57:O57),IF($Q$2=TEXT(Tapa!$J$3,"mmm"),SUM(F57:P57),"otros"))))))))))))</f>
        <v>0</v>
      </c>
      <c r="S57" s="267">
        <f t="shared" ca="1" si="15"/>
        <v>0</v>
      </c>
      <c r="T57" s="267">
        <f t="shared" ca="1" si="16"/>
        <v>0</v>
      </c>
    </row>
    <row r="58" spans="2:20" ht="14.1" hidden="1" customHeight="1" outlineLevel="1">
      <c r="B58" s="443"/>
      <c r="C58" s="174" t="s">
        <v>137</v>
      </c>
      <c r="D58" s="270">
        <v>0</v>
      </c>
      <c r="E58" s="271"/>
      <c r="F58" s="270">
        <v>0</v>
      </c>
      <c r="G58" s="266">
        <v>0</v>
      </c>
      <c r="H58" s="266">
        <v>0</v>
      </c>
      <c r="I58" s="266">
        <v>0</v>
      </c>
      <c r="J58" s="266">
        <v>0</v>
      </c>
      <c r="K58" s="266">
        <v>0</v>
      </c>
      <c r="L58" s="266">
        <v>0</v>
      </c>
      <c r="M58" s="266">
        <v>0</v>
      </c>
      <c r="N58" s="266">
        <v>0</v>
      </c>
      <c r="O58" s="266">
        <v>0</v>
      </c>
      <c r="P58" s="266">
        <v>0</v>
      </c>
      <c r="Q58" s="266">
        <v>0</v>
      </c>
      <c r="R58" s="267">
        <f ca="1">IF($F$2=TEXT(Tapa!$J$3,"mmm"),0,IF($G$2=TEXT(Tapa!$J$3,"mmm"),F58,IF($H$2=TEXT(Tapa!$J$3,"mmm"),SUM(F58:G58),IF($I$2=TEXT(Tapa!$J$3,"mmm"),SUM(F58:H58),IF($J$2=TEXT(Tapa!$J$3,"mmm"),SUM(F58:I58),IF($K$2=TEXT(Tapa!$J$3,"mmm"),SUM(F58:J58),IF($L$2=TEXT(Tapa!$J$3,"mmm"),SUM(F58:K58),IF($M$2=TEXT(Tapa!$J$3,"mmm"),SUM(F58:L58),IF($N$2=TEXT(Tapa!$J$3,"mmm"),SUM(F58:M58),IF($O$2=TEXT(Tapa!$J$3,"mmm"),SUM(F58:N58),IF($P$2=TEXT(Tapa!$J$3,"mmm"),SUM(F58:O58),IF($Q$2=TEXT(Tapa!$J$3,"mmm"),SUM(F58:P58),"otros"))))))))))))</f>
        <v>0</v>
      </c>
      <c r="S58" s="267">
        <f t="shared" ca="1" si="15"/>
        <v>0</v>
      </c>
      <c r="T58" s="267">
        <f t="shared" ca="1" si="16"/>
        <v>0</v>
      </c>
    </row>
    <row r="59" spans="2:20" ht="14.1" customHeight="1" collapsed="1">
      <c r="B59" s="179" t="s">
        <v>132</v>
      </c>
      <c r="C59" s="176"/>
      <c r="D59" s="272">
        <f t="shared" ref="D51:D59" si="17">SUM(F59:Q59)</f>
        <v>138662843</v>
      </c>
      <c r="E59" s="269"/>
      <c r="F59" s="268">
        <v>0</v>
      </c>
      <c r="G59" s="268">
        <v>0</v>
      </c>
      <c r="H59" s="268">
        <v>0</v>
      </c>
      <c r="I59" s="268">
        <v>73352430</v>
      </c>
      <c r="J59" s="268">
        <v>65310413</v>
      </c>
      <c r="K59" s="268">
        <v>0</v>
      </c>
      <c r="L59" s="268">
        <v>0</v>
      </c>
      <c r="M59" s="268">
        <v>0</v>
      </c>
      <c r="N59" s="268">
        <v>0</v>
      </c>
      <c r="O59" s="268">
        <v>0</v>
      </c>
      <c r="P59" s="268">
        <v>0</v>
      </c>
      <c r="Q59" s="268">
        <v>0</v>
      </c>
      <c r="R59" s="275">
        <f ca="1">IF($F$2=TEXT(Tapa!$J$3,"mmm"),0,IF($G$2=TEXT(Tapa!$J$3,"mmm"),F59,IF($H$2=TEXT(Tapa!$J$3,"mmm"),SUM(F59:G59),IF($I$2=TEXT(Tapa!$J$3,"mmm"),SUM(F59:H59),IF($J$2=TEXT(Tapa!$J$3,"mmm"),SUM(F59:I59),IF($K$2=TEXT(Tapa!$J$3,"mmm"),SUM(F59:J59),IF($L$2=TEXT(Tapa!$J$3,"mmm"),SUM(F59:K59),IF($M$2=TEXT(Tapa!$J$3,"mmm"),SUM(F59:L59),IF($N$2=TEXT(Tapa!$J$3,"mmm"),SUM(F59:M59),IF($O$2=TEXT(Tapa!$J$3,"mmm"),SUM(F59:N59),IF($P$2=TEXT(Tapa!$J$3,"mmm"),SUM(F59:O59),IF($Q$2=TEXT(Tapa!$J$3,"mmm"),SUM(F59:P59),"otros"))))))))))))</f>
        <v>0</v>
      </c>
      <c r="S59" s="275">
        <f t="shared" ca="1" si="15"/>
        <v>138662843</v>
      </c>
      <c r="T59" s="275">
        <f t="shared" ca="1" si="16"/>
        <v>138662843</v>
      </c>
    </row>
  </sheetData>
  <mergeCells count="4">
    <mergeCell ref="B4:B12"/>
    <mergeCell ref="B15:B34"/>
    <mergeCell ref="B37:B46"/>
    <mergeCell ref="B49:B5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1:I22"/>
  <sheetViews>
    <sheetView tabSelected="1" zoomScaleNormal="100" workbookViewId="0">
      <selection activeCell="B16" sqref="B16"/>
    </sheetView>
  </sheetViews>
  <sheetFormatPr defaultColWidth="11.42578125" defaultRowHeight="12.75"/>
  <cols>
    <col min="1" max="1" width="2.140625" style="196" customWidth="1"/>
    <col min="2" max="3" width="11.42578125" style="196"/>
    <col min="4" max="9" width="15.7109375" style="196" customWidth="1"/>
    <col min="10" max="16384" width="11.42578125" style="196"/>
  </cols>
  <sheetData>
    <row r="1" spans="2:9" ht="7.5" customHeight="1" thickBot="1"/>
    <row r="2" spans="2:9">
      <c r="B2" s="184" t="s">
        <v>147</v>
      </c>
      <c r="C2" s="185" t="s">
        <v>146</v>
      </c>
      <c r="D2" s="185" t="s">
        <v>145</v>
      </c>
      <c r="E2" s="185" t="s">
        <v>143</v>
      </c>
      <c r="F2" s="185" t="s">
        <v>144</v>
      </c>
      <c r="G2" s="185" t="s">
        <v>142</v>
      </c>
      <c r="H2" s="185" t="s">
        <v>132</v>
      </c>
      <c r="I2" s="185" t="s">
        <v>150</v>
      </c>
    </row>
    <row r="3" spans="2:9">
      <c r="B3" s="200" t="s">
        <v>295</v>
      </c>
      <c r="C3" s="189" t="s">
        <v>293</v>
      </c>
      <c r="D3" s="278">
        <v>20000000</v>
      </c>
      <c r="E3" s="278">
        <v>18574970</v>
      </c>
      <c r="F3" s="278">
        <v>0</v>
      </c>
      <c r="G3" s="278">
        <v>0</v>
      </c>
      <c r="H3" s="278">
        <v>18574970</v>
      </c>
      <c r="I3" s="278">
        <v>1425030</v>
      </c>
    </row>
    <row r="4" spans="2:9">
      <c r="B4" s="383"/>
      <c r="C4" s="189"/>
      <c r="D4" s="278"/>
      <c r="E4" s="384"/>
      <c r="F4" s="385"/>
      <c r="G4" s="385"/>
      <c r="H4" s="385"/>
      <c r="I4" s="385"/>
    </row>
    <row r="5" spans="2:9" ht="13.5" thickBot="1">
      <c r="B5" s="186"/>
      <c r="C5" s="190" t="s">
        <v>124</v>
      </c>
      <c r="D5" s="387">
        <v>20000000</v>
      </c>
      <c r="E5" s="388">
        <v>18574970</v>
      </c>
      <c r="F5" s="389">
        <v>0</v>
      </c>
      <c r="G5" s="389">
        <v>0</v>
      </c>
      <c r="H5" s="389">
        <v>18574970</v>
      </c>
      <c r="I5" s="389">
        <v>1425030</v>
      </c>
    </row>
    <row r="6" spans="2:9">
      <c r="B6" s="199"/>
      <c r="C6" s="192" t="s">
        <v>251</v>
      </c>
      <c r="D6" s="276"/>
      <c r="E6" s="198"/>
      <c r="F6" s="198"/>
      <c r="G6" s="198"/>
      <c r="H6" s="198"/>
      <c r="I6" s="198"/>
    </row>
    <row r="7" spans="2:9">
      <c r="B7" s="199"/>
      <c r="C7" s="191" t="s">
        <v>252</v>
      </c>
      <c r="D7" s="277"/>
      <c r="E7" s="198"/>
      <c r="F7" s="198"/>
      <c r="G7" s="198"/>
      <c r="H7" s="198"/>
      <c r="I7" s="198"/>
    </row>
    <row r="8" spans="2:9" ht="13.5" thickBot="1"/>
    <row r="9" spans="2:9">
      <c r="B9" s="184" t="s">
        <v>147</v>
      </c>
      <c r="C9" s="185" t="s">
        <v>146</v>
      </c>
      <c r="D9" s="185" t="s">
        <v>145</v>
      </c>
      <c r="E9" s="185" t="s">
        <v>143</v>
      </c>
      <c r="F9" s="185" t="s">
        <v>144</v>
      </c>
      <c r="G9" s="185" t="s">
        <v>142</v>
      </c>
      <c r="H9" s="185" t="s">
        <v>132</v>
      </c>
      <c r="I9" s="185" t="s">
        <v>150</v>
      </c>
    </row>
    <row r="10" spans="2:9">
      <c r="B10" s="200" t="s">
        <v>279</v>
      </c>
      <c r="C10" s="189" t="s">
        <v>152</v>
      </c>
      <c r="D10" s="278">
        <v>150000000</v>
      </c>
      <c r="E10" s="278">
        <v>0</v>
      </c>
      <c r="F10" s="278">
        <v>138662843</v>
      </c>
      <c r="G10" s="278">
        <v>2357268</v>
      </c>
      <c r="H10" s="278">
        <v>141020111</v>
      </c>
      <c r="I10" s="278">
        <v>8979889</v>
      </c>
    </row>
    <row r="11" spans="2:9">
      <c r="B11" s="383"/>
      <c r="C11" s="189"/>
      <c r="D11" s="278"/>
      <c r="E11" s="384"/>
      <c r="F11" s="385"/>
      <c r="G11" s="385"/>
      <c r="H11" s="385"/>
      <c r="I11" s="385"/>
    </row>
    <row r="12" spans="2:9" ht="13.5" thickBot="1">
      <c r="B12" s="186"/>
      <c r="C12" s="190" t="s">
        <v>124</v>
      </c>
      <c r="D12" s="387">
        <v>150000000</v>
      </c>
      <c r="E12" s="388">
        <v>0</v>
      </c>
      <c r="F12" s="389">
        <v>138662843</v>
      </c>
      <c r="G12" s="389">
        <v>2357268</v>
      </c>
      <c r="H12" s="389">
        <v>141020111</v>
      </c>
      <c r="I12" s="389">
        <v>8979889</v>
      </c>
    </row>
    <row r="13" spans="2:9">
      <c r="B13" s="199"/>
      <c r="C13" s="192" t="s">
        <v>251</v>
      </c>
      <c r="D13" s="276"/>
      <c r="E13" s="198"/>
      <c r="F13" s="198"/>
      <c r="G13" s="198"/>
      <c r="H13" s="198"/>
      <c r="I13" s="198"/>
    </row>
    <row r="14" spans="2:9">
      <c r="B14" s="199"/>
      <c r="C14" s="191" t="s">
        <v>252</v>
      </c>
      <c r="D14" s="277"/>
      <c r="E14" s="198"/>
      <c r="F14" s="198"/>
      <c r="G14" s="198"/>
      <c r="H14" s="198"/>
      <c r="I14" s="198"/>
    </row>
    <row r="15" spans="2:9" ht="13.5" thickBot="1"/>
    <row r="16" spans="2:9" ht="13.5" thickBot="1">
      <c r="B16" s="101"/>
      <c r="C16" s="102" t="s">
        <v>124</v>
      </c>
      <c r="D16" s="103">
        <v>170000000</v>
      </c>
      <c r="E16" s="103">
        <v>18574970</v>
      </c>
      <c r="F16" s="103">
        <v>138662843</v>
      </c>
      <c r="G16" s="103">
        <v>2357268</v>
      </c>
      <c r="H16" s="104">
        <v>159595081</v>
      </c>
      <c r="I16" s="103">
        <v>10404919</v>
      </c>
    </row>
    <row r="22" spans="7:7">
      <c r="G22" s="201"/>
    </row>
  </sheetData>
  <pageMargins left="0.7" right="0.7" top="0.75" bottom="0.75" header="0.3" footer="0.3"/>
  <pageSetup orientation="landscape" horizontalDpi="4294967295" verticalDpi="4294967295"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2">
    <tabColor rgb="FFC00000"/>
  </sheetPr>
  <dimension ref="B1:CA689"/>
  <sheetViews>
    <sheetView workbookViewId="0">
      <selection sqref="A1:XFD1048576"/>
    </sheetView>
  </sheetViews>
  <sheetFormatPr defaultColWidth="11.42578125" defaultRowHeight="12.75"/>
  <cols>
    <col min="1" max="1" width="31" style="219" customWidth="1"/>
    <col min="2" max="2" width="27.85546875" style="219" customWidth="1"/>
    <col min="3" max="3" width="33.5703125" style="219" customWidth="1"/>
    <col min="4" max="4" width="32.42578125" style="219" customWidth="1"/>
    <col min="5" max="5" width="24" style="219" customWidth="1"/>
    <col min="6" max="6" width="16.5703125" style="219" customWidth="1"/>
    <col min="7" max="8" width="11.42578125" style="219"/>
    <col min="9" max="9" width="17.28515625" style="219" customWidth="1"/>
    <col min="10" max="10" width="17.5703125" style="219" customWidth="1"/>
    <col min="11" max="11" width="27.42578125" style="219" customWidth="1"/>
    <col min="12" max="12" width="12.85546875" style="219" customWidth="1"/>
    <col min="13" max="13" width="12.28515625" style="219" bestFit="1" customWidth="1"/>
    <col min="14" max="14" width="14.28515625" style="219" bestFit="1" customWidth="1"/>
    <col min="15" max="16" width="11.5703125" style="219" bestFit="1" customWidth="1"/>
    <col min="17" max="17" width="11.42578125" style="219"/>
    <col min="18" max="18" width="11.5703125" style="219" bestFit="1" customWidth="1"/>
    <col min="19" max="19" width="12.28515625" style="219" bestFit="1" customWidth="1"/>
    <col min="20" max="20" width="11.5703125" style="219" bestFit="1" customWidth="1"/>
    <col min="21" max="21" width="28.5703125" style="219" customWidth="1"/>
    <col min="22" max="22" width="10.7109375" style="219" customWidth="1"/>
    <col min="23" max="23" width="21.42578125" style="219" customWidth="1"/>
    <col min="24" max="24" width="15.28515625" style="219" customWidth="1"/>
    <col min="25" max="25" width="16.5703125" style="219" customWidth="1"/>
    <col min="26" max="30" width="11.5703125" style="219" bestFit="1" customWidth="1"/>
    <col min="31" max="31" width="11.5703125" style="219" customWidth="1"/>
    <col min="32" max="32" width="20.140625" style="219" customWidth="1"/>
    <col min="33" max="36" width="11.5703125" style="219" bestFit="1" customWidth="1"/>
    <col min="37" max="63" width="11.42578125" style="219"/>
    <col min="64" max="64" width="12.28515625" style="219" bestFit="1" customWidth="1"/>
    <col min="65" max="67" width="11.42578125" style="219"/>
    <col min="68" max="68" width="16.85546875" style="219" customWidth="1"/>
    <col min="69" max="69" width="15.42578125" style="219" customWidth="1"/>
    <col min="70" max="71" width="11.42578125" style="219"/>
    <col min="72" max="72" width="16.5703125" style="219" customWidth="1"/>
    <col min="73" max="73" width="14.7109375" style="219" customWidth="1"/>
    <col min="74" max="74" width="15" style="219" customWidth="1"/>
    <col min="75" max="16384" width="11.42578125" style="219"/>
  </cols>
  <sheetData>
    <row r="1" spans="2:79" ht="13.5" thickBot="1">
      <c r="B1" s="227"/>
      <c r="C1" s="279"/>
      <c r="D1" s="262"/>
      <c r="E1" s="263"/>
      <c r="F1" s="252"/>
      <c r="G1" s="262"/>
      <c r="H1" s="226"/>
      <c r="I1" s="210"/>
      <c r="J1" s="210"/>
      <c r="K1" s="210"/>
      <c r="L1" s="210"/>
      <c r="M1" s="226"/>
      <c r="N1" s="444"/>
      <c r="O1" s="445"/>
      <c r="P1" s="445"/>
      <c r="Q1" s="445"/>
      <c r="R1" s="445"/>
      <c r="S1" s="445"/>
      <c r="T1" s="445"/>
      <c r="U1" s="445"/>
      <c r="V1" s="445"/>
      <c r="W1" s="445"/>
      <c r="X1" s="445"/>
      <c r="Y1" s="445"/>
      <c r="Z1" s="446"/>
      <c r="AA1" s="210"/>
      <c r="AB1" s="210"/>
      <c r="AC1" s="210"/>
      <c r="AD1" s="210"/>
      <c r="AE1" s="226"/>
      <c r="AF1" s="210"/>
      <c r="AG1" s="210"/>
      <c r="AH1" s="211"/>
      <c r="AI1" s="210"/>
      <c r="AJ1" s="210"/>
      <c r="AK1" s="210"/>
      <c r="AL1" s="210"/>
      <c r="AM1" s="226"/>
      <c r="AN1" s="210"/>
      <c r="AO1" s="210"/>
      <c r="AP1" s="210"/>
      <c r="AQ1" s="210"/>
      <c r="AR1" s="379"/>
      <c r="AS1" s="210"/>
      <c r="AT1" s="210"/>
      <c r="AU1" s="210"/>
      <c r="AV1" s="226"/>
      <c r="AW1" s="210"/>
      <c r="AX1" s="210"/>
      <c r="AY1" s="211"/>
      <c r="AZ1" s="210"/>
      <c r="BA1" s="210"/>
      <c r="BB1" s="210"/>
      <c r="BC1" s="210"/>
      <c r="BD1" s="210"/>
      <c r="BE1" s="210"/>
      <c r="BF1" s="210"/>
      <c r="BG1" s="210"/>
      <c r="BH1" s="211"/>
      <c r="BI1" s="210"/>
      <c r="BJ1" s="381"/>
      <c r="BK1" s="386"/>
      <c r="BL1" s="229"/>
      <c r="BM1" s="349"/>
      <c r="BN1" s="350"/>
      <c r="CA1" s="319"/>
    </row>
    <row r="2" spans="2:79" ht="13.5" thickBot="1">
      <c r="B2" s="227"/>
      <c r="C2" s="279"/>
      <c r="D2" s="262"/>
      <c r="E2" s="263"/>
      <c r="F2" s="252"/>
      <c r="G2" s="262"/>
      <c r="H2" s="226"/>
      <c r="I2" s="210"/>
      <c r="J2" s="210"/>
      <c r="K2" s="210"/>
      <c r="L2" s="210"/>
      <c r="M2" s="226"/>
      <c r="N2" s="444"/>
      <c r="O2" s="445"/>
      <c r="P2" s="445"/>
      <c r="Q2" s="445"/>
      <c r="R2" s="445"/>
      <c r="S2" s="445"/>
      <c r="T2" s="445"/>
      <c r="U2" s="445"/>
      <c r="V2" s="445"/>
      <c r="W2" s="445"/>
      <c r="X2" s="445"/>
      <c r="Y2" s="445"/>
      <c r="Z2" s="446"/>
      <c r="AA2" s="210"/>
      <c r="AB2" s="210"/>
      <c r="AC2" s="210"/>
      <c r="AD2" s="210"/>
      <c r="AE2" s="226"/>
      <c r="AF2" s="210"/>
      <c r="AG2" s="210"/>
      <c r="AH2" s="211"/>
      <c r="AI2" s="210"/>
      <c r="AJ2" s="210"/>
      <c r="AK2" s="210"/>
      <c r="AL2" s="210"/>
      <c r="AM2" s="226"/>
      <c r="AN2" s="210"/>
      <c r="AO2" s="210"/>
      <c r="AP2" s="210"/>
      <c r="AQ2" s="210"/>
      <c r="AR2" s="210"/>
      <c r="AS2" s="210"/>
      <c r="AT2" s="210"/>
      <c r="AU2" s="210"/>
      <c r="AV2" s="226"/>
      <c r="AW2" s="210"/>
      <c r="AX2" s="210"/>
      <c r="AY2" s="211"/>
      <c r="AZ2" s="210"/>
      <c r="BA2" s="210"/>
      <c r="BB2" s="210"/>
      <c r="BC2" s="210"/>
      <c r="BD2" s="210"/>
      <c r="BE2" s="226"/>
      <c r="BF2" s="210"/>
      <c r="BG2" s="210"/>
      <c r="BH2" s="211"/>
      <c r="BI2" s="210"/>
      <c r="BJ2" s="381"/>
      <c r="BK2" s="386"/>
      <c r="BL2" s="229"/>
      <c r="BM2" s="349"/>
      <c r="BN2" s="350"/>
    </row>
    <row r="3" spans="2:79" ht="13.5" thickBot="1">
      <c r="B3" s="227"/>
      <c r="C3" s="279"/>
      <c r="D3" s="262"/>
      <c r="E3" s="263"/>
      <c r="F3" s="252"/>
      <c r="G3" s="262"/>
      <c r="H3" s="226"/>
      <c r="I3" s="210"/>
      <c r="J3" s="210"/>
      <c r="K3" s="210"/>
      <c r="L3" s="210"/>
      <c r="M3" s="226"/>
      <c r="N3" s="444"/>
      <c r="O3" s="445"/>
      <c r="P3" s="445"/>
      <c r="Q3" s="445"/>
      <c r="R3" s="445"/>
      <c r="S3" s="445"/>
      <c r="T3" s="445"/>
      <c r="U3" s="445"/>
      <c r="V3" s="445"/>
      <c r="W3" s="445"/>
      <c r="X3" s="445"/>
      <c r="Y3" s="445"/>
      <c r="Z3" s="446"/>
      <c r="AA3" s="210"/>
      <c r="AB3" s="210"/>
      <c r="AC3" s="210"/>
      <c r="AD3" s="210"/>
      <c r="AE3" s="226"/>
      <c r="AF3" s="210"/>
      <c r="AG3" s="210"/>
      <c r="AH3" s="211"/>
      <c r="AI3" s="210"/>
      <c r="AJ3" s="210"/>
      <c r="AK3" s="210"/>
      <c r="AL3" s="210"/>
      <c r="AM3" s="226"/>
      <c r="AN3" s="210"/>
      <c r="AO3" s="210"/>
      <c r="AP3" s="210"/>
      <c r="AQ3" s="210"/>
      <c r="AR3" s="210"/>
      <c r="AS3" s="210"/>
      <c r="AT3" s="210"/>
      <c r="AU3" s="210"/>
      <c r="AV3" s="210"/>
      <c r="AW3" s="210"/>
      <c r="AX3" s="210"/>
      <c r="AY3" s="211"/>
      <c r="AZ3" s="210"/>
      <c r="BA3" s="210"/>
      <c r="BB3" s="210"/>
      <c r="BC3" s="210"/>
      <c r="BD3" s="210"/>
      <c r="BE3" s="226"/>
      <c r="BF3" s="210"/>
      <c r="BG3" s="210"/>
      <c r="BH3" s="211"/>
      <c r="BI3" s="210"/>
      <c r="BJ3" s="381"/>
      <c r="BK3" s="386"/>
      <c r="BL3" s="229"/>
      <c r="BM3" s="349"/>
      <c r="BN3" s="350"/>
    </row>
    <row r="4" spans="2:79" ht="13.5" customHeight="1" thickBot="1">
      <c r="B4" s="227"/>
      <c r="C4" s="279"/>
      <c r="D4" s="262"/>
      <c r="E4" s="263"/>
      <c r="F4" s="252"/>
      <c r="G4" s="262"/>
      <c r="H4" s="226"/>
      <c r="I4" s="210"/>
      <c r="J4" s="210"/>
      <c r="K4" s="210"/>
      <c r="L4" s="210"/>
      <c r="M4" s="226"/>
      <c r="N4" s="444"/>
      <c r="O4" s="445"/>
      <c r="P4" s="445"/>
      <c r="Q4" s="445"/>
      <c r="R4" s="445"/>
      <c r="S4" s="445"/>
      <c r="T4" s="445"/>
      <c r="U4" s="445"/>
      <c r="V4" s="445"/>
      <c r="W4" s="445"/>
      <c r="X4" s="445"/>
      <c r="Y4" s="445"/>
      <c r="Z4" s="446"/>
      <c r="AA4" s="210"/>
      <c r="AB4" s="210"/>
      <c r="AC4" s="210"/>
      <c r="AD4" s="210"/>
      <c r="AE4" s="226"/>
      <c r="AF4" s="210"/>
      <c r="AG4" s="210"/>
      <c r="AH4" s="211"/>
      <c r="AI4" s="210"/>
      <c r="AJ4" s="210"/>
      <c r="AK4" s="210"/>
      <c r="AL4" s="210"/>
      <c r="AM4" s="226"/>
      <c r="AN4" s="210"/>
      <c r="AO4" s="210"/>
      <c r="AP4" s="210"/>
      <c r="AQ4" s="210"/>
      <c r="AR4" s="210"/>
      <c r="AS4" s="210"/>
      <c r="AT4" s="210"/>
      <c r="AU4" s="210"/>
      <c r="AV4" s="210"/>
      <c r="AW4" s="210"/>
      <c r="AX4" s="210"/>
      <c r="AY4" s="211"/>
      <c r="AZ4" s="210"/>
      <c r="BA4" s="210"/>
      <c r="BB4" s="210"/>
      <c r="BC4" s="210"/>
      <c r="BD4" s="210"/>
      <c r="BE4" s="226"/>
      <c r="BF4" s="210"/>
      <c r="BG4" s="210"/>
      <c r="BH4" s="211"/>
      <c r="BI4" s="210"/>
      <c r="BJ4" s="381"/>
      <c r="BK4" s="386"/>
      <c r="BL4" s="229"/>
      <c r="BM4" s="349"/>
      <c r="BN4" s="350"/>
    </row>
    <row r="5" spans="2:79" ht="13.5" thickBot="1">
      <c r="B5" s="227"/>
      <c r="C5" s="279"/>
      <c r="D5" s="262"/>
      <c r="E5" s="263"/>
      <c r="F5" s="252"/>
      <c r="G5" s="262"/>
      <c r="H5" s="226"/>
      <c r="I5" s="210"/>
      <c r="J5" s="210"/>
      <c r="K5" s="210"/>
      <c r="L5" s="210"/>
      <c r="M5" s="226"/>
      <c r="N5" s="444"/>
      <c r="O5" s="445"/>
      <c r="P5" s="445"/>
      <c r="Q5" s="445"/>
      <c r="R5" s="445"/>
      <c r="S5" s="445"/>
      <c r="T5" s="445"/>
      <c r="U5" s="445"/>
      <c r="V5" s="445"/>
      <c r="W5" s="445"/>
      <c r="X5" s="445"/>
      <c r="Y5" s="445"/>
      <c r="Z5" s="446"/>
      <c r="AA5" s="210"/>
      <c r="AB5" s="210"/>
      <c r="AC5" s="210"/>
      <c r="AD5" s="210"/>
      <c r="AE5" s="226"/>
      <c r="AF5" s="210"/>
      <c r="AG5" s="210"/>
      <c r="AH5" s="211"/>
      <c r="AI5" s="210"/>
      <c r="AJ5" s="210"/>
      <c r="AK5" s="210"/>
      <c r="AL5" s="210"/>
      <c r="AM5" s="226"/>
      <c r="AN5" s="210"/>
      <c r="AO5" s="210"/>
      <c r="AP5" s="210"/>
      <c r="AQ5" s="210"/>
      <c r="AR5" s="379"/>
      <c r="AS5" s="210"/>
      <c r="AT5" s="210"/>
      <c r="AU5" s="210"/>
      <c r="AV5" s="226"/>
      <c r="AW5" s="210"/>
      <c r="AX5" s="210"/>
      <c r="AY5" s="211"/>
      <c r="AZ5" s="210"/>
      <c r="BA5" s="210"/>
      <c r="BB5" s="210"/>
      <c r="BC5" s="210"/>
      <c r="BD5" s="210"/>
      <c r="BE5" s="226"/>
      <c r="BF5" s="210"/>
      <c r="BG5" s="210"/>
      <c r="BH5" s="211"/>
      <c r="BI5" s="210"/>
      <c r="BJ5" s="381"/>
      <c r="BK5" s="381"/>
      <c r="BL5" s="229"/>
      <c r="BM5" s="349"/>
      <c r="BN5" s="350"/>
    </row>
    <row r="6" spans="2:79">
      <c r="B6" s="227"/>
      <c r="C6" s="279"/>
      <c r="D6" s="340"/>
      <c r="E6" s="341"/>
      <c r="F6" s="256"/>
      <c r="G6" s="340"/>
      <c r="H6" s="226"/>
      <c r="I6" s="210"/>
      <c r="J6" s="210"/>
      <c r="K6" s="210"/>
      <c r="L6" s="210"/>
      <c r="M6" s="226"/>
      <c r="N6" s="210"/>
      <c r="O6" s="210"/>
      <c r="P6" s="211"/>
      <c r="Q6" s="210"/>
      <c r="R6" s="210"/>
      <c r="S6" s="210"/>
      <c r="T6" s="210"/>
      <c r="U6" s="210"/>
      <c r="V6" s="226"/>
      <c r="W6" s="210"/>
      <c r="X6" s="210"/>
      <c r="Y6" s="211"/>
      <c r="Z6" s="210"/>
      <c r="AA6" s="210"/>
      <c r="AB6" s="210"/>
      <c r="AC6" s="210"/>
      <c r="AD6" s="210"/>
      <c r="AE6" s="226"/>
      <c r="AF6" s="210"/>
      <c r="AG6" s="210"/>
      <c r="AH6" s="211"/>
      <c r="AI6" s="210"/>
      <c r="AJ6" s="210"/>
      <c r="AK6" s="210"/>
      <c r="AL6" s="210"/>
      <c r="AM6" s="226"/>
      <c r="AN6" s="210"/>
      <c r="AO6" s="210"/>
      <c r="AP6" s="210"/>
      <c r="AQ6" s="211"/>
      <c r="AR6" s="210"/>
      <c r="AS6" s="210"/>
      <c r="AT6" s="210"/>
      <c r="AU6" s="210"/>
      <c r="AV6" s="226"/>
      <c r="AW6" s="210"/>
      <c r="AX6" s="210"/>
      <c r="AY6" s="211"/>
      <c r="AZ6" s="210"/>
      <c r="BA6" s="210"/>
      <c r="BB6" s="210"/>
      <c r="BC6" s="210"/>
      <c r="BD6" s="210"/>
      <c r="BE6" s="226"/>
      <c r="BF6" s="210"/>
      <c r="BG6" s="210"/>
      <c r="BH6" s="211"/>
      <c r="BI6" s="235"/>
      <c r="BJ6" s="342"/>
      <c r="BK6" s="236"/>
      <c r="BL6" s="229"/>
      <c r="BM6" s="349"/>
      <c r="BN6" s="350"/>
    </row>
    <row r="7" spans="2:79">
      <c r="B7" s="229"/>
      <c r="C7" s="356"/>
      <c r="D7" s="357"/>
      <c r="E7" s="358"/>
      <c r="F7" s="359"/>
      <c r="G7" s="357"/>
      <c r="H7" s="360"/>
      <c r="I7" s="361"/>
      <c r="J7" s="361"/>
      <c r="K7" s="361"/>
      <c r="L7" s="361"/>
      <c r="M7" s="360"/>
      <c r="N7" s="361"/>
      <c r="O7" s="361"/>
      <c r="P7" s="362"/>
      <c r="Q7" s="361"/>
      <c r="R7" s="361"/>
      <c r="S7" s="361"/>
      <c r="T7" s="361"/>
      <c r="U7" s="361"/>
      <c r="V7" s="360"/>
      <c r="W7" s="361"/>
      <c r="X7" s="361"/>
      <c r="Y7" s="362"/>
      <c r="Z7" s="361"/>
      <c r="AA7" s="361"/>
      <c r="AB7" s="361"/>
      <c r="AC7" s="361"/>
      <c r="AD7" s="361"/>
      <c r="AE7" s="360"/>
      <c r="AF7" s="361"/>
      <c r="AG7" s="361"/>
      <c r="AH7" s="362"/>
      <c r="AI7" s="361"/>
      <c r="AJ7" s="361"/>
      <c r="AK7" s="361"/>
      <c r="AL7" s="361"/>
      <c r="AM7" s="360"/>
      <c r="AN7" s="361"/>
      <c r="AO7" s="361"/>
      <c r="AP7" s="361"/>
      <c r="AQ7" s="362"/>
      <c r="AR7" s="361"/>
      <c r="AS7" s="361"/>
      <c r="AT7" s="361"/>
      <c r="AU7" s="361"/>
      <c r="AV7" s="360"/>
      <c r="AW7" s="361"/>
      <c r="AX7" s="361"/>
      <c r="AY7" s="362"/>
      <c r="AZ7" s="361"/>
      <c r="BA7" s="361"/>
      <c r="BB7" s="361"/>
      <c r="BC7" s="361"/>
      <c r="BD7" s="361"/>
      <c r="BE7" s="360"/>
      <c r="BF7" s="361"/>
      <c r="BG7" s="361"/>
      <c r="BH7" s="362"/>
      <c r="BI7" s="361"/>
      <c r="BJ7" s="363"/>
      <c r="BK7" s="362"/>
      <c r="BL7" s="229"/>
      <c r="BM7" s="361"/>
      <c r="BN7" s="361"/>
    </row>
    <row r="8" spans="2:79">
      <c r="B8" s="229"/>
      <c r="C8" s="356"/>
      <c r="D8" s="357"/>
      <c r="E8" s="358"/>
      <c r="F8" s="359"/>
      <c r="G8" s="357"/>
      <c r="H8" s="360"/>
      <c r="I8" s="361"/>
      <c r="J8" s="361"/>
      <c r="K8" s="361"/>
      <c r="L8" s="361"/>
      <c r="M8" s="360"/>
      <c r="N8" s="361"/>
      <c r="O8" s="361"/>
      <c r="P8" s="362"/>
      <c r="Q8" s="361"/>
      <c r="R8" s="361"/>
      <c r="S8" s="361"/>
      <c r="T8" s="361"/>
      <c r="U8" s="361"/>
      <c r="V8" s="360"/>
      <c r="W8" s="361"/>
      <c r="X8" s="361"/>
      <c r="Y8" s="362"/>
      <c r="Z8" s="361"/>
      <c r="AA8" s="361"/>
      <c r="AB8" s="361"/>
      <c r="AC8" s="361"/>
      <c r="AD8" s="361"/>
      <c r="AE8" s="360"/>
      <c r="AF8" s="361"/>
      <c r="AG8" s="361"/>
      <c r="AH8" s="362"/>
      <c r="AI8" s="361"/>
      <c r="AJ8" s="361"/>
      <c r="AK8" s="361"/>
      <c r="AL8" s="361"/>
      <c r="AM8" s="360"/>
      <c r="AN8" s="361"/>
      <c r="AO8" s="361"/>
      <c r="AP8" s="361"/>
      <c r="AQ8" s="362"/>
      <c r="AR8" s="361"/>
      <c r="AS8" s="361"/>
      <c r="AT8" s="361"/>
      <c r="AU8" s="361"/>
      <c r="AV8" s="360"/>
      <c r="AW8" s="361"/>
      <c r="AX8" s="361"/>
      <c r="AY8" s="362"/>
      <c r="AZ8" s="361"/>
      <c r="BA8" s="361"/>
      <c r="BB8" s="361"/>
      <c r="BC8" s="361"/>
      <c r="BD8" s="361"/>
      <c r="BE8" s="360"/>
      <c r="BF8" s="361"/>
      <c r="BG8" s="361"/>
      <c r="BH8" s="362"/>
      <c r="BI8" s="361"/>
      <c r="BJ8" s="363"/>
      <c r="BK8" s="362"/>
      <c r="BL8" s="229"/>
      <c r="BM8" s="361"/>
      <c r="BN8" s="361"/>
    </row>
    <row r="9" spans="2:79">
      <c r="B9" s="229"/>
      <c r="C9" s="356"/>
      <c r="D9" s="366"/>
      <c r="E9" s="367"/>
      <c r="F9" s="368"/>
      <c r="G9" s="366"/>
      <c r="H9" s="360"/>
      <c r="I9" s="361"/>
      <c r="J9" s="361"/>
      <c r="K9" s="361"/>
      <c r="L9" s="361"/>
      <c r="M9" s="360"/>
      <c r="N9" s="361"/>
      <c r="O9" s="361"/>
      <c r="P9" s="362"/>
      <c r="Q9" s="361"/>
      <c r="R9" s="361"/>
      <c r="S9" s="361"/>
      <c r="T9" s="361"/>
      <c r="U9" s="361"/>
      <c r="V9" s="360"/>
      <c r="W9" s="361"/>
      <c r="X9" s="361"/>
      <c r="Y9" s="362"/>
      <c r="Z9" s="361"/>
      <c r="AA9" s="361"/>
      <c r="AB9" s="361"/>
      <c r="AC9" s="361"/>
      <c r="AD9" s="361"/>
      <c r="AE9" s="360"/>
      <c r="AF9" s="361"/>
      <c r="AG9" s="361"/>
      <c r="AH9" s="362"/>
      <c r="AI9" s="361"/>
      <c r="AJ9" s="361"/>
      <c r="AK9" s="361"/>
      <c r="AL9" s="361"/>
      <c r="AM9" s="360"/>
      <c r="AN9" s="361"/>
      <c r="AO9" s="361"/>
      <c r="AP9" s="361"/>
      <c r="AQ9" s="362"/>
      <c r="AR9" s="361"/>
      <c r="AS9" s="361"/>
      <c r="AT9" s="361"/>
      <c r="AU9" s="361"/>
      <c r="AV9" s="360"/>
      <c r="AW9" s="361"/>
      <c r="AX9" s="361"/>
      <c r="AY9" s="362"/>
      <c r="AZ9" s="361"/>
      <c r="BA9" s="361"/>
      <c r="BB9" s="361"/>
      <c r="BC9" s="361"/>
      <c r="BD9" s="361"/>
      <c r="BE9" s="360"/>
      <c r="BF9" s="361"/>
      <c r="BG9" s="361"/>
      <c r="BH9" s="362"/>
      <c r="BI9" s="369"/>
      <c r="BJ9" s="370"/>
      <c r="BK9" s="371"/>
      <c r="BL9" s="229"/>
      <c r="BM9" s="364"/>
      <c r="BN9" s="365"/>
    </row>
    <row r="10" spans="2:79">
      <c r="B10" s="229"/>
      <c r="C10" s="356"/>
      <c r="D10" s="366"/>
      <c r="E10" s="367"/>
      <c r="F10" s="368"/>
      <c r="G10" s="366"/>
      <c r="H10" s="360"/>
      <c r="I10" s="361"/>
      <c r="J10" s="361"/>
      <c r="K10" s="361"/>
      <c r="L10" s="361"/>
      <c r="M10" s="360"/>
      <c r="N10" s="361"/>
      <c r="O10" s="361"/>
      <c r="P10" s="362"/>
      <c r="Q10" s="361"/>
      <c r="R10" s="361"/>
      <c r="S10" s="361"/>
      <c r="T10" s="361"/>
      <c r="U10" s="361"/>
      <c r="V10" s="360"/>
      <c r="W10" s="361"/>
      <c r="X10" s="361"/>
      <c r="Y10" s="362"/>
      <c r="Z10" s="361"/>
      <c r="AA10" s="361"/>
      <c r="AB10" s="361"/>
      <c r="AC10" s="361"/>
      <c r="AD10" s="361"/>
      <c r="AE10" s="360"/>
      <c r="AF10" s="361"/>
      <c r="AG10" s="361"/>
      <c r="AH10" s="362"/>
      <c r="AI10" s="361"/>
      <c r="AJ10" s="361"/>
      <c r="AK10" s="361"/>
      <c r="AL10" s="361"/>
      <c r="AM10" s="360"/>
      <c r="AN10" s="361"/>
      <c r="AO10" s="361"/>
      <c r="AP10" s="361"/>
      <c r="AQ10" s="362"/>
      <c r="AR10" s="361"/>
      <c r="AS10" s="361"/>
      <c r="AT10" s="361"/>
      <c r="AU10" s="361"/>
      <c r="AV10" s="360"/>
      <c r="AW10" s="361"/>
      <c r="AX10" s="361"/>
      <c r="AY10" s="362"/>
      <c r="AZ10" s="361"/>
      <c r="BA10" s="361"/>
      <c r="BB10" s="361"/>
      <c r="BC10" s="361"/>
      <c r="BD10" s="361"/>
      <c r="BE10" s="360"/>
      <c r="BF10" s="361"/>
      <c r="BG10" s="361"/>
      <c r="BH10" s="362"/>
      <c r="BI10" s="369"/>
      <c r="BJ10" s="370"/>
      <c r="BK10" s="371"/>
      <c r="BL10" s="229"/>
      <c r="BM10" s="364"/>
      <c r="BN10" s="365"/>
    </row>
    <row r="11" spans="2:79">
      <c r="B11" s="229"/>
      <c r="C11" s="356"/>
      <c r="D11" s="366"/>
      <c r="E11" s="367"/>
      <c r="F11" s="368"/>
      <c r="G11" s="366"/>
      <c r="H11" s="360"/>
      <c r="I11" s="361"/>
      <c r="J11" s="361"/>
      <c r="K11" s="361"/>
      <c r="L11" s="361"/>
      <c r="M11" s="360"/>
      <c r="N11" s="361"/>
      <c r="O11" s="361"/>
      <c r="P11" s="362"/>
      <c r="Q11" s="361"/>
      <c r="R11" s="361"/>
      <c r="S11" s="361"/>
      <c r="T11" s="361"/>
      <c r="U11" s="361"/>
      <c r="V11" s="360"/>
      <c r="W11" s="361"/>
      <c r="X11" s="361"/>
      <c r="Y11" s="362"/>
      <c r="Z11" s="361"/>
      <c r="AA11" s="361"/>
      <c r="AB11" s="361"/>
      <c r="AC11" s="361"/>
      <c r="AD11" s="361"/>
      <c r="AE11" s="360"/>
      <c r="AF11" s="361"/>
      <c r="AG11" s="361"/>
      <c r="AH11" s="362"/>
      <c r="AI11" s="361"/>
      <c r="AJ11" s="361"/>
      <c r="AK11" s="361"/>
      <c r="AL11" s="361"/>
      <c r="AM11" s="360"/>
      <c r="AN11" s="361"/>
      <c r="AO11" s="361"/>
      <c r="AP11" s="361"/>
      <c r="AQ11" s="362"/>
      <c r="AR11" s="361"/>
      <c r="AS11" s="361"/>
      <c r="AT11" s="361"/>
      <c r="AU11" s="361"/>
      <c r="AV11" s="360"/>
      <c r="AW11" s="361"/>
      <c r="AX11" s="361"/>
      <c r="AY11" s="362"/>
      <c r="AZ11" s="361"/>
      <c r="BA11" s="361"/>
      <c r="BB11" s="361"/>
      <c r="BC11" s="361"/>
      <c r="BD11" s="361"/>
      <c r="BE11" s="360"/>
      <c r="BF11" s="361"/>
      <c r="BG11" s="361"/>
      <c r="BH11" s="362"/>
      <c r="BI11" s="369"/>
      <c r="BJ11" s="370"/>
      <c r="BK11" s="371"/>
      <c r="BL11" s="229"/>
      <c r="BM11" s="364"/>
      <c r="BN11" s="365"/>
    </row>
    <row r="12" spans="2:79">
      <c r="B12" s="229"/>
      <c r="C12" s="356"/>
      <c r="D12" s="366"/>
      <c r="E12" s="367"/>
      <c r="F12" s="368"/>
      <c r="G12" s="366"/>
      <c r="H12" s="360"/>
      <c r="I12" s="361"/>
      <c r="J12" s="361"/>
      <c r="K12" s="361"/>
      <c r="L12" s="361"/>
      <c r="M12" s="360"/>
      <c r="N12" s="361"/>
      <c r="O12" s="361"/>
      <c r="P12" s="362"/>
      <c r="Q12" s="361"/>
      <c r="R12" s="361"/>
      <c r="S12" s="361"/>
      <c r="T12" s="361"/>
      <c r="U12" s="361"/>
      <c r="V12" s="360"/>
      <c r="W12" s="361"/>
      <c r="X12" s="361"/>
      <c r="Y12" s="362"/>
      <c r="Z12" s="361"/>
      <c r="AA12" s="361"/>
      <c r="AB12" s="361"/>
      <c r="AC12" s="361"/>
      <c r="AD12" s="361"/>
      <c r="AE12" s="360"/>
      <c r="AF12" s="361"/>
      <c r="AG12" s="361"/>
      <c r="AH12" s="362"/>
      <c r="AI12" s="361"/>
      <c r="AJ12" s="361"/>
      <c r="AK12" s="361"/>
      <c r="AL12" s="361"/>
      <c r="AM12" s="360"/>
      <c r="AN12" s="361"/>
      <c r="AO12" s="361"/>
      <c r="AP12" s="361"/>
      <c r="AQ12" s="362"/>
      <c r="AR12" s="361"/>
      <c r="AS12" s="361"/>
      <c r="AT12" s="361"/>
      <c r="AU12" s="361"/>
      <c r="AV12" s="360"/>
      <c r="AW12" s="361"/>
      <c r="AX12" s="361"/>
      <c r="AY12" s="362"/>
      <c r="AZ12" s="361"/>
      <c r="BA12" s="361"/>
      <c r="BB12" s="361"/>
      <c r="BC12" s="361"/>
      <c r="BD12" s="361"/>
      <c r="BE12" s="360"/>
      <c r="BF12" s="361"/>
      <c r="BG12" s="361"/>
      <c r="BH12" s="362"/>
      <c r="BI12" s="369"/>
      <c r="BJ12" s="370"/>
      <c r="BK12" s="371"/>
      <c r="BL12" s="229"/>
      <c r="BM12" s="364"/>
      <c r="BN12" s="365"/>
    </row>
    <row r="13" spans="2:79">
      <c r="B13" s="229"/>
      <c r="C13" s="356"/>
      <c r="D13" s="366"/>
      <c r="E13" s="367"/>
      <c r="F13" s="368"/>
      <c r="G13" s="366"/>
      <c r="H13" s="360"/>
      <c r="I13" s="361"/>
      <c r="J13" s="361"/>
      <c r="K13" s="361"/>
      <c r="L13" s="361"/>
      <c r="M13" s="360"/>
      <c r="N13" s="361"/>
      <c r="O13" s="361"/>
      <c r="P13" s="362"/>
      <c r="Q13" s="361"/>
      <c r="R13" s="361"/>
      <c r="S13" s="361"/>
      <c r="T13" s="361"/>
      <c r="U13" s="361"/>
      <c r="V13" s="360"/>
      <c r="W13" s="361"/>
      <c r="X13" s="361"/>
      <c r="Y13" s="362"/>
      <c r="Z13" s="361"/>
      <c r="AA13" s="361"/>
      <c r="AB13" s="361"/>
      <c r="AC13" s="361"/>
      <c r="AD13" s="361"/>
      <c r="AE13" s="360"/>
      <c r="AF13" s="361"/>
      <c r="AG13" s="361"/>
      <c r="AH13" s="362"/>
      <c r="AI13" s="361"/>
      <c r="AJ13" s="361"/>
      <c r="AK13" s="361"/>
      <c r="AL13" s="361"/>
      <c r="AM13" s="360"/>
      <c r="AN13" s="361"/>
      <c r="AO13" s="361"/>
      <c r="AP13" s="361"/>
      <c r="AQ13" s="362"/>
      <c r="AR13" s="361"/>
      <c r="AS13" s="361"/>
      <c r="AT13" s="361"/>
      <c r="AU13" s="361"/>
      <c r="AV13" s="360"/>
      <c r="AW13" s="361"/>
      <c r="AX13" s="361"/>
      <c r="AY13" s="362"/>
      <c r="AZ13" s="361"/>
      <c r="BA13" s="361"/>
      <c r="BB13" s="361"/>
      <c r="BC13" s="361"/>
      <c r="BD13" s="361"/>
      <c r="BE13" s="360"/>
      <c r="BF13" s="361"/>
      <c r="BG13" s="361"/>
      <c r="BH13" s="362"/>
      <c r="BI13" s="369"/>
      <c r="BJ13" s="370"/>
      <c r="BK13" s="371"/>
      <c r="BL13" s="229"/>
      <c r="BM13" s="364"/>
      <c r="BN13" s="365"/>
    </row>
    <row r="14" spans="2:79">
      <c r="B14" s="229"/>
      <c r="C14" s="356"/>
      <c r="D14" s="366"/>
      <c r="E14" s="367"/>
      <c r="F14" s="368"/>
      <c r="G14" s="366"/>
      <c r="H14" s="360"/>
      <c r="I14" s="361"/>
      <c r="J14" s="361"/>
      <c r="K14" s="361"/>
      <c r="L14" s="361"/>
      <c r="M14" s="360"/>
      <c r="N14" s="361"/>
      <c r="O14" s="361"/>
      <c r="P14" s="362"/>
      <c r="Q14" s="361"/>
      <c r="R14" s="361"/>
      <c r="S14" s="361"/>
      <c r="T14" s="361"/>
      <c r="U14" s="361"/>
      <c r="V14" s="360"/>
      <c r="W14" s="361"/>
      <c r="X14" s="361"/>
      <c r="Y14" s="362"/>
      <c r="Z14" s="361"/>
      <c r="AA14" s="361"/>
      <c r="AB14" s="361"/>
      <c r="AC14" s="361"/>
      <c r="AD14" s="361"/>
      <c r="AE14" s="360"/>
      <c r="AF14" s="361"/>
      <c r="AG14" s="361"/>
      <c r="AH14" s="362"/>
      <c r="AI14" s="361"/>
      <c r="AJ14" s="361"/>
      <c r="AK14" s="361"/>
      <c r="AL14" s="361"/>
      <c r="AM14" s="360"/>
      <c r="AN14" s="361"/>
      <c r="AO14" s="361"/>
      <c r="AP14" s="361"/>
      <c r="AQ14" s="362"/>
      <c r="AR14" s="361"/>
      <c r="AS14" s="361"/>
      <c r="AT14" s="361"/>
      <c r="AU14" s="361"/>
      <c r="AV14" s="360"/>
      <c r="AW14" s="361"/>
      <c r="AX14" s="361"/>
      <c r="AY14" s="362"/>
      <c r="AZ14" s="361"/>
      <c r="BA14" s="361"/>
      <c r="BB14" s="361"/>
      <c r="BC14" s="361"/>
      <c r="BD14" s="361"/>
      <c r="BE14" s="360"/>
      <c r="BF14" s="361"/>
      <c r="BG14" s="361"/>
      <c r="BH14" s="362"/>
      <c r="BI14" s="369"/>
      <c r="BJ14" s="370"/>
      <c r="BK14" s="371"/>
      <c r="BL14" s="229"/>
      <c r="BM14" s="364"/>
      <c r="BN14" s="365"/>
    </row>
    <row r="15" spans="2:79">
      <c r="B15" s="229"/>
      <c r="C15" s="356"/>
      <c r="D15" s="366"/>
      <c r="E15" s="367"/>
      <c r="F15" s="368"/>
      <c r="G15" s="366"/>
      <c r="H15" s="360"/>
      <c r="I15" s="361"/>
      <c r="J15" s="361"/>
      <c r="K15" s="361"/>
      <c r="L15" s="361"/>
      <c r="M15" s="360"/>
      <c r="N15" s="361"/>
      <c r="O15" s="361"/>
      <c r="P15" s="362"/>
      <c r="Q15" s="361"/>
      <c r="R15" s="361"/>
      <c r="S15" s="361"/>
      <c r="T15" s="361"/>
      <c r="U15" s="361"/>
      <c r="V15" s="360"/>
      <c r="W15" s="361"/>
      <c r="X15" s="361"/>
      <c r="Y15" s="362"/>
      <c r="Z15" s="361"/>
      <c r="AA15" s="361"/>
      <c r="AB15" s="361"/>
      <c r="AC15" s="361"/>
      <c r="AD15" s="361"/>
      <c r="AE15" s="360"/>
      <c r="AF15" s="361"/>
      <c r="AG15" s="361"/>
      <c r="AH15" s="362"/>
      <c r="AI15" s="361"/>
      <c r="AJ15" s="361"/>
      <c r="AK15" s="361"/>
      <c r="AL15" s="361"/>
      <c r="AM15" s="360"/>
      <c r="AN15" s="361"/>
      <c r="AO15" s="361"/>
      <c r="AP15" s="361"/>
      <c r="AQ15" s="362"/>
      <c r="AR15" s="361"/>
      <c r="AS15" s="361"/>
      <c r="AT15" s="361"/>
      <c r="AU15" s="361"/>
      <c r="AV15" s="360"/>
      <c r="AW15" s="361"/>
      <c r="AX15" s="361"/>
      <c r="AY15" s="362"/>
      <c r="AZ15" s="361"/>
      <c r="BA15" s="361"/>
      <c r="BB15" s="361"/>
      <c r="BC15" s="361"/>
      <c r="BD15" s="361"/>
      <c r="BE15" s="360"/>
      <c r="BF15" s="361"/>
      <c r="BG15" s="361"/>
      <c r="BH15" s="362"/>
      <c r="BI15" s="369"/>
      <c r="BJ15" s="370"/>
      <c r="BK15" s="371"/>
      <c r="BL15" s="229"/>
      <c r="BM15" s="364"/>
      <c r="BN15" s="365"/>
    </row>
    <row r="16" spans="2:79">
      <c r="B16" s="229"/>
      <c r="C16" s="356"/>
      <c r="D16" s="366"/>
      <c r="E16" s="367"/>
      <c r="F16" s="368"/>
      <c r="G16" s="366"/>
      <c r="H16" s="360"/>
      <c r="I16" s="361"/>
      <c r="J16" s="361"/>
      <c r="K16" s="361"/>
      <c r="L16" s="361"/>
      <c r="M16" s="360"/>
      <c r="N16" s="361"/>
      <c r="O16" s="361"/>
      <c r="P16" s="362"/>
      <c r="Q16" s="361"/>
      <c r="R16" s="361"/>
      <c r="S16" s="361"/>
      <c r="T16" s="361"/>
      <c r="U16" s="361"/>
      <c r="V16" s="360"/>
      <c r="W16" s="361"/>
      <c r="X16" s="361"/>
      <c r="Y16" s="362"/>
      <c r="Z16" s="361"/>
      <c r="AA16" s="361"/>
      <c r="AB16" s="361"/>
      <c r="AC16" s="361"/>
      <c r="AD16" s="361"/>
      <c r="AE16" s="360"/>
      <c r="AF16" s="361"/>
      <c r="AG16" s="361"/>
      <c r="AH16" s="362"/>
      <c r="AI16" s="361"/>
      <c r="AJ16" s="361"/>
      <c r="AK16" s="361"/>
      <c r="AL16" s="361"/>
      <c r="AM16" s="360"/>
      <c r="AN16" s="361"/>
      <c r="AO16" s="361"/>
      <c r="AP16" s="361"/>
      <c r="AQ16" s="362"/>
      <c r="AR16" s="361"/>
      <c r="AS16" s="361"/>
      <c r="AT16" s="361"/>
      <c r="AU16" s="361"/>
      <c r="AV16" s="360"/>
      <c r="AW16" s="361"/>
      <c r="AX16" s="361"/>
      <c r="AY16" s="362"/>
      <c r="AZ16" s="361"/>
      <c r="BA16" s="361"/>
      <c r="BB16" s="361"/>
      <c r="BC16" s="361"/>
      <c r="BD16" s="361"/>
      <c r="BE16" s="360"/>
      <c r="BF16" s="361"/>
      <c r="BG16" s="361"/>
      <c r="BH16" s="362"/>
      <c r="BI16" s="369"/>
      <c r="BJ16" s="370"/>
      <c r="BK16" s="371"/>
      <c r="BL16" s="229"/>
      <c r="BM16" s="364"/>
      <c r="BN16" s="365"/>
    </row>
    <row r="17" spans="2:33" ht="17.100000000000001" customHeight="1">
      <c r="B17" s="220"/>
    </row>
    <row r="18" spans="2:33" ht="17.100000000000001" customHeight="1">
      <c r="B18" s="220"/>
    </row>
    <row r="19" spans="2:33" ht="17.100000000000001" customHeight="1">
      <c r="B19" s="220"/>
      <c r="AF19" s="315"/>
      <c r="AG19" s="315"/>
    </row>
    <row r="20" spans="2:33" ht="17.100000000000001" customHeight="1">
      <c r="B20" s="220"/>
    </row>
    <row r="21" spans="2:33" ht="17.100000000000001" customHeight="1">
      <c r="C21" s="220"/>
    </row>
    <row r="22" spans="2:33" ht="17.100000000000001" customHeight="1"/>
    <row r="23" spans="2:33" ht="17.100000000000001" customHeight="1">
      <c r="AF23" s="315"/>
      <c r="AG23" s="315"/>
    </row>
    <row r="24" spans="2:33" ht="17.100000000000001" customHeight="1"/>
    <row r="25" spans="2:33" ht="17.100000000000001" customHeight="1"/>
    <row r="26" spans="2:33" ht="17.100000000000001" customHeight="1"/>
    <row r="27" spans="2:33" ht="17.100000000000001" customHeight="1"/>
    <row r="28" spans="2:33" ht="17.100000000000001" customHeight="1"/>
    <row r="29" spans="2:33" ht="17.100000000000001" customHeight="1"/>
    <row r="30" spans="2:33" ht="17.100000000000001" customHeight="1"/>
    <row r="31" spans="2:33" ht="17.100000000000001" customHeight="1"/>
    <row r="32" spans="2:33" ht="17.100000000000001" customHeight="1"/>
    <row r="33" spans="9:13" ht="17.100000000000001" customHeight="1"/>
    <row r="34" spans="9:13" ht="17.100000000000001" customHeight="1"/>
    <row r="35" spans="9:13" ht="17.100000000000001" customHeight="1"/>
    <row r="36" spans="9:13" ht="17.100000000000001" customHeight="1"/>
    <row r="37" spans="9:13" ht="17.100000000000001" customHeight="1"/>
    <row r="47" spans="9:13">
      <c r="I47" s="315"/>
      <c r="J47" s="315"/>
      <c r="K47" s="315"/>
      <c r="L47" s="315"/>
      <c r="M47" s="315"/>
    </row>
    <row r="72" spans="9:13">
      <c r="I72" s="315"/>
      <c r="J72" s="315"/>
      <c r="K72" s="315"/>
      <c r="L72" s="315"/>
      <c r="M72" s="315"/>
    </row>
    <row r="358" spans="7:7">
      <c r="G358" s="220"/>
    </row>
    <row r="375" spans="4:5">
      <c r="D375" s="220"/>
      <c r="E375" s="220"/>
    </row>
    <row r="378" spans="4:5">
      <c r="D378" s="220"/>
    </row>
    <row r="496" spans="7:7">
      <c r="G496" s="220"/>
    </row>
    <row r="608" spans="7:7">
      <c r="G608" s="220"/>
    </row>
    <row r="610" spans="7:8">
      <c r="H610" s="220"/>
    </row>
    <row r="611" spans="7:8">
      <c r="G611" s="220"/>
    </row>
    <row r="618" spans="7:8">
      <c r="G618" s="220"/>
    </row>
    <row r="641" spans="7:8">
      <c r="G641" s="220"/>
    </row>
    <row r="642" spans="7:8">
      <c r="G642" s="220"/>
    </row>
    <row r="643" spans="7:8">
      <c r="G643" s="220"/>
    </row>
    <row r="644" spans="7:8">
      <c r="G644" s="220"/>
    </row>
    <row r="645" spans="7:8">
      <c r="G645" s="220"/>
    </row>
    <row r="647" spans="7:8">
      <c r="H647" s="220"/>
    </row>
    <row r="648" spans="7:8">
      <c r="G648" s="220"/>
      <c r="H648" s="220"/>
    </row>
    <row r="649" spans="7:8">
      <c r="G649" s="220"/>
      <c r="H649" s="220"/>
    </row>
    <row r="650" spans="7:8">
      <c r="G650" s="220"/>
      <c r="H650" s="220"/>
    </row>
    <row r="651" spans="7:8">
      <c r="G651" s="220"/>
    </row>
    <row r="652" spans="7:8">
      <c r="G652" s="220"/>
    </row>
    <row r="654" spans="7:8">
      <c r="H654" s="220"/>
    </row>
    <row r="655" spans="7:8">
      <c r="G655" s="220"/>
      <c r="H655" s="220"/>
    </row>
    <row r="656" spans="7:8">
      <c r="G656" s="220"/>
      <c r="H656" s="220"/>
    </row>
    <row r="657" spans="7:8">
      <c r="G657" s="220"/>
      <c r="H657" s="220"/>
    </row>
    <row r="658" spans="7:8">
      <c r="G658" s="220"/>
    </row>
    <row r="659" spans="7:8">
      <c r="G659" s="220"/>
    </row>
    <row r="661" spans="7:8">
      <c r="H661" s="220"/>
    </row>
    <row r="662" spans="7:8">
      <c r="G662" s="220"/>
      <c r="H662" s="220"/>
    </row>
    <row r="663" spans="7:8">
      <c r="G663" s="220"/>
      <c r="H663" s="220"/>
    </row>
    <row r="664" spans="7:8">
      <c r="G664" s="220"/>
      <c r="H664" s="220"/>
    </row>
    <row r="665" spans="7:8">
      <c r="G665" s="220"/>
    </row>
    <row r="666" spans="7:8">
      <c r="G666" s="220"/>
    </row>
    <row r="668" spans="7:8">
      <c r="H668" s="220"/>
    </row>
    <row r="669" spans="7:8">
      <c r="G669" s="220"/>
      <c r="H669" s="220"/>
    </row>
    <row r="670" spans="7:8">
      <c r="G670" s="220"/>
      <c r="H670" s="220"/>
    </row>
    <row r="671" spans="7:8">
      <c r="G671" s="220"/>
      <c r="H671" s="220"/>
    </row>
    <row r="672" spans="7:8">
      <c r="G672" s="220"/>
    </row>
    <row r="673" spans="7:8">
      <c r="G673" s="220"/>
    </row>
    <row r="674" spans="7:8">
      <c r="G674" s="220"/>
    </row>
    <row r="675" spans="7:8">
      <c r="G675" s="220"/>
      <c r="H675" s="220"/>
    </row>
    <row r="676" spans="7:8">
      <c r="G676" s="220"/>
      <c r="H676" s="220"/>
    </row>
    <row r="677" spans="7:8">
      <c r="H677" s="220"/>
    </row>
    <row r="678" spans="7:8">
      <c r="G678" s="220"/>
      <c r="H678" s="220"/>
    </row>
    <row r="679" spans="7:8">
      <c r="G679" s="220"/>
    </row>
    <row r="680" spans="7:8">
      <c r="G680" s="220"/>
    </row>
    <row r="681" spans="7:8">
      <c r="G681" s="220"/>
    </row>
    <row r="682" spans="7:8">
      <c r="G682" s="220"/>
    </row>
    <row r="683" spans="7:8">
      <c r="G683" s="220"/>
    </row>
    <row r="684" spans="7:8">
      <c r="H684" s="220"/>
    </row>
    <row r="685" spans="7:8">
      <c r="H685" s="220"/>
    </row>
    <row r="686" spans="7:8">
      <c r="H686" s="220"/>
    </row>
    <row r="687" spans="7:8">
      <c r="H687" s="220"/>
    </row>
    <row r="688" spans="7:8">
      <c r="H688" s="220"/>
    </row>
    <row r="689" spans="8:8">
      <c r="H689" s="220"/>
    </row>
  </sheetData>
  <sortState ref="A45:A88">
    <sortCondition ref="A1"/>
  </sortState>
  <mergeCells count="5">
    <mergeCell ref="N1:Z1"/>
    <mergeCell ref="N2:Z2"/>
    <mergeCell ref="N3:Z3"/>
    <mergeCell ref="N4:Z4"/>
    <mergeCell ref="N5:Z5"/>
  </mergeCells>
  <conditionalFormatting sqref="N5:Z5">
    <cfRule type="containsText" dxfId="213" priority="148" operator="containsText" text="al">
      <formula>NOT(ISERROR(SEARCH("al",N5)))</formula>
    </cfRule>
  </conditionalFormatting>
  <conditionalFormatting sqref="N5:Z5">
    <cfRule type="containsText" dxfId="212" priority="147" operator="containsText" text="al">
      <formula>NOT(ISERROR(SEARCH("al",N5)))</formula>
    </cfRule>
  </conditionalFormatting>
  <conditionalFormatting sqref="N5:Z5">
    <cfRule type="containsText" dxfId="211" priority="131" operator="containsText" text="al">
      <formula>NOT(ISERROR(SEARCH("al",N5)))</formula>
    </cfRule>
  </conditionalFormatting>
  <conditionalFormatting sqref="N5:Z5">
    <cfRule type="containsText" dxfId="210" priority="130" operator="containsText" text="al">
      <formula>NOT(ISERROR(SEARCH("al",N5)))</formula>
    </cfRule>
  </conditionalFormatting>
  <conditionalFormatting sqref="N5:Z5">
    <cfRule type="containsText" dxfId="209" priority="132" operator="containsText" text="al">
      <formula>NOT(ISERROR(SEARCH("al",N5)))</formula>
    </cfRule>
  </conditionalFormatting>
  <conditionalFormatting sqref="N5:Z5">
    <cfRule type="containsText" dxfId="208" priority="129" operator="containsText" text="al">
      <formula>NOT(ISERROR(SEARCH("al",N5)))</formula>
    </cfRule>
  </conditionalFormatting>
  <conditionalFormatting sqref="N5:Z5">
    <cfRule type="containsText" dxfId="207" priority="146" operator="containsText" text="al">
      <formula>NOT(ISERROR(SEARCH("al",N5)))</formula>
    </cfRule>
  </conditionalFormatting>
  <conditionalFormatting sqref="N5:Z5">
    <cfRule type="containsText" dxfId="206" priority="145" operator="containsText" text="al">
      <formula>NOT(ISERROR(SEARCH("al",N5)))</formula>
    </cfRule>
  </conditionalFormatting>
  <conditionalFormatting sqref="N3:Z3">
    <cfRule type="containsText" dxfId="205" priority="58" operator="containsText" text="al">
      <formula>NOT(ISERROR(SEARCH("al",N3)))</formula>
    </cfRule>
  </conditionalFormatting>
  <conditionalFormatting sqref="N5:Z5">
    <cfRule type="containsText" dxfId="204" priority="144" operator="containsText" text="al">
      <formula>NOT(ISERROR(SEARCH("al",N5)))</formula>
    </cfRule>
  </conditionalFormatting>
  <conditionalFormatting sqref="N2:Z2">
    <cfRule type="containsText" dxfId="203" priority="88" operator="containsText" text="al">
      <formula>NOT(ISERROR(SEARCH("al",N2)))</formula>
    </cfRule>
  </conditionalFormatting>
  <conditionalFormatting sqref="AR5">
    <cfRule type="containsText" dxfId="202" priority="174" operator="containsText" text="al">
      <formula>NOT(ISERROR(SEARCH("al",AR5)))</formula>
    </cfRule>
  </conditionalFormatting>
  <conditionalFormatting sqref="AR5">
    <cfRule type="containsText" dxfId="201" priority="173" operator="containsText" text="al">
      <formula>NOT(ISERROR(SEARCH("al",AR5)))</formula>
    </cfRule>
  </conditionalFormatting>
  <conditionalFormatting sqref="AS5">
    <cfRule type="containsText" dxfId="200" priority="172" operator="containsText" text="al">
      <formula>NOT(ISERROR(SEARCH("al",AS5)))</formula>
    </cfRule>
  </conditionalFormatting>
  <conditionalFormatting sqref="AS5">
    <cfRule type="containsText" dxfId="199" priority="171" operator="containsText" text="al">
      <formula>NOT(ISERROR(SEARCH("al",AS5)))</formula>
    </cfRule>
  </conditionalFormatting>
  <conditionalFormatting sqref="AS5">
    <cfRule type="containsText" dxfId="198" priority="170" operator="containsText" text="al">
      <formula>NOT(ISERROR(SEARCH("al",AS5)))</formula>
    </cfRule>
  </conditionalFormatting>
  <conditionalFormatting sqref="AS5">
    <cfRule type="containsText" dxfId="197" priority="169" operator="containsText" text="al">
      <formula>NOT(ISERROR(SEARCH("al",AS5)))</formula>
    </cfRule>
  </conditionalFormatting>
  <conditionalFormatting sqref="AR5">
    <cfRule type="containsText" dxfId="196" priority="168" operator="containsText" text="al">
      <formula>NOT(ISERROR(SEARCH("al",AR5)))</formula>
    </cfRule>
  </conditionalFormatting>
  <conditionalFormatting sqref="AR5">
    <cfRule type="containsText" dxfId="195" priority="167" operator="containsText" text="al">
      <formula>NOT(ISERROR(SEARCH("al",AR5)))</formula>
    </cfRule>
  </conditionalFormatting>
  <conditionalFormatting sqref="AR5">
    <cfRule type="containsText" dxfId="194" priority="164" operator="containsText" text="al">
      <formula>NOT(ISERROR(SEARCH("al",AR5)))</formula>
    </cfRule>
  </conditionalFormatting>
  <conditionalFormatting sqref="AS5">
    <cfRule type="containsText" dxfId="193" priority="163" operator="containsText" text="al">
      <formula>NOT(ISERROR(SEARCH("al",AS5)))</formula>
    </cfRule>
  </conditionalFormatting>
  <conditionalFormatting sqref="AS5">
    <cfRule type="containsText" dxfId="192" priority="162" operator="containsText" text="al">
      <formula>NOT(ISERROR(SEARCH("al",AS5)))</formula>
    </cfRule>
  </conditionalFormatting>
  <conditionalFormatting sqref="AR5">
    <cfRule type="containsText" dxfId="191" priority="161" operator="containsText" text="al">
      <formula>NOT(ISERROR(SEARCH("al",AR5)))</formula>
    </cfRule>
  </conditionalFormatting>
  <conditionalFormatting sqref="AS5">
    <cfRule type="containsText" dxfId="190" priority="159" operator="containsText" text="al">
      <formula>NOT(ISERROR(SEARCH("al",AS5)))</formula>
    </cfRule>
  </conditionalFormatting>
  <conditionalFormatting sqref="AS5">
    <cfRule type="containsText" dxfId="189" priority="158" operator="containsText" text="al">
      <formula>NOT(ISERROR(SEARCH("al",AS5)))</formula>
    </cfRule>
  </conditionalFormatting>
  <conditionalFormatting sqref="AR5">
    <cfRule type="containsText" dxfId="188" priority="156" operator="containsText" text="al">
      <formula>NOT(ISERROR(SEARCH("al",AR5)))</formula>
    </cfRule>
  </conditionalFormatting>
  <conditionalFormatting sqref="AR5">
    <cfRule type="containsText" dxfId="187" priority="155" operator="containsText" text="al">
      <formula>NOT(ISERROR(SEARCH("al",AR5)))</formula>
    </cfRule>
  </conditionalFormatting>
  <conditionalFormatting sqref="AR5">
    <cfRule type="containsText" dxfId="186" priority="154" operator="containsText" text="al">
      <formula>NOT(ISERROR(SEARCH("al",AR5)))</formula>
    </cfRule>
  </conditionalFormatting>
  <conditionalFormatting sqref="AS5">
    <cfRule type="containsText" dxfId="185" priority="153" operator="containsText" text="al">
      <formula>NOT(ISERROR(SEARCH("al",AS5)))</formula>
    </cfRule>
  </conditionalFormatting>
  <conditionalFormatting sqref="AS5">
    <cfRule type="containsText" dxfId="184" priority="166" operator="containsText" text="al">
      <formula>NOT(ISERROR(SEARCH("al",AS5)))</formula>
    </cfRule>
  </conditionalFormatting>
  <conditionalFormatting sqref="AS5">
    <cfRule type="containsText" dxfId="183" priority="165" operator="containsText" text="al">
      <formula>NOT(ISERROR(SEARCH("al",AS5)))</formula>
    </cfRule>
  </conditionalFormatting>
  <conditionalFormatting sqref="N5:Z5">
    <cfRule type="containsText" dxfId="182" priority="143" operator="containsText" text="al">
      <formula>NOT(ISERROR(SEARCH("al",N5)))</formula>
    </cfRule>
  </conditionalFormatting>
  <conditionalFormatting sqref="N2:Z2">
    <cfRule type="containsText" dxfId="181" priority="89" operator="containsText" text="al">
      <formula>NOT(ISERROR(SEARCH("al",N2)))</formula>
    </cfRule>
  </conditionalFormatting>
  <conditionalFormatting sqref="AQ3:AU3">
    <cfRule type="containsText" dxfId="180" priority="60" operator="containsText" text="al">
      <formula>NOT(ISERROR(SEARCH("al",AQ3)))</formula>
    </cfRule>
  </conditionalFormatting>
  <conditionalFormatting sqref="N3:Z3">
    <cfRule type="containsText" dxfId="179" priority="59" operator="containsText" text="al">
      <formula>NOT(ISERROR(SEARCH("al",N3)))</formula>
    </cfRule>
  </conditionalFormatting>
  <conditionalFormatting sqref="AR5">
    <cfRule type="containsText" dxfId="178" priority="160" operator="containsText" text="al">
      <formula>NOT(ISERROR(SEARCH("al",AR5)))</formula>
    </cfRule>
  </conditionalFormatting>
  <conditionalFormatting sqref="AS5">
    <cfRule type="containsText" dxfId="177" priority="157" operator="containsText" text="al">
      <formula>NOT(ISERROR(SEARCH("al",AS5)))</formula>
    </cfRule>
  </conditionalFormatting>
  <conditionalFormatting sqref="AS5">
    <cfRule type="containsText" dxfId="176" priority="152" operator="containsText" text="al">
      <formula>NOT(ISERROR(SEARCH("al",AS5)))</formula>
    </cfRule>
  </conditionalFormatting>
  <conditionalFormatting sqref="AR5">
    <cfRule type="containsText" dxfId="175" priority="151" operator="containsText" text="al">
      <formula>NOT(ISERROR(SEARCH("al",AR5)))</formula>
    </cfRule>
  </conditionalFormatting>
  <conditionalFormatting sqref="AR5">
    <cfRule type="containsText" dxfId="174" priority="150" operator="containsText" text="al">
      <formula>NOT(ISERROR(SEARCH("al",AR5)))</formula>
    </cfRule>
  </conditionalFormatting>
  <conditionalFormatting sqref="N5:Z5">
    <cfRule type="containsText" dxfId="173" priority="149" operator="containsText" text="al">
      <formula>NOT(ISERROR(SEARCH("al",N5)))</formula>
    </cfRule>
  </conditionalFormatting>
  <conditionalFormatting sqref="AQ4">
    <cfRule type="containsText" dxfId="172" priority="30" operator="containsText" text="al">
      <formula>NOT(ISERROR(SEARCH("al",AQ4)))</formula>
    </cfRule>
  </conditionalFormatting>
  <conditionalFormatting sqref="AQ4:AU4">
    <cfRule type="containsText" dxfId="171" priority="29" operator="containsText" text="al">
      <formula>NOT(ISERROR(SEARCH("al",AQ4)))</formula>
    </cfRule>
  </conditionalFormatting>
  <conditionalFormatting sqref="N4:Z4">
    <cfRule type="containsText" dxfId="170" priority="28" operator="containsText" text="al">
      <formula>NOT(ISERROR(SEARCH("al",N4)))</formula>
    </cfRule>
  </conditionalFormatting>
  <conditionalFormatting sqref="N5:Z5">
    <cfRule type="containsText" dxfId="169" priority="142" operator="containsText" text="al">
      <formula>NOT(ISERROR(SEARCH("al",N5)))</formula>
    </cfRule>
  </conditionalFormatting>
  <conditionalFormatting sqref="N5:Z5">
    <cfRule type="containsText" dxfId="168" priority="118" operator="containsText" text="al">
      <formula>NOT(ISERROR(SEARCH("al",N5)))</formula>
    </cfRule>
    <cfRule type="containsText" dxfId="167" priority="122" operator="containsText" text="al">
      <formula>NOT(ISERROR(SEARCH("al",N5)))</formula>
    </cfRule>
    <cfRule type="containsText" dxfId="166" priority="123" operator="containsText" text="al">
      <formula>NOT(ISERROR(SEARCH("al",N5)))</formula>
    </cfRule>
    <cfRule type="containsText" dxfId="165" priority="125" operator="containsText" text="al">
      <formula>NOT(ISERROR(SEARCH("al",N5)))</formula>
    </cfRule>
    <cfRule type="containsText" dxfId="164" priority="126" operator="containsText" text="al">
      <formula>NOT(ISERROR(SEARCH("al",N5)))</formula>
    </cfRule>
    <cfRule type="containsText" dxfId="163" priority="127" operator="containsText" text="al">
      <formula>NOT(ISERROR(SEARCH("al",N5)))</formula>
    </cfRule>
    <cfRule type="containsText" dxfId="162" priority="128" operator="containsText" text="al">
      <formula>NOT(ISERROR(SEARCH("al",N5)))</formula>
    </cfRule>
    <cfRule type="containsText" dxfId="161" priority="141" operator="containsText" text="al">
      <formula>NOT(ISERROR(SEARCH("al",N5)))</formula>
    </cfRule>
  </conditionalFormatting>
  <conditionalFormatting sqref="N5:Z5">
    <cfRule type="containsText" dxfId="160" priority="121" operator="containsText" text="al">
      <formula>NOT(ISERROR(SEARCH("al",N5)))</formula>
    </cfRule>
    <cfRule type="containsText" dxfId="159" priority="138" operator="containsText" text="al">
      <formula>NOT(ISERROR(SEARCH("al",N5)))</formula>
    </cfRule>
    <cfRule type="containsText" dxfId="158" priority="140" operator="containsText" text="al">
      <formula>NOT(ISERROR(SEARCH("al",N5)))</formula>
    </cfRule>
  </conditionalFormatting>
  <conditionalFormatting sqref="N5:Z5">
    <cfRule type="containsText" dxfId="157" priority="139" operator="containsText" text="al">
      <formula>NOT(ISERROR(SEARCH("al",N5)))</formula>
    </cfRule>
  </conditionalFormatting>
  <conditionalFormatting sqref="N5:Z5">
    <cfRule type="containsText" dxfId="156" priority="137" operator="containsText" text="al">
      <formula>NOT(ISERROR(SEARCH("al",N5)))</formula>
    </cfRule>
  </conditionalFormatting>
  <conditionalFormatting sqref="N5:Z5">
    <cfRule type="containsText" dxfId="155" priority="136" operator="containsText" text="al">
      <formula>NOT(ISERROR(SEARCH("al",N5)))</formula>
    </cfRule>
  </conditionalFormatting>
  <conditionalFormatting sqref="N5:Z5">
    <cfRule type="containsText" dxfId="154" priority="135" operator="containsText" text="al">
      <formula>NOT(ISERROR(SEARCH("al",N5)))</formula>
    </cfRule>
  </conditionalFormatting>
  <conditionalFormatting sqref="N5:Z5">
    <cfRule type="containsText" dxfId="153" priority="134" operator="containsText" text="al">
      <formula>NOT(ISERROR(SEARCH("al",N5)))</formula>
    </cfRule>
  </conditionalFormatting>
  <conditionalFormatting sqref="N5:Z5">
    <cfRule type="containsText" dxfId="152" priority="133" operator="containsText" text="al">
      <formula>NOT(ISERROR(SEARCH("al",N5)))</formula>
    </cfRule>
  </conditionalFormatting>
  <conditionalFormatting sqref="N5:Z5">
    <cfRule type="containsText" dxfId="151" priority="124" operator="containsText" text="al">
      <formula>NOT(ISERROR(SEARCH("al",N5)))</formula>
    </cfRule>
  </conditionalFormatting>
  <conditionalFormatting sqref="N5:Z5">
    <cfRule type="containsText" dxfId="150" priority="120" operator="containsText" text="al">
      <formula>NOT(ISERROR(SEARCH("al",N5)))</formula>
    </cfRule>
  </conditionalFormatting>
  <conditionalFormatting sqref="N5:Z5">
    <cfRule type="containsText" dxfId="149" priority="119" operator="containsText" text="al">
      <formula>NOT(ISERROR(SEARCH("al",N5)))</formula>
    </cfRule>
  </conditionalFormatting>
  <conditionalFormatting sqref="BC1">
    <cfRule type="containsText" dxfId="148" priority="117" operator="containsText" text="al">
      <formula>NOT(ISERROR(SEARCH("al",BC1)))</formula>
    </cfRule>
  </conditionalFormatting>
  <conditionalFormatting sqref="BC1">
    <cfRule type="containsText" dxfId="147" priority="116" operator="containsText" text="al">
      <formula>NOT(ISERROR(SEARCH("al",BC1)))</formula>
    </cfRule>
  </conditionalFormatting>
  <conditionalFormatting sqref="BC1">
    <cfRule type="containsText" dxfId="146" priority="115" operator="containsText" text="al">
      <formula>NOT(ISERROR(SEARCH("al",BC1)))</formula>
    </cfRule>
  </conditionalFormatting>
  <conditionalFormatting sqref="BE1:BH1">
    <cfRule type="containsText" dxfId="145" priority="114" operator="containsText" text="al">
      <formula>NOT(ISERROR(SEARCH("al",BE1)))</formula>
    </cfRule>
  </conditionalFormatting>
  <conditionalFormatting sqref="BC1">
    <cfRule type="containsText" dxfId="144" priority="113" operator="containsText" text="al">
      <formula>NOT(ISERROR(SEARCH("al",BC1)))</formula>
    </cfRule>
  </conditionalFormatting>
  <conditionalFormatting sqref="BC1:BD1">
    <cfRule type="containsText" dxfId="143" priority="112" operator="containsText" text="al">
      <formula>NOT(ISERROR(SEARCH("al",BC1)))</formula>
    </cfRule>
  </conditionalFormatting>
  <conditionalFormatting sqref="N1:Z1">
    <cfRule type="containsText" dxfId="142" priority="111" operator="containsText" text="al">
      <formula>NOT(ISERROR(SEARCH("al",N1)))</formula>
    </cfRule>
  </conditionalFormatting>
  <conditionalFormatting sqref="N1:Z1">
    <cfRule type="containsText" dxfId="141" priority="110" operator="containsText" text="al">
      <formula>NOT(ISERROR(SEARCH("al",N1)))</formula>
    </cfRule>
  </conditionalFormatting>
  <conditionalFormatting sqref="N1:Z1">
    <cfRule type="containsText" dxfId="140" priority="103" operator="containsText" text="al">
      <formula>NOT(ISERROR(SEARCH("al",N1)))</formula>
    </cfRule>
    <cfRule type="containsText" dxfId="139" priority="109" operator="containsText" text="al">
      <formula>NOT(ISERROR(SEARCH("al",N1)))</formula>
    </cfRule>
  </conditionalFormatting>
  <conditionalFormatting sqref="N1:Z1">
    <cfRule type="containsText" dxfId="138" priority="100" operator="containsText" text="al">
      <formula>NOT(ISERROR(SEARCH("al",N1)))</formula>
    </cfRule>
    <cfRule type="containsText" dxfId="137" priority="108" operator="containsText" text="al">
      <formula>NOT(ISERROR(SEARCH("al",N1)))</formula>
    </cfRule>
  </conditionalFormatting>
  <conditionalFormatting sqref="N1:Z1">
    <cfRule type="containsText" dxfId="136" priority="107" operator="containsText" text="al">
      <formula>NOT(ISERROR(SEARCH("al",N1)))</formula>
    </cfRule>
  </conditionalFormatting>
  <conditionalFormatting sqref="N1:Z1">
    <cfRule type="containsText" dxfId="135" priority="106" operator="containsText" text="al">
      <formula>NOT(ISERROR(SEARCH("al",N1)))</formula>
    </cfRule>
  </conditionalFormatting>
  <conditionalFormatting sqref="N1:Z1">
    <cfRule type="containsText" dxfId="134" priority="105" operator="containsText" text="al">
      <formula>NOT(ISERROR(SEARCH("al",N1)))</formula>
    </cfRule>
  </conditionalFormatting>
  <conditionalFormatting sqref="N1:Z1">
    <cfRule type="containsText" dxfId="133" priority="104" operator="containsText" text="al">
      <formula>NOT(ISERROR(SEARCH("al",N1)))</formula>
    </cfRule>
  </conditionalFormatting>
  <conditionalFormatting sqref="N1:Z1">
    <cfRule type="containsText" dxfId="132" priority="102" operator="containsText" text="al">
      <formula>NOT(ISERROR(SEARCH("al",N1)))</formula>
    </cfRule>
  </conditionalFormatting>
  <conditionalFormatting sqref="N1:Z1">
    <cfRule type="containsText" dxfId="131" priority="101" operator="containsText" text="al">
      <formula>NOT(ISERROR(SEARCH("al",N1)))</formula>
    </cfRule>
  </conditionalFormatting>
  <conditionalFormatting sqref="AR1">
    <cfRule type="containsText" dxfId="130" priority="99" operator="containsText" text="al">
      <formula>NOT(ISERROR(SEARCH("al",AR1)))</formula>
    </cfRule>
  </conditionalFormatting>
  <conditionalFormatting sqref="AR1">
    <cfRule type="containsText" dxfId="129" priority="98" operator="containsText" text="al">
      <formula>NOT(ISERROR(SEARCH("al",AR1)))</formula>
    </cfRule>
  </conditionalFormatting>
  <conditionalFormatting sqref="AR1">
    <cfRule type="containsText" dxfId="128" priority="97" operator="containsText" text="al">
      <formula>NOT(ISERROR(SEARCH("al",AR1)))</formula>
    </cfRule>
  </conditionalFormatting>
  <conditionalFormatting sqref="AR1">
    <cfRule type="containsText" dxfId="127" priority="96" operator="containsText" text="al">
      <formula>NOT(ISERROR(SEARCH("al",AR1)))</formula>
    </cfRule>
  </conditionalFormatting>
  <conditionalFormatting sqref="AR2">
    <cfRule type="containsText" dxfId="126" priority="95" operator="containsText" text="al">
      <formula>NOT(ISERROR(SEARCH("al",AR2)))</formula>
    </cfRule>
  </conditionalFormatting>
  <conditionalFormatting sqref="AR2">
    <cfRule type="containsText" dxfId="125" priority="94" operator="containsText" text="al">
      <formula>NOT(ISERROR(SEARCH("al",AR2)))</formula>
    </cfRule>
  </conditionalFormatting>
  <conditionalFormatting sqref="AR2">
    <cfRule type="containsText" dxfId="124" priority="93" operator="containsText" text="al">
      <formula>NOT(ISERROR(SEARCH("al",AR2)))</formula>
    </cfRule>
  </conditionalFormatting>
  <conditionalFormatting sqref="AR2:AS2">
    <cfRule type="containsText" dxfId="123" priority="92" operator="containsText" text="al">
      <formula>NOT(ISERROR(SEARCH("al",AR2)))</formula>
    </cfRule>
  </conditionalFormatting>
  <conditionalFormatting sqref="N2:Z2">
    <cfRule type="containsText" dxfId="122" priority="91" operator="containsText" text="al">
      <formula>NOT(ISERROR(SEARCH("al",N2)))</formula>
    </cfRule>
  </conditionalFormatting>
  <conditionalFormatting sqref="N2:Z2">
    <cfRule type="containsText" dxfId="121" priority="90" operator="containsText" text="al">
      <formula>NOT(ISERROR(SEARCH("al",N2)))</formula>
    </cfRule>
  </conditionalFormatting>
  <conditionalFormatting sqref="N2:Z2">
    <cfRule type="containsText" dxfId="120" priority="87" operator="containsText" text="al">
      <formula>NOT(ISERROR(SEARCH("al",N2)))</formula>
    </cfRule>
  </conditionalFormatting>
  <conditionalFormatting sqref="N2:Z2">
    <cfRule type="containsText" dxfId="119" priority="86" operator="containsText" text="al">
      <formula>NOT(ISERROR(SEARCH("al",N2)))</formula>
    </cfRule>
  </conditionalFormatting>
  <conditionalFormatting sqref="N2:Z2">
    <cfRule type="containsText" dxfId="118" priority="85" operator="containsText" text="al">
      <formula>NOT(ISERROR(SEARCH("al",N2)))</formula>
    </cfRule>
  </conditionalFormatting>
  <conditionalFormatting sqref="N2:Z2">
    <cfRule type="containsText" dxfId="117" priority="63" operator="containsText" text="al">
      <formula>NOT(ISERROR(SEARCH("al",N2)))</formula>
    </cfRule>
    <cfRule type="containsText" dxfId="116" priority="67" operator="containsText" text="al">
      <formula>NOT(ISERROR(SEARCH("al",N2)))</formula>
    </cfRule>
    <cfRule type="containsText" dxfId="115" priority="68" operator="containsText" text="al">
      <formula>NOT(ISERROR(SEARCH("al",N2)))</formula>
    </cfRule>
    <cfRule type="containsText" dxfId="114" priority="70" operator="containsText" text="al">
      <formula>NOT(ISERROR(SEARCH("al",N2)))</formula>
    </cfRule>
    <cfRule type="containsText" dxfId="113" priority="71" operator="containsText" text="al">
      <formula>NOT(ISERROR(SEARCH("al",N2)))</formula>
    </cfRule>
    <cfRule type="containsText" dxfId="112" priority="72" operator="containsText" text="al">
      <formula>NOT(ISERROR(SEARCH("al",N2)))</formula>
    </cfRule>
    <cfRule type="containsText" dxfId="111" priority="73" operator="containsText" text="al">
      <formula>NOT(ISERROR(SEARCH("al",N2)))</formula>
    </cfRule>
    <cfRule type="containsText" dxfId="110" priority="75" operator="containsText" text="al">
      <formula>NOT(ISERROR(SEARCH("al",N2)))</formula>
    </cfRule>
    <cfRule type="containsText" dxfId="109" priority="76" operator="containsText" text="al">
      <formula>NOT(ISERROR(SEARCH("al",N2)))</formula>
    </cfRule>
    <cfRule type="containsText" dxfId="108" priority="77" operator="containsText" text="al">
      <formula>NOT(ISERROR(SEARCH("al",N2)))</formula>
    </cfRule>
    <cfRule type="containsText" dxfId="107" priority="78" operator="containsText" text="al">
      <formula>NOT(ISERROR(SEARCH("al",N2)))</formula>
    </cfRule>
    <cfRule type="containsText" dxfId="106" priority="80" operator="containsText" text="al">
      <formula>NOT(ISERROR(SEARCH("al",N2)))</formula>
    </cfRule>
    <cfRule type="containsText" dxfId="105" priority="84" operator="containsText" text="al">
      <formula>NOT(ISERROR(SEARCH("al",N2)))</formula>
    </cfRule>
  </conditionalFormatting>
  <conditionalFormatting sqref="N2:Z2">
    <cfRule type="containsText" dxfId="104" priority="83" operator="containsText" text="al">
      <formula>NOT(ISERROR(SEARCH("al",N2)))</formula>
    </cfRule>
  </conditionalFormatting>
  <conditionalFormatting sqref="N2:Z2">
    <cfRule type="containsText" dxfId="103" priority="82" operator="containsText" text="al">
      <formula>NOT(ISERROR(SEARCH("al",N2)))</formula>
    </cfRule>
  </conditionalFormatting>
  <conditionalFormatting sqref="N2:Z2">
    <cfRule type="containsText" dxfId="102" priority="74" operator="containsText" text="al">
      <formula>NOT(ISERROR(SEARCH("al",N2)))</formula>
    </cfRule>
    <cfRule type="containsText" dxfId="101" priority="79" operator="containsText" text="al">
      <formula>NOT(ISERROR(SEARCH("al",N2)))</formula>
    </cfRule>
    <cfRule type="containsText" dxfId="100" priority="81" operator="containsText" text="al">
      <formula>NOT(ISERROR(SEARCH("al",N2)))</formula>
    </cfRule>
  </conditionalFormatting>
  <conditionalFormatting sqref="N2:Z2">
    <cfRule type="containsText" dxfId="99" priority="66" operator="containsText" text="al">
      <formula>NOT(ISERROR(SEARCH("al",N2)))</formula>
    </cfRule>
    <cfRule type="containsText" dxfId="98" priority="69" operator="containsText" text="al">
      <formula>NOT(ISERROR(SEARCH("al",N2)))</formula>
    </cfRule>
  </conditionalFormatting>
  <conditionalFormatting sqref="N2:Z2">
    <cfRule type="containsText" dxfId="97" priority="65" operator="containsText" text="al">
      <formula>NOT(ISERROR(SEARCH("al",N2)))</formula>
    </cfRule>
  </conditionalFormatting>
  <conditionalFormatting sqref="N2:Z2">
    <cfRule type="containsText" dxfId="96" priority="64" operator="containsText" text="al">
      <formula>NOT(ISERROR(SEARCH("al",N2)))</formula>
    </cfRule>
  </conditionalFormatting>
  <conditionalFormatting sqref="AQ3">
    <cfRule type="containsText" dxfId="95" priority="62" operator="containsText" text="al">
      <formula>NOT(ISERROR(SEARCH("al",AQ3)))</formula>
    </cfRule>
  </conditionalFormatting>
  <conditionalFormatting sqref="AQ3">
    <cfRule type="containsText" dxfId="94" priority="61" operator="containsText" text="al">
      <formula>NOT(ISERROR(SEARCH("al",AQ3)))</formula>
    </cfRule>
  </conditionalFormatting>
  <conditionalFormatting sqref="N3:Z3">
    <cfRule type="containsText" dxfId="93" priority="57" operator="containsText" text="al">
      <formula>NOT(ISERROR(SEARCH("al",N3)))</formula>
    </cfRule>
  </conditionalFormatting>
  <conditionalFormatting sqref="N3:Z3">
    <cfRule type="containsText" dxfId="92" priority="56" operator="containsText" text="al">
      <formula>NOT(ISERROR(SEARCH("al",N3)))</formula>
    </cfRule>
  </conditionalFormatting>
  <conditionalFormatting sqref="N3:Z3">
    <cfRule type="containsText" dxfId="91" priority="55" operator="containsText" text="al">
      <formula>NOT(ISERROR(SEARCH("al",N3)))</formula>
    </cfRule>
  </conditionalFormatting>
  <conditionalFormatting sqref="N3:Z3">
    <cfRule type="containsText" dxfId="90" priority="54" operator="containsText" text="al">
      <formula>NOT(ISERROR(SEARCH("al",N3)))</formula>
    </cfRule>
  </conditionalFormatting>
  <conditionalFormatting sqref="N3:Z3">
    <cfRule type="containsText" dxfId="89" priority="53" operator="containsText" text="al">
      <formula>NOT(ISERROR(SEARCH("al",N3)))</formula>
    </cfRule>
  </conditionalFormatting>
  <conditionalFormatting sqref="N3:Z3">
    <cfRule type="containsText" dxfId="88" priority="31" operator="containsText" text="al">
      <formula>NOT(ISERROR(SEARCH("al",N3)))</formula>
    </cfRule>
    <cfRule type="containsText" dxfId="87" priority="35" operator="containsText" text="al">
      <formula>NOT(ISERROR(SEARCH("al",N3)))</formula>
    </cfRule>
    <cfRule type="containsText" dxfId="86" priority="36" operator="containsText" text="al">
      <formula>NOT(ISERROR(SEARCH("al",N3)))</formula>
    </cfRule>
    <cfRule type="containsText" dxfId="85" priority="38" operator="containsText" text="al">
      <formula>NOT(ISERROR(SEARCH("al",N3)))</formula>
    </cfRule>
    <cfRule type="containsText" dxfId="84" priority="39" operator="containsText" text="al">
      <formula>NOT(ISERROR(SEARCH("al",N3)))</formula>
    </cfRule>
    <cfRule type="containsText" dxfId="83" priority="40" operator="containsText" text="al">
      <formula>NOT(ISERROR(SEARCH("al",N3)))</formula>
    </cfRule>
    <cfRule type="containsText" dxfId="82" priority="41" operator="containsText" text="al">
      <formula>NOT(ISERROR(SEARCH("al",N3)))</formula>
    </cfRule>
    <cfRule type="containsText" dxfId="81" priority="43" operator="containsText" text="al">
      <formula>NOT(ISERROR(SEARCH("al",N3)))</formula>
    </cfRule>
    <cfRule type="containsText" dxfId="80" priority="44" operator="containsText" text="al">
      <formula>NOT(ISERROR(SEARCH("al",N3)))</formula>
    </cfRule>
    <cfRule type="containsText" dxfId="79" priority="45" operator="containsText" text="al">
      <formula>NOT(ISERROR(SEARCH("al",N3)))</formula>
    </cfRule>
    <cfRule type="containsText" dxfId="78" priority="46" operator="containsText" text="al">
      <formula>NOT(ISERROR(SEARCH("al",N3)))</formula>
    </cfRule>
    <cfRule type="containsText" dxfId="77" priority="48" operator="containsText" text="al">
      <formula>NOT(ISERROR(SEARCH("al",N3)))</formula>
    </cfRule>
    <cfRule type="containsText" dxfId="76" priority="52" operator="containsText" text="al">
      <formula>NOT(ISERROR(SEARCH("al",N3)))</formula>
    </cfRule>
  </conditionalFormatting>
  <conditionalFormatting sqref="N3:Z3">
    <cfRule type="containsText" dxfId="75" priority="51" operator="containsText" text="al">
      <formula>NOT(ISERROR(SEARCH("al",N3)))</formula>
    </cfRule>
  </conditionalFormatting>
  <conditionalFormatting sqref="N3:Z3">
    <cfRule type="containsText" dxfId="74" priority="50" operator="containsText" text="al">
      <formula>NOT(ISERROR(SEARCH("al",N3)))</formula>
    </cfRule>
  </conditionalFormatting>
  <conditionalFormatting sqref="N3:Z3">
    <cfRule type="containsText" dxfId="73" priority="42" operator="containsText" text="al">
      <formula>NOT(ISERROR(SEARCH("al",N3)))</formula>
    </cfRule>
    <cfRule type="containsText" dxfId="72" priority="47" operator="containsText" text="al">
      <formula>NOT(ISERROR(SEARCH("al",N3)))</formula>
    </cfRule>
    <cfRule type="containsText" dxfId="71" priority="49" operator="containsText" text="al">
      <formula>NOT(ISERROR(SEARCH("al",N3)))</formula>
    </cfRule>
  </conditionalFormatting>
  <conditionalFormatting sqref="N3:Z3">
    <cfRule type="containsText" dxfId="70" priority="34" operator="containsText" text="al">
      <formula>NOT(ISERROR(SEARCH("al",N3)))</formula>
    </cfRule>
    <cfRule type="containsText" dxfId="69" priority="37" operator="containsText" text="al">
      <formula>NOT(ISERROR(SEARCH("al",N3)))</formula>
    </cfRule>
  </conditionalFormatting>
  <conditionalFormatting sqref="N3:Z3">
    <cfRule type="containsText" dxfId="68" priority="33" operator="containsText" text="al">
      <formula>NOT(ISERROR(SEARCH("al",N3)))</formula>
    </cfRule>
  </conditionalFormatting>
  <conditionalFormatting sqref="N3:Z3">
    <cfRule type="containsText" dxfId="67" priority="32" operator="containsText" text="al">
      <formula>NOT(ISERROR(SEARCH("al",N3)))</formula>
    </cfRule>
  </conditionalFormatting>
  <conditionalFormatting sqref="N4:Z4">
    <cfRule type="containsText" dxfId="66" priority="12" operator="containsText" text="al">
      <formula>NOT(ISERROR(SEARCH("al",N4)))</formula>
    </cfRule>
    <cfRule type="containsText" dxfId="65" priority="17" operator="containsText" text="al">
      <formula>NOT(ISERROR(SEARCH("al",N4)))</formula>
    </cfRule>
    <cfRule type="containsText" dxfId="64" priority="27" operator="containsText" text="al">
      <formula>NOT(ISERROR(SEARCH("al",N4)))</formula>
    </cfRule>
  </conditionalFormatting>
  <conditionalFormatting sqref="N4:Z4">
    <cfRule type="containsText" dxfId="63" priority="26" operator="containsText" text="al">
      <formula>NOT(ISERROR(SEARCH("al",N4)))</formula>
    </cfRule>
  </conditionalFormatting>
  <conditionalFormatting sqref="N4:Z4">
    <cfRule type="containsText" dxfId="62" priority="25" operator="containsText" text="al">
      <formula>NOT(ISERROR(SEARCH("al",N4)))</formula>
    </cfRule>
  </conditionalFormatting>
  <conditionalFormatting sqref="N4:Z4">
    <cfRule type="containsText" dxfId="61" priority="1" operator="containsText" text="al">
      <formula>NOT(ISERROR(SEARCH("al",N4)))</formula>
    </cfRule>
    <cfRule type="containsText" dxfId="60" priority="5" operator="containsText" text="al">
      <formula>NOT(ISERROR(SEARCH("al",N4)))</formula>
    </cfRule>
    <cfRule type="containsText" dxfId="59" priority="6" operator="containsText" text="al">
      <formula>NOT(ISERROR(SEARCH("al",N4)))</formula>
    </cfRule>
    <cfRule type="containsText" dxfId="58" priority="8" operator="containsText" text="al">
      <formula>NOT(ISERROR(SEARCH("al",N4)))</formula>
    </cfRule>
    <cfRule type="containsText" dxfId="57" priority="9" operator="containsText" text="al">
      <formula>NOT(ISERROR(SEARCH("al",N4)))</formula>
    </cfRule>
    <cfRule type="containsText" dxfId="56" priority="10" operator="containsText" text="al">
      <formula>NOT(ISERROR(SEARCH("al",N4)))</formula>
    </cfRule>
    <cfRule type="containsText" dxfId="55" priority="11" operator="containsText" text="al">
      <formula>NOT(ISERROR(SEARCH("al",N4)))</formula>
    </cfRule>
    <cfRule type="containsText" dxfId="54" priority="13" operator="containsText" text="al">
      <formula>NOT(ISERROR(SEARCH("al",N4)))</formula>
    </cfRule>
    <cfRule type="containsText" dxfId="53" priority="14" operator="containsText" text="al">
      <formula>NOT(ISERROR(SEARCH("al",N4)))</formula>
    </cfRule>
    <cfRule type="containsText" dxfId="52" priority="15" operator="containsText" text="al">
      <formula>NOT(ISERROR(SEARCH("al",N4)))</formula>
    </cfRule>
    <cfRule type="containsText" dxfId="51" priority="16" operator="containsText" text="al">
      <formula>NOT(ISERROR(SEARCH("al",N4)))</formula>
    </cfRule>
    <cfRule type="containsText" dxfId="50" priority="18" operator="containsText" text="al">
      <formula>NOT(ISERROR(SEARCH("al",N4)))</formula>
    </cfRule>
    <cfRule type="containsText" dxfId="49" priority="24" operator="containsText" text="al">
      <formula>NOT(ISERROR(SEARCH("al",N4)))</formula>
    </cfRule>
  </conditionalFormatting>
  <conditionalFormatting sqref="N4:Z4">
    <cfRule type="containsText" dxfId="48" priority="23" operator="containsText" text="al">
      <formula>NOT(ISERROR(SEARCH("al",N4)))</formula>
    </cfRule>
  </conditionalFormatting>
  <conditionalFormatting sqref="N4:Z4">
    <cfRule type="containsText" dxfId="47" priority="22" operator="containsText" text="al">
      <formula>NOT(ISERROR(SEARCH("al",N4)))</formula>
    </cfRule>
  </conditionalFormatting>
  <conditionalFormatting sqref="N4:Z4">
    <cfRule type="containsText" dxfId="46" priority="21" operator="containsText" text="al">
      <formula>NOT(ISERROR(SEARCH("al",N4)))</formula>
    </cfRule>
  </conditionalFormatting>
  <conditionalFormatting sqref="N4:Z4">
    <cfRule type="containsText" dxfId="45" priority="20" operator="containsText" text="al">
      <formula>NOT(ISERROR(SEARCH("al",N4)))</formula>
    </cfRule>
  </conditionalFormatting>
  <conditionalFormatting sqref="N4:Z4">
    <cfRule type="containsText" dxfId="44" priority="19" operator="containsText" text="al">
      <formula>NOT(ISERROR(SEARCH("al",N4)))</formula>
    </cfRule>
  </conditionalFormatting>
  <conditionalFormatting sqref="N4:Z4">
    <cfRule type="containsText" dxfId="43" priority="4" operator="containsText" text="al">
      <formula>NOT(ISERROR(SEARCH("al",N4)))</formula>
    </cfRule>
    <cfRule type="containsText" dxfId="42" priority="7" operator="containsText" text="al">
      <formula>NOT(ISERROR(SEARCH("al",N4)))</formula>
    </cfRule>
  </conditionalFormatting>
  <conditionalFormatting sqref="N4:Z4">
    <cfRule type="containsText" dxfId="41" priority="3" operator="containsText" text="al">
      <formula>NOT(ISERROR(SEARCH("al",N4)))</formula>
    </cfRule>
  </conditionalFormatting>
  <conditionalFormatting sqref="N4:Z4">
    <cfRule type="containsText" dxfId="40" priority="2" operator="containsText" text="al">
      <formula>NOT(ISERROR(SEARCH("al",N4)))</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14:formula1>
            <xm:f>'1 lista'!$D$2:$D$3</xm:f>
          </x14:formula1>
          <xm:sqref>B9:B16 B1:B6</xm:sqref>
        </x14:dataValidation>
        <x14:dataValidation type="list" allowBlank="1" showInputMessage="1" showErrorMessage="1">
          <x14:formula1>
            <xm:f>'1 lista'!$D$6:$D$8</xm:f>
          </x14:formula1>
          <xm:sqref>C1:C16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rgb="FFC00000"/>
  </sheetPr>
  <dimension ref="B1:BV696"/>
  <sheetViews>
    <sheetView topLeftCell="R1" zoomScale="80" zoomScaleNormal="80" workbookViewId="0">
      <selection sqref="A1:XFD1048576"/>
    </sheetView>
  </sheetViews>
  <sheetFormatPr defaultColWidth="11.42578125" defaultRowHeight="12.75"/>
  <cols>
    <col min="1" max="1" width="15.140625" style="219" customWidth="1"/>
    <col min="2" max="2" width="20.140625" style="219" customWidth="1"/>
    <col min="3" max="3" width="22.5703125" style="219" customWidth="1"/>
    <col min="4" max="4" width="28" style="219" customWidth="1"/>
    <col min="5" max="5" width="17.140625" style="219" customWidth="1"/>
    <col min="6" max="6" width="22.5703125" style="219" customWidth="1"/>
    <col min="7" max="7" width="16.140625" style="219" customWidth="1"/>
    <col min="8" max="8" width="11.42578125" style="219"/>
    <col min="9" max="9" width="17.28515625" style="219" customWidth="1"/>
    <col min="10" max="10" width="17.5703125" style="219" customWidth="1"/>
    <col min="11" max="11" width="27.42578125" style="219" customWidth="1"/>
    <col min="12" max="12" width="12.85546875" style="219" customWidth="1"/>
    <col min="13" max="13" width="12.28515625" style="219" bestFit="1" customWidth="1"/>
    <col min="14" max="14" width="14.28515625" style="219" bestFit="1" customWidth="1"/>
    <col min="15" max="16" width="11.5703125" style="219" bestFit="1" customWidth="1"/>
    <col min="17" max="17" width="11.42578125" style="219"/>
    <col min="18" max="18" width="11.5703125" style="219" bestFit="1" customWidth="1"/>
    <col min="19" max="19" width="12.28515625" style="219" bestFit="1" customWidth="1"/>
    <col min="20" max="20" width="11.5703125" style="219" bestFit="1" customWidth="1"/>
    <col min="21" max="21" width="28.5703125" style="219" customWidth="1"/>
    <col min="22" max="22" width="23.5703125" style="219" customWidth="1"/>
    <col min="23" max="23" width="21.42578125" style="219" customWidth="1"/>
    <col min="24" max="24" width="15.28515625" style="219" customWidth="1"/>
    <col min="25" max="25" width="16.5703125" style="219" customWidth="1"/>
    <col min="26" max="30" width="11.5703125" style="219" bestFit="1" customWidth="1"/>
    <col min="31" max="31" width="11.5703125" style="219" customWidth="1"/>
    <col min="32" max="32" width="20.140625" style="219" customWidth="1"/>
    <col min="33" max="36" width="11.5703125" style="219" bestFit="1" customWidth="1"/>
    <col min="37" max="63" width="11.42578125" style="219"/>
    <col min="64" max="64" width="12.28515625" style="219" bestFit="1" customWidth="1"/>
    <col min="65" max="67" width="11.42578125" style="219"/>
    <col min="68" max="68" width="16.85546875" style="219" customWidth="1"/>
    <col min="69" max="69" width="15.42578125" style="219" customWidth="1"/>
    <col min="70" max="71" width="11.42578125" style="219"/>
    <col min="72" max="72" width="16.5703125" style="219" customWidth="1"/>
    <col min="73" max="73" width="14.7109375" style="219" customWidth="1"/>
    <col min="74" max="74" width="15" style="219" customWidth="1"/>
    <col min="75" max="16384" width="11.42578125" style="219"/>
  </cols>
  <sheetData>
    <row r="1" spans="2:74">
      <c r="I1" s="220"/>
      <c r="S1" s="220"/>
      <c r="BP1" s="404"/>
      <c r="BQ1" s="404"/>
      <c r="BT1" s="404"/>
      <c r="BU1" s="404"/>
      <c r="BV1" s="404"/>
    </row>
    <row r="2" spans="2:74">
      <c r="B2" s="220"/>
      <c r="K2" s="220"/>
      <c r="BP2" s="404"/>
      <c r="BQ2" s="404"/>
      <c r="BT2" s="404"/>
      <c r="BU2" s="404"/>
      <c r="BV2" s="404"/>
    </row>
    <row r="3" spans="2:74">
      <c r="B3" s="220"/>
      <c r="H3" s="315"/>
      <c r="K3" s="220"/>
      <c r="X3" s="315"/>
      <c r="BI3"/>
      <c r="BK3"/>
      <c r="BL3"/>
      <c r="BT3" s="404"/>
      <c r="BU3" s="404"/>
      <c r="BV3" s="404"/>
    </row>
    <row r="4" spans="2:74" ht="13.5" customHeight="1">
      <c r="B4" s="220"/>
      <c r="H4" s="315"/>
      <c r="K4" s="220"/>
      <c r="BI4" s="315"/>
      <c r="BT4" s="404"/>
      <c r="BU4" s="404"/>
      <c r="BV4" s="404"/>
    </row>
    <row r="5" spans="2:74">
      <c r="B5" s="220"/>
      <c r="BI5" s="315"/>
      <c r="BT5" s="404"/>
      <c r="BU5" s="404"/>
      <c r="BV5" s="404"/>
    </row>
    <row r="6" spans="2:74">
      <c r="BT6" s="404"/>
      <c r="BU6" s="404"/>
      <c r="BV6" s="404"/>
    </row>
    <row r="7" spans="2:74">
      <c r="B7" s="220"/>
      <c r="BL7" s="220"/>
      <c r="BT7" s="404"/>
      <c r="BU7" s="404"/>
      <c r="BV7" s="404"/>
    </row>
    <row r="8" spans="2:74">
      <c r="B8" s="220"/>
      <c r="W8" s="315"/>
      <c r="BK8" s="315"/>
      <c r="BL8" s="315"/>
      <c r="BT8" s="404"/>
      <c r="BU8" s="404"/>
      <c r="BV8" s="404"/>
    </row>
    <row r="9" spans="2:74">
      <c r="B9" s="220"/>
      <c r="BK9" s="315"/>
      <c r="BL9" s="315"/>
      <c r="BT9" s="404"/>
      <c r="BU9" s="404"/>
      <c r="BV9" s="404"/>
    </row>
    <row r="10" spans="2:74">
      <c r="AU10"/>
      <c r="BT10" s="404"/>
      <c r="BU10" s="404"/>
    </row>
    <row r="11" spans="2:74">
      <c r="B11" s="220"/>
      <c r="BK11" s="315"/>
      <c r="BL11" s="315"/>
      <c r="BT11" s="404"/>
      <c r="BU11" s="404"/>
    </row>
    <row r="12" spans="2:74">
      <c r="B12" s="220"/>
      <c r="BT12" s="404"/>
      <c r="BU12" s="404"/>
    </row>
    <row r="13" spans="2:74">
      <c r="B13" s="220"/>
      <c r="BT13" s="404"/>
      <c r="BU13" s="404"/>
    </row>
    <row r="14" spans="2:74">
      <c r="B14" s="220"/>
      <c r="BT14" s="404"/>
      <c r="BU14" s="404"/>
    </row>
    <row r="15" spans="2:74">
      <c r="B15" s="220"/>
      <c r="H15" s="220"/>
      <c r="BT15" s="404"/>
      <c r="BU15" s="404"/>
    </row>
    <row r="16" spans="2:74">
      <c r="B16" s="220"/>
      <c r="BT16" s="404"/>
      <c r="BU16" s="404"/>
    </row>
    <row r="17" spans="2:73">
      <c r="B17" s="220"/>
      <c r="BT17" s="404"/>
      <c r="BU17" s="404"/>
    </row>
    <row r="18" spans="2:73">
      <c r="B18" s="220"/>
      <c r="I18" s="315"/>
      <c r="J18" s="315"/>
      <c r="K18" s="315"/>
      <c r="L18" s="315"/>
      <c r="M18" s="315"/>
      <c r="BT18" s="404"/>
      <c r="BU18" s="404"/>
    </row>
    <row r="19" spans="2:73">
      <c r="B19" s="220"/>
      <c r="AF19" s="315"/>
      <c r="AG19" s="315"/>
    </row>
    <row r="20" spans="2:73">
      <c r="B20" s="220"/>
    </row>
    <row r="21" spans="2:73">
      <c r="C21" s="220"/>
      <c r="S21" s="220"/>
    </row>
    <row r="47" spans="9:13">
      <c r="I47" s="315"/>
      <c r="J47" s="315"/>
      <c r="K47" s="315"/>
      <c r="L47" s="315"/>
      <c r="M47" s="315"/>
    </row>
    <row r="72" spans="9:13">
      <c r="I72" s="315"/>
      <c r="J72" s="315"/>
      <c r="K72" s="315"/>
      <c r="L72" s="315"/>
      <c r="M72" s="315"/>
    </row>
    <row r="79" spans="9:13">
      <c r="I79" s="315"/>
      <c r="J79" s="315"/>
      <c r="K79" s="315"/>
      <c r="L79" s="315"/>
      <c r="M79" s="315"/>
    </row>
    <row r="365" spans="7:7">
      <c r="G365" s="220"/>
    </row>
    <row r="382" spans="4:5">
      <c r="D382" s="220"/>
      <c r="E382" s="220"/>
    </row>
    <row r="385" spans="4:4">
      <c r="D385" s="220"/>
    </row>
    <row r="503" spans="7:7">
      <c r="G503" s="220"/>
    </row>
    <row r="615" spans="7:8">
      <c r="G615" s="220"/>
    </row>
    <row r="617" spans="7:8">
      <c r="H617" s="220"/>
    </row>
    <row r="618" spans="7:8">
      <c r="G618" s="220"/>
    </row>
    <row r="625" spans="7:7">
      <c r="G625" s="220"/>
    </row>
    <row r="648" spans="7:8">
      <c r="G648" s="220"/>
    </row>
    <row r="649" spans="7:8">
      <c r="G649" s="220"/>
    </row>
    <row r="650" spans="7:8">
      <c r="G650" s="220"/>
    </row>
    <row r="651" spans="7:8">
      <c r="G651" s="220"/>
    </row>
    <row r="652" spans="7:8">
      <c r="G652" s="220"/>
    </row>
    <row r="654" spans="7:8">
      <c r="H654" s="220"/>
    </row>
    <row r="655" spans="7:8">
      <c r="G655" s="220"/>
      <c r="H655" s="220"/>
    </row>
    <row r="656" spans="7:8">
      <c r="G656" s="220"/>
      <c r="H656" s="220"/>
    </row>
    <row r="657" spans="7:8">
      <c r="G657" s="220"/>
      <c r="H657" s="220"/>
    </row>
    <row r="658" spans="7:8">
      <c r="G658" s="220"/>
    </row>
    <row r="659" spans="7:8">
      <c r="G659" s="220"/>
    </row>
    <row r="661" spans="7:8">
      <c r="H661" s="220"/>
    </row>
    <row r="662" spans="7:8">
      <c r="G662" s="220"/>
      <c r="H662" s="220"/>
    </row>
    <row r="663" spans="7:8">
      <c r="G663" s="220"/>
      <c r="H663" s="220"/>
    </row>
    <row r="664" spans="7:8">
      <c r="G664" s="220"/>
      <c r="H664" s="220"/>
    </row>
    <row r="665" spans="7:8">
      <c r="G665" s="220"/>
    </row>
    <row r="666" spans="7:8">
      <c r="G666" s="220"/>
    </row>
    <row r="668" spans="7:8">
      <c r="H668" s="220"/>
    </row>
    <row r="669" spans="7:8">
      <c r="G669" s="220"/>
      <c r="H669" s="220"/>
    </row>
    <row r="670" spans="7:8">
      <c r="G670" s="220"/>
      <c r="H670" s="220"/>
    </row>
    <row r="671" spans="7:8">
      <c r="G671" s="220"/>
      <c r="H671" s="220"/>
    </row>
    <row r="672" spans="7:8">
      <c r="G672" s="220"/>
    </row>
    <row r="673" spans="7:8">
      <c r="G673" s="220"/>
    </row>
    <row r="675" spans="7:8">
      <c r="H675" s="220"/>
    </row>
    <row r="676" spans="7:8">
      <c r="G676" s="220"/>
      <c r="H676" s="220"/>
    </row>
    <row r="677" spans="7:8">
      <c r="G677" s="220"/>
      <c r="H677" s="220"/>
    </row>
    <row r="678" spans="7:8">
      <c r="G678" s="220"/>
      <c r="H678" s="220"/>
    </row>
    <row r="679" spans="7:8">
      <c r="G679" s="220"/>
    </row>
    <row r="680" spans="7:8">
      <c r="G680" s="220"/>
    </row>
    <row r="681" spans="7:8">
      <c r="G681" s="220"/>
    </row>
    <row r="682" spans="7:8">
      <c r="G682" s="220"/>
      <c r="H682" s="220"/>
    </row>
    <row r="683" spans="7:8">
      <c r="G683" s="220"/>
      <c r="H683" s="220"/>
    </row>
    <row r="684" spans="7:8">
      <c r="H684" s="220"/>
    </row>
    <row r="685" spans="7:8">
      <c r="G685" s="220"/>
      <c r="H685" s="220"/>
    </row>
    <row r="686" spans="7:8">
      <c r="G686" s="220"/>
    </row>
    <row r="687" spans="7:8">
      <c r="G687" s="220"/>
    </row>
    <row r="688" spans="7:8">
      <c r="G688" s="220"/>
    </row>
    <row r="689" spans="7:8">
      <c r="G689" s="220"/>
    </row>
    <row r="690" spans="7:8">
      <c r="G690" s="220"/>
    </row>
    <row r="691" spans="7:8">
      <c r="H691" s="220"/>
    </row>
    <row r="692" spans="7:8">
      <c r="H692" s="220"/>
    </row>
    <row r="693" spans="7:8">
      <c r="H693" s="220"/>
    </row>
    <row r="694" spans="7:8">
      <c r="H694" s="220"/>
    </row>
    <row r="695" spans="7:8">
      <c r="H695" s="220"/>
    </row>
    <row r="696" spans="7:8">
      <c r="H696" s="220"/>
    </row>
  </sheetData>
  <sortState ref="BK1:BL2">
    <sortCondition ref="BK1:BK2"/>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tabColor rgb="FFC00000"/>
  </sheetPr>
  <dimension ref="A1:J12"/>
  <sheetViews>
    <sheetView zoomScale="85" zoomScaleNormal="85" workbookViewId="0">
      <selection activeCell="C22" sqref="C22"/>
    </sheetView>
  </sheetViews>
  <sheetFormatPr defaultColWidth="11.42578125" defaultRowHeight="12.75"/>
  <cols>
    <col min="1" max="1" width="39.85546875" style="285" customWidth="1"/>
    <col min="2" max="2" width="34" style="285" customWidth="1"/>
    <col min="3" max="3" width="18.42578125" style="183" customWidth="1"/>
    <col min="4" max="4" width="15.42578125" style="183" customWidth="1"/>
    <col min="5" max="5" width="18.140625" style="183" customWidth="1"/>
    <col min="6" max="6" width="20.28515625" style="183" customWidth="1"/>
    <col min="7" max="7" width="11.42578125" style="183"/>
    <col min="8" max="9" width="48.7109375" style="285" customWidth="1"/>
    <col min="10" max="16384" width="11.42578125" style="183"/>
  </cols>
  <sheetData>
    <row r="1" spans="1:10" ht="12.75" customHeight="1" thickBot="1">
      <c r="A1" s="194" t="s">
        <v>24</v>
      </c>
      <c r="B1" s="318" t="s">
        <v>140</v>
      </c>
      <c r="C1" s="317"/>
      <c r="D1" s="316" t="s">
        <v>248</v>
      </c>
      <c r="E1" s="193" t="s">
        <v>244</v>
      </c>
      <c r="F1" s="195" t="s">
        <v>245</v>
      </c>
      <c r="H1" s="374" t="s">
        <v>255</v>
      </c>
      <c r="I1" s="375" t="s">
        <v>256</v>
      </c>
    </row>
    <row r="2" spans="1:10" ht="12.75" customHeight="1" thickBot="1">
      <c r="A2" s="262"/>
      <c r="B2" s="262"/>
      <c r="C2" s="286"/>
      <c r="D2" s="224" t="s">
        <v>246</v>
      </c>
      <c r="E2" s="287">
        <v>4.4999999999999998E-2</v>
      </c>
      <c r="F2" s="288">
        <v>1.7000000000000001E-2</v>
      </c>
    </row>
    <row r="3" spans="1:10" ht="12.75" customHeight="1">
      <c r="D3" s="222" t="s">
        <v>247</v>
      </c>
    </row>
    <row r="4" spans="1:10" ht="12.75" customHeight="1" thickBot="1">
      <c r="D4" s="372"/>
    </row>
    <row r="5" spans="1:10" ht="12.75" customHeight="1" thickBot="1">
      <c r="D5" s="221" t="s">
        <v>249</v>
      </c>
    </row>
    <row r="6" spans="1:10" ht="12.75" customHeight="1">
      <c r="D6" s="225" t="s">
        <v>157</v>
      </c>
    </row>
    <row r="7" spans="1:10" ht="12.75" customHeight="1">
      <c r="D7" s="223" t="s">
        <v>250</v>
      </c>
    </row>
    <row r="8" spans="1:10" ht="12.75" customHeight="1">
      <c r="D8" s="223" t="s">
        <v>254</v>
      </c>
    </row>
    <row r="9" spans="1:10" ht="12.75" customHeight="1">
      <c r="J9" s="289"/>
    </row>
    <row r="10" spans="1:10" ht="12.75" customHeight="1"/>
    <row r="11" spans="1:10" ht="12.75" customHeight="1"/>
    <row r="12" spans="1:10" ht="12.75" customHeight="1"/>
  </sheetData>
  <sheetProtection password="8092" sheet="1" objects="1" scenarios="1"/>
  <protectedRanges>
    <protectedRange sqref="A1:B1048576" name="Rango1"/>
    <protectedRange sqref="H1:I1048576" name="Rango2"/>
    <protectedRange sqref="E2:F2" name="Rango3"/>
  </protectedRange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7">
    <tabColor rgb="FFC00000"/>
  </sheetPr>
  <dimension ref="A1:CA104"/>
  <sheetViews>
    <sheetView showGridLines="0" zoomScale="80" zoomScaleNormal="80" workbookViewId="0">
      <pane xSplit="7" ySplit="13" topLeftCell="BN14" activePane="bottomRight" state="frozen"/>
      <selection pane="topRight" activeCell="H1" sqref="H1"/>
      <selection pane="bottomLeft" activeCell="A14" sqref="A14"/>
      <selection pane="bottomRight" activeCell="BP32" sqref="BP32"/>
    </sheetView>
  </sheetViews>
  <sheetFormatPr defaultColWidth="11.42578125" defaultRowHeight="12.75"/>
  <cols>
    <col min="1" max="1" width="3.42578125" style="227" customWidth="1"/>
    <col min="2" max="2" width="4.7109375" style="227" customWidth="1"/>
    <col min="3" max="3" width="9.85546875" style="227" bestFit="1" customWidth="1"/>
    <col min="4" max="4" width="30.42578125" style="227" customWidth="1"/>
    <col min="5" max="5" width="30.140625" style="227" customWidth="1"/>
    <col min="6" max="6" width="31.85546875" style="227" customWidth="1"/>
    <col min="7" max="7" width="24" style="227" customWidth="1"/>
    <col min="8" max="8" width="3.5703125" style="227" customWidth="1"/>
    <col min="9" max="60" width="4.28515625" style="227" customWidth="1"/>
    <col min="61" max="61" width="11.28515625" style="227" customWidth="1"/>
    <col min="62" max="63" width="24.5703125" style="227" customWidth="1"/>
    <col min="64" max="64" width="5.85546875" style="229" customWidth="1"/>
    <col min="65" max="66" width="20.7109375" style="227" customWidth="1"/>
    <col min="67" max="67" width="17.140625" style="227" customWidth="1"/>
    <col min="68" max="16384" width="11.42578125" style="227"/>
  </cols>
  <sheetData>
    <row r="1" spans="1:79" ht="18" customHeight="1">
      <c r="I1" s="228"/>
      <c r="J1" s="228"/>
      <c r="K1" s="228"/>
      <c r="L1" s="228"/>
      <c r="M1" s="228"/>
      <c r="N1" s="228"/>
      <c r="O1" s="228"/>
      <c r="P1" s="228"/>
      <c r="Q1" s="228"/>
      <c r="R1" s="228"/>
      <c r="S1" s="228"/>
      <c r="T1" s="228"/>
      <c r="U1" s="228"/>
      <c r="V1" s="228"/>
      <c r="W1" s="228"/>
      <c r="X1" s="228"/>
      <c r="Y1" s="228"/>
      <c r="Z1" s="228"/>
      <c r="AA1" s="228"/>
      <c r="AB1" s="228"/>
      <c r="AC1" s="228"/>
      <c r="AD1" s="228"/>
      <c r="AE1" s="228"/>
      <c r="AF1" s="228"/>
      <c r="AG1" s="228"/>
      <c r="AH1" s="228"/>
      <c r="AI1" s="228"/>
      <c r="AJ1" s="228"/>
      <c r="AK1" s="228"/>
      <c r="AL1" s="228"/>
      <c r="AM1" s="228"/>
      <c r="AN1" s="228"/>
      <c r="AO1" s="228"/>
      <c r="AP1" s="228"/>
      <c r="AQ1" s="228"/>
      <c r="AR1" s="228"/>
      <c r="AS1" s="228"/>
      <c r="AT1" s="228"/>
      <c r="AU1" s="228"/>
      <c r="AV1" s="228"/>
      <c r="AW1" s="228"/>
      <c r="AX1" s="228"/>
      <c r="AY1" s="228"/>
      <c r="AZ1" s="228"/>
      <c r="BA1" s="228"/>
      <c r="BB1" s="228"/>
      <c r="BC1" s="228"/>
      <c r="BD1" s="228"/>
      <c r="BE1" s="228"/>
      <c r="BF1" s="228"/>
      <c r="BG1" s="228"/>
      <c r="BH1" s="228"/>
    </row>
    <row r="2" spans="1:79" ht="18" customHeight="1">
      <c r="E2" s="230" t="s">
        <v>6</v>
      </c>
      <c r="F2" s="230"/>
    </row>
    <row r="3" spans="1:79" ht="18" customHeight="1">
      <c r="E3" s="230" t="s">
        <v>8</v>
      </c>
      <c r="F3" s="230"/>
    </row>
    <row r="4" spans="1:79" ht="18" customHeight="1">
      <c r="E4" s="230" t="s">
        <v>236</v>
      </c>
      <c r="F4" s="230"/>
    </row>
    <row r="5" spans="1:79" ht="18" customHeight="1">
      <c r="E5" s="230" t="s">
        <v>237</v>
      </c>
      <c r="F5" s="230"/>
    </row>
    <row r="6" spans="1:79" ht="18" customHeight="1">
      <c r="E6" s="230" t="s">
        <v>238</v>
      </c>
      <c r="F6" s="230"/>
    </row>
    <row r="7" spans="1:79" ht="18" customHeight="1">
      <c r="E7" s="230" t="s">
        <v>239</v>
      </c>
      <c r="F7" s="230"/>
    </row>
    <row r="8" spans="1:79" s="230" customFormat="1" ht="18" customHeight="1" thickBot="1">
      <c r="A8" s="227"/>
      <c r="B8" s="227"/>
      <c r="C8" s="227"/>
      <c r="D8" s="227"/>
      <c r="G8" s="227"/>
      <c r="H8" s="227"/>
      <c r="I8" s="227"/>
      <c r="J8" s="227"/>
      <c r="K8" s="227"/>
      <c r="L8" s="227"/>
      <c r="M8" s="227"/>
      <c r="N8" s="227"/>
      <c r="O8" s="227"/>
      <c r="P8" s="227"/>
      <c r="Q8" s="227"/>
      <c r="R8" s="227"/>
      <c r="S8" s="227"/>
      <c r="T8" s="227"/>
      <c r="U8" s="227"/>
      <c r="V8" s="227"/>
      <c r="W8" s="227"/>
      <c r="X8" s="227"/>
      <c r="Y8" s="227"/>
      <c r="Z8" s="227"/>
      <c r="AA8" s="227"/>
      <c r="AB8" s="227"/>
      <c r="AC8" s="227"/>
      <c r="AD8" s="227"/>
      <c r="AE8" s="227"/>
      <c r="AF8" s="227"/>
      <c r="AG8" s="227"/>
      <c r="AH8" s="227"/>
      <c r="AI8" s="227"/>
      <c r="AJ8" s="227"/>
      <c r="AK8" s="227"/>
      <c r="AL8" s="227"/>
      <c r="AM8" s="227"/>
      <c r="AN8" s="227"/>
      <c r="AO8" s="227"/>
      <c r="AP8" s="227"/>
      <c r="AQ8" s="227"/>
      <c r="AR8" s="227"/>
      <c r="AS8" s="227"/>
      <c r="AT8" s="227"/>
      <c r="AU8" s="227"/>
      <c r="AV8" s="227"/>
      <c r="AW8" s="227"/>
      <c r="AX8" s="227"/>
      <c r="AY8" s="227"/>
      <c r="AZ8" s="227"/>
      <c r="BA8" s="227"/>
      <c r="BB8" s="227"/>
      <c r="BC8" s="227"/>
      <c r="BD8" s="227"/>
      <c r="BE8" s="227"/>
      <c r="BF8" s="227"/>
      <c r="BG8" s="227"/>
      <c r="BH8" s="227"/>
      <c r="BI8" s="227"/>
      <c r="BJ8" s="227"/>
      <c r="BK8" s="227"/>
      <c r="BL8" s="229"/>
      <c r="BM8" s="227"/>
      <c r="BN8" s="227"/>
      <c r="BO8" s="227" t="s">
        <v>157</v>
      </c>
      <c r="BP8" s="227" t="s">
        <v>148</v>
      </c>
      <c r="BQ8" s="227" t="s">
        <v>112</v>
      </c>
      <c r="BR8" s="227" t="s">
        <v>28</v>
      </c>
      <c r="BS8" s="227" t="s">
        <v>21</v>
      </c>
      <c r="BT8" s="227" t="s">
        <v>22</v>
      </c>
      <c r="BU8" s="227" t="s">
        <v>31</v>
      </c>
      <c r="BV8" s="227" t="s">
        <v>32</v>
      </c>
      <c r="BW8" s="227" t="s">
        <v>33</v>
      </c>
      <c r="BX8" s="227" t="s">
        <v>26</v>
      </c>
      <c r="BY8" s="227" t="s">
        <v>27</v>
      </c>
      <c r="BZ8" s="227" t="s">
        <v>25</v>
      </c>
      <c r="CA8" s="227" t="s">
        <v>29</v>
      </c>
    </row>
    <row r="9" spans="1:79" s="230" customFormat="1" ht="18" customHeight="1" thickBot="1">
      <c r="A9" s="227"/>
      <c r="B9" s="227"/>
      <c r="C9" s="227"/>
      <c r="D9" s="227"/>
      <c r="G9" s="227"/>
      <c r="H9" s="470">
        <f>+AE13</f>
        <v>42891</v>
      </c>
      <c r="I9" s="471"/>
      <c r="J9" s="471"/>
      <c r="K9" s="471"/>
      <c r="L9" s="471"/>
      <c r="M9" s="471"/>
      <c r="N9" s="471"/>
      <c r="O9" s="471"/>
      <c r="P9" s="471"/>
      <c r="Q9" s="471"/>
      <c r="R9" s="471"/>
      <c r="S9" s="471"/>
      <c r="T9" s="471"/>
      <c r="U9" s="471"/>
      <c r="V9" s="471"/>
      <c r="W9" s="471"/>
      <c r="X9" s="471"/>
      <c r="Y9" s="471"/>
      <c r="Z9" s="471"/>
      <c r="AA9" s="471"/>
      <c r="AB9" s="471"/>
      <c r="AC9" s="471"/>
      <c r="AD9" s="471"/>
      <c r="AE9" s="471"/>
      <c r="AF9" s="471"/>
      <c r="AG9" s="471"/>
      <c r="AH9" s="471"/>
      <c r="AI9" s="471"/>
      <c r="AJ9" s="471"/>
      <c r="AK9" s="471"/>
      <c r="AL9" s="471"/>
      <c r="AM9" s="471"/>
      <c r="AN9" s="471"/>
      <c r="AO9" s="471"/>
      <c r="AP9" s="471"/>
      <c r="AQ9" s="471"/>
      <c r="AR9" s="471"/>
      <c r="AS9" s="471"/>
      <c r="AT9" s="471"/>
      <c r="AU9" s="471"/>
      <c r="AV9" s="471"/>
      <c r="AW9" s="471"/>
      <c r="AX9" s="471"/>
      <c r="AY9" s="471"/>
      <c r="AZ9" s="471"/>
      <c r="BA9" s="471"/>
      <c r="BB9" s="471"/>
      <c r="BC9" s="471"/>
      <c r="BD9" s="471"/>
      <c r="BE9" s="471"/>
      <c r="BF9" s="471"/>
      <c r="BG9" s="471"/>
      <c r="BH9" s="472"/>
      <c r="BI9" s="227"/>
      <c r="BJ9" s="227"/>
      <c r="BK9" s="227"/>
      <c r="BL9" s="229"/>
      <c r="BM9" s="227"/>
      <c r="BN9" s="227"/>
      <c r="BO9" s="227" t="s">
        <v>34</v>
      </c>
      <c r="BP9" s="227">
        <v>0</v>
      </c>
      <c r="BQ9" s="227">
        <v>0</v>
      </c>
      <c r="BR9" s="227">
        <v>0</v>
      </c>
      <c r="BS9" s="227">
        <v>0</v>
      </c>
      <c r="BT9" s="227">
        <v>0</v>
      </c>
      <c r="BU9" s="227">
        <v>0</v>
      </c>
      <c r="BV9" s="227">
        <v>0</v>
      </c>
      <c r="BW9" s="227">
        <v>0</v>
      </c>
      <c r="BX9" s="227">
        <v>0</v>
      </c>
      <c r="BY9" s="227">
        <v>0</v>
      </c>
      <c r="BZ9" s="227">
        <v>0</v>
      </c>
      <c r="CA9" s="227">
        <v>0</v>
      </c>
    </row>
    <row r="10" spans="1:79" s="206" customFormat="1" ht="18" customHeight="1" thickBot="1">
      <c r="A10" s="227"/>
      <c r="B10" s="227"/>
      <c r="C10" s="227"/>
      <c r="D10" s="464"/>
      <c r="E10" s="465"/>
      <c r="F10" s="465"/>
      <c r="G10" s="466"/>
      <c r="H10" s="473" t="s">
        <v>148</v>
      </c>
      <c r="I10" s="474"/>
      <c r="J10" s="474"/>
      <c r="K10" s="474"/>
      <c r="L10" s="475"/>
      <c r="M10" s="473" t="s">
        <v>112</v>
      </c>
      <c r="N10" s="474"/>
      <c r="O10" s="474"/>
      <c r="P10" s="475"/>
      <c r="Q10" s="474" t="s">
        <v>28</v>
      </c>
      <c r="R10" s="474"/>
      <c r="S10" s="474"/>
      <c r="T10" s="474"/>
      <c r="U10" s="479"/>
      <c r="V10" s="461" t="s">
        <v>21</v>
      </c>
      <c r="W10" s="461"/>
      <c r="X10" s="461"/>
      <c r="Y10" s="461"/>
      <c r="Z10" s="461" t="s">
        <v>22</v>
      </c>
      <c r="AA10" s="461"/>
      <c r="AB10" s="461"/>
      <c r="AC10" s="462"/>
      <c r="AD10" s="462"/>
      <c r="AE10" s="462" t="s">
        <v>31</v>
      </c>
      <c r="AF10" s="462"/>
      <c r="AG10" s="462"/>
      <c r="AH10" s="462"/>
      <c r="AI10" s="473" t="s">
        <v>32</v>
      </c>
      <c r="AJ10" s="474"/>
      <c r="AK10" s="474"/>
      <c r="AL10" s="475"/>
      <c r="AM10" s="474" t="s">
        <v>33</v>
      </c>
      <c r="AN10" s="474"/>
      <c r="AO10" s="474"/>
      <c r="AP10" s="474"/>
      <c r="AQ10" s="479"/>
      <c r="AR10" s="461" t="s">
        <v>26</v>
      </c>
      <c r="AS10" s="461"/>
      <c r="AT10" s="461"/>
      <c r="AU10" s="461"/>
      <c r="AV10" s="480" t="s">
        <v>27</v>
      </c>
      <c r="AW10" s="474"/>
      <c r="AX10" s="474"/>
      <c r="AY10" s="474"/>
      <c r="AZ10" s="473" t="s">
        <v>25</v>
      </c>
      <c r="BA10" s="474"/>
      <c r="BB10" s="474"/>
      <c r="BC10" s="474"/>
      <c r="BD10" s="475"/>
      <c r="BE10" s="461" t="s">
        <v>29</v>
      </c>
      <c r="BF10" s="461"/>
      <c r="BG10" s="461"/>
      <c r="BH10" s="461"/>
      <c r="BI10" s="460"/>
      <c r="BJ10" s="460"/>
      <c r="BK10" s="460"/>
      <c r="BL10" s="231"/>
      <c r="BM10" s="230"/>
      <c r="BN10" s="230"/>
      <c r="BO10" s="227" t="s">
        <v>47</v>
      </c>
      <c r="BP10" s="227">
        <v>0</v>
      </c>
      <c r="BQ10" s="227">
        <v>0</v>
      </c>
      <c r="BR10" s="206">
        <v>0</v>
      </c>
      <c r="BS10" s="227">
        <v>0</v>
      </c>
      <c r="BT10" s="206">
        <v>0</v>
      </c>
      <c r="BU10" s="206">
        <v>0</v>
      </c>
      <c r="BV10" s="206">
        <v>0</v>
      </c>
      <c r="BW10" s="206">
        <v>0</v>
      </c>
      <c r="BX10" s="206">
        <v>0</v>
      </c>
      <c r="BY10" s="206">
        <v>0</v>
      </c>
      <c r="BZ10" s="206">
        <v>0</v>
      </c>
      <c r="CA10" s="206">
        <v>0</v>
      </c>
    </row>
    <row r="11" spans="1:79" s="206" customFormat="1" ht="18" customHeight="1" thickBot="1">
      <c r="A11" s="227"/>
      <c r="B11" s="227"/>
      <c r="C11" s="227"/>
      <c r="D11" s="467"/>
      <c r="E11" s="468"/>
      <c r="F11" s="468"/>
      <c r="G11" s="469"/>
      <c r="H11" s="476"/>
      <c r="I11" s="477"/>
      <c r="J11" s="477"/>
      <c r="K11" s="477"/>
      <c r="L11" s="478"/>
      <c r="M11" s="476"/>
      <c r="N11" s="477"/>
      <c r="O11" s="477"/>
      <c r="P11" s="478"/>
      <c r="Q11" s="477"/>
      <c r="R11" s="477"/>
      <c r="S11" s="477"/>
      <c r="T11" s="477"/>
      <c r="U11" s="478"/>
      <c r="V11" s="461"/>
      <c r="W11" s="461"/>
      <c r="X11" s="461"/>
      <c r="Y11" s="461"/>
      <c r="Z11" s="461"/>
      <c r="AA11" s="461"/>
      <c r="AB11" s="461"/>
      <c r="AC11" s="461"/>
      <c r="AD11" s="461"/>
      <c r="AE11" s="461"/>
      <c r="AF11" s="461"/>
      <c r="AG11" s="461"/>
      <c r="AH11" s="461"/>
      <c r="AI11" s="476"/>
      <c r="AJ11" s="477"/>
      <c r="AK11" s="477"/>
      <c r="AL11" s="478"/>
      <c r="AM11" s="477"/>
      <c r="AN11" s="477"/>
      <c r="AO11" s="477"/>
      <c r="AP11" s="477"/>
      <c r="AQ11" s="478"/>
      <c r="AR11" s="461"/>
      <c r="AS11" s="461"/>
      <c r="AT11" s="461"/>
      <c r="AU11" s="461"/>
      <c r="AV11" s="476"/>
      <c r="AW11" s="477"/>
      <c r="AX11" s="477"/>
      <c r="AY11" s="477"/>
      <c r="AZ11" s="476"/>
      <c r="BA11" s="477"/>
      <c r="BB11" s="477"/>
      <c r="BC11" s="477"/>
      <c r="BD11" s="478"/>
      <c r="BE11" s="461"/>
      <c r="BF11" s="461"/>
      <c r="BG11" s="461"/>
      <c r="BH11" s="461"/>
      <c r="BI11" s="460"/>
      <c r="BJ11" s="460"/>
      <c r="BK11" s="460"/>
      <c r="BL11" s="231"/>
      <c r="BM11" s="230"/>
      <c r="BN11" s="230"/>
      <c r="BO11" s="227" t="s">
        <v>2</v>
      </c>
      <c r="BP11" s="227">
        <v>0</v>
      </c>
      <c r="BQ11" s="227">
        <v>0</v>
      </c>
      <c r="BR11" s="206">
        <v>0</v>
      </c>
      <c r="BS11" s="206">
        <v>0</v>
      </c>
      <c r="BT11" s="206">
        <v>0</v>
      </c>
      <c r="BU11" s="206">
        <v>0</v>
      </c>
      <c r="BV11" s="206">
        <v>0</v>
      </c>
      <c r="BW11" s="206">
        <v>0</v>
      </c>
      <c r="BX11" s="206">
        <v>0</v>
      </c>
      <c r="BY11" s="206">
        <v>0</v>
      </c>
      <c r="BZ11" s="206">
        <v>0</v>
      </c>
      <c r="CA11" s="206">
        <v>0</v>
      </c>
    </row>
    <row r="12" spans="1:79" s="230" customFormat="1" ht="18" customHeight="1" thickBot="1">
      <c r="A12" s="206"/>
      <c r="B12" s="206"/>
      <c r="C12" s="206"/>
      <c r="D12" s="459" t="s">
        <v>0</v>
      </c>
      <c r="E12" s="459" t="s">
        <v>1</v>
      </c>
      <c r="F12" s="459" t="s">
        <v>7</v>
      </c>
      <c r="G12" s="463" t="s">
        <v>5</v>
      </c>
      <c r="H12" s="202" t="s">
        <v>20</v>
      </c>
      <c r="I12" s="203" t="s">
        <v>20</v>
      </c>
      <c r="J12" s="203" t="s">
        <v>20</v>
      </c>
      <c r="K12" s="203" t="s">
        <v>20</v>
      </c>
      <c r="L12" s="204" t="s">
        <v>20</v>
      </c>
      <c r="M12" s="202" t="s">
        <v>20</v>
      </c>
      <c r="N12" s="203" t="s">
        <v>20</v>
      </c>
      <c r="O12" s="203" t="s">
        <v>20</v>
      </c>
      <c r="P12" s="204" t="s">
        <v>20</v>
      </c>
      <c r="Q12" s="202" t="s">
        <v>20</v>
      </c>
      <c r="R12" s="203" t="s">
        <v>20</v>
      </c>
      <c r="S12" s="203" t="s">
        <v>20</v>
      </c>
      <c r="T12" s="203" t="s">
        <v>20</v>
      </c>
      <c r="U12" s="204" t="s">
        <v>20</v>
      </c>
      <c r="V12" s="202" t="s">
        <v>20</v>
      </c>
      <c r="W12" s="203" t="s">
        <v>20</v>
      </c>
      <c r="X12" s="203" t="s">
        <v>20</v>
      </c>
      <c r="Y12" s="204" t="s">
        <v>20</v>
      </c>
      <c r="Z12" s="202" t="s">
        <v>20</v>
      </c>
      <c r="AA12" s="203" t="s">
        <v>20</v>
      </c>
      <c r="AB12" s="203" t="s">
        <v>20</v>
      </c>
      <c r="AC12" s="203" t="s">
        <v>20</v>
      </c>
      <c r="AD12" s="204" t="s">
        <v>20</v>
      </c>
      <c r="AE12" s="202" t="s">
        <v>20</v>
      </c>
      <c r="AF12" s="203" t="s">
        <v>20</v>
      </c>
      <c r="AG12" s="203" t="s">
        <v>20</v>
      </c>
      <c r="AH12" s="204" t="s">
        <v>20</v>
      </c>
      <c r="AI12" s="202" t="s">
        <v>20</v>
      </c>
      <c r="AJ12" s="203" t="s">
        <v>20</v>
      </c>
      <c r="AK12" s="203" t="s">
        <v>20</v>
      </c>
      <c r="AL12" s="204" t="s">
        <v>20</v>
      </c>
      <c r="AM12" s="202" t="s">
        <v>20</v>
      </c>
      <c r="AN12" s="203" t="s">
        <v>20</v>
      </c>
      <c r="AO12" s="203" t="s">
        <v>20</v>
      </c>
      <c r="AP12" s="203" t="s">
        <v>20</v>
      </c>
      <c r="AQ12" s="204" t="s">
        <v>20</v>
      </c>
      <c r="AR12" s="202" t="s">
        <v>20</v>
      </c>
      <c r="AS12" s="203" t="s">
        <v>20</v>
      </c>
      <c r="AT12" s="203" t="s">
        <v>20</v>
      </c>
      <c r="AU12" s="204" t="s">
        <v>20</v>
      </c>
      <c r="AV12" s="202" t="s">
        <v>20</v>
      </c>
      <c r="AW12" s="203" t="s">
        <v>20</v>
      </c>
      <c r="AX12" s="203" t="s">
        <v>20</v>
      </c>
      <c r="AY12" s="204" t="s">
        <v>20</v>
      </c>
      <c r="AZ12" s="202" t="s">
        <v>20</v>
      </c>
      <c r="BA12" s="203" t="s">
        <v>20</v>
      </c>
      <c r="BB12" s="203" t="s">
        <v>20</v>
      </c>
      <c r="BC12" s="203" t="s">
        <v>20</v>
      </c>
      <c r="BD12" s="204" t="s">
        <v>20</v>
      </c>
      <c r="BE12" s="202" t="s">
        <v>20</v>
      </c>
      <c r="BF12" s="203" t="s">
        <v>20</v>
      </c>
      <c r="BG12" s="203" t="s">
        <v>20</v>
      </c>
      <c r="BH12" s="204" t="s">
        <v>20</v>
      </c>
      <c r="BI12" s="459" t="s">
        <v>23</v>
      </c>
      <c r="BJ12" s="459" t="s">
        <v>241</v>
      </c>
      <c r="BK12" s="459" t="s">
        <v>240</v>
      </c>
      <c r="BL12" s="205"/>
      <c r="BM12" s="206"/>
      <c r="BN12" s="206"/>
      <c r="BO12" s="206" t="s">
        <v>24</v>
      </c>
      <c r="BP12" s="206">
        <v>0</v>
      </c>
      <c r="BQ12" s="206">
        <v>0</v>
      </c>
      <c r="BR12" s="227">
        <v>0</v>
      </c>
      <c r="BS12" s="227">
        <v>0</v>
      </c>
      <c r="BT12" s="227">
        <v>0</v>
      </c>
      <c r="BU12" s="227">
        <v>0</v>
      </c>
      <c r="BV12" s="227">
        <v>0</v>
      </c>
      <c r="BW12" s="227">
        <v>0</v>
      </c>
      <c r="BX12" s="227">
        <v>0</v>
      </c>
      <c r="BY12" s="227">
        <v>0</v>
      </c>
      <c r="BZ12" s="227">
        <v>0</v>
      </c>
      <c r="CA12" s="227">
        <v>0</v>
      </c>
    </row>
    <row r="13" spans="1:79" ht="18" customHeight="1" thickBot="1">
      <c r="A13" s="206"/>
      <c r="B13" s="206"/>
      <c r="C13" s="206"/>
      <c r="D13" s="459"/>
      <c r="E13" s="459"/>
      <c r="F13" s="459"/>
      <c r="G13" s="463"/>
      <c r="H13" s="207">
        <v>42730</v>
      </c>
      <c r="I13" s="208">
        <f>+H13+7</f>
        <v>42737</v>
      </c>
      <c r="J13" s="208">
        <f>+I13+7</f>
        <v>42744</v>
      </c>
      <c r="K13" s="208">
        <f t="shared" ref="K13:BH13" si="0">+J13+7</f>
        <v>42751</v>
      </c>
      <c r="L13" s="209">
        <f t="shared" si="0"/>
        <v>42758</v>
      </c>
      <c r="M13" s="207">
        <f t="shared" si="0"/>
        <v>42765</v>
      </c>
      <c r="N13" s="208">
        <f t="shared" si="0"/>
        <v>42772</v>
      </c>
      <c r="O13" s="208">
        <f t="shared" si="0"/>
        <v>42779</v>
      </c>
      <c r="P13" s="209">
        <f t="shared" si="0"/>
        <v>42786</v>
      </c>
      <c r="Q13" s="207">
        <f t="shared" si="0"/>
        <v>42793</v>
      </c>
      <c r="R13" s="208">
        <f t="shared" si="0"/>
        <v>42800</v>
      </c>
      <c r="S13" s="208">
        <f t="shared" si="0"/>
        <v>42807</v>
      </c>
      <c r="T13" s="208">
        <f t="shared" si="0"/>
        <v>42814</v>
      </c>
      <c r="U13" s="209">
        <f t="shared" si="0"/>
        <v>42821</v>
      </c>
      <c r="V13" s="207">
        <f t="shared" si="0"/>
        <v>42828</v>
      </c>
      <c r="W13" s="208">
        <f t="shared" si="0"/>
        <v>42835</v>
      </c>
      <c r="X13" s="208">
        <f t="shared" si="0"/>
        <v>42842</v>
      </c>
      <c r="Y13" s="209">
        <f t="shared" si="0"/>
        <v>42849</v>
      </c>
      <c r="Z13" s="207">
        <f t="shared" si="0"/>
        <v>42856</v>
      </c>
      <c r="AA13" s="208">
        <f t="shared" si="0"/>
        <v>42863</v>
      </c>
      <c r="AB13" s="208">
        <f t="shared" si="0"/>
        <v>42870</v>
      </c>
      <c r="AC13" s="208">
        <f t="shared" si="0"/>
        <v>42877</v>
      </c>
      <c r="AD13" s="209">
        <f t="shared" si="0"/>
        <v>42884</v>
      </c>
      <c r="AE13" s="207">
        <f t="shared" si="0"/>
        <v>42891</v>
      </c>
      <c r="AF13" s="208">
        <f t="shared" si="0"/>
        <v>42898</v>
      </c>
      <c r="AG13" s="208">
        <f t="shared" si="0"/>
        <v>42905</v>
      </c>
      <c r="AH13" s="209">
        <f t="shared" si="0"/>
        <v>42912</v>
      </c>
      <c r="AI13" s="207">
        <f t="shared" si="0"/>
        <v>42919</v>
      </c>
      <c r="AJ13" s="208">
        <f t="shared" si="0"/>
        <v>42926</v>
      </c>
      <c r="AK13" s="208">
        <f t="shared" si="0"/>
        <v>42933</v>
      </c>
      <c r="AL13" s="209">
        <f t="shared" si="0"/>
        <v>42940</v>
      </c>
      <c r="AM13" s="207">
        <f t="shared" si="0"/>
        <v>42947</v>
      </c>
      <c r="AN13" s="208">
        <f t="shared" si="0"/>
        <v>42954</v>
      </c>
      <c r="AO13" s="208">
        <f t="shared" si="0"/>
        <v>42961</v>
      </c>
      <c r="AP13" s="208">
        <f t="shared" si="0"/>
        <v>42968</v>
      </c>
      <c r="AQ13" s="209">
        <f t="shared" si="0"/>
        <v>42975</v>
      </c>
      <c r="AR13" s="207">
        <f t="shared" si="0"/>
        <v>42982</v>
      </c>
      <c r="AS13" s="208">
        <f t="shared" si="0"/>
        <v>42989</v>
      </c>
      <c r="AT13" s="208">
        <f t="shared" si="0"/>
        <v>42996</v>
      </c>
      <c r="AU13" s="209">
        <f t="shared" si="0"/>
        <v>43003</v>
      </c>
      <c r="AV13" s="207">
        <f t="shared" si="0"/>
        <v>43010</v>
      </c>
      <c r="AW13" s="208">
        <f t="shared" si="0"/>
        <v>43017</v>
      </c>
      <c r="AX13" s="208">
        <f t="shared" si="0"/>
        <v>43024</v>
      </c>
      <c r="AY13" s="209">
        <f t="shared" si="0"/>
        <v>43031</v>
      </c>
      <c r="AZ13" s="207">
        <f t="shared" si="0"/>
        <v>43038</v>
      </c>
      <c r="BA13" s="208">
        <f t="shared" si="0"/>
        <v>43045</v>
      </c>
      <c r="BB13" s="208">
        <f t="shared" si="0"/>
        <v>43052</v>
      </c>
      <c r="BC13" s="208">
        <f t="shared" si="0"/>
        <v>43059</v>
      </c>
      <c r="BD13" s="209">
        <f t="shared" si="0"/>
        <v>43066</v>
      </c>
      <c r="BE13" s="207">
        <f t="shared" si="0"/>
        <v>43073</v>
      </c>
      <c r="BF13" s="208">
        <f t="shared" si="0"/>
        <v>43080</v>
      </c>
      <c r="BG13" s="208">
        <f t="shared" si="0"/>
        <v>43087</v>
      </c>
      <c r="BH13" s="209">
        <f t="shared" si="0"/>
        <v>43094</v>
      </c>
      <c r="BI13" s="459"/>
      <c r="BJ13" s="459"/>
      <c r="BK13" s="459"/>
      <c r="BL13" s="205"/>
      <c r="BM13" s="447" t="s">
        <v>260</v>
      </c>
      <c r="BN13" s="448"/>
      <c r="BO13" s="206" t="s">
        <v>46</v>
      </c>
      <c r="BP13" s="206">
        <v>0</v>
      </c>
      <c r="BQ13" s="206">
        <v>0</v>
      </c>
      <c r="BR13" s="227">
        <v>0</v>
      </c>
      <c r="BS13" s="227">
        <v>0</v>
      </c>
      <c r="BT13" s="227">
        <v>0</v>
      </c>
      <c r="BU13" s="227">
        <v>0</v>
      </c>
      <c r="BV13" s="227">
        <v>0</v>
      </c>
      <c r="BW13" s="227">
        <v>0</v>
      </c>
      <c r="BX13" s="227">
        <v>0</v>
      </c>
      <c r="BY13" s="227">
        <v>0</v>
      </c>
      <c r="BZ13" s="227">
        <v>0</v>
      </c>
      <c r="CA13" s="227">
        <v>0</v>
      </c>
    </row>
    <row r="14" spans="1:79" ht="18" customHeight="1" thickBot="1">
      <c r="D14" s="455" t="s">
        <v>34</v>
      </c>
      <c r="E14" s="456"/>
      <c r="F14" s="457"/>
      <c r="G14" s="458"/>
      <c r="H14" s="320" t="s">
        <v>3</v>
      </c>
      <c r="I14" s="321"/>
      <c r="J14" s="321"/>
      <c r="K14" s="321"/>
      <c r="L14" s="322"/>
      <c r="M14" s="323"/>
      <c r="N14" s="324"/>
      <c r="O14" s="324"/>
      <c r="P14" s="325"/>
      <c r="Q14" s="320"/>
      <c r="R14" s="321"/>
      <c r="S14" s="321"/>
      <c r="T14" s="321"/>
      <c r="U14" s="322"/>
      <c r="V14" s="324"/>
      <c r="W14" s="324"/>
      <c r="X14" s="324"/>
      <c r="Y14" s="324"/>
      <c r="Z14" s="323"/>
      <c r="AA14" s="321"/>
      <c r="AB14" s="321"/>
      <c r="AC14" s="321"/>
      <c r="AD14" s="322"/>
      <c r="AE14" s="324"/>
      <c r="AF14" s="324"/>
      <c r="AG14" s="324"/>
      <c r="AH14" s="324"/>
      <c r="AI14" s="323"/>
      <c r="AJ14" s="321"/>
      <c r="AK14" s="321"/>
      <c r="AL14" s="322"/>
      <c r="AM14" s="321"/>
      <c r="AN14" s="324"/>
      <c r="AO14" s="324"/>
      <c r="AP14" s="324"/>
      <c r="AQ14" s="324"/>
      <c r="AR14" s="323"/>
      <c r="AS14" s="321"/>
      <c r="AT14" s="321"/>
      <c r="AU14" s="322"/>
      <c r="AV14" s="324"/>
      <c r="AW14" s="324"/>
      <c r="AX14" s="324"/>
      <c r="AY14" s="324"/>
      <c r="AZ14" s="320"/>
      <c r="BA14" s="321"/>
      <c r="BB14" s="321"/>
      <c r="BC14" s="321"/>
      <c r="BD14" s="322"/>
      <c r="BE14" s="324"/>
      <c r="BF14" s="324"/>
      <c r="BG14" s="324"/>
      <c r="BH14" s="324"/>
      <c r="BI14" s="452"/>
      <c r="BJ14" s="453"/>
      <c r="BK14" s="454"/>
      <c r="BL14" s="231"/>
      <c r="BM14" s="382" t="s">
        <v>258</v>
      </c>
      <c r="BN14" s="351" t="s">
        <v>259</v>
      </c>
      <c r="BO14" s="227" t="s">
        <v>134</v>
      </c>
      <c r="BP14" s="227">
        <v>0</v>
      </c>
      <c r="BQ14" s="227">
        <v>0</v>
      </c>
      <c r="BR14" s="227">
        <v>0</v>
      </c>
      <c r="BS14" s="227">
        <v>0</v>
      </c>
      <c r="BT14" s="227">
        <v>0</v>
      </c>
      <c r="BU14" s="227">
        <v>0</v>
      </c>
      <c r="BV14" s="227">
        <v>0</v>
      </c>
      <c r="BW14" s="227">
        <v>0</v>
      </c>
      <c r="BX14" s="227">
        <v>0</v>
      </c>
      <c r="BY14" s="227">
        <v>0</v>
      </c>
      <c r="BZ14" s="227">
        <v>0</v>
      </c>
      <c r="CA14" s="227">
        <v>0</v>
      </c>
    </row>
    <row r="15" spans="1:79" ht="18" customHeight="1">
      <c r="B15" s="227" t="s">
        <v>246</v>
      </c>
      <c r="C15" s="279" t="s">
        <v>157</v>
      </c>
      <c r="D15" s="248"/>
      <c r="E15" s="249"/>
      <c r="F15" s="250"/>
      <c r="G15" s="248"/>
      <c r="H15" s="216"/>
      <c r="I15" s="218"/>
      <c r="J15" s="218"/>
      <c r="K15" s="218"/>
      <c r="L15" s="218"/>
      <c r="M15" s="216"/>
      <c r="N15" s="218"/>
      <c r="O15" s="218"/>
      <c r="P15" s="217"/>
      <c r="Q15" s="218"/>
      <c r="R15" s="218"/>
      <c r="S15" s="218"/>
      <c r="T15" s="218"/>
      <c r="U15" s="218"/>
      <c r="V15" s="216"/>
      <c r="W15" s="218"/>
      <c r="X15" s="218"/>
      <c r="Y15" s="217"/>
      <c r="Z15" s="218"/>
      <c r="AA15" s="218"/>
      <c r="AB15" s="218"/>
      <c r="AC15" s="218"/>
      <c r="AD15" s="218"/>
      <c r="AE15" s="216"/>
      <c r="AF15" s="218"/>
      <c r="AG15" s="218"/>
      <c r="AH15" s="217"/>
      <c r="AI15" s="218"/>
      <c r="AJ15" s="218"/>
      <c r="AK15" s="218"/>
      <c r="AL15" s="218"/>
      <c r="AM15" s="216"/>
      <c r="AN15" s="218"/>
      <c r="AO15" s="218"/>
      <c r="AP15" s="218"/>
      <c r="AQ15" s="217"/>
      <c r="AR15" s="218"/>
      <c r="AS15" s="218"/>
      <c r="AT15" s="218"/>
      <c r="AU15" s="218"/>
      <c r="AV15" s="216"/>
      <c r="AW15" s="218"/>
      <c r="AX15" s="218"/>
      <c r="AY15" s="217"/>
      <c r="AZ15" s="218"/>
      <c r="BA15" s="218"/>
      <c r="BB15" s="218"/>
      <c r="BC15" s="218"/>
      <c r="BD15" s="218"/>
      <c r="BE15" s="216"/>
      <c r="BF15" s="218"/>
      <c r="BG15" s="218"/>
      <c r="BH15" s="217"/>
      <c r="BI15" s="210"/>
      <c r="BJ15" s="212"/>
      <c r="BK15" s="290"/>
      <c r="BM15" s="349"/>
      <c r="BN15" s="344"/>
      <c r="BO15" s="227" t="s">
        <v>140</v>
      </c>
      <c r="BP15" s="227">
        <v>0</v>
      </c>
      <c r="BQ15" s="227">
        <v>0</v>
      </c>
      <c r="BR15" s="227">
        <v>0</v>
      </c>
      <c r="BS15" s="227">
        <v>0</v>
      </c>
      <c r="BT15" s="227">
        <v>0</v>
      </c>
      <c r="BU15" s="227">
        <v>0</v>
      </c>
      <c r="BV15" s="227">
        <v>0</v>
      </c>
      <c r="BW15" s="227">
        <v>0</v>
      </c>
      <c r="BX15" s="227">
        <v>0</v>
      </c>
      <c r="BY15" s="227">
        <v>0</v>
      </c>
      <c r="BZ15" s="227">
        <v>0</v>
      </c>
      <c r="CA15" s="227">
        <v>0</v>
      </c>
    </row>
    <row r="16" spans="1:79" ht="18" customHeight="1">
      <c r="B16" s="227" t="s">
        <v>246</v>
      </c>
      <c r="C16" s="279" t="s">
        <v>157</v>
      </c>
      <c r="D16" s="262"/>
      <c r="E16" s="263"/>
      <c r="F16" s="252"/>
      <c r="G16" s="262"/>
      <c r="H16" s="226"/>
      <c r="I16" s="210"/>
      <c r="J16" s="210"/>
      <c r="K16" s="210"/>
      <c r="L16" s="210"/>
      <c r="M16" s="226"/>
      <c r="N16" s="210"/>
      <c r="O16" s="210"/>
      <c r="P16" s="211"/>
      <c r="Q16" s="210"/>
      <c r="R16" s="210"/>
      <c r="S16" s="210"/>
      <c r="T16" s="210"/>
      <c r="U16" s="210"/>
      <c r="V16" s="226"/>
      <c r="W16" s="210"/>
      <c r="X16" s="210"/>
      <c r="Y16" s="211"/>
      <c r="Z16" s="210"/>
      <c r="AA16" s="210"/>
      <c r="AB16" s="210"/>
      <c r="AC16" s="210"/>
      <c r="AD16" s="210"/>
      <c r="AE16" s="226"/>
      <c r="AF16" s="210"/>
      <c r="AG16" s="210"/>
      <c r="AH16" s="211"/>
      <c r="AI16" s="210"/>
      <c r="AJ16" s="210"/>
      <c r="AK16" s="210"/>
      <c r="AL16" s="210"/>
      <c r="AM16" s="226"/>
      <c r="AN16" s="210"/>
      <c r="AO16" s="210"/>
      <c r="AP16" s="210"/>
      <c r="AQ16" s="211"/>
      <c r="AR16" s="210"/>
      <c r="AS16" s="210"/>
      <c r="AT16" s="210"/>
      <c r="AU16" s="210"/>
      <c r="AV16" s="226"/>
      <c r="AW16" s="210"/>
      <c r="AX16" s="210"/>
      <c r="AY16" s="211"/>
      <c r="AZ16" s="210"/>
      <c r="BA16" s="210"/>
      <c r="BB16" s="210"/>
      <c r="BC16" s="210"/>
      <c r="BD16" s="210"/>
      <c r="BE16" s="226"/>
      <c r="BF16" s="210"/>
      <c r="BG16" s="210"/>
      <c r="BH16" s="211"/>
      <c r="BI16" s="210"/>
      <c r="BJ16" s="284"/>
      <c r="BK16" s="290"/>
      <c r="BM16" s="345"/>
      <c r="BN16" s="346"/>
      <c r="BO16" s="227" t="s">
        <v>135</v>
      </c>
      <c r="BP16" s="227">
        <v>0</v>
      </c>
      <c r="BQ16" s="227">
        <v>0</v>
      </c>
      <c r="BR16" s="227">
        <v>0</v>
      </c>
      <c r="BS16" s="227">
        <v>0</v>
      </c>
      <c r="BT16" s="227">
        <v>0</v>
      </c>
      <c r="BU16" s="227">
        <v>0</v>
      </c>
      <c r="BV16" s="227">
        <v>0</v>
      </c>
      <c r="BW16" s="227">
        <v>0</v>
      </c>
      <c r="BX16" s="227">
        <v>0</v>
      </c>
      <c r="BY16" s="227">
        <v>0</v>
      </c>
      <c r="BZ16" s="227">
        <v>0</v>
      </c>
      <c r="CA16" s="227">
        <v>0</v>
      </c>
    </row>
    <row r="17" spans="1:79" ht="18" customHeight="1">
      <c r="B17" s="227" t="s">
        <v>246</v>
      </c>
      <c r="C17" s="279" t="s">
        <v>157</v>
      </c>
      <c r="D17" s="262"/>
      <c r="E17" s="263"/>
      <c r="F17" s="252"/>
      <c r="G17" s="262"/>
      <c r="H17" s="226"/>
      <c r="I17" s="210"/>
      <c r="J17" s="210"/>
      <c r="K17" s="210"/>
      <c r="L17" s="210"/>
      <c r="M17" s="226"/>
      <c r="N17" s="210"/>
      <c r="O17" s="210"/>
      <c r="P17" s="211"/>
      <c r="Q17" s="210"/>
      <c r="R17" s="210"/>
      <c r="S17" s="210"/>
      <c r="T17" s="210"/>
      <c r="U17" s="210"/>
      <c r="V17" s="226"/>
      <c r="W17" s="210"/>
      <c r="X17" s="210"/>
      <c r="Y17" s="211"/>
      <c r="Z17" s="210"/>
      <c r="AA17" s="210"/>
      <c r="AB17" s="210"/>
      <c r="AC17" s="210"/>
      <c r="AD17" s="210"/>
      <c r="AE17" s="226"/>
      <c r="AF17" s="210"/>
      <c r="AG17" s="210"/>
      <c r="AH17" s="211"/>
      <c r="AI17" s="210"/>
      <c r="AJ17" s="210"/>
      <c r="AK17" s="210"/>
      <c r="AL17" s="210"/>
      <c r="AM17" s="226"/>
      <c r="AN17" s="210"/>
      <c r="AO17" s="210"/>
      <c r="AP17" s="210"/>
      <c r="AQ17" s="211"/>
      <c r="AR17" s="210"/>
      <c r="AS17" s="210"/>
      <c r="AT17" s="210"/>
      <c r="AU17" s="210"/>
      <c r="AV17" s="226"/>
      <c r="AW17" s="210"/>
      <c r="AX17" s="210"/>
      <c r="AY17" s="211"/>
      <c r="AZ17" s="210"/>
      <c r="BA17" s="210"/>
      <c r="BB17" s="210"/>
      <c r="BC17" s="210"/>
      <c r="BD17" s="210"/>
      <c r="BE17" s="226"/>
      <c r="BF17" s="210"/>
      <c r="BG17" s="210"/>
      <c r="BH17" s="211"/>
      <c r="BI17" s="210"/>
      <c r="BJ17" s="284"/>
      <c r="BK17" s="290"/>
      <c r="BM17" s="345"/>
      <c r="BN17" s="346"/>
      <c r="BO17" s="227" t="s">
        <v>136</v>
      </c>
      <c r="BP17" s="227">
        <v>0</v>
      </c>
      <c r="BQ17" s="227">
        <v>0</v>
      </c>
      <c r="BR17" s="227">
        <v>0</v>
      </c>
      <c r="BS17" s="227">
        <v>0</v>
      </c>
      <c r="BT17" s="227">
        <v>0</v>
      </c>
      <c r="BU17" s="227">
        <v>0</v>
      </c>
      <c r="BV17" s="227">
        <v>0</v>
      </c>
      <c r="BW17" s="227">
        <v>0</v>
      </c>
      <c r="BX17" s="227">
        <v>0</v>
      </c>
      <c r="BY17" s="227">
        <v>0</v>
      </c>
      <c r="BZ17" s="227">
        <v>0</v>
      </c>
      <c r="CA17" s="227">
        <v>0</v>
      </c>
    </row>
    <row r="18" spans="1:79" ht="18" customHeight="1">
      <c r="B18" s="227" t="s">
        <v>246</v>
      </c>
      <c r="C18" s="279" t="s">
        <v>157</v>
      </c>
      <c r="D18" s="248"/>
      <c r="E18" s="251"/>
      <c r="F18" s="252"/>
      <c r="G18" s="248"/>
      <c r="H18" s="232"/>
      <c r="I18" s="210"/>
      <c r="J18" s="210"/>
      <c r="K18" s="210"/>
      <c r="L18" s="210"/>
      <c r="M18" s="232"/>
      <c r="N18" s="210"/>
      <c r="O18" s="210"/>
      <c r="P18" s="211"/>
      <c r="Q18" s="210"/>
      <c r="R18" s="210"/>
      <c r="S18" s="210"/>
      <c r="T18" s="210"/>
      <c r="U18" s="210"/>
      <c r="V18" s="232"/>
      <c r="W18" s="210"/>
      <c r="X18" s="210"/>
      <c r="Y18" s="211"/>
      <c r="Z18" s="210"/>
      <c r="AA18" s="210"/>
      <c r="AB18" s="210"/>
      <c r="AC18" s="210"/>
      <c r="AD18" s="210"/>
      <c r="AE18" s="232"/>
      <c r="AF18" s="210"/>
      <c r="AG18" s="210"/>
      <c r="AH18" s="211"/>
      <c r="AI18" s="210"/>
      <c r="AJ18" s="210"/>
      <c r="AK18" s="210"/>
      <c r="AL18" s="210"/>
      <c r="AM18" s="232"/>
      <c r="AN18" s="210"/>
      <c r="AO18" s="210"/>
      <c r="AP18" s="210"/>
      <c r="AQ18" s="211"/>
      <c r="AR18" s="210"/>
      <c r="AS18" s="210"/>
      <c r="AT18" s="210"/>
      <c r="AU18" s="210"/>
      <c r="AV18" s="232"/>
      <c r="AW18" s="210"/>
      <c r="AX18" s="210"/>
      <c r="AY18" s="211"/>
      <c r="AZ18" s="210"/>
      <c r="BA18" s="210"/>
      <c r="BB18" s="210"/>
      <c r="BC18" s="210"/>
      <c r="BD18" s="210"/>
      <c r="BE18" s="232"/>
      <c r="BF18" s="210"/>
      <c r="BG18" s="210"/>
      <c r="BH18" s="211"/>
      <c r="BI18" s="210"/>
      <c r="BJ18" s="233"/>
      <c r="BK18" s="290"/>
      <c r="BM18" s="345"/>
      <c r="BN18" s="346"/>
    </row>
    <row r="19" spans="1:79" s="230" customFormat="1" ht="18" customHeight="1" thickBot="1">
      <c r="A19" s="227"/>
      <c r="B19" s="227" t="s">
        <v>246</v>
      </c>
      <c r="C19" s="279" t="s">
        <v>157</v>
      </c>
      <c r="D19" s="248"/>
      <c r="E19" s="251"/>
      <c r="F19" s="252"/>
      <c r="G19" s="248"/>
      <c r="H19" s="232"/>
      <c r="I19" s="210"/>
      <c r="J19" s="210"/>
      <c r="K19" s="210"/>
      <c r="L19" s="210"/>
      <c r="M19" s="232"/>
      <c r="N19" s="210"/>
      <c r="O19" s="210"/>
      <c r="P19" s="211"/>
      <c r="Q19" s="210"/>
      <c r="R19" s="210"/>
      <c r="S19" s="210"/>
      <c r="T19" s="210"/>
      <c r="U19" s="210"/>
      <c r="V19" s="232"/>
      <c r="W19" s="210"/>
      <c r="X19" s="210"/>
      <c r="Y19" s="211"/>
      <c r="Z19" s="210"/>
      <c r="AA19" s="210"/>
      <c r="AB19" s="210"/>
      <c r="AC19" s="210"/>
      <c r="AD19" s="210"/>
      <c r="AE19" s="232"/>
      <c r="AF19" s="210"/>
      <c r="AG19" s="210"/>
      <c r="AH19" s="211"/>
      <c r="AI19" s="210"/>
      <c r="AJ19" s="210"/>
      <c r="AK19" s="210"/>
      <c r="AL19" s="210"/>
      <c r="AM19" s="232"/>
      <c r="AN19" s="210"/>
      <c r="AO19" s="210"/>
      <c r="AP19" s="210"/>
      <c r="AQ19" s="211"/>
      <c r="AR19" s="210"/>
      <c r="AS19" s="210"/>
      <c r="AT19" s="210"/>
      <c r="AU19" s="210"/>
      <c r="AV19" s="232"/>
      <c r="AW19" s="210"/>
      <c r="AX19" s="210"/>
      <c r="AY19" s="211"/>
      <c r="AZ19" s="210"/>
      <c r="BA19" s="210"/>
      <c r="BB19" s="210"/>
      <c r="BC19" s="210"/>
      <c r="BD19" s="210"/>
      <c r="BE19" s="232"/>
      <c r="BF19" s="210"/>
      <c r="BG19" s="210"/>
      <c r="BH19" s="211"/>
      <c r="BI19" s="210"/>
      <c r="BJ19" s="233"/>
      <c r="BK19" s="290"/>
      <c r="BL19" s="229"/>
      <c r="BM19" s="347"/>
      <c r="BN19" s="348"/>
      <c r="BO19" s="227"/>
      <c r="BP19" s="227"/>
      <c r="BQ19" s="227"/>
    </row>
    <row r="20" spans="1:79" ht="18" customHeight="1" thickBot="1">
      <c r="C20" s="279"/>
      <c r="D20" s="281"/>
      <c r="E20" s="282"/>
      <c r="F20" s="282"/>
      <c r="G20" s="283"/>
      <c r="H20" s="449"/>
      <c r="I20" s="450"/>
      <c r="J20" s="450"/>
      <c r="K20" s="450"/>
      <c r="L20" s="451"/>
      <c r="M20" s="449"/>
      <c r="N20" s="450"/>
      <c r="O20" s="450"/>
      <c r="P20" s="451"/>
      <c r="Q20" s="449"/>
      <c r="R20" s="450"/>
      <c r="S20" s="450"/>
      <c r="T20" s="450"/>
      <c r="U20" s="451"/>
      <c r="V20" s="449"/>
      <c r="W20" s="450"/>
      <c r="X20" s="450"/>
      <c r="Y20" s="451"/>
      <c r="Z20" s="281"/>
      <c r="AA20" s="282"/>
      <c r="AB20" s="282"/>
      <c r="AC20" s="282"/>
      <c r="AD20" s="283"/>
      <c r="AE20" s="281"/>
      <c r="AF20" s="282"/>
      <c r="AG20" s="282"/>
      <c r="AH20" s="283"/>
      <c r="AI20" s="281"/>
      <c r="AJ20" s="282"/>
      <c r="AK20" s="282"/>
      <c r="AL20" s="283"/>
      <c r="AM20" s="281"/>
      <c r="AN20" s="282"/>
      <c r="AO20" s="282"/>
      <c r="AP20" s="282"/>
      <c r="AQ20" s="283"/>
      <c r="AR20" s="281"/>
      <c r="AS20" s="282"/>
      <c r="AT20" s="282"/>
      <c r="AU20" s="283"/>
      <c r="AV20" s="281"/>
      <c r="AW20" s="282"/>
      <c r="AX20" s="282"/>
      <c r="AY20" s="283"/>
      <c r="AZ20" s="281"/>
      <c r="BA20" s="282"/>
      <c r="BB20" s="282"/>
      <c r="BC20" s="282"/>
      <c r="BD20" s="283"/>
      <c r="BE20" s="281"/>
      <c r="BF20" s="282"/>
      <c r="BG20" s="282"/>
      <c r="BH20" s="283"/>
      <c r="BI20" s="283"/>
      <c r="BJ20" s="376"/>
      <c r="BK20" s="377">
        <v>0</v>
      </c>
      <c r="BL20" s="247">
        <v>0</v>
      </c>
      <c r="BM20" s="447"/>
      <c r="BN20" s="448"/>
      <c r="BO20" s="227" t="s">
        <v>157</v>
      </c>
      <c r="BP20" s="227" t="s">
        <v>148</v>
      </c>
      <c r="BQ20" s="227" t="s">
        <v>112</v>
      </c>
      <c r="BR20" s="227" t="s">
        <v>28</v>
      </c>
      <c r="BS20" s="227" t="s">
        <v>21</v>
      </c>
      <c r="BT20" s="227" t="s">
        <v>22</v>
      </c>
      <c r="BU20" s="227" t="s">
        <v>31</v>
      </c>
      <c r="BV20" s="227" t="s">
        <v>32</v>
      </c>
      <c r="BW20" s="227" t="s">
        <v>33</v>
      </c>
      <c r="BX20" s="227" t="s">
        <v>26</v>
      </c>
      <c r="BY20" s="227" t="s">
        <v>27</v>
      </c>
      <c r="BZ20" s="227" t="s">
        <v>25</v>
      </c>
      <c r="CA20" s="227" t="s">
        <v>29</v>
      </c>
    </row>
    <row r="21" spans="1:79" ht="18" customHeight="1" thickBot="1">
      <c r="C21" s="279"/>
      <c r="D21" s="481" t="s">
        <v>47</v>
      </c>
      <c r="E21" s="482"/>
      <c r="F21" s="483"/>
      <c r="G21" s="482"/>
      <c r="H21" s="320"/>
      <c r="I21" s="321"/>
      <c r="J21" s="321"/>
      <c r="K21" s="321"/>
      <c r="L21" s="322"/>
      <c r="M21" s="323"/>
      <c r="N21" s="324"/>
      <c r="O21" s="324"/>
      <c r="P21" s="325"/>
      <c r="Q21" s="320"/>
      <c r="R21" s="321"/>
      <c r="S21" s="321"/>
      <c r="T21" s="321"/>
      <c r="U21" s="322"/>
      <c r="V21" s="324"/>
      <c r="W21" s="324"/>
      <c r="X21" s="324"/>
      <c r="Y21" s="324"/>
      <c r="Z21" s="323"/>
      <c r="AA21" s="321"/>
      <c r="AB21" s="321"/>
      <c r="AC21" s="321"/>
      <c r="AD21" s="322"/>
      <c r="AE21" s="324"/>
      <c r="AF21" s="324"/>
      <c r="AG21" s="324"/>
      <c r="AH21" s="324"/>
      <c r="AI21" s="323"/>
      <c r="AJ21" s="321"/>
      <c r="AK21" s="321"/>
      <c r="AL21" s="322"/>
      <c r="AM21" s="321"/>
      <c r="AN21" s="324"/>
      <c r="AO21" s="324"/>
      <c r="AP21" s="324"/>
      <c r="AQ21" s="324"/>
      <c r="AR21" s="323"/>
      <c r="AS21" s="321"/>
      <c r="AT21" s="321"/>
      <c r="AU21" s="322"/>
      <c r="AV21" s="324"/>
      <c r="AW21" s="324"/>
      <c r="AX21" s="324"/>
      <c r="AY21" s="324"/>
      <c r="AZ21" s="320"/>
      <c r="BA21" s="321"/>
      <c r="BB21" s="321"/>
      <c r="BC21" s="321"/>
      <c r="BD21" s="322"/>
      <c r="BE21" s="324"/>
      <c r="BF21" s="324"/>
      <c r="BG21" s="324"/>
      <c r="BH21" s="324"/>
      <c r="BI21" s="457"/>
      <c r="BJ21" s="453"/>
      <c r="BK21" s="458"/>
      <c r="BL21" s="231"/>
      <c r="BM21" s="382" t="s">
        <v>258</v>
      </c>
      <c r="BN21" s="351" t="s">
        <v>259</v>
      </c>
      <c r="BO21" s="227" t="s">
        <v>34</v>
      </c>
      <c r="BP21" s="227">
        <v>0</v>
      </c>
      <c r="BQ21" s="227">
        <v>0</v>
      </c>
      <c r="BR21" s="227">
        <v>0</v>
      </c>
      <c r="BS21" s="227">
        <v>0</v>
      </c>
      <c r="BT21" s="227">
        <v>0</v>
      </c>
      <c r="BU21" s="227">
        <v>0</v>
      </c>
      <c r="BV21" s="227">
        <v>0</v>
      </c>
      <c r="BW21" s="227">
        <v>0</v>
      </c>
      <c r="BX21" s="227">
        <v>0</v>
      </c>
      <c r="BY21" s="227">
        <v>0</v>
      </c>
      <c r="BZ21" s="227">
        <v>0</v>
      </c>
      <c r="CA21" s="227">
        <v>0</v>
      </c>
    </row>
    <row r="22" spans="1:79" ht="18" customHeight="1">
      <c r="B22" s="227" t="s">
        <v>246</v>
      </c>
      <c r="C22" s="279" t="s">
        <v>157</v>
      </c>
      <c r="D22" s="248"/>
      <c r="E22" s="249"/>
      <c r="F22" s="252"/>
      <c r="G22" s="253"/>
      <c r="H22" s="216"/>
      <c r="I22" s="218"/>
      <c r="J22" s="218"/>
      <c r="K22" s="218"/>
      <c r="L22" s="218"/>
      <c r="M22" s="216"/>
      <c r="N22" s="218"/>
      <c r="O22" s="218"/>
      <c r="P22" s="217"/>
      <c r="Q22" s="218"/>
      <c r="R22" s="218"/>
      <c r="S22" s="218"/>
      <c r="T22" s="218"/>
      <c r="U22" s="218"/>
      <c r="V22" s="216"/>
      <c r="W22" s="218"/>
      <c r="X22" s="218"/>
      <c r="Y22" s="217"/>
      <c r="Z22" s="218"/>
      <c r="AA22" s="218"/>
      <c r="AB22" s="218"/>
      <c r="AC22" s="218"/>
      <c r="AD22" s="218"/>
      <c r="AE22" s="216"/>
      <c r="AF22" s="218"/>
      <c r="AG22" s="218"/>
      <c r="AH22" s="217"/>
      <c r="AI22" s="218"/>
      <c r="AJ22" s="218"/>
      <c r="AK22" s="218"/>
      <c r="AL22" s="218"/>
      <c r="AM22" s="216"/>
      <c r="AN22" s="218"/>
      <c r="AO22" s="218"/>
      <c r="AP22" s="218"/>
      <c r="AQ22" s="217"/>
      <c r="AR22" s="218"/>
      <c r="AS22" s="218"/>
      <c r="AT22" s="218"/>
      <c r="AU22" s="218"/>
      <c r="AV22" s="216"/>
      <c r="AW22" s="218"/>
      <c r="AX22" s="218"/>
      <c r="AY22" s="217"/>
      <c r="AZ22" s="218"/>
      <c r="BA22" s="218"/>
      <c r="BB22" s="218"/>
      <c r="BC22" s="218"/>
      <c r="BD22" s="218"/>
      <c r="BE22" s="216"/>
      <c r="BF22" s="218"/>
      <c r="BG22" s="218"/>
      <c r="BH22" s="217"/>
      <c r="BI22" s="210"/>
      <c r="BJ22" s="212"/>
      <c r="BK22" s="290"/>
      <c r="BM22" s="349"/>
      <c r="BN22" s="344"/>
      <c r="BO22" s="227" t="s">
        <v>47</v>
      </c>
      <c r="BP22" s="227">
        <v>0</v>
      </c>
      <c r="BQ22" s="227">
        <v>0</v>
      </c>
      <c r="BR22" s="227">
        <v>0</v>
      </c>
      <c r="BS22" s="227">
        <v>0</v>
      </c>
      <c r="BT22" s="227">
        <v>0</v>
      </c>
      <c r="BU22" s="227">
        <v>0</v>
      </c>
      <c r="BV22" s="227">
        <v>0</v>
      </c>
      <c r="BW22" s="227">
        <v>0</v>
      </c>
      <c r="BX22" s="227">
        <v>0</v>
      </c>
      <c r="BY22" s="227">
        <v>0</v>
      </c>
      <c r="BZ22" s="227">
        <v>0</v>
      </c>
      <c r="CA22" s="227">
        <v>0</v>
      </c>
    </row>
    <row r="23" spans="1:79" ht="18" customHeight="1">
      <c r="B23" s="227" t="s">
        <v>246</v>
      </c>
      <c r="C23" s="279" t="s">
        <v>157</v>
      </c>
      <c r="D23" s="262"/>
      <c r="E23" s="263"/>
      <c r="F23" s="252"/>
      <c r="G23" s="262"/>
      <c r="H23" s="226"/>
      <c r="I23" s="210"/>
      <c r="J23" s="210"/>
      <c r="K23" s="210"/>
      <c r="L23" s="210"/>
      <c r="M23" s="226"/>
      <c r="N23" s="210"/>
      <c r="O23" s="210"/>
      <c r="P23" s="211"/>
      <c r="Q23" s="210"/>
      <c r="R23" s="210"/>
      <c r="S23" s="210"/>
      <c r="T23" s="210"/>
      <c r="U23" s="210"/>
      <c r="V23" s="226"/>
      <c r="W23" s="210"/>
      <c r="X23" s="210"/>
      <c r="Y23" s="211"/>
      <c r="Z23" s="210"/>
      <c r="AA23" s="210"/>
      <c r="AB23" s="210"/>
      <c r="AC23" s="210"/>
      <c r="AD23" s="210"/>
      <c r="AE23" s="226"/>
      <c r="AF23" s="210"/>
      <c r="AG23" s="210"/>
      <c r="AH23" s="211"/>
      <c r="AI23" s="210"/>
      <c r="AJ23" s="210"/>
      <c r="AK23" s="210"/>
      <c r="AL23" s="210"/>
      <c r="AM23" s="226"/>
      <c r="AN23" s="210"/>
      <c r="AO23" s="210"/>
      <c r="AP23" s="210"/>
      <c r="AQ23" s="211"/>
      <c r="AR23" s="210"/>
      <c r="AS23" s="210"/>
      <c r="AT23" s="210"/>
      <c r="AU23" s="210"/>
      <c r="AV23" s="226"/>
      <c r="AW23" s="210"/>
      <c r="AX23" s="210"/>
      <c r="AY23" s="211"/>
      <c r="AZ23" s="210"/>
      <c r="BA23" s="210"/>
      <c r="BB23" s="210"/>
      <c r="BC23" s="210"/>
      <c r="BD23" s="210"/>
      <c r="BE23" s="226"/>
      <c r="BF23" s="210"/>
      <c r="BG23" s="210"/>
      <c r="BH23" s="211"/>
      <c r="BI23" s="210"/>
      <c r="BJ23" s="284"/>
      <c r="BK23" s="290"/>
      <c r="BM23" s="345"/>
      <c r="BN23" s="346"/>
      <c r="BO23" s="227" t="s">
        <v>2</v>
      </c>
      <c r="BP23" s="227">
        <v>0</v>
      </c>
      <c r="BQ23" s="227">
        <v>0</v>
      </c>
      <c r="BR23" s="227">
        <v>0</v>
      </c>
      <c r="BS23" s="227">
        <v>0</v>
      </c>
      <c r="BT23" s="227">
        <v>0</v>
      </c>
      <c r="BU23" s="227">
        <v>0</v>
      </c>
      <c r="BV23" s="227">
        <v>0</v>
      </c>
      <c r="BW23" s="227">
        <v>0</v>
      </c>
      <c r="BX23" s="227">
        <v>0</v>
      </c>
      <c r="BY23" s="227">
        <v>0</v>
      </c>
      <c r="BZ23" s="227">
        <v>0</v>
      </c>
      <c r="CA23" s="227">
        <v>0</v>
      </c>
    </row>
    <row r="24" spans="1:79" ht="18" customHeight="1">
      <c r="B24" s="227" t="s">
        <v>246</v>
      </c>
      <c r="C24" s="279" t="s">
        <v>157</v>
      </c>
      <c r="D24" s="262"/>
      <c r="E24" s="263"/>
      <c r="F24" s="252"/>
      <c r="G24" s="262"/>
      <c r="H24" s="226"/>
      <c r="I24" s="210"/>
      <c r="J24" s="210"/>
      <c r="K24" s="210"/>
      <c r="L24" s="210"/>
      <c r="M24" s="226"/>
      <c r="N24" s="210"/>
      <c r="O24" s="210"/>
      <c r="P24" s="211"/>
      <c r="Q24" s="210"/>
      <c r="R24" s="210"/>
      <c r="S24" s="210"/>
      <c r="T24" s="210"/>
      <c r="U24" s="210"/>
      <c r="V24" s="226"/>
      <c r="W24" s="210"/>
      <c r="X24" s="210"/>
      <c r="Y24" s="211"/>
      <c r="Z24" s="210"/>
      <c r="AA24" s="210"/>
      <c r="AB24" s="210"/>
      <c r="AC24" s="210"/>
      <c r="AD24" s="210"/>
      <c r="AE24" s="226"/>
      <c r="AF24" s="210"/>
      <c r="AG24" s="210"/>
      <c r="AH24" s="211"/>
      <c r="AI24" s="210"/>
      <c r="AJ24" s="210"/>
      <c r="AK24" s="210"/>
      <c r="AL24" s="210"/>
      <c r="AM24" s="226"/>
      <c r="AN24" s="210"/>
      <c r="AO24" s="210"/>
      <c r="AP24" s="210"/>
      <c r="AQ24" s="211"/>
      <c r="AR24" s="210"/>
      <c r="AS24" s="210"/>
      <c r="AT24" s="210"/>
      <c r="AU24" s="210"/>
      <c r="AV24" s="226"/>
      <c r="AW24" s="210"/>
      <c r="AX24" s="210"/>
      <c r="AY24" s="211"/>
      <c r="AZ24" s="210"/>
      <c r="BA24" s="210"/>
      <c r="BB24" s="210"/>
      <c r="BC24" s="210"/>
      <c r="BD24" s="210"/>
      <c r="BE24" s="226"/>
      <c r="BF24" s="210"/>
      <c r="BG24" s="210"/>
      <c r="BH24" s="211"/>
      <c r="BI24" s="210"/>
      <c r="BJ24" s="284"/>
      <c r="BK24" s="290"/>
      <c r="BM24" s="345"/>
      <c r="BN24" s="346"/>
      <c r="BO24" s="227" t="s">
        <v>24</v>
      </c>
      <c r="BP24" s="227">
        <v>0</v>
      </c>
      <c r="BQ24" s="227">
        <v>0</v>
      </c>
      <c r="BR24" s="227">
        <v>0</v>
      </c>
      <c r="BS24" s="227">
        <v>0</v>
      </c>
      <c r="BT24" s="227">
        <v>0</v>
      </c>
      <c r="BU24" s="227">
        <v>0</v>
      </c>
      <c r="BV24" s="227">
        <v>0</v>
      </c>
      <c r="BW24" s="227">
        <v>0</v>
      </c>
      <c r="BX24" s="227">
        <v>0</v>
      </c>
      <c r="BY24" s="227">
        <v>0</v>
      </c>
      <c r="BZ24" s="227">
        <v>0</v>
      </c>
      <c r="CA24" s="227">
        <v>0</v>
      </c>
    </row>
    <row r="25" spans="1:79" ht="18" customHeight="1">
      <c r="B25" s="227" t="s">
        <v>246</v>
      </c>
      <c r="C25" s="279" t="s">
        <v>157</v>
      </c>
      <c r="D25" s="248"/>
      <c r="E25" s="251"/>
      <c r="F25" s="252"/>
      <c r="G25" s="248"/>
      <c r="H25" s="232"/>
      <c r="I25" s="210"/>
      <c r="J25" s="210"/>
      <c r="K25" s="210"/>
      <c r="L25" s="210"/>
      <c r="M25" s="232"/>
      <c r="N25" s="210"/>
      <c r="O25" s="210"/>
      <c r="P25" s="211"/>
      <c r="Q25" s="210"/>
      <c r="R25" s="210"/>
      <c r="S25" s="210"/>
      <c r="T25" s="210"/>
      <c r="U25" s="210"/>
      <c r="V25" s="232"/>
      <c r="W25" s="210"/>
      <c r="X25" s="210"/>
      <c r="Y25" s="211"/>
      <c r="Z25" s="210"/>
      <c r="AA25" s="210"/>
      <c r="AB25" s="210"/>
      <c r="AC25" s="210"/>
      <c r="AD25" s="210"/>
      <c r="AE25" s="232"/>
      <c r="AF25" s="210"/>
      <c r="AG25" s="210"/>
      <c r="AH25" s="211"/>
      <c r="AI25" s="210"/>
      <c r="AJ25" s="210"/>
      <c r="AK25" s="210"/>
      <c r="AL25" s="210"/>
      <c r="AM25" s="232"/>
      <c r="AN25" s="210"/>
      <c r="AO25" s="210"/>
      <c r="AP25" s="210"/>
      <c r="AQ25" s="211"/>
      <c r="AR25" s="210"/>
      <c r="AS25" s="210"/>
      <c r="AT25" s="210"/>
      <c r="AU25" s="210"/>
      <c r="AV25" s="232"/>
      <c r="AW25" s="210"/>
      <c r="AX25" s="210"/>
      <c r="AY25" s="211"/>
      <c r="AZ25" s="210"/>
      <c r="BA25" s="210"/>
      <c r="BB25" s="210"/>
      <c r="BC25" s="210"/>
      <c r="BD25" s="210"/>
      <c r="BE25" s="232"/>
      <c r="BF25" s="210"/>
      <c r="BG25" s="210"/>
      <c r="BH25" s="211"/>
      <c r="BI25" s="210"/>
      <c r="BJ25" s="233"/>
      <c r="BK25" s="290"/>
      <c r="BM25" s="345"/>
      <c r="BN25" s="346"/>
      <c r="BO25" s="227" t="s">
        <v>46</v>
      </c>
      <c r="BP25" s="227">
        <v>0</v>
      </c>
      <c r="BQ25" s="227">
        <v>0</v>
      </c>
      <c r="BR25" s="227">
        <v>0</v>
      </c>
      <c r="BS25" s="227">
        <v>0</v>
      </c>
      <c r="BT25" s="227">
        <v>0</v>
      </c>
      <c r="BU25" s="227">
        <v>0</v>
      </c>
      <c r="BV25" s="227">
        <v>0</v>
      </c>
      <c r="BW25" s="227">
        <v>0</v>
      </c>
      <c r="BX25" s="227">
        <v>0</v>
      </c>
      <c r="BY25" s="227">
        <v>0</v>
      </c>
      <c r="BZ25" s="227">
        <v>0</v>
      </c>
      <c r="CA25" s="227">
        <v>0</v>
      </c>
    </row>
    <row r="26" spans="1:79" s="230" customFormat="1" ht="18" customHeight="1" thickBot="1">
      <c r="A26" s="227"/>
      <c r="B26" s="227" t="s">
        <v>246</v>
      </c>
      <c r="C26" s="279" t="s">
        <v>157</v>
      </c>
      <c r="D26" s="248"/>
      <c r="E26" s="251"/>
      <c r="F26" s="252"/>
      <c r="G26" s="248"/>
      <c r="H26" s="232"/>
      <c r="I26" s="210"/>
      <c r="J26" s="210"/>
      <c r="K26" s="210"/>
      <c r="L26" s="210"/>
      <c r="M26" s="232"/>
      <c r="N26" s="210"/>
      <c r="O26" s="210"/>
      <c r="P26" s="211"/>
      <c r="Q26" s="210"/>
      <c r="R26" s="210"/>
      <c r="S26" s="210"/>
      <c r="T26" s="210"/>
      <c r="U26" s="210"/>
      <c r="V26" s="232"/>
      <c r="W26" s="210"/>
      <c r="X26" s="210"/>
      <c r="Y26" s="211"/>
      <c r="Z26" s="210"/>
      <c r="AA26" s="210"/>
      <c r="AB26" s="210"/>
      <c r="AC26" s="210"/>
      <c r="AD26" s="210"/>
      <c r="AE26" s="232"/>
      <c r="AF26" s="210"/>
      <c r="AG26" s="210"/>
      <c r="AH26" s="211"/>
      <c r="AI26" s="210"/>
      <c r="AJ26" s="210"/>
      <c r="AK26" s="210"/>
      <c r="AL26" s="210"/>
      <c r="AM26" s="232"/>
      <c r="AN26" s="210"/>
      <c r="AO26" s="210"/>
      <c r="AP26" s="210"/>
      <c r="AQ26" s="211"/>
      <c r="AR26" s="210"/>
      <c r="AS26" s="210"/>
      <c r="AT26" s="210"/>
      <c r="AU26" s="210"/>
      <c r="AV26" s="232"/>
      <c r="AW26" s="210"/>
      <c r="AX26" s="210"/>
      <c r="AY26" s="211"/>
      <c r="AZ26" s="210"/>
      <c r="BA26" s="210"/>
      <c r="BB26" s="210"/>
      <c r="BC26" s="210"/>
      <c r="BD26" s="210"/>
      <c r="BE26" s="232"/>
      <c r="BF26" s="210"/>
      <c r="BG26" s="210"/>
      <c r="BH26" s="211"/>
      <c r="BI26" s="210"/>
      <c r="BJ26" s="233"/>
      <c r="BK26" s="290"/>
      <c r="BL26" s="229"/>
      <c r="BM26" s="347"/>
      <c r="BN26" s="348"/>
      <c r="BO26" s="227" t="s">
        <v>134</v>
      </c>
      <c r="BP26" s="227">
        <v>0</v>
      </c>
      <c r="BQ26" s="227">
        <v>0</v>
      </c>
      <c r="BR26" s="227">
        <v>0</v>
      </c>
      <c r="BS26" s="227">
        <v>0</v>
      </c>
      <c r="BT26" s="227">
        <v>0</v>
      </c>
      <c r="BU26" s="227">
        <v>0</v>
      </c>
      <c r="BV26" s="227">
        <v>0</v>
      </c>
      <c r="BW26" s="227">
        <v>0</v>
      </c>
      <c r="BX26" s="227">
        <v>0</v>
      </c>
      <c r="BY26" s="227">
        <v>0</v>
      </c>
      <c r="BZ26" s="227">
        <v>0</v>
      </c>
      <c r="CA26" s="227">
        <v>0</v>
      </c>
    </row>
    <row r="27" spans="1:79" ht="18" customHeight="1" thickBot="1">
      <c r="C27" s="279"/>
      <c r="D27" s="281"/>
      <c r="E27" s="282"/>
      <c r="F27" s="282"/>
      <c r="G27" s="283"/>
      <c r="H27" s="449"/>
      <c r="I27" s="450"/>
      <c r="J27" s="450"/>
      <c r="K27" s="450"/>
      <c r="L27" s="451"/>
      <c r="M27" s="449"/>
      <c r="N27" s="450"/>
      <c r="O27" s="450"/>
      <c r="P27" s="451"/>
      <c r="Q27" s="449"/>
      <c r="R27" s="450"/>
      <c r="S27" s="450"/>
      <c r="T27" s="450"/>
      <c r="U27" s="451"/>
      <c r="V27" s="449"/>
      <c r="W27" s="450"/>
      <c r="X27" s="450"/>
      <c r="Y27" s="451"/>
      <c r="Z27" s="281"/>
      <c r="AA27" s="282"/>
      <c r="AB27" s="282"/>
      <c r="AC27" s="282"/>
      <c r="AD27" s="283"/>
      <c r="AE27" s="281"/>
      <c r="AF27" s="282"/>
      <c r="AG27" s="282"/>
      <c r="AH27" s="283"/>
      <c r="AI27" s="281"/>
      <c r="AJ27" s="282"/>
      <c r="AK27" s="282"/>
      <c r="AL27" s="283"/>
      <c r="AM27" s="281"/>
      <c r="AN27" s="282"/>
      <c r="AO27" s="282"/>
      <c r="AP27" s="282"/>
      <c r="AQ27" s="283"/>
      <c r="AR27" s="281"/>
      <c r="AS27" s="282"/>
      <c r="AT27" s="282"/>
      <c r="AU27" s="283"/>
      <c r="AV27" s="281"/>
      <c r="AW27" s="282"/>
      <c r="AX27" s="282"/>
      <c r="AY27" s="283"/>
      <c r="AZ27" s="281"/>
      <c r="BA27" s="282"/>
      <c r="BB27" s="282"/>
      <c r="BC27" s="282"/>
      <c r="BD27" s="283"/>
      <c r="BE27" s="281"/>
      <c r="BF27" s="282"/>
      <c r="BG27" s="282"/>
      <c r="BH27" s="283"/>
      <c r="BI27" s="283"/>
      <c r="BJ27" s="376"/>
      <c r="BK27" s="378">
        <v>0</v>
      </c>
      <c r="BL27" s="247">
        <v>0</v>
      </c>
      <c r="BM27" s="447"/>
      <c r="BN27" s="448"/>
      <c r="BO27" s="227" t="s">
        <v>140</v>
      </c>
      <c r="BP27" s="227">
        <v>0</v>
      </c>
      <c r="BQ27" s="227">
        <v>0</v>
      </c>
      <c r="BR27" s="227">
        <v>0</v>
      </c>
      <c r="BS27" s="227">
        <v>0</v>
      </c>
      <c r="BT27" s="227">
        <v>0</v>
      </c>
      <c r="BU27" s="227">
        <v>0</v>
      </c>
      <c r="BV27" s="227">
        <v>0</v>
      </c>
      <c r="BW27" s="227">
        <v>0</v>
      </c>
      <c r="BX27" s="227">
        <v>0</v>
      </c>
      <c r="BY27" s="227">
        <v>0</v>
      </c>
      <c r="BZ27" s="227">
        <v>0</v>
      </c>
      <c r="CA27" s="227">
        <v>0</v>
      </c>
    </row>
    <row r="28" spans="1:79" ht="18" customHeight="1" thickBot="1">
      <c r="C28" s="279"/>
      <c r="D28" s="481" t="s">
        <v>2</v>
      </c>
      <c r="E28" s="482"/>
      <c r="F28" s="483"/>
      <c r="G28" s="482"/>
      <c r="H28" s="320"/>
      <c r="I28" s="321"/>
      <c r="J28" s="321"/>
      <c r="K28" s="321"/>
      <c r="L28" s="322"/>
      <c r="M28" s="323"/>
      <c r="N28" s="324"/>
      <c r="O28" s="324"/>
      <c r="P28" s="325"/>
      <c r="Q28" s="320"/>
      <c r="R28" s="321"/>
      <c r="S28" s="321"/>
      <c r="T28" s="321"/>
      <c r="U28" s="322"/>
      <c r="V28" s="324"/>
      <c r="W28" s="324"/>
      <c r="X28" s="324"/>
      <c r="Y28" s="324"/>
      <c r="Z28" s="323"/>
      <c r="AA28" s="321"/>
      <c r="AB28" s="321"/>
      <c r="AC28" s="321"/>
      <c r="AD28" s="322"/>
      <c r="AE28" s="324"/>
      <c r="AF28" s="324"/>
      <c r="AG28" s="324"/>
      <c r="AH28" s="324"/>
      <c r="AI28" s="323"/>
      <c r="AJ28" s="321"/>
      <c r="AK28" s="321"/>
      <c r="AL28" s="322"/>
      <c r="AM28" s="321"/>
      <c r="AN28" s="324"/>
      <c r="AO28" s="324"/>
      <c r="AP28" s="324"/>
      <c r="AQ28" s="324"/>
      <c r="AR28" s="323"/>
      <c r="AS28" s="321"/>
      <c r="AT28" s="321"/>
      <c r="AU28" s="322"/>
      <c r="AV28" s="324"/>
      <c r="AW28" s="324"/>
      <c r="AX28" s="324"/>
      <c r="AY28" s="324"/>
      <c r="AZ28" s="320"/>
      <c r="BA28" s="321"/>
      <c r="BB28" s="321"/>
      <c r="BC28" s="321"/>
      <c r="BD28" s="322"/>
      <c r="BE28" s="324"/>
      <c r="BF28" s="324"/>
      <c r="BG28" s="324"/>
      <c r="BH28" s="324"/>
      <c r="BI28" s="457"/>
      <c r="BJ28" s="453"/>
      <c r="BK28" s="458"/>
      <c r="BL28" s="231"/>
      <c r="BM28" s="382" t="s">
        <v>258</v>
      </c>
      <c r="BN28" s="351" t="s">
        <v>259</v>
      </c>
      <c r="BO28" s="227" t="s">
        <v>135</v>
      </c>
      <c r="BP28" s="227">
        <v>0</v>
      </c>
      <c r="BQ28" s="227">
        <v>0</v>
      </c>
      <c r="BR28" s="227">
        <v>0</v>
      </c>
      <c r="BS28" s="227">
        <v>0</v>
      </c>
      <c r="BT28" s="227">
        <v>0</v>
      </c>
      <c r="BU28" s="227">
        <v>0</v>
      </c>
      <c r="BV28" s="227">
        <v>0</v>
      </c>
      <c r="BW28" s="227">
        <v>0</v>
      </c>
      <c r="BX28" s="227">
        <v>0</v>
      </c>
      <c r="BY28" s="227">
        <v>0</v>
      </c>
      <c r="BZ28" s="227">
        <v>0</v>
      </c>
      <c r="CA28" s="227">
        <v>0</v>
      </c>
    </row>
    <row r="29" spans="1:79" ht="18" customHeight="1">
      <c r="B29" s="227" t="s">
        <v>246</v>
      </c>
      <c r="C29" s="279" t="s">
        <v>157</v>
      </c>
      <c r="D29" s="248"/>
      <c r="E29" s="249"/>
      <c r="F29" s="252"/>
      <c r="G29" s="253"/>
      <c r="H29" s="216"/>
      <c r="I29" s="218"/>
      <c r="J29" s="218"/>
      <c r="K29" s="218"/>
      <c r="L29" s="218"/>
      <c r="M29" s="216"/>
      <c r="N29" s="218"/>
      <c r="O29" s="218"/>
      <c r="P29" s="217"/>
      <c r="Q29" s="218"/>
      <c r="R29" s="218"/>
      <c r="S29" s="218"/>
      <c r="T29" s="218"/>
      <c r="U29" s="218"/>
      <c r="V29" s="216"/>
      <c r="W29" s="218"/>
      <c r="X29" s="218"/>
      <c r="Y29" s="217"/>
      <c r="Z29" s="218"/>
      <c r="AA29" s="218"/>
      <c r="AB29" s="218"/>
      <c r="AC29" s="218"/>
      <c r="AD29" s="218"/>
      <c r="AE29" s="216"/>
      <c r="AF29" s="218"/>
      <c r="AG29" s="218"/>
      <c r="AH29" s="217"/>
      <c r="AI29" s="218"/>
      <c r="AJ29" s="218"/>
      <c r="AK29" s="218"/>
      <c r="AL29" s="218"/>
      <c r="AM29" s="216"/>
      <c r="AN29" s="218"/>
      <c r="AO29" s="218"/>
      <c r="AP29" s="218"/>
      <c r="AQ29" s="217"/>
      <c r="AR29" s="218"/>
      <c r="AS29" s="218"/>
      <c r="AT29" s="218"/>
      <c r="AU29" s="218"/>
      <c r="AV29" s="216"/>
      <c r="AW29" s="218"/>
      <c r="AX29" s="218"/>
      <c r="AY29" s="217"/>
      <c r="AZ29" s="218"/>
      <c r="BA29" s="218"/>
      <c r="BB29" s="218"/>
      <c r="BC29" s="218"/>
      <c r="BD29" s="218"/>
      <c r="BE29" s="216"/>
      <c r="BF29" s="218"/>
      <c r="BG29" s="218"/>
      <c r="BH29" s="217"/>
      <c r="BI29" s="210"/>
      <c r="BJ29" s="212"/>
      <c r="BK29" s="290"/>
      <c r="BM29" s="349"/>
      <c r="BN29" s="344"/>
      <c r="BO29" s="227" t="s">
        <v>136</v>
      </c>
      <c r="BP29" s="227">
        <v>0</v>
      </c>
      <c r="BQ29" s="227">
        <v>0</v>
      </c>
      <c r="BR29" s="227">
        <v>0</v>
      </c>
      <c r="BS29" s="227">
        <v>0</v>
      </c>
      <c r="BT29" s="227">
        <v>0</v>
      </c>
      <c r="BU29" s="227">
        <v>0</v>
      </c>
      <c r="BV29" s="227">
        <v>0</v>
      </c>
      <c r="BW29" s="227">
        <v>0</v>
      </c>
      <c r="BX29" s="227">
        <v>0</v>
      </c>
      <c r="BY29" s="227">
        <v>0</v>
      </c>
      <c r="BZ29" s="227">
        <v>0</v>
      </c>
      <c r="CA29" s="227">
        <v>0</v>
      </c>
    </row>
    <row r="30" spans="1:79" ht="18" customHeight="1">
      <c r="B30" s="227" t="s">
        <v>246</v>
      </c>
      <c r="C30" s="279" t="s">
        <v>157</v>
      </c>
      <c r="D30" s="262"/>
      <c r="E30" s="263"/>
      <c r="F30" s="252"/>
      <c r="G30" s="262"/>
      <c r="H30" s="226"/>
      <c r="I30" s="210"/>
      <c r="J30" s="210"/>
      <c r="K30" s="210"/>
      <c r="L30" s="210"/>
      <c r="M30" s="226"/>
      <c r="N30" s="210"/>
      <c r="O30" s="210"/>
      <c r="P30" s="211"/>
      <c r="Q30" s="210"/>
      <c r="R30" s="210"/>
      <c r="S30" s="210"/>
      <c r="T30" s="210"/>
      <c r="U30" s="210"/>
      <c r="V30" s="226"/>
      <c r="W30" s="210"/>
      <c r="X30" s="210"/>
      <c r="Y30" s="211"/>
      <c r="Z30" s="210"/>
      <c r="AA30" s="210"/>
      <c r="AB30" s="210"/>
      <c r="AC30" s="210"/>
      <c r="AD30" s="210"/>
      <c r="AE30" s="226"/>
      <c r="AF30" s="210"/>
      <c r="AG30" s="210"/>
      <c r="AH30" s="211"/>
      <c r="AI30" s="210"/>
      <c r="AJ30" s="210"/>
      <c r="AK30" s="210"/>
      <c r="AL30" s="210"/>
      <c r="AM30" s="226"/>
      <c r="AN30" s="210"/>
      <c r="AO30" s="210"/>
      <c r="AP30" s="210"/>
      <c r="AQ30" s="211"/>
      <c r="AR30" s="210"/>
      <c r="AS30" s="210"/>
      <c r="AT30" s="210"/>
      <c r="AU30" s="210"/>
      <c r="AV30" s="226"/>
      <c r="AW30" s="210"/>
      <c r="AX30" s="210"/>
      <c r="AY30" s="211"/>
      <c r="AZ30" s="210"/>
      <c r="BA30" s="210"/>
      <c r="BB30" s="210"/>
      <c r="BC30" s="210"/>
      <c r="BD30" s="210"/>
      <c r="BE30" s="226"/>
      <c r="BF30" s="210"/>
      <c r="BG30" s="210"/>
      <c r="BH30" s="211"/>
      <c r="BI30" s="210"/>
      <c r="BJ30" s="284"/>
      <c r="BK30" s="290"/>
      <c r="BM30" s="345"/>
      <c r="BN30" s="346"/>
    </row>
    <row r="31" spans="1:79" ht="18" customHeight="1">
      <c r="B31" s="227" t="s">
        <v>246</v>
      </c>
      <c r="C31" s="279" t="s">
        <v>157</v>
      </c>
      <c r="D31" s="262"/>
      <c r="E31" s="263"/>
      <c r="F31" s="252"/>
      <c r="G31" s="262"/>
      <c r="H31" s="226"/>
      <c r="I31" s="210"/>
      <c r="J31" s="210"/>
      <c r="K31" s="210"/>
      <c r="L31" s="210"/>
      <c r="M31" s="226"/>
      <c r="N31" s="210"/>
      <c r="O31" s="210"/>
      <c r="P31" s="211"/>
      <c r="Q31" s="210"/>
      <c r="R31" s="210"/>
      <c r="S31" s="210"/>
      <c r="T31" s="210"/>
      <c r="U31" s="210"/>
      <c r="V31" s="226"/>
      <c r="W31" s="210"/>
      <c r="X31" s="210"/>
      <c r="Y31" s="211"/>
      <c r="Z31" s="210"/>
      <c r="AA31" s="210"/>
      <c r="AB31" s="210"/>
      <c r="AC31" s="210"/>
      <c r="AD31" s="210"/>
      <c r="AE31" s="226"/>
      <c r="AF31" s="210"/>
      <c r="AG31" s="210"/>
      <c r="AH31" s="211"/>
      <c r="AI31" s="210"/>
      <c r="AJ31" s="210"/>
      <c r="AK31" s="210"/>
      <c r="AL31" s="210"/>
      <c r="AM31" s="226"/>
      <c r="AN31" s="210"/>
      <c r="AO31" s="210"/>
      <c r="AP31" s="210"/>
      <c r="AQ31" s="211"/>
      <c r="AR31" s="210"/>
      <c r="AS31" s="210"/>
      <c r="AT31" s="210"/>
      <c r="AU31" s="210"/>
      <c r="AV31" s="226"/>
      <c r="AW31" s="210"/>
      <c r="AX31" s="210"/>
      <c r="AY31" s="211"/>
      <c r="AZ31" s="210"/>
      <c r="BA31" s="210"/>
      <c r="BB31" s="210"/>
      <c r="BC31" s="210"/>
      <c r="BD31" s="210"/>
      <c r="BE31" s="226"/>
      <c r="BF31" s="210"/>
      <c r="BG31" s="210"/>
      <c r="BH31" s="211"/>
      <c r="BI31" s="210"/>
      <c r="BJ31" s="284"/>
      <c r="BK31" s="290"/>
      <c r="BM31" s="345"/>
      <c r="BN31" s="346"/>
    </row>
    <row r="32" spans="1:79" ht="18" customHeight="1">
      <c r="B32" s="227" t="s">
        <v>246</v>
      </c>
      <c r="C32" s="279" t="s">
        <v>157</v>
      </c>
      <c r="D32" s="248"/>
      <c r="E32" s="251"/>
      <c r="F32" s="252"/>
      <c r="G32" s="248"/>
      <c r="H32" s="232"/>
      <c r="I32" s="210"/>
      <c r="J32" s="210"/>
      <c r="K32" s="210"/>
      <c r="L32" s="210"/>
      <c r="M32" s="232"/>
      <c r="N32" s="210"/>
      <c r="O32" s="210"/>
      <c r="P32" s="211"/>
      <c r="Q32" s="210"/>
      <c r="R32" s="210"/>
      <c r="S32" s="210"/>
      <c r="T32" s="210"/>
      <c r="U32" s="210"/>
      <c r="V32" s="232"/>
      <c r="W32" s="210"/>
      <c r="X32" s="210"/>
      <c r="Y32" s="211"/>
      <c r="Z32" s="210"/>
      <c r="AA32" s="210"/>
      <c r="AB32" s="210"/>
      <c r="AC32" s="210"/>
      <c r="AD32" s="210"/>
      <c r="AE32" s="232"/>
      <c r="AF32" s="210"/>
      <c r="AG32" s="210"/>
      <c r="AH32" s="211"/>
      <c r="AI32" s="210"/>
      <c r="AJ32" s="210"/>
      <c r="AK32" s="210"/>
      <c r="AL32" s="210"/>
      <c r="AM32" s="232"/>
      <c r="AN32" s="210"/>
      <c r="AO32" s="210"/>
      <c r="AP32" s="210"/>
      <c r="AQ32" s="211"/>
      <c r="AR32" s="210"/>
      <c r="AS32" s="210"/>
      <c r="AT32" s="210"/>
      <c r="AU32" s="210"/>
      <c r="AV32" s="232"/>
      <c r="AW32" s="210"/>
      <c r="AX32" s="210"/>
      <c r="AY32" s="211"/>
      <c r="AZ32" s="210"/>
      <c r="BA32" s="210"/>
      <c r="BB32" s="210"/>
      <c r="BC32" s="210"/>
      <c r="BD32" s="210"/>
      <c r="BE32" s="232"/>
      <c r="BF32" s="210"/>
      <c r="BG32" s="210"/>
      <c r="BH32" s="211"/>
      <c r="BI32" s="210"/>
      <c r="BJ32" s="233"/>
      <c r="BK32" s="290"/>
      <c r="BM32" s="345"/>
      <c r="BN32" s="346"/>
    </row>
    <row r="33" spans="1:69" s="230" customFormat="1" ht="18" customHeight="1" thickBot="1">
      <c r="A33" s="227"/>
      <c r="B33" s="227" t="s">
        <v>246</v>
      </c>
      <c r="C33" s="279" t="s">
        <v>157</v>
      </c>
      <c r="D33" s="248"/>
      <c r="E33" s="251"/>
      <c r="F33" s="252"/>
      <c r="G33" s="248"/>
      <c r="H33" s="232"/>
      <c r="I33" s="210"/>
      <c r="J33" s="210"/>
      <c r="K33" s="210"/>
      <c r="L33" s="210"/>
      <c r="M33" s="232"/>
      <c r="N33" s="210"/>
      <c r="O33" s="210"/>
      <c r="P33" s="211"/>
      <c r="Q33" s="210"/>
      <c r="R33" s="210"/>
      <c r="S33" s="210"/>
      <c r="T33" s="210"/>
      <c r="U33" s="210"/>
      <c r="V33" s="232"/>
      <c r="W33" s="210"/>
      <c r="X33" s="210"/>
      <c r="Y33" s="211"/>
      <c r="Z33" s="210"/>
      <c r="AA33" s="210"/>
      <c r="AB33" s="210"/>
      <c r="AC33" s="210"/>
      <c r="AD33" s="210"/>
      <c r="AE33" s="232"/>
      <c r="AF33" s="210"/>
      <c r="AG33" s="210"/>
      <c r="AH33" s="211"/>
      <c r="AI33" s="210"/>
      <c r="AJ33" s="210"/>
      <c r="AK33" s="210"/>
      <c r="AL33" s="210"/>
      <c r="AM33" s="232"/>
      <c r="AN33" s="210"/>
      <c r="AO33" s="210"/>
      <c r="AP33" s="210"/>
      <c r="AQ33" s="211"/>
      <c r="AR33" s="210"/>
      <c r="AS33" s="210"/>
      <c r="AT33" s="210"/>
      <c r="AU33" s="210"/>
      <c r="AV33" s="232"/>
      <c r="AW33" s="210"/>
      <c r="AX33" s="210"/>
      <c r="AY33" s="211"/>
      <c r="AZ33" s="210"/>
      <c r="BA33" s="210"/>
      <c r="BB33" s="210"/>
      <c r="BC33" s="210"/>
      <c r="BD33" s="210"/>
      <c r="BE33" s="232"/>
      <c r="BF33" s="210"/>
      <c r="BG33" s="210"/>
      <c r="BH33" s="211"/>
      <c r="BI33" s="210"/>
      <c r="BJ33" s="233"/>
      <c r="BK33" s="290"/>
      <c r="BL33" s="229"/>
      <c r="BM33" s="347"/>
      <c r="BN33" s="348"/>
      <c r="BO33" s="227"/>
      <c r="BP33" s="227"/>
      <c r="BQ33" s="227"/>
    </row>
    <row r="34" spans="1:69" ht="18" customHeight="1" thickBot="1">
      <c r="C34" s="279"/>
      <c r="D34" s="281"/>
      <c r="E34" s="282"/>
      <c r="F34" s="282"/>
      <c r="G34" s="283"/>
      <c r="H34" s="449"/>
      <c r="I34" s="450"/>
      <c r="J34" s="450"/>
      <c r="K34" s="450"/>
      <c r="L34" s="451"/>
      <c r="M34" s="449"/>
      <c r="N34" s="450"/>
      <c r="O34" s="450"/>
      <c r="P34" s="451"/>
      <c r="Q34" s="449"/>
      <c r="R34" s="450"/>
      <c r="S34" s="450"/>
      <c r="T34" s="450"/>
      <c r="U34" s="451"/>
      <c r="V34" s="449"/>
      <c r="W34" s="450"/>
      <c r="X34" s="450"/>
      <c r="Y34" s="451"/>
      <c r="Z34" s="281"/>
      <c r="AA34" s="282"/>
      <c r="AB34" s="282"/>
      <c r="AC34" s="282"/>
      <c r="AD34" s="283"/>
      <c r="AE34" s="281"/>
      <c r="AF34" s="282"/>
      <c r="AG34" s="282"/>
      <c r="AH34" s="283"/>
      <c r="AI34" s="281"/>
      <c r="AJ34" s="282"/>
      <c r="AK34" s="282"/>
      <c r="AL34" s="283"/>
      <c r="AM34" s="281"/>
      <c r="AN34" s="282"/>
      <c r="AO34" s="282"/>
      <c r="AP34" s="282"/>
      <c r="AQ34" s="283"/>
      <c r="AR34" s="281"/>
      <c r="AS34" s="282"/>
      <c r="AT34" s="282"/>
      <c r="AU34" s="283"/>
      <c r="AV34" s="281"/>
      <c r="AW34" s="282"/>
      <c r="AX34" s="282"/>
      <c r="AY34" s="283"/>
      <c r="AZ34" s="281"/>
      <c r="BA34" s="282"/>
      <c r="BB34" s="282"/>
      <c r="BC34" s="282"/>
      <c r="BD34" s="283"/>
      <c r="BE34" s="281"/>
      <c r="BF34" s="282"/>
      <c r="BG34" s="282"/>
      <c r="BH34" s="283"/>
      <c r="BI34" s="283"/>
      <c r="BJ34" s="376"/>
      <c r="BK34" s="378">
        <v>0</v>
      </c>
      <c r="BL34" s="247">
        <v>0</v>
      </c>
      <c r="BM34" s="447"/>
      <c r="BN34" s="448"/>
    </row>
    <row r="35" spans="1:69" ht="18" customHeight="1" thickBot="1">
      <c r="C35" s="279"/>
      <c r="D35" s="481" t="s">
        <v>24</v>
      </c>
      <c r="E35" s="482"/>
      <c r="F35" s="483"/>
      <c r="G35" s="482"/>
      <c r="H35" s="320"/>
      <c r="I35" s="326"/>
      <c r="J35" s="326"/>
      <c r="K35" s="326"/>
      <c r="L35" s="327"/>
      <c r="M35" s="328"/>
      <c r="N35" s="324"/>
      <c r="O35" s="324"/>
      <c r="P35" s="325"/>
      <c r="Q35" s="320"/>
      <c r="R35" s="326"/>
      <c r="S35" s="326"/>
      <c r="T35" s="326"/>
      <c r="U35" s="327"/>
      <c r="V35" s="324"/>
      <c r="W35" s="324"/>
      <c r="X35" s="324"/>
      <c r="Y35" s="324"/>
      <c r="Z35" s="328"/>
      <c r="AA35" s="326"/>
      <c r="AB35" s="326"/>
      <c r="AC35" s="326"/>
      <c r="AD35" s="327"/>
      <c r="AE35" s="324"/>
      <c r="AF35" s="324"/>
      <c r="AG35" s="324"/>
      <c r="AH35" s="324"/>
      <c r="AI35" s="328"/>
      <c r="AJ35" s="326"/>
      <c r="AK35" s="326"/>
      <c r="AL35" s="327"/>
      <c r="AM35" s="326"/>
      <c r="AN35" s="324"/>
      <c r="AO35" s="324"/>
      <c r="AP35" s="324"/>
      <c r="AQ35" s="324"/>
      <c r="AR35" s="328"/>
      <c r="AS35" s="326"/>
      <c r="AT35" s="326"/>
      <c r="AU35" s="327"/>
      <c r="AV35" s="324"/>
      <c r="AW35" s="324"/>
      <c r="AX35" s="324"/>
      <c r="AY35" s="324"/>
      <c r="AZ35" s="320"/>
      <c r="BA35" s="326"/>
      <c r="BB35" s="326"/>
      <c r="BC35" s="326"/>
      <c r="BD35" s="327"/>
      <c r="BE35" s="324"/>
      <c r="BF35" s="324"/>
      <c r="BG35" s="324"/>
      <c r="BH35" s="324"/>
      <c r="BI35" s="457"/>
      <c r="BJ35" s="453"/>
      <c r="BK35" s="458"/>
      <c r="BL35" s="231"/>
      <c r="BM35" s="382" t="s">
        <v>258</v>
      </c>
      <c r="BN35" s="351" t="s">
        <v>259</v>
      </c>
      <c r="BO35" s="230"/>
      <c r="BP35" s="230"/>
      <c r="BQ35" s="230"/>
    </row>
    <row r="36" spans="1:69" ht="18" customHeight="1">
      <c r="B36" s="227" t="s">
        <v>246</v>
      </c>
      <c r="C36" s="279" t="s">
        <v>157</v>
      </c>
      <c r="D36" s="248"/>
      <c r="E36" s="249"/>
      <c r="F36" s="252"/>
      <c r="G36" s="253"/>
      <c r="H36" s="216"/>
      <c r="I36" s="218"/>
      <c r="J36" s="218"/>
      <c r="K36" s="218"/>
      <c r="L36" s="218"/>
      <c r="M36" s="216"/>
      <c r="N36" s="218"/>
      <c r="O36" s="218"/>
      <c r="P36" s="217"/>
      <c r="Q36" s="218"/>
      <c r="R36" s="218"/>
      <c r="S36" s="218"/>
      <c r="T36" s="218"/>
      <c r="U36" s="218"/>
      <c r="V36" s="216"/>
      <c r="W36" s="218"/>
      <c r="X36" s="218"/>
      <c r="Y36" s="217"/>
      <c r="Z36" s="218"/>
      <c r="AA36" s="218"/>
      <c r="AB36" s="218"/>
      <c r="AC36" s="218"/>
      <c r="AD36" s="218"/>
      <c r="AE36" s="216"/>
      <c r="AF36" s="218"/>
      <c r="AG36" s="218"/>
      <c r="AH36" s="217"/>
      <c r="AI36" s="218"/>
      <c r="AJ36" s="218"/>
      <c r="AK36" s="218"/>
      <c r="AL36" s="218"/>
      <c r="AM36" s="216"/>
      <c r="AN36" s="218"/>
      <c r="AO36" s="218"/>
      <c r="AP36" s="218"/>
      <c r="AQ36" s="217"/>
      <c r="AR36" s="218"/>
      <c r="AS36" s="218"/>
      <c r="AT36" s="218"/>
      <c r="AU36" s="218"/>
      <c r="AV36" s="216"/>
      <c r="AW36" s="218"/>
      <c r="AX36" s="218"/>
      <c r="AY36" s="217"/>
      <c r="AZ36" s="218"/>
      <c r="BA36" s="218"/>
      <c r="BB36" s="218"/>
      <c r="BC36" s="218"/>
      <c r="BD36" s="218"/>
      <c r="BE36" s="216"/>
      <c r="BF36" s="218"/>
      <c r="BG36" s="218"/>
      <c r="BH36" s="217"/>
      <c r="BI36" s="210"/>
      <c r="BJ36" s="212"/>
      <c r="BK36" s="290"/>
      <c r="BM36" s="349"/>
      <c r="BN36" s="344"/>
    </row>
    <row r="37" spans="1:69" ht="18" customHeight="1">
      <c r="B37" s="227" t="s">
        <v>246</v>
      </c>
      <c r="C37" s="279" t="s">
        <v>157</v>
      </c>
      <c r="D37" s="262"/>
      <c r="E37" s="263"/>
      <c r="F37" s="252"/>
      <c r="G37" s="262"/>
      <c r="H37" s="226"/>
      <c r="I37" s="210"/>
      <c r="J37" s="210"/>
      <c r="K37" s="210"/>
      <c r="L37" s="210"/>
      <c r="M37" s="226"/>
      <c r="N37" s="210"/>
      <c r="O37" s="210"/>
      <c r="P37" s="211"/>
      <c r="Q37" s="210"/>
      <c r="R37" s="210"/>
      <c r="S37" s="210"/>
      <c r="T37" s="210"/>
      <c r="U37" s="210"/>
      <c r="V37" s="226"/>
      <c r="W37" s="210"/>
      <c r="X37" s="210"/>
      <c r="Y37" s="211"/>
      <c r="Z37" s="210"/>
      <c r="AA37" s="210"/>
      <c r="AB37" s="210"/>
      <c r="AC37" s="210"/>
      <c r="AD37" s="210"/>
      <c r="AE37" s="226"/>
      <c r="AF37" s="210"/>
      <c r="AG37" s="210"/>
      <c r="AH37" s="211"/>
      <c r="AI37" s="210"/>
      <c r="AJ37" s="210"/>
      <c r="AK37" s="210"/>
      <c r="AL37" s="210"/>
      <c r="AM37" s="226"/>
      <c r="AN37" s="210"/>
      <c r="AO37" s="210"/>
      <c r="AP37" s="210"/>
      <c r="AQ37" s="211"/>
      <c r="AR37" s="210"/>
      <c r="AS37" s="210"/>
      <c r="AT37" s="210"/>
      <c r="AU37" s="210"/>
      <c r="AV37" s="226"/>
      <c r="AW37" s="210"/>
      <c r="AX37" s="210"/>
      <c r="AY37" s="211"/>
      <c r="AZ37" s="210"/>
      <c r="BA37" s="210"/>
      <c r="BB37" s="210"/>
      <c r="BC37" s="210"/>
      <c r="BD37" s="210"/>
      <c r="BE37" s="226"/>
      <c r="BF37" s="210"/>
      <c r="BG37" s="210"/>
      <c r="BH37" s="211"/>
      <c r="BI37" s="210"/>
      <c r="BJ37" s="284"/>
      <c r="BK37" s="290"/>
      <c r="BM37" s="345"/>
      <c r="BN37" s="346"/>
    </row>
    <row r="38" spans="1:69" ht="18" customHeight="1">
      <c r="B38" s="227" t="s">
        <v>246</v>
      </c>
      <c r="C38" s="279" t="s">
        <v>157</v>
      </c>
      <c r="D38" s="262"/>
      <c r="E38" s="263"/>
      <c r="F38" s="252"/>
      <c r="G38" s="262"/>
      <c r="H38" s="226"/>
      <c r="I38" s="210"/>
      <c r="J38" s="210"/>
      <c r="K38" s="210"/>
      <c r="L38" s="210"/>
      <c r="M38" s="226"/>
      <c r="N38" s="210"/>
      <c r="O38" s="210"/>
      <c r="P38" s="211"/>
      <c r="Q38" s="210"/>
      <c r="R38" s="210"/>
      <c r="S38" s="210"/>
      <c r="T38" s="210"/>
      <c r="U38" s="210"/>
      <c r="V38" s="226"/>
      <c r="W38" s="210"/>
      <c r="X38" s="210"/>
      <c r="Y38" s="211"/>
      <c r="Z38" s="210"/>
      <c r="AA38" s="210"/>
      <c r="AB38" s="210"/>
      <c r="AC38" s="210"/>
      <c r="AD38" s="210"/>
      <c r="AE38" s="226"/>
      <c r="AF38" s="210"/>
      <c r="AG38" s="210"/>
      <c r="AH38" s="211"/>
      <c r="AI38" s="210"/>
      <c r="AJ38" s="210"/>
      <c r="AK38" s="210"/>
      <c r="AL38" s="210"/>
      <c r="AM38" s="226"/>
      <c r="AN38" s="210"/>
      <c r="AO38" s="210"/>
      <c r="AP38" s="210"/>
      <c r="AQ38" s="211"/>
      <c r="AR38" s="210"/>
      <c r="AS38" s="210"/>
      <c r="AT38" s="210"/>
      <c r="AU38" s="210"/>
      <c r="AV38" s="226"/>
      <c r="AW38" s="210"/>
      <c r="AX38" s="210"/>
      <c r="AY38" s="211"/>
      <c r="AZ38" s="210"/>
      <c r="BA38" s="210"/>
      <c r="BB38" s="210"/>
      <c r="BC38" s="210"/>
      <c r="BD38" s="210"/>
      <c r="BE38" s="226"/>
      <c r="BF38" s="210"/>
      <c r="BG38" s="210"/>
      <c r="BH38" s="211"/>
      <c r="BI38" s="210"/>
      <c r="BJ38" s="284"/>
      <c r="BK38" s="290"/>
      <c r="BM38" s="345"/>
      <c r="BN38" s="346"/>
    </row>
    <row r="39" spans="1:69" ht="18" customHeight="1">
      <c r="B39" s="227" t="s">
        <v>246</v>
      </c>
      <c r="C39" s="279" t="s">
        <v>157</v>
      </c>
      <c r="D39" s="248"/>
      <c r="E39" s="251"/>
      <c r="F39" s="252"/>
      <c r="G39" s="248"/>
      <c r="H39" s="232"/>
      <c r="I39" s="210"/>
      <c r="J39" s="210"/>
      <c r="K39" s="210"/>
      <c r="L39" s="210"/>
      <c r="M39" s="232"/>
      <c r="N39" s="210"/>
      <c r="O39" s="210"/>
      <c r="P39" s="211"/>
      <c r="Q39" s="210"/>
      <c r="R39" s="210"/>
      <c r="S39" s="210"/>
      <c r="T39" s="210"/>
      <c r="U39" s="210"/>
      <c r="V39" s="232"/>
      <c r="W39" s="210"/>
      <c r="X39" s="210"/>
      <c r="Y39" s="211"/>
      <c r="Z39" s="210"/>
      <c r="AA39" s="210"/>
      <c r="AB39" s="210"/>
      <c r="AC39" s="210"/>
      <c r="AD39" s="210"/>
      <c r="AE39" s="232"/>
      <c r="AF39" s="210"/>
      <c r="AG39" s="210"/>
      <c r="AH39" s="211"/>
      <c r="AI39" s="210"/>
      <c r="AJ39" s="210"/>
      <c r="AK39" s="210"/>
      <c r="AL39" s="210"/>
      <c r="AM39" s="232"/>
      <c r="AN39" s="210"/>
      <c r="AO39" s="210"/>
      <c r="AP39" s="210"/>
      <c r="AQ39" s="211"/>
      <c r="AR39" s="210"/>
      <c r="AS39" s="210"/>
      <c r="AT39" s="210"/>
      <c r="AU39" s="210"/>
      <c r="AV39" s="232"/>
      <c r="AW39" s="210"/>
      <c r="AX39" s="210"/>
      <c r="AY39" s="211"/>
      <c r="AZ39" s="210"/>
      <c r="BA39" s="210"/>
      <c r="BB39" s="210"/>
      <c r="BC39" s="210"/>
      <c r="BD39" s="210"/>
      <c r="BE39" s="232"/>
      <c r="BF39" s="210"/>
      <c r="BG39" s="210"/>
      <c r="BH39" s="211"/>
      <c r="BI39" s="210"/>
      <c r="BJ39" s="233"/>
      <c r="BK39" s="290"/>
      <c r="BM39" s="345"/>
      <c r="BN39" s="346"/>
    </row>
    <row r="40" spans="1:69" s="230" customFormat="1" ht="18" customHeight="1" thickBot="1">
      <c r="A40" s="227"/>
      <c r="B40" s="227" t="s">
        <v>246</v>
      </c>
      <c r="C40" s="279" t="s">
        <v>157</v>
      </c>
      <c r="D40" s="248"/>
      <c r="E40" s="251"/>
      <c r="F40" s="252"/>
      <c r="G40" s="248"/>
      <c r="H40" s="232"/>
      <c r="I40" s="210"/>
      <c r="J40" s="210"/>
      <c r="K40" s="210"/>
      <c r="L40" s="210"/>
      <c r="M40" s="232"/>
      <c r="N40" s="210"/>
      <c r="O40" s="210"/>
      <c r="P40" s="211"/>
      <c r="Q40" s="210"/>
      <c r="R40" s="210"/>
      <c r="S40" s="210"/>
      <c r="T40" s="210"/>
      <c r="U40" s="210"/>
      <c r="V40" s="232"/>
      <c r="W40" s="210"/>
      <c r="X40" s="210"/>
      <c r="Y40" s="211"/>
      <c r="Z40" s="210"/>
      <c r="AA40" s="210"/>
      <c r="AB40" s="210"/>
      <c r="AC40" s="210"/>
      <c r="AD40" s="210"/>
      <c r="AE40" s="232"/>
      <c r="AF40" s="210"/>
      <c r="AG40" s="210"/>
      <c r="AH40" s="211"/>
      <c r="AI40" s="210"/>
      <c r="AJ40" s="210"/>
      <c r="AK40" s="210"/>
      <c r="AL40" s="210"/>
      <c r="AM40" s="232"/>
      <c r="AN40" s="210"/>
      <c r="AO40" s="210"/>
      <c r="AP40" s="210"/>
      <c r="AQ40" s="211"/>
      <c r="AR40" s="210"/>
      <c r="AS40" s="210"/>
      <c r="AT40" s="210"/>
      <c r="AU40" s="210"/>
      <c r="AV40" s="232"/>
      <c r="AW40" s="210"/>
      <c r="AX40" s="210"/>
      <c r="AY40" s="211"/>
      <c r="AZ40" s="210"/>
      <c r="BA40" s="210"/>
      <c r="BB40" s="210"/>
      <c r="BC40" s="210"/>
      <c r="BD40" s="210"/>
      <c r="BE40" s="232"/>
      <c r="BF40" s="210"/>
      <c r="BG40" s="210"/>
      <c r="BH40" s="211"/>
      <c r="BI40" s="210"/>
      <c r="BJ40" s="233"/>
      <c r="BK40" s="290"/>
      <c r="BL40" s="229"/>
      <c r="BM40" s="347"/>
      <c r="BN40" s="348"/>
      <c r="BO40" s="227"/>
      <c r="BP40" s="227"/>
      <c r="BQ40" s="227"/>
    </row>
    <row r="41" spans="1:69" ht="18" customHeight="1" thickBot="1">
      <c r="C41" s="279"/>
      <c r="D41" s="281"/>
      <c r="E41" s="282"/>
      <c r="F41" s="282"/>
      <c r="G41" s="283"/>
      <c r="H41" s="449"/>
      <c r="I41" s="450"/>
      <c r="J41" s="450"/>
      <c r="K41" s="450"/>
      <c r="L41" s="451"/>
      <c r="M41" s="449"/>
      <c r="N41" s="450"/>
      <c r="O41" s="450"/>
      <c r="P41" s="451"/>
      <c r="Q41" s="449"/>
      <c r="R41" s="450"/>
      <c r="S41" s="450"/>
      <c r="T41" s="450"/>
      <c r="U41" s="451"/>
      <c r="V41" s="449"/>
      <c r="W41" s="450"/>
      <c r="X41" s="450"/>
      <c r="Y41" s="451"/>
      <c r="Z41" s="281"/>
      <c r="AA41" s="282"/>
      <c r="AB41" s="282"/>
      <c r="AC41" s="282"/>
      <c r="AD41" s="283"/>
      <c r="AE41" s="281"/>
      <c r="AF41" s="282"/>
      <c r="AG41" s="282"/>
      <c r="AH41" s="283"/>
      <c r="AI41" s="281"/>
      <c r="AJ41" s="282"/>
      <c r="AK41" s="282"/>
      <c r="AL41" s="283"/>
      <c r="AM41" s="281"/>
      <c r="AN41" s="282"/>
      <c r="AO41" s="282"/>
      <c r="AP41" s="282"/>
      <c r="AQ41" s="283"/>
      <c r="AR41" s="281"/>
      <c r="AS41" s="282"/>
      <c r="AT41" s="282"/>
      <c r="AU41" s="283"/>
      <c r="AV41" s="281"/>
      <c r="AW41" s="282"/>
      <c r="AX41" s="282"/>
      <c r="AY41" s="283"/>
      <c r="AZ41" s="281"/>
      <c r="BA41" s="282"/>
      <c r="BB41" s="282"/>
      <c r="BC41" s="282"/>
      <c r="BD41" s="283"/>
      <c r="BE41" s="281"/>
      <c r="BF41" s="282"/>
      <c r="BG41" s="282"/>
      <c r="BH41" s="283"/>
      <c r="BI41" s="283"/>
      <c r="BJ41" s="376"/>
      <c r="BK41" s="378">
        <v>0</v>
      </c>
      <c r="BL41" s="247">
        <v>0</v>
      </c>
      <c r="BM41" s="447"/>
      <c r="BN41" s="448"/>
    </row>
    <row r="42" spans="1:69" ht="18" customHeight="1" thickBot="1">
      <c r="C42" s="279"/>
      <c r="D42" s="481" t="s">
        <v>46</v>
      </c>
      <c r="E42" s="482"/>
      <c r="F42" s="483"/>
      <c r="G42" s="482"/>
      <c r="H42" s="320"/>
      <c r="I42" s="326"/>
      <c r="J42" s="326"/>
      <c r="K42" s="326"/>
      <c r="L42" s="327"/>
      <c r="M42" s="328"/>
      <c r="N42" s="324"/>
      <c r="O42" s="324"/>
      <c r="P42" s="325"/>
      <c r="Q42" s="320"/>
      <c r="R42" s="326"/>
      <c r="S42" s="326"/>
      <c r="T42" s="326"/>
      <c r="U42" s="327"/>
      <c r="V42" s="324"/>
      <c r="W42" s="324"/>
      <c r="X42" s="324"/>
      <c r="Y42" s="324"/>
      <c r="Z42" s="328"/>
      <c r="AA42" s="326"/>
      <c r="AB42" s="326"/>
      <c r="AC42" s="326"/>
      <c r="AD42" s="327"/>
      <c r="AE42" s="324"/>
      <c r="AF42" s="324"/>
      <c r="AG42" s="324"/>
      <c r="AH42" s="324"/>
      <c r="AI42" s="328"/>
      <c r="AJ42" s="326"/>
      <c r="AK42" s="326"/>
      <c r="AL42" s="327"/>
      <c r="AM42" s="326"/>
      <c r="AN42" s="324"/>
      <c r="AO42" s="324"/>
      <c r="AP42" s="324"/>
      <c r="AQ42" s="324"/>
      <c r="AR42" s="328"/>
      <c r="AS42" s="326"/>
      <c r="AT42" s="326"/>
      <c r="AU42" s="327"/>
      <c r="AV42" s="324"/>
      <c r="AW42" s="324"/>
      <c r="AX42" s="324"/>
      <c r="AY42" s="324"/>
      <c r="AZ42" s="320"/>
      <c r="BA42" s="326"/>
      <c r="BB42" s="326"/>
      <c r="BC42" s="326"/>
      <c r="BD42" s="327"/>
      <c r="BE42" s="324"/>
      <c r="BF42" s="324"/>
      <c r="BG42" s="324"/>
      <c r="BH42" s="324"/>
      <c r="BI42" s="457"/>
      <c r="BJ42" s="453"/>
      <c r="BK42" s="458"/>
      <c r="BL42" s="231"/>
      <c r="BM42" s="382" t="s">
        <v>258</v>
      </c>
      <c r="BN42" s="351" t="s">
        <v>259</v>
      </c>
      <c r="BO42" s="230"/>
      <c r="BP42" s="230"/>
      <c r="BQ42" s="230"/>
    </row>
    <row r="43" spans="1:69" ht="18" customHeight="1">
      <c r="B43" s="227" t="s">
        <v>246</v>
      </c>
      <c r="C43" s="279" t="s">
        <v>157</v>
      </c>
      <c r="D43" s="248"/>
      <c r="E43" s="249"/>
      <c r="F43" s="252"/>
      <c r="G43" s="253"/>
      <c r="H43" s="216"/>
      <c r="I43" s="218"/>
      <c r="J43" s="218"/>
      <c r="K43" s="218"/>
      <c r="L43" s="218"/>
      <c r="M43" s="216"/>
      <c r="N43" s="218"/>
      <c r="O43" s="218"/>
      <c r="P43" s="217"/>
      <c r="Q43" s="218"/>
      <c r="R43" s="218"/>
      <c r="S43" s="218"/>
      <c r="T43" s="218"/>
      <c r="U43" s="218"/>
      <c r="V43" s="216"/>
      <c r="W43" s="218"/>
      <c r="X43" s="218"/>
      <c r="Y43" s="217"/>
      <c r="Z43" s="218"/>
      <c r="AA43" s="218"/>
      <c r="AB43" s="218"/>
      <c r="AC43" s="218"/>
      <c r="AD43" s="218"/>
      <c r="AE43" s="216"/>
      <c r="AF43" s="218"/>
      <c r="AG43" s="218"/>
      <c r="AH43" s="217"/>
      <c r="AI43" s="218"/>
      <c r="AJ43" s="218"/>
      <c r="AK43" s="218"/>
      <c r="AL43" s="218"/>
      <c r="AM43" s="216"/>
      <c r="AN43" s="218"/>
      <c r="AO43" s="218"/>
      <c r="AP43" s="218"/>
      <c r="AQ43" s="217"/>
      <c r="AR43" s="218"/>
      <c r="AS43" s="218"/>
      <c r="AT43" s="218"/>
      <c r="AU43" s="218"/>
      <c r="AV43" s="216"/>
      <c r="AW43" s="218"/>
      <c r="AX43" s="218"/>
      <c r="AY43" s="217"/>
      <c r="AZ43" s="218"/>
      <c r="BA43" s="218"/>
      <c r="BB43" s="218"/>
      <c r="BC43" s="218"/>
      <c r="BD43" s="218"/>
      <c r="BE43" s="216"/>
      <c r="BF43" s="218"/>
      <c r="BG43" s="218"/>
      <c r="BH43" s="217"/>
      <c r="BI43" s="210"/>
      <c r="BJ43" s="212"/>
      <c r="BK43" s="290"/>
      <c r="BM43" s="349"/>
      <c r="BN43" s="344"/>
    </row>
    <row r="44" spans="1:69" ht="18" customHeight="1">
      <c r="B44" s="227" t="s">
        <v>246</v>
      </c>
      <c r="C44" s="279" t="s">
        <v>157</v>
      </c>
      <c r="D44" s="262"/>
      <c r="E44" s="263"/>
      <c r="F44" s="252"/>
      <c r="G44" s="262"/>
      <c r="H44" s="226"/>
      <c r="I44" s="210"/>
      <c r="J44" s="210"/>
      <c r="K44" s="210"/>
      <c r="L44" s="210"/>
      <c r="M44" s="226"/>
      <c r="N44" s="210"/>
      <c r="O44" s="210"/>
      <c r="P44" s="211"/>
      <c r="Q44" s="210"/>
      <c r="R44" s="210"/>
      <c r="S44" s="210"/>
      <c r="T44" s="210"/>
      <c r="U44" s="210"/>
      <c r="V44" s="226"/>
      <c r="W44" s="210"/>
      <c r="X44" s="210"/>
      <c r="Y44" s="211"/>
      <c r="Z44" s="210"/>
      <c r="AA44" s="210"/>
      <c r="AB44" s="210"/>
      <c r="AC44" s="210"/>
      <c r="AD44" s="210"/>
      <c r="AE44" s="226"/>
      <c r="AF44" s="210"/>
      <c r="AG44" s="210"/>
      <c r="AH44" s="211"/>
      <c r="AI44" s="210"/>
      <c r="AJ44" s="210"/>
      <c r="AK44" s="210"/>
      <c r="AL44" s="210"/>
      <c r="AM44" s="226"/>
      <c r="AN44" s="210"/>
      <c r="AO44" s="210"/>
      <c r="AP44" s="210"/>
      <c r="AQ44" s="211"/>
      <c r="AR44" s="210"/>
      <c r="AS44" s="210"/>
      <c r="AT44" s="210"/>
      <c r="AU44" s="210"/>
      <c r="AV44" s="226"/>
      <c r="AW44" s="210"/>
      <c r="AX44" s="210"/>
      <c r="AY44" s="211"/>
      <c r="AZ44" s="210"/>
      <c r="BA44" s="210"/>
      <c r="BB44" s="210"/>
      <c r="BC44" s="210"/>
      <c r="BD44" s="210"/>
      <c r="BE44" s="226"/>
      <c r="BF44" s="210"/>
      <c r="BG44" s="210"/>
      <c r="BH44" s="211"/>
      <c r="BI44" s="210"/>
      <c r="BJ44" s="284"/>
      <c r="BK44" s="290"/>
      <c r="BM44" s="345"/>
      <c r="BN44" s="346"/>
    </row>
    <row r="45" spans="1:69" ht="18" customHeight="1">
      <c r="B45" s="227" t="s">
        <v>246</v>
      </c>
      <c r="C45" s="279" t="s">
        <v>157</v>
      </c>
      <c r="D45" s="262"/>
      <c r="E45" s="263"/>
      <c r="F45" s="252"/>
      <c r="G45" s="262"/>
      <c r="H45" s="226"/>
      <c r="I45" s="210"/>
      <c r="J45" s="210"/>
      <c r="K45" s="210"/>
      <c r="L45" s="210"/>
      <c r="M45" s="226"/>
      <c r="N45" s="210"/>
      <c r="O45" s="210"/>
      <c r="P45" s="211"/>
      <c r="Q45" s="210"/>
      <c r="R45" s="210"/>
      <c r="S45" s="210"/>
      <c r="T45" s="210"/>
      <c r="U45" s="210"/>
      <c r="V45" s="226"/>
      <c r="W45" s="210"/>
      <c r="X45" s="210"/>
      <c r="Y45" s="211"/>
      <c r="Z45" s="210"/>
      <c r="AA45" s="210"/>
      <c r="AB45" s="210"/>
      <c r="AC45" s="210"/>
      <c r="AD45" s="210"/>
      <c r="AE45" s="226"/>
      <c r="AF45" s="210"/>
      <c r="AG45" s="210"/>
      <c r="AH45" s="211"/>
      <c r="AI45" s="210"/>
      <c r="AJ45" s="210"/>
      <c r="AK45" s="210"/>
      <c r="AL45" s="210"/>
      <c r="AM45" s="226"/>
      <c r="AN45" s="210"/>
      <c r="AO45" s="210"/>
      <c r="AP45" s="210"/>
      <c r="AQ45" s="211"/>
      <c r="AR45" s="210"/>
      <c r="AS45" s="210"/>
      <c r="AT45" s="210"/>
      <c r="AU45" s="210"/>
      <c r="AV45" s="226"/>
      <c r="AW45" s="210"/>
      <c r="AX45" s="210"/>
      <c r="AY45" s="211"/>
      <c r="AZ45" s="210"/>
      <c r="BA45" s="210"/>
      <c r="BB45" s="210"/>
      <c r="BC45" s="210"/>
      <c r="BD45" s="210"/>
      <c r="BE45" s="226"/>
      <c r="BF45" s="210"/>
      <c r="BG45" s="210"/>
      <c r="BH45" s="211"/>
      <c r="BI45" s="210"/>
      <c r="BJ45" s="284"/>
      <c r="BK45" s="290"/>
      <c r="BM45" s="345"/>
      <c r="BN45" s="346"/>
    </row>
    <row r="46" spans="1:69" ht="18" customHeight="1">
      <c r="B46" s="227" t="s">
        <v>246</v>
      </c>
      <c r="C46" s="279" t="s">
        <v>157</v>
      </c>
      <c r="D46" s="248"/>
      <c r="E46" s="251"/>
      <c r="F46" s="252"/>
      <c r="G46" s="248"/>
      <c r="H46" s="232"/>
      <c r="I46" s="210"/>
      <c r="J46" s="210"/>
      <c r="K46" s="210"/>
      <c r="L46" s="210"/>
      <c r="M46" s="232"/>
      <c r="N46" s="210"/>
      <c r="O46" s="210"/>
      <c r="P46" s="211"/>
      <c r="Q46" s="210"/>
      <c r="R46" s="210"/>
      <c r="S46" s="210"/>
      <c r="T46" s="210"/>
      <c r="U46" s="210"/>
      <c r="V46" s="232"/>
      <c r="W46" s="210"/>
      <c r="X46" s="210"/>
      <c r="Y46" s="211"/>
      <c r="Z46" s="210"/>
      <c r="AA46" s="210"/>
      <c r="AB46" s="210"/>
      <c r="AC46" s="210"/>
      <c r="AD46" s="210"/>
      <c r="AE46" s="232"/>
      <c r="AF46" s="210"/>
      <c r="AG46" s="210"/>
      <c r="AH46" s="211"/>
      <c r="AI46" s="210"/>
      <c r="AJ46" s="210"/>
      <c r="AK46" s="210"/>
      <c r="AL46" s="210"/>
      <c r="AM46" s="232"/>
      <c r="AN46" s="210"/>
      <c r="AO46" s="210"/>
      <c r="AP46" s="210"/>
      <c r="AQ46" s="211"/>
      <c r="AR46" s="210"/>
      <c r="AS46" s="210"/>
      <c r="AT46" s="210"/>
      <c r="AU46" s="210"/>
      <c r="AV46" s="232"/>
      <c r="AW46" s="210"/>
      <c r="AX46" s="210"/>
      <c r="AY46" s="211"/>
      <c r="AZ46" s="210"/>
      <c r="BA46" s="210"/>
      <c r="BB46" s="210"/>
      <c r="BC46" s="210"/>
      <c r="BD46" s="210"/>
      <c r="BE46" s="232"/>
      <c r="BF46" s="210"/>
      <c r="BG46" s="210"/>
      <c r="BH46" s="211"/>
      <c r="BI46" s="210"/>
      <c r="BJ46" s="233"/>
      <c r="BK46" s="290"/>
      <c r="BM46" s="345"/>
      <c r="BN46" s="346"/>
    </row>
    <row r="47" spans="1:69" s="230" customFormat="1" ht="18" customHeight="1" thickBot="1">
      <c r="A47" s="227"/>
      <c r="B47" s="227" t="s">
        <v>246</v>
      </c>
      <c r="C47" s="279" t="s">
        <v>157</v>
      </c>
      <c r="D47" s="248"/>
      <c r="E47" s="251"/>
      <c r="F47" s="252"/>
      <c r="G47" s="248"/>
      <c r="H47" s="232"/>
      <c r="I47" s="210"/>
      <c r="J47" s="210"/>
      <c r="K47" s="210"/>
      <c r="L47" s="210"/>
      <c r="M47" s="232"/>
      <c r="N47" s="210"/>
      <c r="O47" s="210"/>
      <c r="P47" s="211"/>
      <c r="Q47" s="210"/>
      <c r="R47" s="210"/>
      <c r="S47" s="210"/>
      <c r="T47" s="210"/>
      <c r="U47" s="210"/>
      <c r="V47" s="232"/>
      <c r="W47" s="210"/>
      <c r="X47" s="210"/>
      <c r="Y47" s="211"/>
      <c r="Z47" s="210"/>
      <c r="AA47" s="210"/>
      <c r="AB47" s="210"/>
      <c r="AC47" s="210"/>
      <c r="AD47" s="210"/>
      <c r="AE47" s="232"/>
      <c r="AF47" s="210"/>
      <c r="AG47" s="210"/>
      <c r="AH47" s="211"/>
      <c r="AI47" s="210"/>
      <c r="AJ47" s="210"/>
      <c r="AK47" s="210"/>
      <c r="AL47" s="210"/>
      <c r="AM47" s="232"/>
      <c r="AN47" s="210"/>
      <c r="AO47" s="210"/>
      <c r="AP47" s="210"/>
      <c r="AQ47" s="211"/>
      <c r="AR47" s="210"/>
      <c r="AS47" s="210"/>
      <c r="AT47" s="210"/>
      <c r="AU47" s="210"/>
      <c r="AV47" s="232"/>
      <c r="AW47" s="210"/>
      <c r="AX47" s="210"/>
      <c r="AY47" s="211"/>
      <c r="AZ47" s="210"/>
      <c r="BA47" s="210"/>
      <c r="BB47" s="210"/>
      <c r="BC47" s="210"/>
      <c r="BD47" s="210"/>
      <c r="BE47" s="232"/>
      <c r="BF47" s="210"/>
      <c r="BG47" s="210"/>
      <c r="BH47" s="211"/>
      <c r="BI47" s="210"/>
      <c r="BJ47" s="233"/>
      <c r="BK47" s="290"/>
      <c r="BL47" s="229"/>
      <c r="BM47" s="347"/>
      <c r="BN47" s="348"/>
      <c r="BO47" s="227"/>
      <c r="BP47" s="227"/>
      <c r="BQ47" s="227"/>
    </row>
    <row r="48" spans="1:69" ht="18" customHeight="1" thickBot="1">
      <c r="C48" s="279"/>
      <c r="D48" s="281"/>
      <c r="E48" s="282"/>
      <c r="F48" s="282"/>
      <c r="G48" s="283"/>
      <c r="H48" s="449"/>
      <c r="I48" s="450"/>
      <c r="J48" s="450"/>
      <c r="K48" s="450"/>
      <c r="L48" s="451"/>
      <c r="M48" s="449"/>
      <c r="N48" s="450"/>
      <c r="O48" s="450"/>
      <c r="P48" s="451"/>
      <c r="Q48" s="449"/>
      <c r="R48" s="450"/>
      <c r="S48" s="450"/>
      <c r="T48" s="450"/>
      <c r="U48" s="451"/>
      <c r="V48" s="449"/>
      <c r="W48" s="450"/>
      <c r="X48" s="450"/>
      <c r="Y48" s="451"/>
      <c r="Z48" s="281"/>
      <c r="AA48" s="282"/>
      <c r="AB48" s="282"/>
      <c r="AC48" s="282"/>
      <c r="AD48" s="283"/>
      <c r="AE48" s="281"/>
      <c r="AF48" s="282"/>
      <c r="AG48" s="282"/>
      <c r="AH48" s="283"/>
      <c r="AI48" s="281"/>
      <c r="AJ48" s="282"/>
      <c r="AK48" s="282"/>
      <c r="AL48" s="283"/>
      <c r="AM48" s="281"/>
      <c r="AN48" s="282"/>
      <c r="AO48" s="282"/>
      <c r="AP48" s="282"/>
      <c r="AQ48" s="283"/>
      <c r="AR48" s="281"/>
      <c r="AS48" s="282"/>
      <c r="AT48" s="282"/>
      <c r="AU48" s="283"/>
      <c r="AV48" s="281"/>
      <c r="AW48" s="282"/>
      <c r="AX48" s="282"/>
      <c r="AY48" s="283"/>
      <c r="AZ48" s="281"/>
      <c r="BA48" s="282"/>
      <c r="BB48" s="282"/>
      <c r="BC48" s="282"/>
      <c r="BD48" s="283"/>
      <c r="BE48" s="281"/>
      <c r="BF48" s="282"/>
      <c r="BG48" s="282"/>
      <c r="BH48" s="283"/>
      <c r="BI48" s="283"/>
      <c r="BJ48" s="376"/>
      <c r="BK48" s="378">
        <v>0</v>
      </c>
      <c r="BL48" s="247">
        <v>0</v>
      </c>
      <c r="BM48" s="447"/>
      <c r="BN48" s="448"/>
    </row>
    <row r="49" spans="1:69" ht="18" customHeight="1" thickBot="1">
      <c r="C49" s="279"/>
      <c r="D49" s="481" t="s">
        <v>134</v>
      </c>
      <c r="E49" s="482"/>
      <c r="F49" s="483"/>
      <c r="G49" s="482"/>
      <c r="H49" s="320"/>
      <c r="I49" s="326"/>
      <c r="J49" s="326"/>
      <c r="K49" s="326"/>
      <c r="L49" s="327"/>
      <c r="M49" s="328"/>
      <c r="N49" s="324"/>
      <c r="O49" s="324"/>
      <c r="P49" s="325"/>
      <c r="Q49" s="320"/>
      <c r="R49" s="326"/>
      <c r="S49" s="326"/>
      <c r="T49" s="326"/>
      <c r="U49" s="327"/>
      <c r="V49" s="324"/>
      <c r="W49" s="324"/>
      <c r="X49" s="324"/>
      <c r="Y49" s="324"/>
      <c r="Z49" s="328"/>
      <c r="AA49" s="326"/>
      <c r="AB49" s="326"/>
      <c r="AC49" s="326"/>
      <c r="AD49" s="327"/>
      <c r="AE49" s="324"/>
      <c r="AF49" s="324"/>
      <c r="AG49" s="324"/>
      <c r="AH49" s="324"/>
      <c r="AI49" s="328"/>
      <c r="AJ49" s="326"/>
      <c r="AK49" s="326"/>
      <c r="AL49" s="327"/>
      <c r="AM49" s="326"/>
      <c r="AN49" s="324"/>
      <c r="AO49" s="324"/>
      <c r="AP49" s="324"/>
      <c r="AQ49" s="324"/>
      <c r="AR49" s="328"/>
      <c r="AS49" s="326"/>
      <c r="AT49" s="326"/>
      <c r="AU49" s="327"/>
      <c r="AV49" s="324"/>
      <c r="AW49" s="324"/>
      <c r="AX49" s="324"/>
      <c r="AY49" s="324"/>
      <c r="AZ49" s="320"/>
      <c r="BA49" s="326"/>
      <c r="BB49" s="326"/>
      <c r="BC49" s="326"/>
      <c r="BD49" s="327"/>
      <c r="BE49" s="324"/>
      <c r="BF49" s="324"/>
      <c r="BG49" s="324"/>
      <c r="BH49" s="324"/>
      <c r="BI49" s="457"/>
      <c r="BJ49" s="453"/>
      <c r="BK49" s="458"/>
      <c r="BL49" s="231"/>
      <c r="BM49" s="382" t="s">
        <v>258</v>
      </c>
      <c r="BN49" s="351" t="s">
        <v>259</v>
      </c>
      <c r="BO49" s="230"/>
      <c r="BP49" s="230"/>
      <c r="BQ49" s="230"/>
    </row>
    <row r="50" spans="1:69" ht="18" customHeight="1">
      <c r="B50" s="227" t="s">
        <v>246</v>
      </c>
      <c r="C50" s="279" t="s">
        <v>157</v>
      </c>
      <c r="D50" s="248"/>
      <c r="E50" s="249"/>
      <c r="F50" s="252"/>
      <c r="G50" s="253"/>
      <c r="H50" s="216"/>
      <c r="I50" s="218"/>
      <c r="J50" s="218"/>
      <c r="K50" s="218"/>
      <c r="L50" s="218"/>
      <c r="M50" s="216"/>
      <c r="N50" s="218"/>
      <c r="O50" s="218"/>
      <c r="P50" s="217"/>
      <c r="Q50" s="218"/>
      <c r="R50" s="218"/>
      <c r="S50" s="218"/>
      <c r="T50" s="218"/>
      <c r="U50" s="218"/>
      <c r="V50" s="216"/>
      <c r="W50" s="218"/>
      <c r="X50" s="218"/>
      <c r="Y50" s="217"/>
      <c r="Z50" s="218"/>
      <c r="AA50" s="218"/>
      <c r="AB50" s="218"/>
      <c r="AC50" s="218"/>
      <c r="AD50" s="218"/>
      <c r="AE50" s="216"/>
      <c r="AF50" s="218"/>
      <c r="AG50" s="218"/>
      <c r="AH50" s="217"/>
      <c r="AI50" s="218"/>
      <c r="AJ50" s="218"/>
      <c r="AK50" s="218"/>
      <c r="AL50" s="218"/>
      <c r="AM50" s="216"/>
      <c r="AN50" s="218"/>
      <c r="AO50" s="218"/>
      <c r="AP50" s="218"/>
      <c r="AQ50" s="217"/>
      <c r="AR50" s="218"/>
      <c r="AS50" s="218"/>
      <c r="AT50" s="218"/>
      <c r="AU50" s="218"/>
      <c r="AV50" s="216"/>
      <c r="AW50" s="218"/>
      <c r="AX50" s="218"/>
      <c r="AY50" s="217"/>
      <c r="AZ50" s="218"/>
      <c r="BA50" s="218"/>
      <c r="BB50" s="218"/>
      <c r="BC50" s="218"/>
      <c r="BD50" s="218"/>
      <c r="BE50" s="216"/>
      <c r="BF50" s="218"/>
      <c r="BG50" s="218"/>
      <c r="BH50" s="217"/>
      <c r="BI50" s="210"/>
      <c r="BJ50" s="212"/>
      <c r="BK50" s="290"/>
      <c r="BM50" s="349"/>
      <c r="BN50" s="344"/>
    </row>
    <row r="51" spans="1:69" ht="18" customHeight="1">
      <c r="B51" s="227" t="s">
        <v>246</v>
      </c>
      <c r="C51" s="279" t="s">
        <v>157</v>
      </c>
      <c r="D51" s="262"/>
      <c r="E51" s="263"/>
      <c r="F51" s="252"/>
      <c r="G51" s="262"/>
      <c r="H51" s="226"/>
      <c r="I51" s="210"/>
      <c r="J51" s="210"/>
      <c r="K51" s="210"/>
      <c r="L51" s="210"/>
      <c r="M51" s="226"/>
      <c r="N51" s="210"/>
      <c r="O51" s="210"/>
      <c r="P51" s="211"/>
      <c r="Q51" s="210"/>
      <c r="R51" s="210"/>
      <c r="S51" s="210"/>
      <c r="T51" s="210"/>
      <c r="U51" s="210"/>
      <c r="V51" s="226"/>
      <c r="W51" s="210"/>
      <c r="X51" s="210"/>
      <c r="Y51" s="211"/>
      <c r="Z51" s="210"/>
      <c r="AA51" s="210"/>
      <c r="AB51" s="210"/>
      <c r="AC51" s="210"/>
      <c r="AD51" s="210"/>
      <c r="AE51" s="226"/>
      <c r="AF51" s="210"/>
      <c r="AG51" s="210"/>
      <c r="AH51" s="211"/>
      <c r="AI51" s="210"/>
      <c r="AJ51" s="210"/>
      <c r="AK51" s="210"/>
      <c r="AL51" s="210"/>
      <c r="AM51" s="226"/>
      <c r="AN51" s="210"/>
      <c r="AO51" s="210"/>
      <c r="AP51" s="210"/>
      <c r="AQ51" s="211"/>
      <c r="AR51" s="210"/>
      <c r="AS51" s="210"/>
      <c r="AT51" s="210"/>
      <c r="AU51" s="210"/>
      <c r="AV51" s="226"/>
      <c r="AW51" s="210"/>
      <c r="AX51" s="210"/>
      <c r="AY51" s="211"/>
      <c r="AZ51" s="210"/>
      <c r="BA51" s="210"/>
      <c r="BB51" s="210"/>
      <c r="BC51" s="210"/>
      <c r="BD51" s="210"/>
      <c r="BE51" s="226"/>
      <c r="BF51" s="210"/>
      <c r="BG51" s="210"/>
      <c r="BH51" s="211"/>
      <c r="BI51" s="210"/>
      <c r="BJ51" s="284"/>
      <c r="BK51" s="290"/>
      <c r="BM51" s="345"/>
      <c r="BN51" s="346"/>
    </row>
    <row r="52" spans="1:69" ht="18" customHeight="1">
      <c r="B52" s="227" t="s">
        <v>246</v>
      </c>
      <c r="C52" s="279" t="s">
        <v>157</v>
      </c>
      <c r="D52" s="262"/>
      <c r="E52" s="263"/>
      <c r="F52" s="252"/>
      <c r="G52" s="262"/>
      <c r="H52" s="226"/>
      <c r="I52" s="210"/>
      <c r="J52" s="210"/>
      <c r="K52" s="210"/>
      <c r="L52" s="210"/>
      <c r="M52" s="226"/>
      <c r="N52" s="210"/>
      <c r="O52" s="210"/>
      <c r="P52" s="211"/>
      <c r="Q52" s="210"/>
      <c r="R52" s="210"/>
      <c r="S52" s="210"/>
      <c r="T52" s="210"/>
      <c r="U52" s="210"/>
      <c r="V52" s="226"/>
      <c r="W52" s="210"/>
      <c r="X52" s="210"/>
      <c r="Y52" s="211"/>
      <c r="Z52" s="210"/>
      <c r="AA52" s="210"/>
      <c r="AB52" s="210"/>
      <c r="AC52" s="210"/>
      <c r="AD52" s="210"/>
      <c r="AE52" s="226"/>
      <c r="AF52" s="210"/>
      <c r="AG52" s="210"/>
      <c r="AH52" s="211"/>
      <c r="AI52" s="210"/>
      <c r="AJ52" s="210"/>
      <c r="AK52" s="210"/>
      <c r="AL52" s="210"/>
      <c r="AM52" s="226"/>
      <c r="AN52" s="210"/>
      <c r="AO52" s="210"/>
      <c r="AP52" s="210"/>
      <c r="AQ52" s="211"/>
      <c r="AR52" s="210"/>
      <c r="AS52" s="210"/>
      <c r="AT52" s="210"/>
      <c r="AU52" s="210"/>
      <c r="AV52" s="226"/>
      <c r="AW52" s="210"/>
      <c r="AX52" s="210"/>
      <c r="AY52" s="211"/>
      <c r="AZ52" s="210"/>
      <c r="BA52" s="210"/>
      <c r="BB52" s="210"/>
      <c r="BC52" s="210"/>
      <c r="BD52" s="210"/>
      <c r="BE52" s="226"/>
      <c r="BF52" s="210"/>
      <c r="BG52" s="210"/>
      <c r="BH52" s="211"/>
      <c r="BI52" s="210"/>
      <c r="BJ52" s="284"/>
      <c r="BK52" s="290"/>
      <c r="BM52" s="345"/>
      <c r="BN52" s="346"/>
    </row>
    <row r="53" spans="1:69" ht="18" customHeight="1">
      <c r="B53" s="227" t="s">
        <v>246</v>
      </c>
      <c r="C53" s="279" t="s">
        <v>157</v>
      </c>
      <c r="D53" s="248"/>
      <c r="E53" s="251"/>
      <c r="F53" s="252"/>
      <c r="G53" s="248"/>
      <c r="H53" s="232"/>
      <c r="I53" s="210"/>
      <c r="J53" s="210"/>
      <c r="K53" s="210"/>
      <c r="L53" s="210"/>
      <c r="M53" s="232"/>
      <c r="N53" s="210"/>
      <c r="O53" s="210"/>
      <c r="P53" s="211"/>
      <c r="Q53" s="210"/>
      <c r="R53" s="210"/>
      <c r="S53" s="210"/>
      <c r="T53" s="210"/>
      <c r="U53" s="210"/>
      <c r="V53" s="232"/>
      <c r="W53" s="210"/>
      <c r="X53" s="210"/>
      <c r="Y53" s="211"/>
      <c r="Z53" s="210"/>
      <c r="AA53" s="210"/>
      <c r="AB53" s="210"/>
      <c r="AC53" s="210"/>
      <c r="AD53" s="210"/>
      <c r="AE53" s="232"/>
      <c r="AF53" s="210"/>
      <c r="AG53" s="210"/>
      <c r="AH53" s="211"/>
      <c r="AI53" s="210"/>
      <c r="AJ53" s="210"/>
      <c r="AK53" s="210"/>
      <c r="AL53" s="210"/>
      <c r="AM53" s="232"/>
      <c r="AN53" s="210"/>
      <c r="AO53" s="210"/>
      <c r="AP53" s="210"/>
      <c r="AQ53" s="211"/>
      <c r="AR53" s="210"/>
      <c r="AS53" s="210"/>
      <c r="AT53" s="210"/>
      <c r="AU53" s="210"/>
      <c r="AV53" s="232"/>
      <c r="AW53" s="210"/>
      <c r="AX53" s="210"/>
      <c r="AY53" s="211"/>
      <c r="AZ53" s="210"/>
      <c r="BA53" s="210"/>
      <c r="BB53" s="210"/>
      <c r="BC53" s="210"/>
      <c r="BD53" s="210"/>
      <c r="BE53" s="232"/>
      <c r="BF53" s="210"/>
      <c r="BG53" s="210"/>
      <c r="BH53" s="211"/>
      <c r="BI53" s="210"/>
      <c r="BJ53" s="233"/>
      <c r="BK53" s="290"/>
      <c r="BM53" s="345"/>
      <c r="BN53" s="346"/>
    </row>
    <row r="54" spans="1:69" s="230" customFormat="1" ht="18" customHeight="1" thickBot="1">
      <c r="A54" s="227"/>
      <c r="B54" s="227" t="s">
        <v>246</v>
      </c>
      <c r="C54" s="279" t="s">
        <v>157</v>
      </c>
      <c r="D54" s="248"/>
      <c r="E54" s="251"/>
      <c r="F54" s="252"/>
      <c r="G54" s="248"/>
      <c r="H54" s="232"/>
      <c r="I54" s="210"/>
      <c r="J54" s="210"/>
      <c r="K54" s="210"/>
      <c r="L54" s="210"/>
      <c r="M54" s="232"/>
      <c r="N54" s="210"/>
      <c r="O54" s="210"/>
      <c r="P54" s="211"/>
      <c r="Q54" s="210"/>
      <c r="R54" s="210"/>
      <c r="S54" s="210"/>
      <c r="T54" s="210"/>
      <c r="U54" s="210"/>
      <c r="V54" s="232"/>
      <c r="W54" s="210"/>
      <c r="X54" s="210"/>
      <c r="Y54" s="211"/>
      <c r="Z54" s="210"/>
      <c r="AA54" s="210"/>
      <c r="AB54" s="210"/>
      <c r="AC54" s="210"/>
      <c r="AD54" s="210"/>
      <c r="AE54" s="232"/>
      <c r="AF54" s="210"/>
      <c r="AG54" s="210"/>
      <c r="AH54" s="211"/>
      <c r="AI54" s="210"/>
      <c r="AJ54" s="210"/>
      <c r="AK54" s="210"/>
      <c r="AL54" s="210"/>
      <c r="AM54" s="232"/>
      <c r="AN54" s="210"/>
      <c r="AO54" s="210"/>
      <c r="AP54" s="210"/>
      <c r="AQ54" s="211"/>
      <c r="AR54" s="210"/>
      <c r="AS54" s="210"/>
      <c r="AT54" s="210"/>
      <c r="AU54" s="210"/>
      <c r="AV54" s="232"/>
      <c r="AW54" s="210"/>
      <c r="AX54" s="210"/>
      <c r="AY54" s="211"/>
      <c r="AZ54" s="210"/>
      <c r="BA54" s="210"/>
      <c r="BB54" s="210"/>
      <c r="BC54" s="210"/>
      <c r="BD54" s="210"/>
      <c r="BE54" s="232"/>
      <c r="BF54" s="210"/>
      <c r="BG54" s="210"/>
      <c r="BH54" s="211"/>
      <c r="BI54" s="210"/>
      <c r="BJ54" s="233"/>
      <c r="BK54" s="290"/>
      <c r="BL54" s="229"/>
      <c r="BM54" s="347"/>
      <c r="BN54" s="348"/>
      <c r="BO54" s="227"/>
      <c r="BP54" s="227"/>
      <c r="BQ54" s="227"/>
    </row>
    <row r="55" spans="1:69" ht="18" customHeight="1" thickBot="1">
      <c r="C55" s="279"/>
      <c r="D55" s="281"/>
      <c r="E55" s="282"/>
      <c r="F55" s="282"/>
      <c r="G55" s="283"/>
      <c r="H55" s="449"/>
      <c r="I55" s="450"/>
      <c r="J55" s="450"/>
      <c r="K55" s="450"/>
      <c r="L55" s="451"/>
      <c r="M55" s="449"/>
      <c r="N55" s="450"/>
      <c r="O55" s="450"/>
      <c r="P55" s="451"/>
      <c r="Q55" s="449"/>
      <c r="R55" s="450"/>
      <c r="S55" s="450"/>
      <c r="T55" s="450"/>
      <c r="U55" s="451"/>
      <c r="V55" s="449"/>
      <c r="W55" s="450"/>
      <c r="X55" s="450"/>
      <c r="Y55" s="451"/>
      <c r="Z55" s="281"/>
      <c r="AA55" s="282"/>
      <c r="AB55" s="282"/>
      <c r="AC55" s="282"/>
      <c r="AD55" s="283"/>
      <c r="AE55" s="281"/>
      <c r="AF55" s="282"/>
      <c r="AG55" s="282"/>
      <c r="AH55" s="283"/>
      <c r="AI55" s="281"/>
      <c r="AJ55" s="282"/>
      <c r="AK55" s="282"/>
      <c r="AL55" s="283"/>
      <c r="AM55" s="281"/>
      <c r="AN55" s="282"/>
      <c r="AO55" s="282"/>
      <c r="AP55" s="282"/>
      <c r="AQ55" s="283"/>
      <c r="AR55" s="281"/>
      <c r="AS55" s="282"/>
      <c r="AT55" s="282"/>
      <c r="AU55" s="283"/>
      <c r="AV55" s="281"/>
      <c r="AW55" s="282"/>
      <c r="AX55" s="282"/>
      <c r="AY55" s="283"/>
      <c r="AZ55" s="281"/>
      <c r="BA55" s="282"/>
      <c r="BB55" s="282"/>
      <c r="BC55" s="282"/>
      <c r="BD55" s="283"/>
      <c r="BE55" s="281"/>
      <c r="BF55" s="282"/>
      <c r="BG55" s="282"/>
      <c r="BH55" s="283"/>
      <c r="BI55" s="283"/>
      <c r="BJ55" s="376"/>
      <c r="BK55" s="378">
        <v>0</v>
      </c>
      <c r="BL55" s="247">
        <v>0</v>
      </c>
      <c r="BM55" s="447"/>
      <c r="BN55" s="448"/>
    </row>
    <row r="56" spans="1:69" ht="18" customHeight="1" thickBot="1">
      <c r="C56" s="279"/>
      <c r="D56" s="481" t="s">
        <v>140</v>
      </c>
      <c r="E56" s="482"/>
      <c r="F56" s="483"/>
      <c r="G56" s="482"/>
      <c r="H56" s="320"/>
      <c r="I56" s="326"/>
      <c r="J56" s="326"/>
      <c r="K56" s="326"/>
      <c r="L56" s="327"/>
      <c r="M56" s="328"/>
      <c r="N56" s="324"/>
      <c r="O56" s="324"/>
      <c r="P56" s="325"/>
      <c r="Q56" s="320"/>
      <c r="R56" s="326"/>
      <c r="S56" s="326"/>
      <c r="T56" s="326"/>
      <c r="U56" s="327"/>
      <c r="V56" s="324"/>
      <c r="W56" s="324"/>
      <c r="X56" s="324"/>
      <c r="Y56" s="324"/>
      <c r="Z56" s="328"/>
      <c r="AA56" s="326"/>
      <c r="AB56" s="326"/>
      <c r="AC56" s="326"/>
      <c r="AD56" s="327"/>
      <c r="AE56" s="324"/>
      <c r="AF56" s="324"/>
      <c r="AG56" s="324"/>
      <c r="AH56" s="324"/>
      <c r="AI56" s="328"/>
      <c r="AJ56" s="326"/>
      <c r="AK56" s="326"/>
      <c r="AL56" s="327"/>
      <c r="AM56" s="326"/>
      <c r="AN56" s="324"/>
      <c r="AO56" s="324"/>
      <c r="AP56" s="324"/>
      <c r="AQ56" s="324"/>
      <c r="AR56" s="328"/>
      <c r="AS56" s="326"/>
      <c r="AT56" s="326"/>
      <c r="AU56" s="327"/>
      <c r="AV56" s="324"/>
      <c r="AW56" s="324"/>
      <c r="AX56" s="324"/>
      <c r="AY56" s="324"/>
      <c r="AZ56" s="320"/>
      <c r="BA56" s="326"/>
      <c r="BB56" s="326"/>
      <c r="BC56" s="326"/>
      <c r="BD56" s="327"/>
      <c r="BE56" s="324"/>
      <c r="BF56" s="324"/>
      <c r="BG56" s="324"/>
      <c r="BH56" s="324"/>
      <c r="BI56" s="457"/>
      <c r="BJ56" s="453"/>
      <c r="BK56" s="458"/>
      <c r="BL56" s="231"/>
      <c r="BM56" s="382" t="s">
        <v>258</v>
      </c>
      <c r="BN56" s="351" t="s">
        <v>259</v>
      </c>
      <c r="BO56" s="230"/>
      <c r="BP56" s="230"/>
      <c r="BQ56" s="230"/>
    </row>
    <row r="57" spans="1:69" ht="18" customHeight="1">
      <c r="B57" s="227" t="s">
        <v>246</v>
      </c>
      <c r="C57" s="279" t="s">
        <v>157</v>
      </c>
      <c r="D57" s="248"/>
      <c r="E57" s="249"/>
      <c r="F57" s="252"/>
      <c r="G57" s="253"/>
      <c r="H57" s="216"/>
      <c r="I57" s="218"/>
      <c r="J57" s="218"/>
      <c r="K57" s="218"/>
      <c r="L57" s="218"/>
      <c r="M57" s="216"/>
      <c r="N57" s="218"/>
      <c r="O57" s="218"/>
      <c r="P57" s="217"/>
      <c r="Q57" s="218"/>
      <c r="R57" s="218"/>
      <c r="S57" s="218"/>
      <c r="T57" s="218"/>
      <c r="U57" s="218"/>
      <c r="V57" s="216"/>
      <c r="W57" s="218"/>
      <c r="X57" s="218"/>
      <c r="Y57" s="217"/>
      <c r="Z57" s="218"/>
      <c r="AA57" s="218"/>
      <c r="AB57" s="218"/>
      <c r="AC57" s="218"/>
      <c r="AD57" s="218"/>
      <c r="AE57" s="216"/>
      <c r="AF57" s="218"/>
      <c r="AG57" s="218"/>
      <c r="AH57" s="217"/>
      <c r="AI57" s="218"/>
      <c r="AJ57" s="218"/>
      <c r="AK57" s="218"/>
      <c r="AL57" s="218"/>
      <c r="AM57" s="216"/>
      <c r="AN57" s="218"/>
      <c r="AO57" s="218"/>
      <c r="AP57" s="218"/>
      <c r="AQ57" s="217"/>
      <c r="AR57" s="218"/>
      <c r="AS57" s="218"/>
      <c r="AT57" s="218"/>
      <c r="AU57" s="218"/>
      <c r="AV57" s="216"/>
      <c r="AW57" s="218"/>
      <c r="AX57" s="218"/>
      <c r="AY57" s="217"/>
      <c r="AZ57" s="218"/>
      <c r="BA57" s="218"/>
      <c r="BB57" s="218"/>
      <c r="BC57" s="218"/>
      <c r="BD57" s="218"/>
      <c r="BE57" s="216"/>
      <c r="BF57" s="218"/>
      <c r="BG57" s="218"/>
      <c r="BH57" s="217"/>
      <c r="BI57" s="210"/>
      <c r="BJ57" s="212"/>
      <c r="BK57" s="290"/>
      <c r="BM57" s="349"/>
      <c r="BN57" s="344"/>
    </row>
    <row r="58" spans="1:69" ht="18" customHeight="1">
      <c r="B58" s="227" t="s">
        <v>246</v>
      </c>
      <c r="C58" s="279" t="s">
        <v>157</v>
      </c>
      <c r="D58" s="262"/>
      <c r="E58" s="263"/>
      <c r="F58" s="252"/>
      <c r="G58" s="262"/>
      <c r="H58" s="226"/>
      <c r="I58" s="210"/>
      <c r="J58" s="210"/>
      <c r="K58" s="210"/>
      <c r="L58" s="210"/>
      <c r="M58" s="226"/>
      <c r="N58" s="210"/>
      <c r="O58" s="210"/>
      <c r="P58" s="211"/>
      <c r="Q58" s="210"/>
      <c r="R58" s="210"/>
      <c r="S58" s="210"/>
      <c r="T58" s="210"/>
      <c r="U58" s="210"/>
      <c r="V58" s="226"/>
      <c r="W58" s="210"/>
      <c r="X58" s="210"/>
      <c r="Y58" s="211"/>
      <c r="Z58" s="210"/>
      <c r="AA58" s="210"/>
      <c r="AB58" s="210"/>
      <c r="AC58" s="210"/>
      <c r="AD58" s="210"/>
      <c r="AE58" s="226"/>
      <c r="AF58" s="210"/>
      <c r="AG58" s="210"/>
      <c r="AH58" s="211"/>
      <c r="AI58" s="210"/>
      <c r="AJ58" s="210"/>
      <c r="AK58" s="210"/>
      <c r="AL58" s="210"/>
      <c r="AM58" s="226"/>
      <c r="AN58" s="210"/>
      <c r="AO58" s="210"/>
      <c r="AP58" s="210"/>
      <c r="AQ58" s="211"/>
      <c r="AR58" s="210"/>
      <c r="AS58" s="210"/>
      <c r="AT58" s="210"/>
      <c r="AU58" s="210"/>
      <c r="AV58" s="226"/>
      <c r="AW58" s="210"/>
      <c r="AX58" s="210"/>
      <c r="AY58" s="211"/>
      <c r="AZ58" s="210"/>
      <c r="BA58" s="210"/>
      <c r="BB58" s="210"/>
      <c r="BC58" s="210"/>
      <c r="BD58" s="210"/>
      <c r="BE58" s="226"/>
      <c r="BF58" s="210"/>
      <c r="BG58" s="210"/>
      <c r="BH58" s="211"/>
      <c r="BI58" s="210"/>
      <c r="BJ58" s="284"/>
      <c r="BK58" s="290"/>
      <c r="BM58" s="345"/>
      <c r="BN58" s="346"/>
    </row>
    <row r="59" spans="1:69" ht="18" customHeight="1">
      <c r="B59" s="227" t="s">
        <v>246</v>
      </c>
      <c r="C59" s="279" t="s">
        <v>157</v>
      </c>
      <c r="D59" s="248"/>
      <c r="E59" s="251"/>
      <c r="F59" s="252"/>
      <c r="G59" s="248"/>
      <c r="H59" s="232"/>
      <c r="I59" s="210"/>
      <c r="J59" s="210"/>
      <c r="K59" s="210"/>
      <c r="L59" s="210"/>
      <c r="M59" s="232"/>
      <c r="N59" s="210"/>
      <c r="O59" s="210"/>
      <c r="P59" s="211"/>
      <c r="Q59" s="210"/>
      <c r="R59" s="210"/>
      <c r="S59" s="210"/>
      <c r="T59" s="210"/>
      <c r="U59" s="210"/>
      <c r="V59" s="232"/>
      <c r="W59" s="210"/>
      <c r="X59" s="210"/>
      <c r="Y59" s="211"/>
      <c r="Z59" s="210"/>
      <c r="AA59" s="210"/>
      <c r="AB59" s="210"/>
      <c r="AC59" s="210"/>
      <c r="AD59" s="210"/>
      <c r="AE59" s="232"/>
      <c r="AF59" s="210"/>
      <c r="AG59" s="210"/>
      <c r="AH59" s="211"/>
      <c r="AI59" s="210"/>
      <c r="AJ59" s="210"/>
      <c r="AK59" s="210"/>
      <c r="AL59" s="210"/>
      <c r="AM59" s="232"/>
      <c r="AN59" s="210"/>
      <c r="AO59" s="210"/>
      <c r="AP59" s="210"/>
      <c r="AQ59" s="211"/>
      <c r="AR59" s="210"/>
      <c r="AS59" s="210"/>
      <c r="AT59" s="210"/>
      <c r="AU59" s="210"/>
      <c r="AV59" s="232"/>
      <c r="AW59" s="210"/>
      <c r="AX59" s="210"/>
      <c r="AY59" s="211"/>
      <c r="AZ59" s="210"/>
      <c r="BA59" s="210"/>
      <c r="BB59" s="210"/>
      <c r="BC59" s="210"/>
      <c r="BD59" s="210"/>
      <c r="BE59" s="232"/>
      <c r="BF59" s="210"/>
      <c r="BG59" s="210"/>
      <c r="BH59" s="211"/>
      <c r="BI59" s="210"/>
      <c r="BJ59" s="233"/>
      <c r="BK59" s="290"/>
      <c r="BM59" s="345"/>
      <c r="BN59" s="346"/>
    </row>
    <row r="60" spans="1:69" ht="18" customHeight="1">
      <c r="B60" s="227" t="s">
        <v>246</v>
      </c>
      <c r="C60" s="279" t="s">
        <v>157</v>
      </c>
      <c r="D60" s="262"/>
      <c r="E60" s="263"/>
      <c r="F60" s="252"/>
      <c r="G60" s="262"/>
      <c r="H60" s="226"/>
      <c r="I60" s="210"/>
      <c r="J60" s="210"/>
      <c r="K60" s="210"/>
      <c r="L60" s="210"/>
      <c r="M60" s="226"/>
      <c r="N60" s="210"/>
      <c r="O60" s="210"/>
      <c r="P60" s="211"/>
      <c r="Q60" s="210"/>
      <c r="R60" s="210"/>
      <c r="S60" s="210"/>
      <c r="T60" s="210"/>
      <c r="U60" s="210"/>
      <c r="V60" s="226"/>
      <c r="W60" s="210"/>
      <c r="X60" s="210"/>
      <c r="Y60" s="211"/>
      <c r="Z60" s="210"/>
      <c r="AA60" s="210"/>
      <c r="AB60" s="210"/>
      <c r="AC60" s="210"/>
      <c r="AD60" s="210"/>
      <c r="AE60" s="226"/>
      <c r="AF60" s="210"/>
      <c r="AG60" s="210"/>
      <c r="AH60" s="211"/>
      <c r="AI60" s="210"/>
      <c r="AJ60" s="210"/>
      <c r="AK60" s="210"/>
      <c r="AL60" s="210"/>
      <c r="AM60" s="226"/>
      <c r="AN60" s="210"/>
      <c r="AO60" s="210"/>
      <c r="AP60" s="210"/>
      <c r="AQ60" s="211"/>
      <c r="AR60" s="210"/>
      <c r="AS60" s="210"/>
      <c r="AT60" s="210"/>
      <c r="AU60" s="210"/>
      <c r="AV60" s="226"/>
      <c r="AW60" s="210"/>
      <c r="AX60" s="210"/>
      <c r="AY60" s="211"/>
      <c r="AZ60" s="210"/>
      <c r="BA60" s="210"/>
      <c r="BB60" s="210"/>
      <c r="BC60" s="210"/>
      <c r="BD60" s="210"/>
      <c r="BE60" s="226"/>
      <c r="BF60" s="210"/>
      <c r="BG60" s="210"/>
      <c r="BH60" s="211"/>
      <c r="BI60" s="210"/>
      <c r="BJ60" s="284"/>
      <c r="BK60" s="290"/>
      <c r="BM60" s="345"/>
      <c r="BN60" s="346"/>
    </row>
    <row r="61" spans="1:69" s="230" customFormat="1" ht="18" customHeight="1" thickBot="1">
      <c r="A61" s="227"/>
      <c r="B61" s="227" t="s">
        <v>246</v>
      </c>
      <c r="C61" s="279" t="s">
        <v>157</v>
      </c>
      <c r="D61" s="248"/>
      <c r="E61" s="251"/>
      <c r="F61" s="252"/>
      <c r="G61" s="248"/>
      <c r="H61" s="232"/>
      <c r="I61" s="210"/>
      <c r="J61" s="210"/>
      <c r="K61" s="210"/>
      <c r="L61" s="210"/>
      <c r="M61" s="232"/>
      <c r="N61" s="210"/>
      <c r="O61" s="210"/>
      <c r="P61" s="211"/>
      <c r="Q61" s="210"/>
      <c r="R61" s="210"/>
      <c r="S61" s="210"/>
      <c r="T61" s="210"/>
      <c r="U61" s="210"/>
      <c r="V61" s="232"/>
      <c r="W61" s="210"/>
      <c r="X61" s="210"/>
      <c r="Y61" s="211"/>
      <c r="Z61" s="210"/>
      <c r="AA61" s="210"/>
      <c r="AB61" s="210"/>
      <c r="AC61" s="210"/>
      <c r="AD61" s="210"/>
      <c r="AE61" s="232"/>
      <c r="AF61" s="210"/>
      <c r="AG61" s="210"/>
      <c r="AH61" s="211"/>
      <c r="AI61" s="210"/>
      <c r="AJ61" s="210"/>
      <c r="AK61" s="210"/>
      <c r="AL61" s="210"/>
      <c r="AM61" s="232"/>
      <c r="AN61" s="210"/>
      <c r="AO61" s="210"/>
      <c r="AP61" s="210"/>
      <c r="AQ61" s="211"/>
      <c r="AR61" s="210"/>
      <c r="AS61" s="210"/>
      <c r="AT61" s="210"/>
      <c r="AU61" s="210"/>
      <c r="AV61" s="232"/>
      <c r="AW61" s="210"/>
      <c r="AX61" s="210"/>
      <c r="AY61" s="211"/>
      <c r="AZ61" s="210"/>
      <c r="BA61" s="210"/>
      <c r="BB61" s="210"/>
      <c r="BC61" s="210"/>
      <c r="BD61" s="210"/>
      <c r="BE61" s="232"/>
      <c r="BF61" s="210"/>
      <c r="BG61" s="210"/>
      <c r="BH61" s="211"/>
      <c r="BI61" s="210"/>
      <c r="BJ61" s="233"/>
      <c r="BK61" s="290"/>
      <c r="BL61" s="229"/>
      <c r="BM61" s="347"/>
      <c r="BN61" s="348"/>
      <c r="BO61" s="227"/>
      <c r="BP61" s="227"/>
      <c r="BQ61" s="227"/>
    </row>
    <row r="62" spans="1:69" ht="18" customHeight="1" thickBot="1">
      <c r="C62" s="279"/>
      <c r="D62" s="281"/>
      <c r="E62" s="282"/>
      <c r="F62" s="282"/>
      <c r="G62" s="283"/>
      <c r="H62" s="449"/>
      <c r="I62" s="450"/>
      <c r="J62" s="450"/>
      <c r="K62" s="450"/>
      <c r="L62" s="451"/>
      <c r="M62" s="449"/>
      <c r="N62" s="450"/>
      <c r="O62" s="450"/>
      <c r="P62" s="451"/>
      <c r="Q62" s="449"/>
      <c r="R62" s="450"/>
      <c r="S62" s="450"/>
      <c r="T62" s="450"/>
      <c r="U62" s="451"/>
      <c r="V62" s="449"/>
      <c r="W62" s="450"/>
      <c r="X62" s="450"/>
      <c r="Y62" s="451"/>
      <c r="Z62" s="281"/>
      <c r="AA62" s="282"/>
      <c r="AB62" s="282"/>
      <c r="AC62" s="282"/>
      <c r="AD62" s="283"/>
      <c r="AE62" s="281"/>
      <c r="AF62" s="282"/>
      <c r="AG62" s="282"/>
      <c r="AH62" s="283"/>
      <c r="AI62" s="281"/>
      <c r="AJ62" s="282"/>
      <c r="AK62" s="282"/>
      <c r="AL62" s="283"/>
      <c r="AM62" s="281"/>
      <c r="AN62" s="282"/>
      <c r="AO62" s="282"/>
      <c r="AP62" s="282"/>
      <c r="AQ62" s="283"/>
      <c r="AR62" s="281"/>
      <c r="AS62" s="282"/>
      <c r="AT62" s="282"/>
      <c r="AU62" s="283"/>
      <c r="AV62" s="281"/>
      <c r="AW62" s="282"/>
      <c r="AX62" s="282"/>
      <c r="AY62" s="283"/>
      <c r="AZ62" s="281"/>
      <c r="BA62" s="282"/>
      <c r="BB62" s="282"/>
      <c r="BC62" s="282"/>
      <c r="BD62" s="283"/>
      <c r="BE62" s="281"/>
      <c r="BF62" s="282"/>
      <c r="BG62" s="282"/>
      <c r="BH62" s="283"/>
      <c r="BI62" s="283"/>
      <c r="BJ62" s="376"/>
      <c r="BK62" s="378">
        <v>0</v>
      </c>
      <c r="BL62" s="247">
        <v>0</v>
      </c>
      <c r="BM62" s="447"/>
      <c r="BN62" s="448"/>
    </row>
    <row r="63" spans="1:69" ht="18" customHeight="1" thickBot="1">
      <c r="C63" s="279"/>
      <c r="D63" s="481" t="s">
        <v>135</v>
      </c>
      <c r="E63" s="482"/>
      <c r="F63" s="483"/>
      <c r="G63" s="482"/>
      <c r="H63" s="320"/>
      <c r="I63" s="326"/>
      <c r="J63" s="326"/>
      <c r="K63" s="326"/>
      <c r="L63" s="327"/>
      <c r="M63" s="328"/>
      <c r="N63" s="324"/>
      <c r="O63" s="324"/>
      <c r="P63" s="325"/>
      <c r="Q63" s="320"/>
      <c r="R63" s="326"/>
      <c r="S63" s="326"/>
      <c r="T63" s="326"/>
      <c r="U63" s="327"/>
      <c r="V63" s="324"/>
      <c r="W63" s="324"/>
      <c r="X63" s="324"/>
      <c r="Y63" s="324"/>
      <c r="Z63" s="328"/>
      <c r="AA63" s="326"/>
      <c r="AB63" s="326"/>
      <c r="AC63" s="326"/>
      <c r="AD63" s="327"/>
      <c r="AE63" s="324"/>
      <c r="AF63" s="324"/>
      <c r="AG63" s="324"/>
      <c r="AH63" s="324"/>
      <c r="AI63" s="328"/>
      <c r="AJ63" s="326"/>
      <c r="AK63" s="326"/>
      <c r="AL63" s="327"/>
      <c r="AM63" s="326"/>
      <c r="AN63" s="324"/>
      <c r="AO63" s="324"/>
      <c r="AP63" s="324"/>
      <c r="AQ63" s="324"/>
      <c r="AR63" s="328"/>
      <c r="AS63" s="326"/>
      <c r="AT63" s="326"/>
      <c r="AU63" s="327"/>
      <c r="AV63" s="324"/>
      <c r="AW63" s="324"/>
      <c r="AX63" s="324"/>
      <c r="AY63" s="324"/>
      <c r="AZ63" s="320"/>
      <c r="BA63" s="326"/>
      <c r="BB63" s="326"/>
      <c r="BC63" s="326"/>
      <c r="BD63" s="327"/>
      <c r="BE63" s="324"/>
      <c r="BF63" s="324"/>
      <c r="BG63" s="324"/>
      <c r="BH63" s="324"/>
      <c r="BI63" s="457"/>
      <c r="BJ63" s="453"/>
      <c r="BK63" s="458"/>
      <c r="BL63" s="231"/>
      <c r="BM63" s="352" t="s">
        <v>258</v>
      </c>
      <c r="BN63" s="351" t="s">
        <v>259</v>
      </c>
      <c r="BO63" s="230"/>
      <c r="BP63" s="230"/>
      <c r="BQ63" s="230"/>
    </row>
    <row r="64" spans="1:69" ht="18" customHeight="1">
      <c r="B64" s="227" t="s">
        <v>246</v>
      </c>
      <c r="C64" s="279" t="s">
        <v>157</v>
      </c>
      <c r="D64" s="248"/>
      <c r="E64" s="249"/>
      <c r="F64" s="252"/>
      <c r="G64" s="253"/>
      <c r="H64" s="216"/>
      <c r="I64" s="218"/>
      <c r="J64" s="218"/>
      <c r="K64" s="218"/>
      <c r="L64" s="218"/>
      <c r="M64" s="216"/>
      <c r="N64" s="218"/>
      <c r="O64" s="218"/>
      <c r="P64" s="217"/>
      <c r="Q64" s="218"/>
      <c r="R64" s="218"/>
      <c r="S64" s="218"/>
      <c r="T64" s="218"/>
      <c r="U64" s="218"/>
      <c r="V64" s="216"/>
      <c r="W64" s="218"/>
      <c r="X64" s="218"/>
      <c r="Y64" s="217"/>
      <c r="Z64" s="218"/>
      <c r="AA64" s="218"/>
      <c r="AB64" s="218"/>
      <c r="AC64" s="218"/>
      <c r="AD64" s="218"/>
      <c r="AE64" s="216"/>
      <c r="AF64" s="218"/>
      <c r="AG64" s="218"/>
      <c r="AH64" s="217"/>
      <c r="AI64" s="218"/>
      <c r="AJ64" s="218"/>
      <c r="AK64" s="218"/>
      <c r="AL64" s="218"/>
      <c r="AM64" s="216"/>
      <c r="AN64" s="218"/>
      <c r="AO64" s="218"/>
      <c r="AP64" s="218"/>
      <c r="AQ64" s="217"/>
      <c r="AR64" s="218"/>
      <c r="AS64" s="218"/>
      <c r="AT64" s="218"/>
      <c r="AU64" s="218"/>
      <c r="AV64" s="216"/>
      <c r="AW64" s="218"/>
      <c r="AX64" s="218"/>
      <c r="AY64" s="217"/>
      <c r="AZ64" s="218"/>
      <c r="BA64" s="218"/>
      <c r="BB64" s="218"/>
      <c r="BC64" s="218"/>
      <c r="BD64" s="218"/>
      <c r="BE64" s="216"/>
      <c r="BF64" s="218"/>
      <c r="BG64" s="218"/>
      <c r="BH64" s="217"/>
      <c r="BI64" s="210"/>
      <c r="BJ64" s="212"/>
      <c r="BK64" s="290"/>
      <c r="BM64" s="349"/>
      <c r="BN64" s="344"/>
    </row>
    <row r="65" spans="1:69" ht="18" customHeight="1">
      <c r="B65" s="227" t="s">
        <v>246</v>
      </c>
      <c r="C65" s="279" t="s">
        <v>157</v>
      </c>
      <c r="D65" s="262"/>
      <c r="E65" s="263"/>
      <c r="F65" s="252"/>
      <c r="G65" s="262"/>
      <c r="H65" s="226"/>
      <c r="I65" s="210"/>
      <c r="J65" s="210"/>
      <c r="K65" s="210"/>
      <c r="L65" s="210"/>
      <c r="M65" s="226"/>
      <c r="N65" s="210"/>
      <c r="O65" s="210"/>
      <c r="P65" s="211"/>
      <c r="Q65" s="210"/>
      <c r="R65" s="210"/>
      <c r="S65" s="210"/>
      <c r="T65" s="210"/>
      <c r="U65" s="210"/>
      <c r="V65" s="226"/>
      <c r="W65" s="210"/>
      <c r="X65" s="210"/>
      <c r="Y65" s="211"/>
      <c r="Z65" s="210"/>
      <c r="AA65" s="210"/>
      <c r="AB65" s="210"/>
      <c r="AC65" s="210"/>
      <c r="AD65" s="210"/>
      <c r="AE65" s="226"/>
      <c r="AF65" s="210"/>
      <c r="AG65" s="210"/>
      <c r="AH65" s="211"/>
      <c r="AI65" s="210"/>
      <c r="AJ65" s="210"/>
      <c r="AK65" s="210"/>
      <c r="AL65" s="210"/>
      <c r="AM65" s="226"/>
      <c r="AN65" s="210"/>
      <c r="AO65" s="210"/>
      <c r="AP65" s="210"/>
      <c r="AQ65" s="211"/>
      <c r="AR65" s="210"/>
      <c r="AS65" s="210"/>
      <c r="AT65" s="210"/>
      <c r="AU65" s="210"/>
      <c r="AV65" s="226"/>
      <c r="AW65" s="210"/>
      <c r="AX65" s="210"/>
      <c r="AY65" s="211"/>
      <c r="AZ65" s="210"/>
      <c r="BA65" s="210"/>
      <c r="BB65" s="210"/>
      <c r="BC65" s="210"/>
      <c r="BD65" s="210"/>
      <c r="BE65" s="226"/>
      <c r="BF65" s="210"/>
      <c r="BG65" s="210"/>
      <c r="BH65" s="211"/>
      <c r="BI65" s="210"/>
      <c r="BJ65" s="284"/>
      <c r="BK65" s="290"/>
      <c r="BM65" s="345"/>
      <c r="BN65" s="346"/>
    </row>
    <row r="66" spans="1:69" ht="18" customHeight="1">
      <c r="B66" s="227" t="s">
        <v>246</v>
      </c>
      <c r="C66" s="279" t="s">
        <v>157</v>
      </c>
      <c r="D66" s="262"/>
      <c r="E66" s="263"/>
      <c r="F66" s="252"/>
      <c r="G66" s="262"/>
      <c r="H66" s="226"/>
      <c r="I66" s="210"/>
      <c r="J66" s="210"/>
      <c r="K66" s="210"/>
      <c r="L66" s="210"/>
      <c r="M66" s="226"/>
      <c r="N66" s="210"/>
      <c r="O66" s="210"/>
      <c r="P66" s="211"/>
      <c r="Q66" s="210"/>
      <c r="R66" s="210"/>
      <c r="S66" s="210"/>
      <c r="T66" s="210"/>
      <c r="U66" s="210"/>
      <c r="V66" s="226"/>
      <c r="W66" s="210"/>
      <c r="X66" s="210"/>
      <c r="Y66" s="211"/>
      <c r="Z66" s="210"/>
      <c r="AA66" s="210"/>
      <c r="AB66" s="210"/>
      <c r="AC66" s="210"/>
      <c r="AD66" s="210"/>
      <c r="AE66" s="226"/>
      <c r="AF66" s="210"/>
      <c r="AG66" s="210"/>
      <c r="AH66" s="211"/>
      <c r="AI66" s="210"/>
      <c r="AJ66" s="210"/>
      <c r="AK66" s="210"/>
      <c r="AL66" s="210"/>
      <c r="AM66" s="226"/>
      <c r="AN66" s="210"/>
      <c r="AO66" s="210"/>
      <c r="AP66" s="210"/>
      <c r="AQ66" s="211"/>
      <c r="AR66" s="210"/>
      <c r="AS66" s="210"/>
      <c r="AT66" s="210"/>
      <c r="AU66" s="210"/>
      <c r="AV66" s="226"/>
      <c r="AW66" s="210"/>
      <c r="AX66" s="210"/>
      <c r="AY66" s="211"/>
      <c r="AZ66" s="210"/>
      <c r="BA66" s="210"/>
      <c r="BB66" s="210"/>
      <c r="BC66" s="210"/>
      <c r="BD66" s="210"/>
      <c r="BE66" s="226"/>
      <c r="BF66" s="210"/>
      <c r="BG66" s="210"/>
      <c r="BH66" s="211"/>
      <c r="BI66" s="210"/>
      <c r="BJ66" s="284"/>
      <c r="BK66" s="290"/>
      <c r="BM66" s="345"/>
      <c r="BN66" s="346"/>
    </row>
    <row r="67" spans="1:69" ht="18" customHeight="1">
      <c r="B67" s="227" t="s">
        <v>246</v>
      </c>
      <c r="C67" s="279" t="s">
        <v>157</v>
      </c>
      <c r="D67" s="248"/>
      <c r="E67" s="251"/>
      <c r="F67" s="252"/>
      <c r="G67" s="248"/>
      <c r="H67" s="232"/>
      <c r="I67" s="210"/>
      <c r="J67" s="210"/>
      <c r="K67" s="210"/>
      <c r="L67" s="210"/>
      <c r="M67" s="232"/>
      <c r="N67" s="210"/>
      <c r="O67" s="210"/>
      <c r="P67" s="211"/>
      <c r="Q67" s="210"/>
      <c r="R67" s="210"/>
      <c r="S67" s="210"/>
      <c r="T67" s="210"/>
      <c r="U67" s="210"/>
      <c r="V67" s="232"/>
      <c r="W67" s="210"/>
      <c r="X67" s="210"/>
      <c r="Y67" s="211"/>
      <c r="Z67" s="210"/>
      <c r="AA67" s="210"/>
      <c r="AB67" s="210"/>
      <c r="AC67" s="210"/>
      <c r="AD67" s="210"/>
      <c r="AE67" s="232"/>
      <c r="AF67" s="210"/>
      <c r="AG67" s="210"/>
      <c r="AH67" s="211"/>
      <c r="AI67" s="210"/>
      <c r="AJ67" s="210"/>
      <c r="AK67" s="210"/>
      <c r="AL67" s="210"/>
      <c r="AM67" s="232"/>
      <c r="AN67" s="210"/>
      <c r="AO67" s="210"/>
      <c r="AP67" s="210"/>
      <c r="AQ67" s="211"/>
      <c r="AR67" s="210"/>
      <c r="AS67" s="210"/>
      <c r="AT67" s="210"/>
      <c r="AU67" s="210"/>
      <c r="AV67" s="232"/>
      <c r="AW67" s="210"/>
      <c r="AX67" s="210"/>
      <c r="AY67" s="211"/>
      <c r="AZ67" s="210"/>
      <c r="BA67" s="210"/>
      <c r="BB67" s="210"/>
      <c r="BC67" s="210"/>
      <c r="BD67" s="210"/>
      <c r="BE67" s="232"/>
      <c r="BF67" s="210"/>
      <c r="BG67" s="210"/>
      <c r="BH67" s="211"/>
      <c r="BI67" s="210"/>
      <c r="BJ67" s="233"/>
      <c r="BK67" s="290"/>
      <c r="BM67" s="345"/>
      <c r="BN67" s="346"/>
    </row>
    <row r="68" spans="1:69" s="230" customFormat="1" ht="18" customHeight="1" thickBot="1">
      <c r="A68" s="227"/>
      <c r="B68" s="227" t="s">
        <v>246</v>
      </c>
      <c r="C68" s="279" t="s">
        <v>157</v>
      </c>
      <c r="D68" s="248"/>
      <c r="E68" s="251"/>
      <c r="F68" s="252"/>
      <c r="G68" s="248"/>
      <c r="H68" s="232"/>
      <c r="I68" s="210"/>
      <c r="J68" s="210"/>
      <c r="K68" s="210"/>
      <c r="L68" s="210"/>
      <c r="M68" s="232"/>
      <c r="N68" s="210"/>
      <c r="O68" s="210"/>
      <c r="P68" s="211"/>
      <c r="Q68" s="210"/>
      <c r="R68" s="210"/>
      <c r="S68" s="210"/>
      <c r="T68" s="210"/>
      <c r="U68" s="210"/>
      <c r="V68" s="232"/>
      <c r="W68" s="210"/>
      <c r="X68" s="210"/>
      <c r="Y68" s="211"/>
      <c r="Z68" s="210"/>
      <c r="AA68" s="210"/>
      <c r="AB68" s="210"/>
      <c r="AC68" s="210"/>
      <c r="AD68" s="210"/>
      <c r="AE68" s="232"/>
      <c r="AF68" s="210"/>
      <c r="AG68" s="210"/>
      <c r="AH68" s="211"/>
      <c r="AI68" s="210"/>
      <c r="AJ68" s="210"/>
      <c r="AK68" s="210"/>
      <c r="AL68" s="210"/>
      <c r="AM68" s="232"/>
      <c r="AN68" s="210"/>
      <c r="AO68" s="210"/>
      <c r="AP68" s="210"/>
      <c r="AQ68" s="211"/>
      <c r="AR68" s="210"/>
      <c r="AS68" s="210"/>
      <c r="AT68" s="210"/>
      <c r="AU68" s="210"/>
      <c r="AV68" s="232"/>
      <c r="AW68" s="210"/>
      <c r="AX68" s="210"/>
      <c r="AY68" s="211"/>
      <c r="AZ68" s="210"/>
      <c r="BA68" s="210"/>
      <c r="BB68" s="210"/>
      <c r="BC68" s="210"/>
      <c r="BD68" s="210"/>
      <c r="BE68" s="232"/>
      <c r="BF68" s="210"/>
      <c r="BG68" s="210"/>
      <c r="BH68" s="211"/>
      <c r="BI68" s="210"/>
      <c r="BJ68" s="233"/>
      <c r="BK68" s="290"/>
      <c r="BL68" s="229"/>
      <c r="BM68" s="347"/>
      <c r="BN68" s="348"/>
      <c r="BO68" s="227"/>
      <c r="BP68" s="227"/>
      <c r="BQ68" s="227"/>
    </row>
    <row r="69" spans="1:69" ht="18" customHeight="1" thickBot="1">
      <c r="C69" s="279"/>
      <c r="D69" s="281"/>
      <c r="E69" s="282"/>
      <c r="F69" s="282"/>
      <c r="G69" s="283"/>
      <c r="H69" s="449"/>
      <c r="I69" s="450"/>
      <c r="J69" s="450"/>
      <c r="K69" s="450"/>
      <c r="L69" s="451"/>
      <c r="M69" s="449"/>
      <c r="N69" s="450"/>
      <c r="O69" s="450"/>
      <c r="P69" s="451"/>
      <c r="Q69" s="449"/>
      <c r="R69" s="450"/>
      <c r="S69" s="450"/>
      <c r="T69" s="450"/>
      <c r="U69" s="451"/>
      <c r="V69" s="449"/>
      <c r="W69" s="450"/>
      <c r="X69" s="450"/>
      <c r="Y69" s="451"/>
      <c r="Z69" s="281"/>
      <c r="AA69" s="282"/>
      <c r="AB69" s="282"/>
      <c r="AC69" s="282"/>
      <c r="AD69" s="283"/>
      <c r="AE69" s="281"/>
      <c r="AF69" s="282"/>
      <c r="AG69" s="282"/>
      <c r="AH69" s="283"/>
      <c r="AI69" s="281"/>
      <c r="AJ69" s="282"/>
      <c r="AK69" s="282"/>
      <c r="AL69" s="283"/>
      <c r="AM69" s="281"/>
      <c r="AN69" s="282"/>
      <c r="AO69" s="282"/>
      <c r="AP69" s="282"/>
      <c r="AQ69" s="283"/>
      <c r="AR69" s="281"/>
      <c r="AS69" s="282"/>
      <c r="AT69" s="282"/>
      <c r="AU69" s="283"/>
      <c r="AV69" s="281"/>
      <c r="AW69" s="282"/>
      <c r="AX69" s="282"/>
      <c r="AY69" s="283"/>
      <c r="AZ69" s="281"/>
      <c r="BA69" s="282"/>
      <c r="BB69" s="282"/>
      <c r="BC69" s="282"/>
      <c r="BD69" s="283"/>
      <c r="BE69" s="281"/>
      <c r="BF69" s="282"/>
      <c r="BG69" s="282"/>
      <c r="BH69" s="283"/>
      <c r="BI69" s="283"/>
      <c r="BJ69" s="376"/>
      <c r="BK69" s="378">
        <v>0</v>
      </c>
      <c r="BL69" s="331">
        <v>0</v>
      </c>
      <c r="BM69" s="447"/>
      <c r="BN69" s="448"/>
    </row>
    <row r="70" spans="1:69" ht="18" customHeight="1" thickBot="1">
      <c r="D70" s="481" t="s">
        <v>151</v>
      </c>
      <c r="E70" s="482"/>
      <c r="F70" s="483"/>
      <c r="G70" s="482"/>
      <c r="H70" s="320"/>
      <c r="I70" s="326"/>
      <c r="J70" s="326"/>
      <c r="K70" s="326"/>
      <c r="L70" s="327"/>
      <c r="M70" s="328"/>
      <c r="N70" s="324"/>
      <c r="O70" s="324"/>
      <c r="P70" s="325"/>
      <c r="Q70" s="320"/>
      <c r="R70" s="326"/>
      <c r="S70" s="326"/>
      <c r="T70" s="326"/>
      <c r="U70" s="327"/>
      <c r="V70" s="324"/>
      <c r="W70" s="324"/>
      <c r="X70" s="324"/>
      <c r="Y70" s="324"/>
      <c r="Z70" s="328"/>
      <c r="AA70" s="326"/>
      <c r="AB70" s="326"/>
      <c r="AC70" s="326"/>
      <c r="AD70" s="327"/>
      <c r="AE70" s="324"/>
      <c r="AF70" s="324"/>
      <c r="AG70" s="324"/>
      <c r="AH70" s="324"/>
      <c r="AI70" s="328"/>
      <c r="AJ70" s="326"/>
      <c r="AK70" s="326"/>
      <c r="AL70" s="327"/>
      <c r="AM70" s="326"/>
      <c r="AN70" s="324"/>
      <c r="AO70" s="324"/>
      <c r="AP70" s="324"/>
      <c r="AQ70" s="324"/>
      <c r="AR70" s="328"/>
      <c r="AS70" s="326"/>
      <c r="AT70" s="326"/>
      <c r="AU70" s="327"/>
      <c r="AV70" s="324"/>
      <c r="AW70" s="324"/>
      <c r="AX70" s="324"/>
      <c r="AY70" s="324"/>
      <c r="AZ70" s="320"/>
      <c r="BA70" s="326"/>
      <c r="BB70" s="326"/>
      <c r="BC70" s="326"/>
      <c r="BD70" s="327"/>
      <c r="BE70" s="324"/>
      <c r="BF70" s="324"/>
      <c r="BG70" s="324"/>
      <c r="BH70" s="324"/>
      <c r="BI70" s="457"/>
      <c r="BJ70" s="453"/>
      <c r="BK70" s="458"/>
      <c r="BL70" s="231"/>
      <c r="BM70" s="329" t="s">
        <v>258</v>
      </c>
      <c r="BN70" s="330" t="s">
        <v>259</v>
      </c>
      <c r="BO70" s="230"/>
      <c r="BP70" s="230"/>
      <c r="BQ70" s="230"/>
    </row>
    <row r="71" spans="1:69" ht="18" customHeight="1">
      <c r="B71" s="227" t="s">
        <v>246</v>
      </c>
      <c r="C71" s="279" t="s">
        <v>250</v>
      </c>
      <c r="D71" s="248"/>
      <c r="E71" s="249"/>
      <c r="F71" s="252"/>
      <c r="G71" s="253"/>
      <c r="H71" s="216"/>
      <c r="I71" s="218"/>
      <c r="J71" s="218"/>
      <c r="K71" s="218"/>
      <c r="L71" s="218"/>
      <c r="M71" s="216"/>
      <c r="N71" s="218"/>
      <c r="O71" s="218"/>
      <c r="P71" s="217"/>
      <c r="Q71" s="218"/>
      <c r="R71" s="218"/>
      <c r="S71" s="218"/>
      <c r="T71" s="218"/>
      <c r="U71" s="218"/>
      <c r="V71" s="216"/>
      <c r="W71" s="218"/>
      <c r="X71" s="218"/>
      <c r="Y71" s="217"/>
      <c r="Z71" s="218"/>
      <c r="AA71" s="218"/>
      <c r="AB71" s="218"/>
      <c r="AC71" s="218"/>
      <c r="AD71" s="218"/>
      <c r="AE71" s="216"/>
      <c r="AF71" s="218"/>
      <c r="AG71" s="218"/>
      <c r="AH71" s="217"/>
      <c r="AI71" s="218"/>
      <c r="AJ71" s="218"/>
      <c r="AK71" s="218"/>
      <c r="AL71" s="218"/>
      <c r="AM71" s="216"/>
      <c r="AN71" s="218"/>
      <c r="AO71" s="218"/>
      <c r="AP71" s="218"/>
      <c r="AQ71" s="217"/>
      <c r="AR71" s="218"/>
      <c r="AS71" s="218"/>
      <c r="AT71" s="218"/>
      <c r="AU71" s="218"/>
      <c r="AV71" s="216"/>
      <c r="AW71" s="218"/>
      <c r="AX71" s="218"/>
      <c r="AY71" s="217"/>
      <c r="AZ71" s="218"/>
      <c r="BA71" s="218"/>
      <c r="BB71" s="218"/>
      <c r="BC71" s="218"/>
      <c r="BD71" s="218"/>
      <c r="BE71" s="216"/>
      <c r="BF71" s="218"/>
      <c r="BG71" s="218"/>
      <c r="BH71" s="217"/>
      <c r="BI71" s="210"/>
      <c r="BJ71" s="212"/>
      <c r="BK71" s="290"/>
      <c r="BM71" s="343"/>
      <c r="BN71" s="344"/>
    </row>
    <row r="72" spans="1:69" ht="18" customHeight="1">
      <c r="B72" s="227" t="s">
        <v>246</v>
      </c>
      <c r="C72" s="279" t="s">
        <v>250</v>
      </c>
      <c r="D72" s="262"/>
      <c r="E72" s="263"/>
      <c r="F72" s="252"/>
      <c r="G72" s="262"/>
      <c r="H72" s="226"/>
      <c r="I72" s="210"/>
      <c r="J72" s="210"/>
      <c r="K72" s="210"/>
      <c r="L72" s="210"/>
      <c r="M72" s="226"/>
      <c r="N72" s="210"/>
      <c r="O72" s="210"/>
      <c r="P72" s="211"/>
      <c r="Q72" s="210"/>
      <c r="R72" s="210"/>
      <c r="S72" s="210"/>
      <c r="T72" s="210"/>
      <c r="U72" s="210"/>
      <c r="V72" s="226"/>
      <c r="W72" s="210"/>
      <c r="X72" s="210"/>
      <c r="Y72" s="211"/>
      <c r="Z72" s="210"/>
      <c r="AA72" s="210"/>
      <c r="AB72" s="210"/>
      <c r="AC72" s="210"/>
      <c r="AD72" s="210"/>
      <c r="AE72" s="226"/>
      <c r="AF72" s="210"/>
      <c r="AG72" s="210"/>
      <c r="AH72" s="211"/>
      <c r="AI72" s="210"/>
      <c r="AJ72" s="210"/>
      <c r="AK72" s="210"/>
      <c r="AL72" s="210"/>
      <c r="AM72" s="226"/>
      <c r="AN72" s="210"/>
      <c r="AO72" s="210"/>
      <c r="AP72" s="210"/>
      <c r="AQ72" s="211"/>
      <c r="AR72" s="210"/>
      <c r="AS72" s="210"/>
      <c r="AT72" s="210"/>
      <c r="AU72" s="210"/>
      <c r="AV72" s="226"/>
      <c r="AW72" s="210"/>
      <c r="AX72" s="210"/>
      <c r="AY72" s="211"/>
      <c r="AZ72" s="210"/>
      <c r="BA72" s="210"/>
      <c r="BB72" s="210"/>
      <c r="BC72" s="210"/>
      <c r="BD72" s="210"/>
      <c r="BE72" s="226"/>
      <c r="BF72" s="210"/>
      <c r="BG72" s="210"/>
      <c r="BH72" s="211"/>
      <c r="BI72" s="210"/>
      <c r="BJ72" s="284"/>
      <c r="BK72" s="290"/>
      <c r="BM72" s="345"/>
      <c r="BN72" s="346"/>
    </row>
    <row r="73" spans="1:69" ht="18" customHeight="1">
      <c r="B73" s="227" t="s">
        <v>246</v>
      </c>
      <c r="C73" s="279" t="s">
        <v>250</v>
      </c>
      <c r="D73" s="262"/>
      <c r="E73" s="263"/>
      <c r="F73" s="252"/>
      <c r="G73" s="262"/>
      <c r="H73" s="226"/>
      <c r="I73" s="210"/>
      <c r="J73" s="210"/>
      <c r="K73" s="210"/>
      <c r="L73" s="210"/>
      <c r="M73" s="226"/>
      <c r="N73" s="210"/>
      <c r="O73" s="210"/>
      <c r="P73" s="211"/>
      <c r="Q73" s="210"/>
      <c r="R73" s="210"/>
      <c r="S73" s="210"/>
      <c r="T73" s="210"/>
      <c r="U73" s="210"/>
      <c r="V73" s="226"/>
      <c r="W73" s="210"/>
      <c r="X73" s="210"/>
      <c r="Y73" s="211"/>
      <c r="Z73" s="210"/>
      <c r="AA73" s="210"/>
      <c r="AB73" s="210"/>
      <c r="AC73" s="210"/>
      <c r="AD73" s="210"/>
      <c r="AE73" s="226"/>
      <c r="AF73" s="210"/>
      <c r="AG73" s="210"/>
      <c r="AH73" s="211"/>
      <c r="AI73" s="210"/>
      <c r="AJ73" s="210"/>
      <c r="AK73" s="210"/>
      <c r="AL73" s="210"/>
      <c r="AM73" s="226"/>
      <c r="AN73" s="210"/>
      <c r="AO73" s="210"/>
      <c r="AP73" s="210"/>
      <c r="AQ73" s="211"/>
      <c r="AR73" s="210"/>
      <c r="AS73" s="210"/>
      <c r="AT73" s="210"/>
      <c r="AU73" s="210"/>
      <c r="AV73" s="226"/>
      <c r="AW73" s="210"/>
      <c r="AX73" s="210"/>
      <c r="AY73" s="211"/>
      <c r="AZ73" s="210"/>
      <c r="BA73" s="210"/>
      <c r="BB73" s="210"/>
      <c r="BC73" s="210"/>
      <c r="BD73" s="210"/>
      <c r="BE73" s="226"/>
      <c r="BF73" s="210"/>
      <c r="BG73" s="210"/>
      <c r="BH73" s="211"/>
      <c r="BI73" s="210"/>
      <c r="BJ73" s="284"/>
      <c r="BK73" s="290"/>
      <c r="BM73" s="345"/>
      <c r="BN73" s="346"/>
    </row>
    <row r="74" spans="1:69" ht="18" customHeight="1">
      <c r="B74" s="227" t="s">
        <v>246</v>
      </c>
      <c r="C74" s="279" t="s">
        <v>250</v>
      </c>
      <c r="D74" s="248"/>
      <c r="E74" s="251"/>
      <c r="F74" s="252"/>
      <c r="G74" s="248"/>
      <c r="H74" s="232"/>
      <c r="I74" s="210"/>
      <c r="J74" s="210"/>
      <c r="K74" s="210"/>
      <c r="L74" s="210"/>
      <c r="M74" s="232"/>
      <c r="N74" s="210"/>
      <c r="O74" s="210"/>
      <c r="P74" s="211"/>
      <c r="Q74" s="210"/>
      <c r="R74" s="210"/>
      <c r="S74" s="210"/>
      <c r="T74" s="210"/>
      <c r="U74" s="210"/>
      <c r="V74" s="232"/>
      <c r="W74" s="210"/>
      <c r="X74" s="210"/>
      <c r="Y74" s="211"/>
      <c r="Z74" s="210"/>
      <c r="AA74" s="210"/>
      <c r="AB74" s="210"/>
      <c r="AC74" s="210"/>
      <c r="AD74" s="210"/>
      <c r="AE74" s="232"/>
      <c r="AF74" s="210"/>
      <c r="AG74" s="210"/>
      <c r="AH74" s="211"/>
      <c r="AI74" s="210"/>
      <c r="AJ74" s="210"/>
      <c r="AK74" s="210"/>
      <c r="AL74" s="210"/>
      <c r="AM74" s="232"/>
      <c r="AN74" s="210"/>
      <c r="AO74" s="210"/>
      <c r="AP74" s="210"/>
      <c r="AQ74" s="211"/>
      <c r="AR74" s="210"/>
      <c r="AS74" s="210"/>
      <c r="AT74" s="210"/>
      <c r="AU74" s="210"/>
      <c r="AV74" s="232"/>
      <c r="AW74" s="210"/>
      <c r="AX74" s="210"/>
      <c r="AY74" s="211"/>
      <c r="AZ74" s="210"/>
      <c r="BA74" s="210"/>
      <c r="BB74" s="210"/>
      <c r="BC74" s="210"/>
      <c r="BD74" s="210"/>
      <c r="BE74" s="232"/>
      <c r="BF74" s="210"/>
      <c r="BG74" s="210"/>
      <c r="BH74" s="211"/>
      <c r="BI74" s="210"/>
      <c r="BJ74" s="233"/>
      <c r="BK74" s="290"/>
      <c r="BM74" s="345"/>
      <c r="BN74" s="346"/>
    </row>
    <row r="75" spans="1:69" s="230" customFormat="1" ht="18" customHeight="1" thickBot="1">
      <c r="A75" s="227"/>
      <c r="B75" s="227" t="s">
        <v>246</v>
      </c>
      <c r="C75" s="279" t="s">
        <v>250</v>
      </c>
      <c r="D75" s="248"/>
      <c r="E75" s="251"/>
      <c r="F75" s="252"/>
      <c r="G75" s="248"/>
      <c r="H75" s="232"/>
      <c r="I75" s="210"/>
      <c r="J75" s="210"/>
      <c r="K75" s="210"/>
      <c r="L75" s="210"/>
      <c r="M75" s="232"/>
      <c r="N75" s="210"/>
      <c r="O75" s="210"/>
      <c r="P75" s="211"/>
      <c r="Q75" s="210"/>
      <c r="R75" s="210"/>
      <c r="S75" s="210"/>
      <c r="T75" s="210"/>
      <c r="U75" s="210"/>
      <c r="V75" s="232"/>
      <c r="W75" s="210"/>
      <c r="X75" s="210"/>
      <c r="Y75" s="211"/>
      <c r="Z75" s="210"/>
      <c r="AA75" s="210"/>
      <c r="AB75" s="210"/>
      <c r="AC75" s="210"/>
      <c r="AD75" s="210"/>
      <c r="AE75" s="232"/>
      <c r="AF75" s="210"/>
      <c r="AG75" s="210"/>
      <c r="AH75" s="211"/>
      <c r="AI75" s="210"/>
      <c r="AJ75" s="210"/>
      <c r="AK75" s="210"/>
      <c r="AL75" s="210"/>
      <c r="AM75" s="232"/>
      <c r="AN75" s="210"/>
      <c r="AO75" s="210"/>
      <c r="AP75" s="210"/>
      <c r="AQ75" s="211"/>
      <c r="AR75" s="210"/>
      <c r="AS75" s="210"/>
      <c r="AT75" s="210"/>
      <c r="AU75" s="210"/>
      <c r="AV75" s="232"/>
      <c r="AW75" s="210"/>
      <c r="AX75" s="210"/>
      <c r="AY75" s="211"/>
      <c r="AZ75" s="210"/>
      <c r="BA75" s="210"/>
      <c r="BB75" s="210"/>
      <c r="BC75" s="210"/>
      <c r="BD75" s="210"/>
      <c r="BE75" s="232"/>
      <c r="BF75" s="210"/>
      <c r="BG75" s="210"/>
      <c r="BH75" s="211"/>
      <c r="BI75" s="210"/>
      <c r="BJ75" s="233"/>
      <c r="BK75" s="290"/>
      <c r="BL75" s="229"/>
      <c r="BM75" s="347"/>
      <c r="BN75" s="348"/>
      <c r="BO75" s="227"/>
      <c r="BP75" s="227"/>
      <c r="BQ75" s="227"/>
    </row>
    <row r="76" spans="1:69" ht="18" customHeight="1" thickBot="1">
      <c r="C76" s="279"/>
      <c r="D76" s="281"/>
      <c r="E76" s="282"/>
      <c r="F76" s="282"/>
      <c r="G76" s="283"/>
      <c r="H76" s="449"/>
      <c r="I76" s="450"/>
      <c r="J76" s="450"/>
      <c r="K76" s="450"/>
      <c r="L76" s="451"/>
      <c r="M76" s="449"/>
      <c r="N76" s="450"/>
      <c r="O76" s="450"/>
      <c r="P76" s="451"/>
      <c r="Q76" s="449"/>
      <c r="R76" s="450"/>
      <c r="S76" s="450"/>
      <c r="T76" s="450"/>
      <c r="U76" s="451"/>
      <c r="V76" s="449"/>
      <c r="W76" s="450"/>
      <c r="X76" s="450"/>
      <c r="Y76" s="451"/>
      <c r="Z76" s="281"/>
      <c r="AA76" s="282"/>
      <c r="AB76" s="282"/>
      <c r="AC76" s="282"/>
      <c r="AD76" s="283"/>
      <c r="AE76" s="281"/>
      <c r="AF76" s="282"/>
      <c r="AG76" s="282"/>
      <c r="AH76" s="283"/>
      <c r="AI76" s="281"/>
      <c r="AJ76" s="282"/>
      <c r="AK76" s="282"/>
      <c r="AL76" s="283"/>
      <c r="AM76" s="281"/>
      <c r="AN76" s="282"/>
      <c r="AO76" s="282"/>
      <c r="AP76" s="282"/>
      <c r="AQ76" s="283"/>
      <c r="AR76" s="281"/>
      <c r="AS76" s="282"/>
      <c r="AT76" s="282"/>
      <c r="AU76" s="283"/>
      <c r="AV76" s="281"/>
      <c r="AW76" s="282"/>
      <c r="AX76" s="282"/>
      <c r="AY76" s="283"/>
      <c r="AZ76" s="281"/>
      <c r="BA76" s="282"/>
      <c r="BB76" s="282"/>
      <c r="BC76" s="282"/>
      <c r="BD76" s="283"/>
      <c r="BE76" s="281"/>
      <c r="BF76" s="282"/>
      <c r="BG76" s="282"/>
      <c r="BH76" s="283"/>
      <c r="BI76" s="283"/>
      <c r="BJ76" s="376"/>
      <c r="BK76" s="378">
        <v>0</v>
      </c>
      <c r="BL76" s="331">
        <v>0</v>
      </c>
      <c r="BM76" s="355"/>
      <c r="BN76" s="355"/>
    </row>
    <row r="77" spans="1:69" ht="18" customHeight="1" thickBot="1">
      <c r="D77" s="481" t="s">
        <v>129</v>
      </c>
      <c r="E77" s="482"/>
      <c r="F77" s="483"/>
      <c r="G77" s="482"/>
      <c r="H77" s="320"/>
      <c r="I77" s="326"/>
      <c r="J77" s="326"/>
      <c r="K77" s="326"/>
      <c r="L77" s="327"/>
      <c r="M77" s="328"/>
      <c r="N77" s="324"/>
      <c r="O77" s="324"/>
      <c r="P77" s="325"/>
      <c r="Q77" s="320"/>
      <c r="R77" s="326"/>
      <c r="S77" s="326"/>
      <c r="T77" s="326"/>
      <c r="U77" s="327"/>
      <c r="V77" s="324"/>
      <c r="W77" s="324"/>
      <c r="X77" s="324"/>
      <c r="Y77" s="324"/>
      <c r="Z77" s="328"/>
      <c r="AA77" s="326"/>
      <c r="AB77" s="326"/>
      <c r="AC77" s="326"/>
      <c r="AD77" s="327"/>
      <c r="AE77" s="324"/>
      <c r="AF77" s="324"/>
      <c r="AG77" s="324"/>
      <c r="AH77" s="324"/>
      <c r="AI77" s="328"/>
      <c r="AJ77" s="326"/>
      <c r="AK77" s="326"/>
      <c r="AL77" s="327"/>
      <c r="AM77" s="326"/>
      <c r="AN77" s="324"/>
      <c r="AO77" s="324"/>
      <c r="AP77" s="324"/>
      <c r="AQ77" s="324"/>
      <c r="AR77" s="328"/>
      <c r="AS77" s="326"/>
      <c r="AT77" s="326"/>
      <c r="AU77" s="327"/>
      <c r="AV77" s="324"/>
      <c r="AW77" s="324"/>
      <c r="AX77" s="324"/>
      <c r="AY77" s="324"/>
      <c r="AZ77" s="320"/>
      <c r="BA77" s="326"/>
      <c r="BB77" s="326"/>
      <c r="BC77" s="326"/>
      <c r="BD77" s="327"/>
      <c r="BE77" s="324"/>
      <c r="BF77" s="324"/>
      <c r="BG77" s="324"/>
      <c r="BH77" s="324"/>
      <c r="BI77" s="457"/>
      <c r="BJ77" s="453"/>
      <c r="BK77" s="458"/>
      <c r="BL77" s="231"/>
      <c r="BM77" s="353"/>
      <c r="BN77" s="353"/>
      <c r="BO77" s="230"/>
      <c r="BP77" s="230"/>
      <c r="BQ77" s="230"/>
    </row>
    <row r="78" spans="1:69" ht="18" customHeight="1">
      <c r="C78" s="279" t="s">
        <v>250</v>
      </c>
      <c r="D78" s="248"/>
      <c r="E78" s="249"/>
      <c r="F78" s="252"/>
      <c r="G78" s="253"/>
      <c r="H78" s="216"/>
      <c r="I78" s="218"/>
      <c r="J78" s="218"/>
      <c r="K78" s="218"/>
      <c r="L78" s="218"/>
      <c r="M78" s="216"/>
      <c r="N78" s="218"/>
      <c r="O78" s="218"/>
      <c r="P78" s="217"/>
      <c r="Q78" s="218"/>
      <c r="R78" s="218"/>
      <c r="S78" s="218"/>
      <c r="T78" s="218"/>
      <c r="U78" s="218"/>
      <c r="V78" s="216"/>
      <c r="W78" s="218"/>
      <c r="X78" s="218"/>
      <c r="Y78" s="217"/>
      <c r="Z78" s="218"/>
      <c r="AA78" s="218"/>
      <c r="AB78" s="218"/>
      <c r="AC78" s="218"/>
      <c r="AD78" s="218"/>
      <c r="AE78" s="216"/>
      <c r="AF78" s="218"/>
      <c r="AG78" s="218"/>
      <c r="AH78" s="217"/>
      <c r="AI78" s="218"/>
      <c r="AJ78" s="218"/>
      <c r="AK78" s="218"/>
      <c r="AL78" s="218"/>
      <c r="AM78" s="216"/>
      <c r="AN78" s="218"/>
      <c r="AO78" s="218"/>
      <c r="AP78" s="218"/>
      <c r="AQ78" s="217"/>
      <c r="AR78" s="218"/>
      <c r="AS78" s="218"/>
      <c r="AT78" s="218"/>
      <c r="AU78" s="218"/>
      <c r="AV78" s="216"/>
      <c r="AW78" s="218"/>
      <c r="AX78" s="218"/>
      <c r="AY78" s="217"/>
      <c r="AZ78" s="218"/>
      <c r="BA78" s="218"/>
      <c r="BB78" s="218"/>
      <c r="BC78" s="218"/>
      <c r="BD78" s="218"/>
      <c r="BE78" s="216"/>
      <c r="BF78" s="218"/>
      <c r="BG78" s="218"/>
      <c r="BH78" s="217"/>
      <c r="BI78" s="210"/>
      <c r="BJ78" s="212"/>
      <c r="BK78" s="290"/>
      <c r="BM78" s="354"/>
      <c r="BN78" s="354"/>
    </row>
    <row r="79" spans="1:69" ht="18" customHeight="1">
      <c r="C79" s="279" t="s">
        <v>250</v>
      </c>
      <c r="D79" s="262"/>
      <c r="E79" s="263"/>
      <c r="F79" s="252"/>
      <c r="G79" s="262"/>
      <c r="H79" s="226"/>
      <c r="I79" s="210"/>
      <c r="J79" s="210"/>
      <c r="K79" s="210"/>
      <c r="L79" s="210"/>
      <c r="M79" s="226"/>
      <c r="N79" s="210"/>
      <c r="O79" s="210"/>
      <c r="P79" s="211"/>
      <c r="Q79" s="210"/>
      <c r="R79" s="210"/>
      <c r="S79" s="210"/>
      <c r="T79" s="210"/>
      <c r="U79" s="210"/>
      <c r="V79" s="226"/>
      <c r="W79" s="210"/>
      <c r="X79" s="210"/>
      <c r="Y79" s="211"/>
      <c r="Z79" s="210"/>
      <c r="AA79" s="210"/>
      <c r="AB79" s="210"/>
      <c r="AC79" s="210"/>
      <c r="AD79" s="210"/>
      <c r="AE79" s="226"/>
      <c r="AF79" s="210"/>
      <c r="AG79" s="210"/>
      <c r="AH79" s="211"/>
      <c r="AI79" s="210"/>
      <c r="AJ79" s="210"/>
      <c r="AK79" s="210"/>
      <c r="AL79" s="210"/>
      <c r="AM79" s="226"/>
      <c r="AN79" s="210"/>
      <c r="AO79" s="210"/>
      <c r="AP79" s="210"/>
      <c r="AQ79" s="211"/>
      <c r="AR79" s="210"/>
      <c r="AS79" s="210"/>
      <c r="AT79" s="210"/>
      <c r="AU79" s="210"/>
      <c r="AV79" s="226"/>
      <c r="AW79" s="210"/>
      <c r="AX79" s="210"/>
      <c r="AY79" s="211"/>
      <c r="AZ79" s="210"/>
      <c r="BA79" s="210"/>
      <c r="BB79" s="210"/>
      <c r="BC79" s="210"/>
      <c r="BD79" s="210"/>
      <c r="BE79" s="226"/>
      <c r="BF79" s="210"/>
      <c r="BG79" s="210"/>
      <c r="BH79" s="211"/>
      <c r="BI79" s="210"/>
      <c r="BJ79" s="284"/>
      <c r="BK79" s="290"/>
      <c r="BM79" s="354"/>
      <c r="BN79" s="354"/>
    </row>
    <row r="80" spans="1:69" ht="18" customHeight="1">
      <c r="C80" s="279" t="s">
        <v>250</v>
      </c>
      <c r="D80" s="262"/>
      <c r="E80" s="263"/>
      <c r="F80" s="252"/>
      <c r="G80" s="262"/>
      <c r="H80" s="226"/>
      <c r="I80" s="210"/>
      <c r="J80" s="210"/>
      <c r="K80" s="210"/>
      <c r="L80" s="210"/>
      <c r="M80" s="226"/>
      <c r="N80" s="210"/>
      <c r="O80" s="210"/>
      <c r="P80" s="211"/>
      <c r="Q80" s="210"/>
      <c r="R80" s="210"/>
      <c r="S80" s="210"/>
      <c r="T80" s="210"/>
      <c r="U80" s="210"/>
      <c r="V80" s="226"/>
      <c r="W80" s="210"/>
      <c r="X80" s="210"/>
      <c r="Y80" s="211"/>
      <c r="Z80" s="210"/>
      <c r="AA80" s="210"/>
      <c r="AB80" s="210"/>
      <c r="AC80" s="210"/>
      <c r="AD80" s="210"/>
      <c r="AE80" s="226"/>
      <c r="AF80" s="210"/>
      <c r="AG80" s="210"/>
      <c r="AH80" s="211"/>
      <c r="AI80" s="210"/>
      <c r="AJ80" s="210"/>
      <c r="AK80" s="210"/>
      <c r="AL80" s="210"/>
      <c r="AM80" s="226"/>
      <c r="AN80" s="210"/>
      <c r="AO80" s="210"/>
      <c r="AP80" s="210"/>
      <c r="AQ80" s="211"/>
      <c r="AR80" s="210"/>
      <c r="AS80" s="210"/>
      <c r="AT80" s="210"/>
      <c r="AU80" s="210"/>
      <c r="AV80" s="226"/>
      <c r="AW80" s="210"/>
      <c r="AX80" s="210"/>
      <c r="AY80" s="211"/>
      <c r="AZ80" s="210"/>
      <c r="BA80" s="210"/>
      <c r="BB80" s="210"/>
      <c r="BC80" s="210"/>
      <c r="BD80" s="210"/>
      <c r="BE80" s="226"/>
      <c r="BF80" s="210"/>
      <c r="BG80" s="210"/>
      <c r="BH80" s="211"/>
      <c r="BI80" s="210"/>
      <c r="BJ80" s="284"/>
      <c r="BK80" s="290"/>
      <c r="BM80" s="354"/>
      <c r="BN80" s="354"/>
    </row>
    <row r="81" spans="1:69" ht="18" customHeight="1">
      <c r="C81" s="279" t="s">
        <v>250</v>
      </c>
      <c r="D81" s="248"/>
      <c r="E81" s="251"/>
      <c r="F81" s="252"/>
      <c r="G81" s="248"/>
      <c r="H81" s="232"/>
      <c r="I81" s="210"/>
      <c r="J81" s="210"/>
      <c r="K81" s="210"/>
      <c r="L81" s="210"/>
      <c r="M81" s="232"/>
      <c r="N81" s="210"/>
      <c r="O81" s="210"/>
      <c r="P81" s="211"/>
      <c r="Q81" s="210"/>
      <c r="R81" s="210"/>
      <c r="S81" s="210"/>
      <c r="T81" s="210"/>
      <c r="U81" s="210"/>
      <c r="V81" s="232"/>
      <c r="W81" s="210"/>
      <c r="X81" s="210"/>
      <c r="Y81" s="211"/>
      <c r="Z81" s="210"/>
      <c r="AA81" s="210"/>
      <c r="AB81" s="210"/>
      <c r="AC81" s="210"/>
      <c r="AD81" s="210"/>
      <c r="AE81" s="232"/>
      <c r="AF81" s="210"/>
      <c r="AG81" s="210"/>
      <c r="AH81" s="211"/>
      <c r="AI81" s="210"/>
      <c r="AJ81" s="210"/>
      <c r="AK81" s="210"/>
      <c r="AL81" s="210"/>
      <c r="AM81" s="232"/>
      <c r="AN81" s="210"/>
      <c r="AO81" s="210"/>
      <c r="AP81" s="210"/>
      <c r="AQ81" s="211"/>
      <c r="AR81" s="210"/>
      <c r="AS81" s="210"/>
      <c r="AT81" s="210"/>
      <c r="AU81" s="210"/>
      <c r="AV81" s="232"/>
      <c r="AW81" s="210"/>
      <c r="AX81" s="210"/>
      <c r="AY81" s="211"/>
      <c r="AZ81" s="210"/>
      <c r="BA81" s="210"/>
      <c r="BB81" s="210"/>
      <c r="BC81" s="210"/>
      <c r="BD81" s="210"/>
      <c r="BE81" s="232"/>
      <c r="BF81" s="210"/>
      <c r="BG81" s="210"/>
      <c r="BH81" s="211"/>
      <c r="BI81" s="210"/>
      <c r="BJ81" s="233"/>
      <c r="BK81" s="290"/>
      <c r="BM81" s="354"/>
      <c r="BN81" s="354"/>
    </row>
    <row r="82" spans="1:69" s="230" customFormat="1" ht="18" customHeight="1" thickBot="1">
      <c r="A82" s="227"/>
      <c r="B82" s="227"/>
      <c r="C82" s="279" t="s">
        <v>250</v>
      </c>
      <c r="D82" s="248"/>
      <c r="E82" s="251"/>
      <c r="F82" s="252"/>
      <c r="G82" s="248"/>
      <c r="H82" s="232"/>
      <c r="I82" s="210"/>
      <c r="J82" s="210"/>
      <c r="K82" s="210"/>
      <c r="L82" s="210"/>
      <c r="M82" s="232"/>
      <c r="N82" s="210"/>
      <c r="O82" s="210"/>
      <c r="P82" s="211"/>
      <c r="Q82" s="210"/>
      <c r="R82" s="210"/>
      <c r="S82" s="210"/>
      <c r="T82" s="210"/>
      <c r="U82" s="210"/>
      <c r="V82" s="232"/>
      <c r="W82" s="210"/>
      <c r="X82" s="210"/>
      <c r="Y82" s="211"/>
      <c r="Z82" s="210"/>
      <c r="AA82" s="210"/>
      <c r="AB82" s="210"/>
      <c r="AC82" s="210"/>
      <c r="AD82" s="210"/>
      <c r="AE82" s="232"/>
      <c r="AF82" s="210"/>
      <c r="AG82" s="210"/>
      <c r="AH82" s="211"/>
      <c r="AI82" s="210"/>
      <c r="AJ82" s="210"/>
      <c r="AK82" s="210"/>
      <c r="AL82" s="210"/>
      <c r="AM82" s="232"/>
      <c r="AN82" s="210"/>
      <c r="AO82" s="210"/>
      <c r="AP82" s="210"/>
      <c r="AQ82" s="211"/>
      <c r="AR82" s="210"/>
      <c r="AS82" s="210"/>
      <c r="AT82" s="210"/>
      <c r="AU82" s="210"/>
      <c r="AV82" s="232"/>
      <c r="AW82" s="210"/>
      <c r="AX82" s="210"/>
      <c r="AY82" s="211"/>
      <c r="AZ82" s="210"/>
      <c r="BA82" s="210"/>
      <c r="BB82" s="210"/>
      <c r="BC82" s="210"/>
      <c r="BD82" s="210"/>
      <c r="BE82" s="232"/>
      <c r="BF82" s="210"/>
      <c r="BG82" s="210"/>
      <c r="BH82" s="211"/>
      <c r="BI82" s="210"/>
      <c r="BJ82" s="233"/>
      <c r="BK82" s="290"/>
      <c r="BL82" s="229"/>
      <c r="BM82" s="354"/>
      <c r="BN82" s="354"/>
      <c r="BO82" s="227"/>
      <c r="BP82" s="227"/>
      <c r="BQ82" s="227"/>
    </row>
    <row r="83" spans="1:69" ht="18" customHeight="1" thickBot="1">
      <c r="C83" s="279"/>
      <c r="D83" s="281"/>
      <c r="E83" s="282"/>
      <c r="F83" s="282"/>
      <c r="G83" s="283"/>
      <c r="H83" s="449"/>
      <c r="I83" s="450"/>
      <c r="J83" s="450"/>
      <c r="K83" s="450"/>
      <c r="L83" s="451"/>
      <c r="M83" s="449"/>
      <c r="N83" s="450"/>
      <c r="O83" s="450"/>
      <c r="P83" s="451"/>
      <c r="Q83" s="449"/>
      <c r="R83" s="450"/>
      <c r="S83" s="450"/>
      <c r="T83" s="450"/>
      <c r="U83" s="451"/>
      <c r="V83" s="449"/>
      <c r="W83" s="450"/>
      <c r="X83" s="450"/>
      <c r="Y83" s="451"/>
      <c r="Z83" s="281"/>
      <c r="AA83" s="282"/>
      <c r="AB83" s="282"/>
      <c r="AC83" s="282"/>
      <c r="AD83" s="283"/>
      <c r="AE83" s="281"/>
      <c r="AF83" s="282"/>
      <c r="AG83" s="282"/>
      <c r="AH83" s="283"/>
      <c r="AI83" s="281"/>
      <c r="AJ83" s="282"/>
      <c r="AK83" s="282"/>
      <c r="AL83" s="283"/>
      <c r="AM83" s="281"/>
      <c r="AN83" s="282"/>
      <c r="AO83" s="282"/>
      <c r="AP83" s="282"/>
      <c r="AQ83" s="283"/>
      <c r="AR83" s="281"/>
      <c r="AS83" s="282"/>
      <c r="AT83" s="282"/>
      <c r="AU83" s="283"/>
      <c r="AV83" s="281"/>
      <c r="AW83" s="282"/>
      <c r="AX83" s="282"/>
      <c r="AY83" s="283"/>
      <c r="AZ83" s="281"/>
      <c r="BA83" s="282"/>
      <c r="BB83" s="282"/>
      <c r="BC83" s="282"/>
      <c r="BD83" s="283"/>
      <c r="BE83" s="281"/>
      <c r="BF83" s="282"/>
      <c r="BG83" s="282"/>
      <c r="BH83" s="283"/>
      <c r="BI83" s="283"/>
      <c r="BJ83" s="376"/>
      <c r="BK83" s="378">
        <v>0</v>
      </c>
      <c r="BL83" s="247">
        <v>0</v>
      </c>
      <c r="BM83" s="447"/>
      <c r="BN83" s="448"/>
    </row>
    <row r="84" spans="1:69" ht="18" customHeight="1" thickBot="1">
      <c r="D84" s="481" t="s">
        <v>136</v>
      </c>
      <c r="E84" s="482"/>
      <c r="F84" s="483"/>
      <c r="G84" s="482"/>
      <c r="H84" s="320"/>
      <c r="I84" s="326"/>
      <c r="J84" s="326"/>
      <c r="K84" s="326"/>
      <c r="L84" s="327"/>
      <c r="M84" s="328"/>
      <c r="N84" s="324"/>
      <c r="O84" s="324"/>
      <c r="P84" s="325"/>
      <c r="Q84" s="320"/>
      <c r="R84" s="326"/>
      <c r="S84" s="326"/>
      <c r="T84" s="326"/>
      <c r="U84" s="327"/>
      <c r="V84" s="324"/>
      <c r="W84" s="324"/>
      <c r="X84" s="324"/>
      <c r="Y84" s="324"/>
      <c r="Z84" s="328"/>
      <c r="AA84" s="326"/>
      <c r="AB84" s="326"/>
      <c r="AC84" s="326"/>
      <c r="AD84" s="327"/>
      <c r="AE84" s="324"/>
      <c r="AF84" s="324"/>
      <c r="AG84" s="324"/>
      <c r="AH84" s="324"/>
      <c r="AI84" s="328"/>
      <c r="AJ84" s="326"/>
      <c r="AK84" s="326"/>
      <c r="AL84" s="327"/>
      <c r="AM84" s="326"/>
      <c r="AN84" s="324"/>
      <c r="AO84" s="324"/>
      <c r="AP84" s="324"/>
      <c r="AQ84" s="324"/>
      <c r="AR84" s="328"/>
      <c r="AS84" s="326"/>
      <c r="AT84" s="326"/>
      <c r="AU84" s="327"/>
      <c r="AV84" s="324"/>
      <c r="AW84" s="324"/>
      <c r="AX84" s="324"/>
      <c r="AY84" s="324"/>
      <c r="AZ84" s="320"/>
      <c r="BA84" s="326"/>
      <c r="BB84" s="326"/>
      <c r="BC84" s="326"/>
      <c r="BD84" s="327"/>
      <c r="BE84" s="324"/>
      <c r="BF84" s="324"/>
      <c r="BG84" s="324"/>
      <c r="BH84" s="324"/>
      <c r="BI84" s="457"/>
      <c r="BJ84" s="453"/>
      <c r="BK84" s="458"/>
      <c r="BL84" s="231"/>
      <c r="BM84" s="329" t="s">
        <v>258</v>
      </c>
      <c r="BN84" s="330" t="s">
        <v>259</v>
      </c>
      <c r="BO84" s="230"/>
      <c r="BP84" s="230"/>
      <c r="BQ84" s="230"/>
    </row>
    <row r="85" spans="1:69" ht="18" customHeight="1">
      <c r="B85" s="227" t="s">
        <v>246</v>
      </c>
      <c r="C85" s="279" t="s">
        <v>250</v>
      </c>
      <c r="D85" s="254"/>
      <c r="E85" s="255"/>
      <c r="F85" s="256"/>
      <c r="G85" s="257"/>
      <c r="H85" s="216"/>
      <c r="I85" s="218"/>
      <c r="J85" s="218"/>
      <c r="K85" s="218"/>
      <c r="L85" s="218"/>
      <c r="M85" s="216"/>
      <c r="N85" s="218"/>
      <c r="O85" s="218"/>
      <c r="P85" s="217"/>
      <c r="Q85" s="218"/>
      <c r="R85" s="218"/>
      <c r="S85" s="218"/>
      <c r="T85" s="218"/>
      <c r="U85" s="218"/>
      <c r="V85" s="216"/>
      <c r="W85" s="218"/>
      <c r="X85" s="218"/>
      <c r="Y85" s="217"/>
      <c r="Z85" s="218"/>
      <c r="AA85" s="218"/>
      <c r="AB85" s="218"/>
      <c r="AC85" s="218"/>
      <c r="AD85" s="218"/>
      <c r="AE85" s="216"/>
      <c r="AF85" s="218"/>
      <c r="AG85" s="218"/>
      <c r="AH85" s="217"/>
      <c r="AI85" s="218"/>
      <c r="AJ85" s="218"/>
      <c r="AK85" s="218"/>
      <c r="AL85" s="218"/>
      <c r="AM85" s="216"/>
      <c r="AN85" s="218"/>
      <c r="AO85" s="218"/>
      <c r="AP85" s="218"/>
      <c r="AQ85" s="217"/>
      <c r="AR85" s="218"/>
      <c r="AS85" s="218"/>
      <c r="AT85" s="218"/>
      <c r="AU85" s="218"/>
      <c r="AV85" s="216"/>
      <c r="AW85" s="218"/>
      <c r="AX85" s="218"/>
      <c r="AY85" s="217"/>
      <c r="AZ85" s="218"/>
      <c r="BA85" s="218"/>
      <c r="BB85" s="218"/>
      <c r="BC85" s="218"/>
      <c r="BD85" s="218"/>
      <c r="BE85" s="216"/>
      <c r="BF85" s="218"/>
      <c r="BG85" s="218"/>
      <c r="BH85" s="217"/>
      <c r="BI85" s="235"/>
      <c r="BJ85" s="234"/>
      <c r="BK85" s="236"/>
      <c r="BM85" s="343"/>
      <c r="BN85" s="344"/>
    </row>
    <row r="86" spans="1:69" ht="18" customHeight="1">
      <c r="B86" s="227" t="s">
        <v>246</v>
      </c>
      <c r="C86" s="279" t="s">
        <v>250</v>
      </c>
      <c r="D86" s="254"/>
      <c r="E86" s="258"/>
      <c r="F86" s="256"/>
      <c r="G86" s="254"/>
      <c r="H86" s="232"/>
      <c r="I86" s="210"/>
      <c r="J86" s="210"/>
      <c r="K86" s="210"/>
      <c r="L86" s="210"/>
      <c r="M86" s="232"/>
      <c r="N86" s="210"/>
      <c r="O86" s="210"/>
      <c r="P86" s="211"/>
      <c r="Q86" s="210"/>
      <c r="R86" s="210"/>
      <c r="S86" s="210"/>
      <c r="T86" s="210"/>
      <c r="U86" s="210"/>
      <c r="V86" s="232"/>
      <c r="W86" s="210"/>
      <c r="X86" s="210"/>
      <c r="Y86" s="211"/>
      <c r="Z86" s="210"/>
      <c r="AA86" s="210"/>
      <c r="AB86" s="210"/>
      <c r="AC86" s="210"/>
      <c r="AD86" s="210"/>
      <c r="AE86" s="232"/>
      <c r="AF86" s="210"/>
      <c r="AG86" s="210"/>
      <c r="AH86" s="211"/>
      <c r="AI86" s="210"/>
      <c r="AJ86" s="210"/>
      <c r="AK86" s="210"/>
      <c r="AL86" s="210"/>
      <c r="AM86" s="232"/>
      <c r="AN86" s="210"/>
      <c r="AO86" s="210"/>
      <c r="AP86" s="210"/>
      <c r="AQ86" s="211"/>
      <c r="AR86" s="210"/>
      <c r="AS86" s="210"/>
      <c r="AT86" s="210"/>
      <c r="AU86" s="210"/>
      <c r="AV86" s="232"/>
      <c r="AW86" s="210"/>
      <c r="AX86" s="210"/>
      <c r="AY86" s="211"/>
      <c r="AZ86" s="210"/>
      <c r="BA86" s="210"/>
      <c r="BB86" s="210"/>
      <c r="BC86" s="210"/>
      <c r="BD86" s="210"/>
      <c r="BE86" s="232"/>
      <c r="BF86" s="210"/>
      <c r="BG86" s="210"/>
      <c r="BH86" s="211"/>
      <c r="BI86" s="235"/>
      <c r="BJ86" s="237"/>
      <c r="BK86" s="236"/>
      <c r="BM86" s="345"/>
      <c r="BN86" s="346"/>
    </row>
    <row r="87" spans="1:69" ht="18" customHeight="1">
      <c r="B87" s="227" t="s">
        <v>246</v>
      </c>
      <c r="C87" s="279" t="s">
        <v>250</v>
      </c>
      <c r="D87" s="254"/>
      <c r="E87" s="258"/>
      <c r="F87" s="256"/>
      <c r="G87" s="254"/>
      <c r="H87" s="232"/>
      <c r="I87" s="210"/>
      <c r="J87" s="210"/>
      <c r="K87" s="210"/>
      <c r="L87" s="210"/>
      <c r="M87" s="232"/>
      <c r="N87" s="210"/>
      <c r="O87" s="210"/>
      <c r="P87" s="211"/>
      <c r="Q87" s="210"/>
      <c r="R87" s="210"/>
      <c r="S87" s="210"/>
      <c r="T87" s="210"/>
      <c r="U87" s="210"/>
      <c r="V87" s="232"/>
      <c r="W87" s="210"/>
      <c r="X87" s="210"/>
      <c r="Y87" s="211"/>
      <c r="Z87" s="210"/>
      <c r="AA87" s="210"/>
      <c r="AB87" s="210"/>
      <c r="AC87" s="210"/>
      <c r="AD87" s="210"/>
      <c r="AE87" s="232"/>
      <c r="AF87" s="210"/>
      <c r="AG87" s="210"/>
      <c r="AH87" s="211"/>
      <c r="AI87" s="210"/>
      <c r="AJ87" s="210"/>
      <c r="AK87" s="210"/>
      <c r="AL87" s="210"/>
      <c r="AM87" s="232"/>
      <c r="AN87" s="210"/>
      <c r="AO87" s="210"/>
      <c r="AP87" s="210"/>
      <c r="AQ87" s="211"/>
      <c r="AR87" s="210"/>
      <c r="AS87" s="210"/>
      <c r="AT87" s="210"/>
      <c r="AU87" s="210"/>
      <c r="AV87" s="232"/>
      <c r="AW87" s="210"/>
      <c r="AX87" s="210"/>
      <c r="AY87" s="211"/>
      <c r="AZ87" s="210"/>
      <c r="BA87" s="210"/>
      <c r="BB87" s="210"/>
      <c r="BC87" s="210"/>
      <c r="BD87" s="210"/>
      <c r="BE87" s="232"/>
      <c r="BF87" s="210"/>
      <c r="BG87" s="210"/>
      <c r="BH87" s="211"/>
      <c r="BI87" s="235"/>
      <c r="BJ87" s="237"/>
      <c r="BK87" s="236"/>
      <c r="BM87" s="345"/>
      <c r="BN87" s="346"/>
    </row>
    <row r="88" spans="1:69" ht="18" customHeight="1">
      <c r="B88" s="227" t="s">
        <v>246</v>
      </c>
      <c r="C88" s="279" t="s">
        <v>250</v>
      </c>
      <c r="D88" s="254"/>
      <c r="E88" s="258"/>
      <c r="F88" s="256"/>
      <c r="G88" s="254"/>
      <c r="H88" s="232"/>
      <c r="I88" s="210"/>
      <c r="J88" s="210"/>
      <c r="K88" s="210"/>
      <c r="L88" s="210"/>
      <c r="M88" s="232"/>
      <c r="N88" s="210"/>
      <c r="O88" s="210"/>
      <c r="P88" s="211"/>
      <c r="Q88" s="210"/>
      <c r="R88" s="210"/>
      <c r="S88" s="210"/>
      <c r="T88" s="210"/>
      <c r="U88" s="210"/>
      <c r="V88" s="232"/>
      <c r="W88" s="210"/>
      <c r="X88" s="210"/>
      <c r="Y88" s="211"/>
      <c r="Z88" s="210"/>
      <c r="AA88" s="210"/>
      <c r="AB88" s="210"/>
      <c r="AC88" s="210"/>
      <c r="AD88" s="210"/>
      <c r="AE88" s="232"/>
      <c r="AF88" s="210"/>
      <c r="AG88" s="210"/>
      <c r="AH88" s="211"/>
      <c r="AI88" s="210"/>
      <c r="AJ88" s="210"/>
      <c r="AK88" s="210"/>
      <c r="AL88" s="210"/>
      <c r="AM88" s="232"/>
      <c r="AN88" s="210"/>
      <c r="AO88" s="210"/>
      <c r="AP88" s="210"/>
      <c r="AQ88" s="211"/>
      <c r="AR88" s="210"/>
      <c r="AS88" s="210"/>
      <c r="AT88" s="210"/>
      <c r="AU88" s="210"/>
      <c r="AV88" s="232"/>
      <c r="AW88" s="210"/>
      <c r="AX88" s="210"/>
      <c r="AY88" s="211"/>
      <c r="AZ88" s="210"/>
      <c r="BA88" s="210"/>
      <c r="BB88" s="210"/>
      <c r="BC88" s="210"/>
      <c r="BD88" s="210"/>
      <c r="BE88" s="232"/>
      <c r="BF88" s="210"/>
      <c r="BG88" s="210"/>
      <c r="BH88" s="211"/>
      <c r="BI88" s="235"/>
      <c r="BJ88" s="237"/>
      <c r="BK88" s="236"/>
      <c r="BM88" s="345"/>
      <c r="BN88" s="346"/>
    </row>
    <row r="89" spans="1:69" ht="18" customHeight="1">
      <c r="B89" s="227" t="s">
        <v>246</v>
      </c>
      <c r="C89" s="279" t="s">
        <v>250</v>
      </c>
      <c r="D89" s="254"/>
      <c r="E89" s="258"/>
      <c r="F89" s="256"/>
      <c r="G89" s="254"/>
      <c r="H89" s="232"/>
      <c r="I89" s="210"/>
      <c r="J89" s="210"/>
      <c r="K89" s="210"/>
      <c r="L89" s="210"/>
      <c r="M89" s="232"/>
      <c r="N89" s="210"/>
      <c r="O89" s="210"/>
      <c r="P89" s="211"/>
      <c r="Q89" s="210"/>
      <c r="R89" s="210"/>
      <c r="S89" s="210"/>
      <c r="T89" s="210"/>
      <c r="U89" s="210"/>
      <c r="V89" s="232"/>
      <c r="W89" s="210"/>
      <c r="X89" s="210"/>
      <c r="Y89" s="211"/>
      <c r="Z89" s="210"/>
      <c r="AA89" s="210"/>
      <c r="AB89" s="210"/>
      <c r="AC89" s="210"/>
      <c r="AD89" s="210"/>
      <c r="AE89" s="232"/>
      <c r="AF89" s="210"/>
      <c r="AG89" s="210"/>
      <c r="AH89" s="211"/>
      <c r="AI89" s="210"/>
      <c r="AJ89" s="210"/>
      <c r="AK89" s="210"/>
      <c r="AL89" s="210"/>
      <c r="AM89" s="232"/>
      <c r="AN89" s="210"/>
      <c r="AO89" s="210"/>
      <c r="AP89" s="210"/>
      <c r="AQ89" s="211"/>
      <c r="AR89" s="210"/>
      <c r="AS89" s="210"/>
      <c r="AT89" s="210"/>
      <c r="AU89" s="210"/>
      <c r="AV89" s="232"/>
      <c r="AW89" s="210"/>
      <c r="AX89" s="210"/>
      <c r="AY89" s="211"/>
      <c r="AZ89" s="210"/>
      <c r="BA89" s="210"/>
      <c r="BB89" s="210"/>
      <c r="BC89" s="210"/>
      <c r="BD89" s="210"/>
      <c r="BE89" s="232"/>
      <c r="BF89" s="210"/>
      <c r="BG89" s="210"/>
      <c r="BH89" s="211"/>
      <c r="BI89" s="235"/>
      <c r="BJ89" s="237"/>
      <c r="BK89" s="236"/>
      <c r="BM89" s="345"/>
      <c r="BN89" s="346"/>
    </row>
    <row r="90" spans="1:69" ht="18" customHeight="1">
      <c r="B90" s="227" t="s">
        <v>246</v>
      </c>
      <c r="C90" s="279" t="s">
        <v>250</v>
      </c>
      <c r="D90" s="254"/>
      <c r="E90" s="258"/>
      <c r="F90" s="256"/>
      <c r="G90" s="254"/>
      <c r="H90" s="232"/>
      <c r="I90" s="210"/>
      <c r="J90" s="210"/>
      <c r="K90" s="210"/>
      <c r="L90" s="210"/>
      <c r="M90" s="232"/>
      <c r="N90" s="210"/>
      <c r="O90" s="210"/>
      <c r="P90" s="211"/>
      <c r="Q90" s="210"/>
      <c r="R90" s="210"/>
      <c r="S90" s="210"/>
      <c r="T90" s="210"/>
      <c r="U90" s="210"/>
      <c r="V90" s="232"/>
      <c r="W90" s="210"/>
      <c r="X90" s="210"/>
      <c r="Y90" s="211"/>
      <c r="Z90" s="210"/>
      <c r="AA90" s="210"/>
      <c r="AB90" s="210"/>
      <c r="AC90" s="210"/>
      <c r="AD90" s="210"/>
      <c r="AE90" s="232"/>
      <c r="AF90" s="210"/>
      <c r="AG90" s="210"/>
      <c r="AH90" s="211"/>
      <c r="AI90" s="210"/>
      <c r="AJ90" s="210"/>
      <c r="AK90" s="210"/>
      <c r="AL90" s="210"/>
      <c r="AM90" s="232"/>
      <c r="AN90" s="210"/>
      <c r="AO90" s="210"/>
      <c r="AP90" s="210"/>
      <c r="AQ90" s="211"/>
      <c r="AR90" s="210"/>
      <c r="AS90" s="210"/>
      <c r="AT90" s="210"/>
      <c r="AU90" s="210"/>
      <c r="AV90" s="232"/>
      <c r="AW90" s="210"/>
      <c r="AX90" s="210"/>
      <c r="AY90" s="211"/>
      <c r="AZ90" s="210"/>
      <c r="BA90" s="210"/>
      <c r="BB90" s="210"/>
      <c r="BC90" s="210"/>
      <c r="BD90" s="210"/>
      <c r="BE90" s="232"/>
      <c r="BF90" s="210"/>
      <c r="BG90" s="210"/>
      <c r="BH90" s="211"/>
      <c r="BI90" s="235"/>
      <c r="BJ90" s="237"/>
      <c r="BK90" s="236"/>
      <c r="BM90" s="345"/>
      <c r="BN90" s="346"/>
    </row>
    <row r="91" spans="1:69" ht="18" customHeight="1" thickBot="1">
      <c r="B91" s="227" t="s">
        <v>246</v>
      </c>
      <c r="C91" s="279" t="s">
        <v>250</v>
      </c>
      <c r="D91" s="254"/>
      <c r="E91" s="258"/>
      <c r="F91" s="256"/>
      <c r="G91" s="254"/>
      <c r="H91" s="232"/>
      <c r="I91" s="210"/>
      <c r="J91" s="210"/>
      <c r="K91" s="210"/>
      <c r="L91" s="210"/>
      <c r="M91" s="232"/>
      <c r="N91" s="210"/>
      <c r="O91" s="210"/>
      <c r="P91" s="211"/>
      <c r="Q91" s="210"/>
      <c r="R91" s="210"/>
      <c r="S91" s="210"/>
      <c r="T91" s="210"/>
      <c r="U91" s="210"/>
      <c r="V91" s="232"/>
      <c r="W91" s="210"/>
      <c r="X91" s="210"/>
      <c r="Y91" s="211"/>
      <c r="Z91" s="210"/>
      <c r="AA91" s="210"/>
      <c r="AB91" s="210"/>
      <c r="AC91" s="210"/>
      <c r="AD91" s="210"/>
      <c r="AE91" s="232"/>
      <c r="AF91" s="210"/>
      <c r="AG91" s="210"/>
      <c r="AH91" s="211"/>
      <c r="AI91" s="210"/>
      <c r="AJ91" s="210"/>
      <c r="AK91" s="210"/>
      <c r="AL91" s="210"/>
      <c r="AM91" s="232"/>
      <c r="AN91" s="210"/>
      <c r="AO91" s="210"/>
      <c r="AP91" s="210"/>
      <c r="AQ91" s="211"/>
      <c r="AR91" s="210"/>
      <c r="AS91" s="210"/>
      <c r="AT91" s="210"/>
      <c r="AU91" s="210"/>
      <c r="AV91" s="232"/>
      <c r="AW91" s="210"/>
      <c r="AX91" s="210"/>
      <c r="AY91" s="211"/>
      <c r="AZ91" s="210"/>
      <c r="BA91" s="210"/>
      <c r="BB91" s="210"/>
      <c r="BC91" s="210"/>
      <c r="BD91" s="210"/>
      <c r="BE91" s="232"/>
      <c r="BF91" s="210"/>
      <c r="BG91" s="210"/>
      <c r="BH91" s="211"/>
      <c r="BI91" s="235"/>
      <c r="BJ91" s="237"/>
      <c r="BK91" s="236"/>
      <c r="BM91" s="347"/>
      <c r="BN91" s="348"/>
    </row>
    <row r="92" spans="1:69" ht="18" customHeight="1" thickBot="1">
      <c r="D92" s="213"/>
      <c r="E92" s="214"/>
      <c r="F92" s="214"/>
      <c r="G92" s="215"/>
      <c r="H92" s="449"/>
      <c r="I92" s="450"/>
      <c r="J92" s="450"/>
      <c r="K92" s="450"/>
      <c r="L92" s="451"/>
      <c r="M92" s="449"/>
      <c r="N92" s="450"/>
      <c r="O92" s="450"/>
      <c r="P92" s="451"/>
      <c r="Q92" s="449"/>
      <c r="R92" s="450"/>
      <c r="S92" s="450"/>
      <c r="T92" s="450"/>
      <c r="U92" s="451"/>
      <c r="V92" s="449"/>
      <c r="W92" s="450"/>
      <c r="X92" s="450"/>
      <c r="Y92" s="451"/>
      <c r="Z92" s="213"/>
      <c r="AA92" s="214"/>
      <c r="AB92" s="214"/>
      <c r="AC92" s="214"/>
      <c r="AD92" s="215"/>
      <c r="AE92" s="213"/>
      <c r="AF92" s="214"/>
      <c r="AG92" s="214"/>
      <c r="AH92" s="215"/>
      <c r="AI92" s="213"/>
      <c r="AJ92" s="214"/>
      <c r="AK92" s="214"/>
      <c r="AL92" s="215"/>
      <c r="AM92" s="213"/>
      <c r="AN92" s="214"/>
      <c r="AO92" s="214"/>
      <c r="AP92" s="214"/>
      <c r="AQ92" s="215"/>
      <c r="AR92" s="213"/>
      <c r="AS92" s="214"/>
      <c r="AT92" s="214"/>
      <c r="AU92" s="215"/>
      <c r="AV92" s="213"/>
      <c r="AW92" s="214"/>
      <c r="AX92" s="214"/>
      <c r="AY92" s="215"/>
      <c r="AZ92" s="213"/>
      <c r="BA92" s="214"/>
      <c r="BB92" s="214"/>
      <c r="BC92" s="214"/>
      <c r="BD92" s="215"/>
      <c r="BE92" s="213"/>
      <c r="BF92" s="214"/>
      <c r="BG92" s="214"/>
      <c r="BH92" s="215"/>
      <c r="BI92" s="215"/>
      <c r="BJ92" s="376"/>
      <c r="BK92" s="378">
        <f>SUM(BK85:BK91)</f>
        <v>0</v>
      </c>
      <c r="BL92" s="247">
        <v>0</v>
      </c>
    </row>
    <row r="93" spans="1:69" ht="18" customHeight="1" thickBot="1">
      <c r="BJ93" s="238" t="s">
        <v>242</v>
      </c>
      <c r="BK93" s="239">
        <v>0</v>
      </c>
    </row>
    <row r="94" spans="1:69" ht="18.75" customHeight="1" thickBot="1">
      <c r="BK94" s="240"/>
    </row>
    <row r="95" spans="1:69" ht="18" customHeight="1" thickBot="1">
      <c r="BJ95" s="241" t="s">
        <v>235</v>
      </c>
      <c r="BK95" s="242">
        <v>0</v>
      </c>
    </row>
    <row r="96" spans="1:69" ht="18" customHeight="1" thickBot="1">
      <c r="BJ96" s="243" t="s">
        <v>243</v>
      </c>
      <c r="BK96" s="244">
        <v>0</v>
      </c>
    </row>
    <row r="97" spans="62:63" ht="18" customHeight="1" thickBot="1">
      <c r="BJ97" s="245" t="s">
        <v>4</v>
      </c>
      <c r="BK97" s="246">
        <f>+presupuesto-Total-comision</f>
        <v>0</v>
      </c>
    </row>
    <row r="98" spans="62:63" ht="18" customHeight="1"/>
    <row r="99" spans="62:63" ht="18" customHeight="1"/>
    <row r="100" spans="62:63" ht="18" customHeight="1"/>
    <row r="101" spans="62:63" ht="18" customHeight="1"/>
    <row r="102" spans="62:63" ht="18" customHeight="1"/>
    <row r="103" spans="62:63" ht="18" customHeight="1"/>
    <row r="104" spans="62:63" ht="18" customHeight="1"/>
  </sheetData>
  <sheetProtection sheet="1" objects="1" scenarios="1"/>
  <mergeCells count="98">
    <mergeCell ref="BM20:BN20"/>
    <mergeCell ref="BM13:BN13"/>
    <mergeCell ref="BM55:BN55"/>
    <mergeCell ref="BM48:BN48"/>
    <mergeCell ref="BM41:BN41"/>
    <mergeCell ref="BM34:BN34"/>
    <mergeCell ref="BM27:BN27"/>
    <mergeCell ref="H92:L92"/>
    <mergeCell ref="M92:P92"/>
    <mergeCell ref="Q92:U92"/>
    <mergeCell ref="V92:Y92"/>
    <mergeCell ref="D84:G84"/>
    <mergeCell ref="BI84:BK84"/>
    <mergeCell ref="D42:G42"/>
    <mergeCell ref="BI42:BK42"/>
    <mergeCell ref="D49:G49"/>
    <mergeCell ref="BI49:BK49"/>
    <mergeCell ref="D63:G63"/>
    <mergeCell ref="BI63:BK63"/>
    <mergeCell ref="D70:G70"/>
    <mergeCell ref="BI70:BK70"/>
    <mergeCell ref="D77:G77"/>
    <mergeCell ref="BI77:BK77"/>
    <mergeCell ref="D56:G56"/>
    <mergeCell ref="BI56:BK56"/>
    <mergeCell ref="H55:L55"/>
    <mergeCell ref="M55:P55"/>
    <mergeCell ref="Q55:U55"/>
    <mergeCell ref="D21:G21"/>
    <mergeCell ref="BI21:BK21"/>
    <mergeCell ref="D28:G28"/>
    <mergeCell ref="BI28:BK28"/>
    <mergeCell ref="D35:G35"/>
    <mergeCell ref="BI35:BK35"/>
    <mergeCell ref="H34:L34"/>
    <mergeCell ref="M34:P34"/>
    <mergeCell ref="Q34:U34"/>
    <mergeCell ref="V34:Y34"/>
    <mergeCell ref="H9:BH9"/>
    <mergeCell ref="H10:L11"/>
    <mergeCell ref="M10:P11"/>
    <mergeCell ref="Q10:U11"/>
    <mergeCell ref="AI10:AL11"/>
    <mergeCell ref="AM10:AQ11"/>
    <mergeCell ref="AV10:AY11"/>
    <mergeCell ref="AZ10:BD11"/>
    <mergeCell ref="BI14:BK14"/>
    <mergeCell ref="D14:G14"/>
    <mergeCell ref="BJ12:BJ13"/>
    <mergeCell ref="BI10:BK11"/>
    <mergeCell ref="BK12:BK13"/>
    <mergeCell ref="V10:Y11"/>
    <mergeCell ref="Z10:AD11"/>
    <mergeCell ref="AE10:AH11"/>
    <mergeCell ref="D12:D13"/>
    <mergeCell ref="E12:E13"/>
    <mergeCell ref="F12:F13"/>
    <mergeCell ref="G12:G13"/>
    <mergeCell ref="BI12:BI13"/>
    <mergeCell ref="AR10:AU11"/>
    <mergeCell ref="BE10:BH11"/>
    <mergeCell ref="D10:G11"/>
    <mergeCell ref="H20:L20"/>
    <mergeCell ref="M20:P20"/>
    <mergeCell ref="Q20:U20"/>
    <mergeCell ref="V20:Y20"/>
    <mergeCell ref="H27:L27"/>
    <mergeCell ref="M27:P27"/>
    <mergeCell ref="Q27:U27"/>
    <mergeCell ref="V27:Y27"/>
    <mergeCell ref="H41:L41"/>
    <mergeCell ref="M41:P41"/>
    <mergeCell ref="Q41:U41"/>
    <mergeCell ref="V41:Y41"/>
    <mergeCell ref="H48:L48"/>
    <mergeCell ref="M48:P48"/>
    <mergeCell ref="Q48:U48"/>
    <mergeCell ref="V48:Y48"/>
    <mergeCell ref="V55:Y55"/>
    <mergeCell ref="H62:L62"/>
    <mergeCell ref="M62:P62"/>
    <mergeCell ref="Q62:U62"/>
    <mergeCell ref="V62:Y62"/>
    <mergeCell ref="BM83:BN83"/>
    <mergeCell ref="BM69:BN69"/>
    <mergeCell ref="BM62:BN62"/>
    <mergeCell ref="H83:L83"/>
    <mergeCell ref="M83:P83"/>
    <mergeCell ref="Q83:U83"/>
    <mergeCell ref="V83:Y83"/>
    <mergeCell ref="H69:L69"/>
    <mergeCell ref="M69:P69"/>
    <mergeCell ref="Q69:U69"/>
    <mergeCell ref="V69:Y69"/>
    <mergeCell ref="H76:L76"/>
    <mergeCell ref="M76:P76"/>
    <mergeCell ref="Q76:U76"/>
    <mergeCell ref="V76:Y76"/>
  </mergeCell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14017" r:id="rId4" name="Button 1">
              <controlPr defaultSize="0" print="0" autoFill="0" autoPict="0" macro="[0]!calular_comision">
                <anchor moveWithCells="1">
                  <from>
                    <xdr:col>63</xdr:col>
                    <xdr:colOff>200025</xdr:colOff>
                    <xdr:row>93</xdr:row>
                    <xdr:rowOff>228600</xdr:rowOff>
                  </from>
                  <to>
                    <xdr:col>64</xdr:col>
                    <xdr:colOff>1019175</xdr:colOff>
                    <xdr:row>96</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'1 lista'!$D$2:$D$3</xm:f>
          </x14:formula1>
          <xm:sqref>B85:B91 B71:B76 B15:B69</xm:sqref>
        </x14:dataValidation>
        <x14:dataValidation type="list" allowBlank="1" showInputMessage="1" showErrorMessage="1">
          <x14:formula1>
            <xm:f>'1 lista'!$D$6:$D$8</xm:f>
          </x14:formula1>
          <xm:sqref>C71:C76 C78:C83 C85:C91 C15:C69</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tabColor rgb="FFC00000"/>
  </sheetPr>
  <dimension ref="A1:CA108"/>
  <sheetViews>
    <sheetView showGridLines="0" zoomScale="80" zoomScaleNormal="80" workbookViewId="0">
      <pane xSplit="7" ySplit="13" topLeftCell="BE89" activePane="bottomRight" state="frozen"/>
      <selection pane="topRight" activeCell="H1" sqref="H1"/>
      <selection pane="bottomLeft" activeCell="A14" sqref="A14"/>
      <selection pane="bottomRight" activeCell="AA67" sqref="AA67"/>
    </sheetView>
  </sheetViews>
  <sheetFormatPr defaultColWidth="11.42578125" defaultRowHeight="12.75"/>
  <cols>
    <col min="1" max="1" width="3.42578125" style="227" customWidth="1"/>
    <col min="2" max="2" width="4.7109375" style="227" customWidth="1"/>
    <col min="3" max="3" width="9.85546875" style="227" customWidth="1"/>
    <col min="4" max="4" width="30.42578125" style="227" customWidth="1"/>
    <col min="5" max="5" width="30.140625" style="227" customWidth="1"/>
    <col min="6" max="6" width="31.85546875" style="227" customWidth="1"/>
    <col min="7" max="7" width="24" style="227" customWidth="1"/>
    <col min="8" max="8" width="3.5703125" style="227" customWidth="1"/>
    <col min="9" max="60" width="4.28515625" style="227" customWidth="1"/>
    <col min="61" max="61" width="11.28515625" style="227" customWidth="1"/>
    <col min="62" max="63" width="24.5703125" style="227" customWidth="1"/>
    <col min="64" max="64" width="5.85546875" style="229" customWidth="1"/>
    <col min="65" max="66" width="20.7109375" style="227" customWidth="1"/>
    <col min="67" max="67" width="17.140625" style="227" customWidth="1"/>
    <col min="68" max="16384" width="11.42578125" style="227"/>
  </cols>
  <sheetData>
    <row r="1" spans="1:79" ht="18" customHeight="1">
      <c r="I1" s="228"/>
      <c r="J1" s="228"/>
      <c r="K1" s="228"/>
      <c r="L1" s="228"/>
      <c r="M1" s="228"/>
      <c r="N1" s="228"/>
      <c r="O1" s="228"/>
      <c r="P1" s="228"/>
      <c r="Q1" s="228"/>
      <c r="R1" s="228"/>
      <c r="S1" s="228"/>
      <c r="T1" s="228"/>
      <c r="U1" s="228"/>
      <c r="V1" s="228" t="str">
        <f>TEXT(C1,"DD") &amp;" al "&amp;TEXT(D1,"DD")</f>
        <v>00 al 00</v>
      </c>
      <c r="W1" s="228">
        <f>WEEKNUM(C1,1)</f>
        <v>0</v>
      </c>
      <c r="X1" s="228">
        <f>WEEKNUM(D1,1)</f>
        <v>0</v>
      </c>
      <c r="Y1" s="228"/>
      <c r="Z1" s="228"/>
      <c r="AA1" s="228"/>
      <c r="AB1" s="228"/>
      <c r="AC1" s="228"/>
      <c r="AD1" s="228"/>
      <c r="AE1" s="228"/>
      <c r="AF1" s="228"/>
      <c r="AG1" s="228"/>
      <c r="AH1" s="228"/>
      <c r="AI1" s="228"/>
      <c r="AJ1" s="228"/>
      <c r="AK1" s="228"/>
      <c r="AL1" s="228"/>
      <c r="AM1" s="228"/>
      <c r="AN1" s="228"/>
      <c r="AO1" s="228"/>
      <c r="AP1" s="228"/>
      <c r="AQ1" s="228"/>
      <c r="AR1" s="228"/>
      <c r="AS1" s="228"/>
      <c r="AT1" s="228"/>
      <c r="AU1" s="228"/>
      <c r="AV1" s="228"/>
      <c r="AW1" s="228"/>
      <c r="AX1" s="228"/>
      <c r="AY1" s="228"/>
      <c r="AZ1" s="228"/>
      <c r="BA1" s="228"/>
      <c r="BB1" s="228"/>
      <c r="BC1" s="228"/>
      <c r="BD1" s="228"/>
      <c r="BE1" s="228"/>
      <c r="BF1" s="228"/>
      <c r="BG1" s="228"/>
      <c r="BH1" s="228"/>
    </row>
    <row r="2" spans="1:79" ht="18" customHeight="1">
      <c r="E2" s="230" t="s">
        <v>6</v>
      </c>
      <c r="F2" s="230" t="s">
        <v>294</v>
      </c>
      <c r="V2" s="227" t="str">
        <f>TEXT(C2,"DD") &amp;" al "&amp;TEXT(D2,"DD")</f>
        <v>00 al 00</v>
      </c>
      <c r="W2" s="227">
        <f>WEEKNUM(C2,1)</f>
        <v>0</v>
      </c>
      <c r="X2" s="227">
        <f>WEEKNUM(D2,1)</f>
        <v>0</v>
      </c>
    </row>
    <row r="3" spans="1:79" ht="18" customHeight="1">
      <c r="E3" s="230" t="s">
        <v>8</v>
      </c>
      <c r="F3" s="230" t="s">
        <v>295</v>
      </c>
      <c r="V3" s="227" t="str">
        <f>TEXT(C3,"DD") &amp;" al "&amp;TEXT(D3,"DD")</f>
        <v>00 al 00</v>
      </c>
      <c r="W3" s="227">
        <f>WEEKNUM(C3,1)</f>
        <v>0</v>
      </c>
      <c r="X3" s="227">
        <f>WEEKNUM(D3,1)</f>
        <v>0</v>
      </c>
      <c r="BK3" s="227" t="s">
        <v>66</v>
      </c>
    </row>
    <row r="4" spans="1:79" ht="18" customHeight="1">
      <c r="E4" s="230" t="s">
        <v>236</v>
      </c>
      <c r="F4" s="230" t="s">
        <v>295</v>
      </c>
      <c r="V4" s="227" t="str">
        <f>TEXT(C4,"DD") &amp;" al "&amp;TEXT(D4,"DD")</f>
        <v>00 al 00</v>
      </c>
      <c r="W4" s="227">
        <f>WEEKNUM(C4,1)</f>
        <v>0</v>
      </c>
      <c r="X4" s="227">
        <f>WEEKNUM(D4,1)</f>
        <v>0</v>
      </c>
    </row>
    <row r="5" spans="1:79" ht="18" customHeight="1">
      <c r="E5" s="230" t="s">
        <v>237</v>
      </c>
      <c r="F5" s="230" t="s">
        <v>293</v>
      </c>
    </row>
    <row r="6" spans="1:79" ht="18" customHeight="1">
      <c r="E6" s="230" t="s">
        <v>238</v>
      </c>
      <c r="F6" s="230" t="s">
        <v>296</v>
      </c>
    </row>
    <row r="7" spans="1:79" ht="18" customHeight="1">
      <c r="E7" s="230" t="s">
        <v>239</v>
      </c>
      <c r="F7" s="230" t="s">
        <v>297</v>
      </c>
    </row>
    <row r="8" spans="1:79" s="230" customFormat="1" ht="18" customHeight="1" thickBot="1">
      <c r="A8" s="227"/>
      <c r="B8" s="227"/>
      <c r="C8" s="227"/>
      <c r="D8" s="227"/>
      <c r="G8" s="227"/>
      <c r="H8" s="227"/>
      <c r="I8" s="227"/>
      <c r="J8" s="227"/>
      <c r="K8" s="227"/>
      <c r="L8" s="227"/>
      <c r="M8" s="227"/>
      <c r="N8" s="227"/>
      <c r="O8" s="227"/>
      <c r="P8" s="227"/>
      <c r="Q8" s="227"/>
      <c r="R8" s="227"/>
      <c r="S8" s="227"/>
      <c r="T8" s="227"/>
      <c r="U8" s="227"/>
      <c r="V8" s="227"/>
      <c r="W8" s="227"/>
      <c r="X8" s="227"/>
      <c r="Y8" s="227"/>
      <c r="Z8" s="227"/>
      <c r="AA8" s="227"/>
      <c r="AB8" s="227"/>
      <c r="AC8" s="227"/>
      <c r="AD8" s="227"/>
      <c r="AE8" s="227"/>
      <c r="AF8" s="227"/>
      <c r="AG8" s="227"/>
      <c r="AH8" s="227"/>
      <c r="AI8" s="227"/>
      <c r="AJ8" s="227"/>
      <c r="AK8" s="227"/>
      <c r="AL8" s="227"/>
      <c r="AM8" s="227"/>
      <c r="AN8" s="227"/>
      <c r="AO8" s="227"/>
      <c r="AP8" s="227"/>
      <c r="AQ8" s="227"/>
      <c r="AR8" s="227"/>
      <c r="AS8" s="227"/>
      <c r="AT8" s="227"/>
      <c r="AU8" s="227"/>
      <c r="AV8" s="227"/>
      <c r="AW8" s="227"/>
      <c r="AX8" s="227"/>
      <c r="AY8" s="227"/>
      <c r="AZ8" s="227"/>
      <c r="BA8" s="227"/>
      <c r="BB8" s="227"/>
      <c r="BC8" s="227"/>
      <c r="BD8" s="227"/>
      <c r="BE8" s="227"/>
      <c r="BF8" s="227"/>
      <c r="BG8" s="227"/>
      <c r="BH8" s="227"/>
      <c r="BI8" s="227"/>
      <c r="BJ8" s="227"/>
      <c r="BK8" s="227"/>
      <c r="BL8" s="229"/>
      <c r="BM8" s="227"/>
      <c r="BN8" s="227"/>
      <c r="BO8" s="227" t="s">
        <v>157</v>
      </c>
      <c r="BP8" s="227" t="s">
        <v>148</v>
      </c>
      <c r="BQ8" s="227" t="s">
        <v>112</v>
      </c>
      <c r="BR8" s="227" t="s">
        <v>28</v>
      </c>
      <c r="BS8" s="227" t="s">
        <v>21</v>
      </c>
      <c r="BT8" s="227" t="s">
        <v>22</v>
      </c>
      <c r="BU8" s="227" t="s">
        <v>31</v>
      </c>
      <c r="BV8" s="227" t="s">
        <v>32</v>
      </c>
      <c r="BW8" s="227" t="s">
        <v>33</v>
      </c>
      <c r="BX8" s="227" t="s">
        <v>26</v>
      </c>
      <c r="BY8" s="227" t="s">
        <v>27</v>
      </c>
      <c r="BZ8" s="227" t="s">
        <v>25</v>
      </c>
      <c r="CA8" s="227" t="s">
        <v>29</v>
      </c>
    </row>
    <row r="9" spans="1:79" s="230" customFormat="1" ht="18" customHeight="1" thickBot="1">
      <c r="A9" s="227"/>
      <c r="B9" s="227"/>
      <c r="C9" s="227"/>
      <c r="D9" s="227"/>
      <c r="G9" s="227"/>
      <c r="H9" s="470">
        <f>+AE13</f>
        <v>42891</v>
      </c>
      <c r="I9" s="471"/>
      <c r="J9" s="471"/>
      <c r="K9" s="471"/>
      <c r="L9" s="471"/>
      <c r="M9" s="471"/>
      <c r="N9" s="471"/>
      <c r="O9" s="471"/>
      <c r="P9" s="471"/>
      <c r="Q9" s="471"/>
      <c r="R9" s="471"/>
      <c r="S9" s="471"/>
      <c r="T9" s="471"/>
      <c r="U9" s="471"/>
      <c r="V9" s="471"/>
      <c r="W9" s="471"/>
      <c r="X9" s="471"/>
      <c r="Y9" s="471"/>
      <c r="Z9" s="471"/>
      <c r="AA9" s="471"/>
      <c r="AB9" s="471"/>
      <c r="AC9" s="471"/>
      <c r="AD9" s="471"/>
      <c r="AE9" s="471"/>
      <c r="AF9" s="471"/>
      <c r="AG9" s="471"/>
      <c r="AH9" s="471"/>
      <c r="AI9" s="471"/>
      <c r="AJ9" s="471"/>
      <c r="AK9" s="471"/>
      <c r="AL9" s="471"/>
      <c r="AM9" s="471"/>
      <c r="AN9" s="471"/>
      <c r="AO9" s="471"/>
      <c r="AP9" s="471"/>
      <c r="AQ9" s="471"/>
      <c r="AR9" s="471"/>
      <c r="AS9" s="471"/>
      <c r="AT9" s="471"/>
      <c r="AU9" s="471"/>
      <c r="AV9" s="471"/>
      <c r="AW9" s="471"/>
      <c r="AX9" s="471"/>
      <c r="AY9" s="471"/>
      <c r="AZ9" s="471"/>
      <c r="BA9" s="471"/>
      <c r="BB9" s="471"/>
      <c r="BC9" s="471"/>
      <c r="BD9" s="471"/>
      <c r="BE9" s="471"/>
      <c r="BF9" s="471"/>
      <c r="BG9" s="471"/>
      <c r="BH9" s="472"/>
      <c r="BI9" s="227"/>
      <c r="BJ9" s="227"/>
      <c r="BK9" s="227"/>
      <c r="BL9" s="229"/>
      <c r="BM9" s="227"/>
      <c r="BN9" s="227"/>
      <c r="BO9" s="227" t="s">
        <v>34</v>
      </c>
      <c r="BP9" s="227">
        <v>0</v>
      </c>
      <c r="BQ9" s="227">
        <v>0</v>
      </c>
      <c r="BR9" s="227">
        <v>0</v>
      </c>
      <c r="BS9" s="227">
        <v>0</v>
      </c>
      <c r="BT9" s="227">
        <v>0</v>
      </c>
      <c r="BU9" s="227">
        <v>0</v>
      </c>
      <c r="BV9" s="227">
        <v>0</v>
      </c>
      <c r="BW9" s="227">
        <v>0</v>
      </c>
      <c r="BX9" s="227">
        <v>0</v>
      </c>
      <c r="BY9" s="227">
        <v>0</v>
      </c>
      <c r="BZ9" s="227">
        <v>0</v>
      </c>
      <c r="CA9" s="227">
        <v>0</v>
      </c>
    </row>
    <row r="10" spans="1:79" s="206" customFormat="1" ht="18" customHeight="1" thickBot="1">
      <c r="A10" s="227"/>
      <c r="B10" s="227"/>
      <c r="C10" s="227"/>
      <c r="D10" s="464"/>
      <c r="E10" s="465"/>
      <c r="F10" s="465"/>
      <c r="G10" s="466"/>
      <c r="H10" s="473" t="s">
        <v>148</v>
      </c>
      <c r="I10" s="474"/>
      <c r="J10" s="474"/>
      <c r="K10" s="474"/>
      <c r="L10" s="475"/>
      <c r="M10" s="473" t="s">
        <v>112</v>
      </c>
      <c r="N10" s="474"/>
      <c r="O10" s="474"/>
      <c r="P10" s="475"/>
      <c r="Q10" s="474" t="s">
        <v>28</v>
      </c>
      <c r="R10" s="474"/>
      <c r="S10" s="474"/>
      <c r="T10" s="474"/>
      <c r="U10" s="479"/>
      <c r="V10" s="461" t="s">
        <v>21</v>
      </c>
      <c r="W10" s="461"/>
      <c r="X10" s="461"/>
      <c r="Y10" s="461"/>
      <c r="Z10" s="461" t="s">
        <v>22</v>
      </c>
      <c r="AA10" s="461"/>
      <c r="AB10" s="461"/>
      <c r="AC10" s="462"/>
      <c r="AD10" s="462"/>
      <c r="AE10" s="462" t="s">
        <v>31</v>
      </c>
      <c r="AF10" s="462"/>
      <c r="AG10" s="462"/>
      <c r="AH10" s="462"/>
      <c r="AI10" s="473" t="s">
        <v>32</v>
      </c>
      <c r="AJ10" s="474"/>
      <c r="AK10" s="474"/>
      <c r="AL10" s="475"/>
      <c r="AM10" s="474" t="s">
        <v>33</v>
      </c>
      <c r="AN10" s="474"/>
      <c r="AO10" s="474"/>
      <c r="AP10" s="474"/>
      <c r="AQ10" s="479"/>
      <c r="AR10" s="461" t="s">
        <v>26</v>
      </c>
      <c r="AS10" s="461"/>
      <c r="AT10" s="461"/>
      <c r="AU10" s="461"/>
      <c r="AV10" s="480" t="s">
        <v>27</v>
      </c>
      <c r="AW10" s="474"/>
      <c r="AX10" s="474"/>
      <c r="AY10" s="474"/>
      <c r="AZ10" s="473" t="s">
        <v>25</v>
      </c>
      <c r="BA10" s="474"/>
      <c r="BB10" s="474"/>
      <c r="BC10" s="474"/>
      <c r="BD10" s="475"/>
      <c r="BE10" s="461" t="s">
        <v>29</v>
      </c>
      <c r="BF10" s="461"/>
      <c r="BG10" s="461"/>
      <c r="BH10" s="461"/>
      <c r="BI10" s="460"/>
      <c r="BJ10" s="460"/>
      <c r="BK10" s="460"/>
      <c r="BL10" s="231"/>
      <c r="BM10" s="230"/>
      <c r="BN10" s="230"/>
      <c r="BO10" s="227" t="s">
        <v>47</v>
      </c>
      <c r="BP10" s="227">
        <v>0</v>
      </c>
      <c r="BQ10" s="227">
        <v>0</v>
      </c>
      <c r="BR10" s="206">
        <v>0</v>
      </c>
      <c r="BS10" s="227">
        <v>0</v>
      </c>
      <c r="BT10" s="206">
        <v>0</v>
      </c>
      <c r="BU10" s="206">
        <v>0</v>
      </c>
      <c r="BV10" s="206">
        <v>0</v>
      </c>
      <c r="BW10" s="206">
        <v>0</v>
      </c>
      <c r="BX10" s="206">
        <v>0</v>
      </c>
      <c r="BY10" s="206">
        <v>0</v>
      </c>
      <c r="BZ10" s="206">
        <v>0</v>
      </c>
      <c r="CA10" s="206">
        <v>0</v>
      </c>
    </row>
    <row r="11" spans="1:79" s="206" customFormat="1" ht="18" customHeight="1" thickBot="1">
      <c r="A11" s="227"/>
      <c r="B11" s="227"/>
      <c r="C11" s="227"/>
      <c r="D11" s="467"/>
      <c r="E11" s="468"/>
      <c r="F11" s="468"/>
      <c r="G11" s="469"/>
      <c r="H11" s="476"/>
      <c r="I11" s="477"/>
      <c r="J11" s="477"/>
      <c r="K11" s="477"/>
      <c r="L11" s="478"/>
      <c r="M11" s="476"/>
      <c r="N11" s="477"/>
      <c r="O11" s="477"/>
      <c r="P11" s="478"/>
      <c r="Q11" s="477"/>
      <c r="R11" s="477"/>
      <c r="S11" s="477"/>
      <c r="T11" s="477"/>
      <c r="U11" s="478"/>
      <c r="V11" s="461"/>
      <c r="W11" s="461"/>
      <c r="X11" s="461"/>
      <c r="Y11" s="461"/>
      <c r="Z11" s="461"/>
      <c r="AA11" s="461"/>
      <c r="AB11" s="461"/>
      <c r="AC11" s="461"/>
      <c r="AD11" s="461"/>
      <c r="AE11" s="461"/>
      <c r="AF11" s="461"/>
      <c r="AG11" s="461"/>
      <c r="AH11" s="461"/>
      <c r="AI11" s="476"/>
      <c r="AJ11" s="477"/>
      <c r="AK11" s="477"/>
      <c r="AL11" s="478"/>
      <c r="AM11" s="477"/>
      <c r="AN11" s="477"/>
      <c r="AO11" s="477"/>
      <c r="AP11" s="477"/>
      <c r="AQ11" s="478"/>
      <c r="AR11" s="461"/>
      <c r="AS11" s="461"/>
      <c r="AT11" s="461"/>
      <c r="AU11" s="461"/>
      <c r="AV11" s="476"/>
      <c r="AW11" s="477"/>
      <c r="AX11" s="477"/>
      <c r="AY11" s="477"/>
      <c r="AZ11" s="476"/>
      <c r="BA11" s="477"/>
      <c r="BB11" s="477"/>
      <c r="BC11" s="477"/>
      <c r="BD11" s="478"/>
      <c r="BE11" s="461"/>
      <c r="BF11" s="461"/>
      <c r="BG11" s="461"/>
      <c r="BH11" s="461"/>
      <c r="BI11" s="460"/>
      <c r="BJ11" s="460"/>
      <c r="BK11" s="460"/>
      <c r="BL11" s="231"/>
      <c r="BM11" s="230"/>
      <c r="BN11" s="230"/>
      <c r="BO11" s="227" t="s">
        <v>2</v>
      </c>
      <c r="BP11" s="227">
        <v>0</v>
      </c>
      <c r="BQ11" s="227">
        <v>0</v>
      </c>
      <c r="BR11" s="206">
        <v>0</v>
      </c>
      <c r="BS11" s="206">
        <v>0</v>
      </c>
      <c r="BT11" s="206">
        <v>0</v>
      </c>
      <c r="BU11" s="206">
        <v>0</v>
      </c>
      <c r="BV11" s="206">
        <v>0</v>
      </c>
      <c r="BW11" s="206">
        <v>0</v>
      </c>
      <c r="BX11" s="206">
        <v>0</v>
      </c>
      <c r="BY11" s="206">
        <v>0</v>
      </c>
      <c r="BZ11" s="206">
        <v>0</v>
      </c>
      <c r="CA11" s="206">
        <v>0</v>
      </c>
    </row>
    <row r="12" spans="1:79" s="230" customFormat="1" ht="18" customHeight="1" thickBot="1">
      <c r="A12" s="206"/>
      <c r="B12" s="206"/>
      <c r="C12" s="206"/>
      <c r="D12" s="459" t="s">
        <v>0</v>
      </c>
      <c r="E12" s="459" t="s">
        <v>1</v>
      </c>
      <c r="F12" s="459" t="s">
        <v>7</v>
      </c>
      <c r="G12" s="463" t="s">
        <v>5</v>
      </c>
      <c r="H12" s="202" t="s">
        <v>20</v>
      </c>
      <c r="I12" s="203" t="s">
        <v>20</v>
      </c>
      <c r="J12" s="203" t="s">
        <v>20</v>
      </c>
      <c r="K12" s="203" t="s">
        <v>20</v>
      </c>
      <c r="L12" s="204" t="s">
        <v>20</v>
      </c>
      <c r="M12" s="202" t="s">
        <v>20</v>
      </c>
      <c r="N12" s="203" t="s">
        <v>20</v>
      </c>
      <c r="O12" s="203" t="s">
        <v>20</v>
      </c>
      <c r="P12" s="204" t="s">
        <v>20</v>
      </c>
      <c r="Q12" s="202" t="s">
        <v>20</v>
      </c>
      <c r="R12" s="203" t="s">
        <v>20</v>
      </c>
      <c r="S12" s="203" t="s">
        <v>20</v>
      </c>
      <c r="T12" s="203" t="s">
        <v>20</v>
      </c>
      <c r="U12" s="204" t="s">
        <v>20</v>
      </c>
      <c r="V12" s="202" t="s">
        <v>20</v>
      </c>
      <c r="W12" s="203" t="s">
        <v>20</v>
      </c>
      <c r="X12" s="203" t="s">
        <v>20</v>
      </c>
      <c r="Y12" s="204" t="s">
        <v>20</v>
      </c>
      <c r="Z12" s="202" t="s">
        <v>20</v>
      </c>
      <c r="AA12" s="203" t="s">
        <v>20</v>
      </c>
      <c r="AB12" s="203" t="s">
        <v>20</v>
      </c>
      <c r="AC12" s="203" t="s">
        <v>20</v>
      </c>
      <c r="AD12" s="204" t="s">
        <v>20</v>
      </c>
      <c r="AE12" s="202" t="s">
        <v>20</v>
      </c>
      <c r="AF12" s="203" t="s">
        <v>20</v>
      </c>
      <c r="AG12" s="203" t="s">
        <v>20</v>
      </c>
      <c r="AH12" s="204" t="s">
        <v>20</v>
      </c>
      <c r="AI12" s="202" t="s">
        <v>20</v>
      </c>
      <c r="AJ12" s="203" t="s">
        <v>20</v>
      </c>
      <c r="AK12" s="203" t="s">
        <v>20</v>
      </c>
      <c r="AL12" s="204" t="s">
        <v>20</v>
      </c>
      <c r="AM12" s="202" t="s">
        <v>20</v>
      </c>
      <c r="AN12" s="203" t="s">
        <v>20</v>
      </c>
      <c r="AO12" s="203" t="s">
        <v>20</v>
      </c>
      <c r="AP12" s="203" t="s">
        <v>20</v>
      </c>
      <c r="AQ12" s="204" t="s">
        <v>20</v>
      </c>
      <c r="AR12" s="202" t="s">
        <v>20</v>
      </c>
      <c r="AS12" s="203" t="s">
        <v>20</v>
      </c>
      <c r="AT12" s="203" t="s">
        <v>20</v>
      </c>
      <c r="AU12" s="204" t="s">
        <v>20</v>
      </c>
      <c r="AV12" s="202" t="s">
        <v>20</v>
      </c>
      <c r="AW12" s="203" t="s">
        <v>20</v>
      </c>
      <c r="AX12" s="203" t="s">
        <v>20</v>
      </c>
      <c r="AY12" s="204" t="s">
        <v>20</v>
      </c>
      <c r="AZ12" s="202" t="s">
        <v>20</v>
      </c>
      <c r="BA12" s="203" t="s">
        <v>20</v>
      </c>
      <c r="BB12" s="203" t="s">
        <v>20</v>
      </c>
      <c r="BC12" s="203" t="s">
        <v>20</v>
      </c>
      <c r="BD12" s="204" t="s">
        <v>20</v>
      </c>
      <c r="BE12" s="202" t="s">
        <v>20</v>
      </c>
      <c r="BF12" s="203" t="s">
        <v>20</v>
      </c>
      <c r="BG12" s="203" t="s">
        <v>20</v>
      </c>
      <c r="BH12" s="204" t="s">
        <v>20</v>
      </c>
      <c r="BI12" s="459" t="s">
        <v>23</v>
      </c>
      <c r="BJ12" s="459" t="s">
        <v>241</v>
      </c>
      <c r="BK12" s="459" t="s">
        <v>240</v>
      </c>
      <c r="BL12" s="205"/>
      <c r="BM12" s="206"/>
      <c r="BN12" s="206"/>
      <c r="BO12" s="206" t="s">
        <v>24</v>
      </c>
      <c r="BP12" s="206">
        <v>0</v>
      </c>
      <c r="BQ12" s="206">
        <v>0</v>
      </c>
      <c r="BR12" s="227">
        <v>0</v>
      </c>
      <c r="BS12" s="227">
        <v>0</v>
      </c>
      <c r="BT12" s="227">
        <v>0</v>
      </c>
      <c r="BU12" s="227">
        <v>0</v>
      </c>
      <c r="BV12" s="227">
        <v>0</v>
      </c>
      <c r="BW12" s="227">
        <v>0</v>
      </c>
      <c r="BX12" s="227">
        <v>0</v>
      </c>
      <c r="BY12" s="227">
        <v>0</v>
      </c>
      <c r="BZ12" s="227">
        <v>0</v>
      </c>
      <c r="CA12" s="227">
        <v>0</v>
      </c>
    </row>
    <row r="13" spans="1:79" ht="18" customHeight="1" thickBot="1">
      <c r="A13" s="206"/>
      <c r="B13" s="206"/>
      <c r="C13" s="206"/>
      <c r="D13" s="459"/>
      <c r="E13" s="459"/>
      <c r="F13" s="459"/>
      <c r="G13" s="463"/>
      <c r="H13" s="207">
        <v>42730</v>
      </c>
      <c r="I13" s="208">
        <f>+H13+7</f>
        <v>42737</v>
      </c>
      <c r="J13" s="208">
        <f>+I13+7</f>
        <v>42744</v>
      </c>
      <c r="K13" s="208">
        <f t="shared" ref="K13:BH13" si="0">+J13+7</f>
        <v>42751</v>
      </c>
      <c r="L13" s="209">
        <f t="shared" si="0"/>
        <v>42758</v>
      </c>
      <c r="M13" s="207">
        <f t="shared" si="0"/>
        <v>42765</v>
      </c>
      <c r="N13" s="208">
        <f t="shared" si="0"/>
        <v>42772</v>
      </c>
      <c r="O13" s="208">
        <f t="shared" si="0"/>
        <v>42779</v>
      </c>
      <c r="P13" s="209">
        <f t="shared" si="0"/>
        <v>42786</v>
      </c>
      <c r="Q13" s="207">
        <f t="shared" si="0"/>
        <v>42793</v>
      </c>
      <c r="R13" s="208">
        <f t="shared" si="0"/>
        <v>42800</v>
      </c>
      <c r="S13" s="208">
        <f t="shared" si="0"/>
        <v>42807</v>
      </c>
      <c r="T13" s="208">
        <f t="shared" si="0"/>
        <v>42814</v>
      </c>
      <c r="U13" s="209">
        <f t="shared" si="0"/>
        <v>42821</v>
      </c>
      <c r="V13" s="207">
        <f t="shared" si="0"/>
        <v>42828</v>
      </c>
      <c r="W13" s="208">
        <f t="shared" si="0"/>
        <v>42835</v>
      </c>
      <c r="X13" s="208">
        <f t="shared" si="0"/>
        <v>42842</v>
      </c>
      <c r="Y13" s="209">
        <f t="shared" si="0"/>
        <v>42849</v>
      </c>
      <c r="Z13" s="207">
        <f t="shared" si="0"/>
        <v>42856</v>
      </c>
      <c r="AA13" s="208">
        <f t="shared" si="0"/>
        <v>42863</v>
      </c>
      <c r="AB13" s="208">
        <f t="shared" si="0"/>
        <v>42870</v>
      </c>
      <c r="AC13" s="208">
        <f t="shared" si="0"/>
        <v>42877</v>
      </c>
      <c r="AD13" s="209">
        <f t="shared" si="0"/>
        <v>42884</v>
      </c>
      <c r="AE13" s="207">
        <f t="shared" si="0"/>
        <v>42891</v>
      </c>
      <c r="AF13" s="208">
        <f t="shared" si="0"/>
        <v>42898</v>
      </c>
      <c r="AG13" s="208">
        <f t="shared" si="0"/>
        <v>42905</v>
      </c>
      <c r="AH13" s="209">
        <f t="shared" si="0"/>
        <v>42912</v>
      </c>
      <c r="AI13" s="207">
        <f t="shared" si="0"/>
        <v>42919</v>
      </c>
      <c r="AJ13" s="208">
        <f t="shared" si="0"/>
        <v>42926</v>
      </c>
      <c r="AK13" s="208">
        <f t="shared" si="0"/>
        <v>42933</v>
      </c>
      <c r="AL13" s="209">
        <f t="shared" si="0"/>
        <v>42940</v>
      </c>
      <c r="AM13" s="207">
        <f t="shared" si="0"/>
        <v>42947</v>
      </c>
      <c r="AN13" s="208">
        <f t="shared" si="0"/>
        <v>42954</v>
      </c>
      <c r="AO13" s="208">
        <f t="shared" si="0"/>
        <v>42961</v>
      </c>
      <c r="AP13" s="208">
        <f t="shared" si="0"/>
        <v>42968</v>
      </c>
      <c r="AQ13" s="209">
        <f t="shared" si="0"/>
        <v>42975</v>
      </c>
      <c r="AR13" s="207">
        <f t="shared" si="0"/>
        <v>42982</v>
      </c>
      <c r="AS13" s="208">
        <f t="shared" si="0"/>
        <v>42989</v>
      </c>
      <c r="AT13" s="208">
        <f t="shared" si="0"/>
        <v>42996</v>
      </c>
      <c r="AU13" s="209">
        <f t="shared" si="0"/>
        <v>43003</v>
      </c>
      <c r="AV13" s="207">
        <f t="shared" si="0"/>
        <v>43010</v>
      </c>
      <c r="AW13" s="208">
        <f t="shared" si="0"/>
        <v>43017</v>
      </c>
      <c r="AX13" s="208">
        <f t="shared" si="0"/>
        <v>43024</v>
      </c>
      <c r="AY13" s="209">
        <f t="shared" si="0"/>
        <v>43031</v>
      </c>
      <c r="AZ13" s="207">
        <f t="shared" si="0"/>
        <v>43038</v>
      </c>
      <c r="BA13" s="208">
        <f t="shared" si="0"/>
        <v>43045</v>
      </c>
      <c r="BB13" s="208">
        <f t="shared" si="0"/>
        <v>43052</v>
      </c>
      <c r="BC13" s="208">
        <f t="shared" si="0"/>
        <v>43059</v>
      </c>
      <c r="BD13" s="209">
        <f t="shared" si="0"/>
        <v>43066</v>
      </c>
      <c r="BE13" s="207">
        <f t="shared" si="0"/>
        <v>43073</v>
      </c>
      <c r="BF13" s="208">
        <f t="shared" si="0"/>
        <v>43080</v>
      </c>
      <c r="BG13" s="208">
        <f t="shared" si="0"/>
        <v>43087</v>
      </c>
      <c r="BH13" s="209">
        <f t="shared" si="0"/>
        <v>43094</v>
      </c>
      <c r="BI13" s="459"/>
      <c r="BJ13" s="459"/>
      <c r="BK13" s="459"/>
      <c r="BL13" s="205"/>
      <c r="BM13" s="447" t="s">
        <v>260</v>
      </c>
      <c r="BN13" s="448"/>
      <c r="BO13" s="206" t="s">
        <v>46</v>
      </c>
      <c r="BP13" s="206">
        <v>0</v>
      </c>
      <c r="BQ13" s="206">
        <v>0</v>
      </c>
      <c r="BR13" s="227">
        <v>0</v>
      </c>
      <c r="BS13" s="227">
        <v>0</v>
      </c>
      <c r="BT13" s="227">
        <v>0</v>
      </c>
      <c r="BU13" s="227">
        <v>0</v>
      </c>
      <c r="BV13" s="227">
        <v>0</v>
      </c>
      <c r="BW13" s="227">
        <v>0</v>
      </c>
      <c r="BX13" s="227">
        <v>0</v>
      </c>
      <c r="BY13" s="227">
        <v>0</v>
      </c>
      <c r="BZ13" s="227">
        <v>0</v>
      </c>
      <c r="CA13" s="227">
        <v>0</v>
      </c>
    </row>
    <row r="14" spans="1:79" ht="18" customHeight="1" thickBot="1">
      <c r="D14" s="455" t="s">
        <v>34</v>
      </c>
      <c r="E14" s="456"/>
      <c r="F14" s="457"/>
      <c r="G14" s="458"/>
      <c r="H14" s="320" t="s">
        <v>3</v>
      </c>
      <c r="I14" s="393"/>
      <c r="J14" s="393"/>
      <c r="K14" s="393"/>
      <c r="L14" s="395"/>
      <c r="M14" s="323"/>
      <c r="N14" s="394"/>
      <c r="O14" s="394"/>
      <c r="P14" s="325"/>
      <c r="Q14" s="320"/>
      <c r="R14" s="393"/>
      <c r="S14" s="393"/>
      <c r="T14" s="393"/>
      <c r="U14" s="395"/>
      <c r="V14" s="394"/>
      <c r="W14" s="394"/>
      <c r="X14" s="394"/>
      <c r="Y14" s="394"/>
      <c r="Z14" s="323"/>
      <c r="AA14" s="393"/>
      <c r="AB14" s="393"/>
      <c r="AC14" s="393"/>
      <c r="AD14" s="395"/>
      <c r="AE14" s="394"/>
      <c r="AF14" s="394"/>
      <c r="AG14" s="394"/>
      <c r="AH14" s="394"/>
      <c r="AI14" s="323"/>
      <c r="AJ14" s="393"/>
      <c r="AK14" s="393"/>
      <c r="AL14" s="395"/>
      <c r="AM14" s="393"/>
      <c r="AN14" s="394"/>
      <c r="AO14" s="394"/>
      <c r="AP14" s="394"/>
      <c r="AQ14" s="394"/>
      <c r="AR14" s="323"/>
      <c r="AS14" s="393"/>
      <c r="AT14" s="393"/>
      <c r="AU14" s="395"/>
      <c r="AV14" s="394"/>
      <c r="AW14" s="394"/>
      <c r="AX14" s="394"/>
      <c r="AY14" s="394"/>
      <c r="AZ14" s="320"/>
      <c r="BA14" s="393"/>
      <c r="BB14" s="393"/>
      <c r="BC14" s="393"/>
      <c r="BD14" s="395"/>
      <c r="BE14" s="394"/>
      <c r="BF14" s="394"/>
      <c r="BG14" s="394"/>
      <c r="BH14" s="394"/>
      <c r="BI14" s="452"/>
      <c r="BJ14" s="453"/>
      <c r="BK14" s="454"/>
      <c r="BL14" s="231"/>
      <c r="BM14" s="400" t="s">
        <v>258</v>
      </c>
      <c r="BN14" s="351" t="s">
        <v>259</v>
      </c>
      <c r="BO14" s="227" t="s">
        <v>134</v>
      </c>
      <c r="BP14" s="227">
        <v>0</v>
      </c>
      <c r="BQ14" s="227">
        <v>0</v>
      </c>
      <c r="BR14" s="227">
        <v>0</v>
      </c>
      <c r="BS14" s="227">
        <v>0</v>
      </c>
      <c r="BT14" s="227">
        <v>0</v>
      </c>
      <c r="BU14" s="227">
        <v>0</v>
      </c>
      <c r="BV14" s="227">
        <v>0</v>
      </c>
      <c r="BW14" s="227">
        <v>0</v>
      </c>
      <c r="BX14" s="227">
        <v>0</v>
      </c>
      <c r="BY14" s="227">
        <v>0</v>
      </c>
      <c r="BZ14" s="227">
        <v>0</v>
      </c>
      <c r="CA14" s="227">
        <v>0</v>
      </c>
    </row>
    <row r="15" spans="1:79" ht="18" customHeight="1">
      <c r="B15" s="227" t="s">
        <v>246</v>
      </c>
      <c r="C15" s="279" t="s">
        <v>157</v>
      </c>
      <c r="D15" s="248"/>
      <c r="E15" s="249"/>
      <c r="F15" s="250"/>
      <c r="G15" s="248"/>
      <c r="H15" s="402"/>
      <c r="I15" s="401"/>
      <c r="J15" s="401"/>
      <c r="K15" s="401"/>
      <c r="L15" s="401"/>
      <c r="M15" s="402"/>
      <c r="N15" s="401"/>
      <c r="O15" s="401"/>
      <c r="P15" s="403"/>
      <c r="Q15" s="401"/>
      <c r="R15" s="401"/>
      <c r="S15" s="401"/>
      <c r="T15" s="401"/>
      <c r="U15" s="401"/>
      <c r="V15" s="402"/>
      <c r="W15" s="401"/>
      <c r="X15" s="401"/>
      <c r="Y15" s="403"/>
      <c r="Z15" s="401"/>
      <c r="AA15" s="401"/>
      <c r="AB15" s="401"/>
      <c r="AC15" s="401"/>
      <c r="AD15" s="401"/>
      <c r="AE15" s="402"/>
      <c r="AF15" s="401"/>
      <c r="AG15" s="401"/>
      <c r="AH15" s="403"/>
      <c r="AI15" s="401"/>
      <c r="AJ15" s="401"/>
      <c r="AK15" s="401"/>
      <c r="AL15" s="401"/>
      <c r="AM15" s="402"/>
      <c r="AN15" s="401"/>
      <c r="AO15" s="401"/>
      <c r="AP15" s="401"/>
      <c r="AQ15" s="403"/>
      <c r="AR15" s="401"/>
      <c r="AS15" s="401"/>
      <c r="AT15" s="401"/>
      <c r="AU15" s="401"/>
      <c r="AV15" s="402"/>
      <c r="AW15" s="401"/>
      <c r="AX15" s="401"/>
      <c r="AY15" s="403"/>
      <c r="AZ15" s="401"/>
      <c r="BA15" s="401"/>
      <c r="BB15" s="401"/>
      <c r="BC15" s="401"/>
      <c r="BD15" s="401"/>
      <c r="BE15" s="402"/>
      <c r="BF15" s="401"/>
      <c r="BG15" s="401"/>
      <c r="BH15" s="403"/>
      <c r="BI15" s="210"/>
      <c r="BJ15" s="212"/>
      <c r="BK15" s="290"/>
      <c r="BM15" s="349"/>
      <c r="BN15" s="344"/>
      <c r="BO15" s="227" t="s">
        <v>140</v>
      </c>
      <c r="BP15" s="227">
        <v>0</v>
      </c>
      <c r="BQ15" s="227">
        <v>0</v>
      </c>
      <c r="BR15" s="227">
        <v>0</v>
      </c>
      <c r="BS15" s="227">
        <v>0</v>
      </c>
      <c r="BT15" s="227">
        <v>0</v>
      </c>
      <c r="BU15" s="227">
        <v>0</v>
      </c>
      <c r="BV15" s="227">
        <v>0</v>
      </c>
      <c r="BW15" s="227">
        <v>0</v>
      </c>
      <c r="BX15" s="227">
        <v>0</v>
      </c>
      <c r="BY15" s="227">
        <v>0</v>
      </c>
      <c r="BZ15" s="227">
        <v>0</v>
      </c>
      <c r="CA15" s="227">
        <v>0</v>
      </c>
    </row>
    <row r="16" spans="1:79" ht="18" customHeight="1">
      <c r="B16" s="227" t="s">
        <v>246</v>
      </c>
      <c r="C16" s="279" t="s">
        <v>157</v>
      </c>
      <c r="D16" s="262"/>
      <c r="E16" s="263"/>
      <c r="F16" s="252"/>
      <c r="G16" s="262"/>
      <c r="H16" s="226"/>
      <c r="I16" s="210"/>
      <c r="J16" s="210"/>
      <c r="K16" s="210"/>
      <c r="L16" s="210"/>
      <c r="M16" s="226"/>
      <c r="N16" s="210"/>
      <c r="O16" s="210"/>
      <c r="P16" s="211"/>
      <c r="Q16" s="210"/>
      <c r="R16" s="210"/>
      <c r="S16" s="210"/>
      <c r="T16" s="210"/>
      <c r="U16" s="210"/>
      <c r="V16" s="226"/>
      <c r="W16" s="210"/>
      <c r="X16" s="210"/>
      <c r="Y16" s="211"/>
      <c r="Z16" s="210"/>
      <c r="AA16" s="210"/>
      <c r="AB16" s="210"/>
      <c r="AC16" s="210"/>
      <c r="AD16" s="210"/>
      <c r="AE16" s="226"/>
      <c r="AF16" s="210"/>
      <c r="AG16" s="210"/>
      <c r="AH16" s="211"/>
      <c r="AI16" s="210"/>
      <c r="AJ16" s="210"/>
      <c r="AK16" s="210"/>
      <c r="AL16" s="210"/>
      <c r="AM16" s="226"/>
      <c r="AN16" s="210"/>
      <c r="AO16" s="210"/>
      <c r="AP16" s="210"/>
      <c r="AQ16" s="211"/>
      <c r="AR16" s="210"/>
      <c r="AS16" s="210"/>
      <c r="AT16" s="210"/>
      <c r="AU16" s="210"/>
      <c r="AV16" s="226"/>
      <c r="AW16" s="210"/>
      <c r="AX16" s="210"/>
      <c r="AY16" s="211"/>
      <c r="AZ16" s="210"/>
      <c r="BA16" s="210"/>
      <c r="BB16" s="210"/>
      <c r="BC16" s="210"/>
      <c r="BD16" s="210"/>
      <c r="BE16" s="226"/>
      <c r="BF16" s="210"/>
      <c r="BG16" s="210"/>
      <c r="BH16" s="211"/>
      <c r="BI16" s="210"/>
      <c r="BJ16" s="284"/>
      <c r="BK16" s="290"/>
      <c r="BM16" s="345"/>
      <c r="BN16" s="346"/>
      <c r="BO16" s="227" t="s">
        <v>135</v>
      </c>
      <c r="BP16" s="227">
        <v>0</v>
      </c>
      <c r="BQ16" s="227">
        <v>0</v>
      </c>
      <c r="BR16" s="227">
        <v>0</v>
      </c>
      <c r="BS16" s="227">
        <v>0</v>
      </c>
      <c r="BT16" s="227">
        <v>0</v>
      </c>
      <c r="BU16" s="227">
        <v>0</v>
      </c>
      <c r="BV16" s="227">
        <v>0</v>
      </c>
      <c r="BW16" s="227">
        <v>0</v>
      </c>
      <c r="BX16" s="227">
        <v>0</v>
      </c>
      <c r="BY16" s="227">
        <v>0</v>
      </c>
      <c r="BZ16" s="227">
        <v>0</v>
      </c>
      <c r="CA16" s="227">
        <v>0</v>
      </c>
    </row>
    <row r="17" spans="1:79" ht="18" customHeight="1">
      <c r="B17" s="227" t="s">
        <v>246</v>
      </c>
      <c r="C17" s="279" t="s">
        <v>157</v>
      </c>
      <c r="D17" s="262"/>
      <c r="E17" s="263"/>
      <c r="F17" s="252"/>
      <c r="G17" s="262"/>
      <c r="H17" s="226"/>
      <c r="I17" s="210"/>
      <c r="J17" s="210"/>
      <c r="K17" s="210"/>
      <c r="L17" s="210"/>
      <c r="M17" s="226"/>
      <c r="N17" s="210"/>
      <c r="O17" s="210"/>
      <c r="P17" s="211"/>
      <c r="Q17" s="210"/>
      <c r="R17" s="210"/>
      <c r="S17" s="210"/>
      <c r="T17" s="210"/>
      <c r="U17" s="210"/>
      <c r="V17" s="226"/>
      <c r="W17" s="210"/>
      <c r="X17" s="210"/>
      <c r="Y17" s="211"/>
      <c r="Z17" s="210"/>
      <c r="AA17" s="210"/>
      <c r="AB17" s="210"/>
      <c r="AC17" s="210"/>
      <c r="AD17" s="210"/>
      <c r="AE17" s="226"/>
      <c r="AF17" s="210"/>
      <c r="AG17" s="210"/>
      <c r="AH17" s="211"/>
      <c r="AI17" s="210"/>
      <c r="AJ17" s="210"/>
      <c r="AK17" s="210"/>
      <c r="AL17" s="210"/>
      <c r="AM17" s="226"/>
      <c r="AN17" s="210"/>
      <c r="AO17" s="210"/>
      <c r="AP17" s="210"/>
      <c r="AQ17" s="211"/>
      <c r="AR17" s="210"/>
      <c r="AS17" s="210"/>
      <c r="AT17" s="210"/>
      <c r="AU17" s="210"/>
      <c r="AV17" s="226"/>
      <c r="AW17" s="210"/>
      <c r="AX17" s="210"/>
      <c r="AY17" s="211"/>
      <c r="AZ17" s="210"/>
      <c r="BA17" s="210"/>
      <c r="BB17" s="210"/>
      <c r="BC17" s="210"/>
      <c r="BD17" s="210"/>
      <c r="BE17" s="226"/>
      <c r="BF17" s="210"/>
      <c r="BG17" s="210"/>
      <c r="BH17" s="211"/>
      <c r="BI17" s="210"/>
      <c r="BJ17" s="284"/>
      <c r="BK17" s="290"/>
      <c r="BM17" s="345"/>
      <c r="BN17" s="346"/>
      <c r="BO17" s="227" t="s">
        <v>136</v>
      </c>
      <c r="BP17" s="227">
        <v>0</v>
      </c>
      <c r="BQ17" s="227">
        <v>0</v>
      </c>
      <c r="BR17" s="227">
        <v>0</v>
      </c>
      <c r="BS17" s="227">
        <v>0</v>
      </c>
      <c r="BT17" s="227">
        <v>0</v>
      </c>
      <c r="BU17" s="227">
        <v>0</v>
      </c>
      <c r="BV17" s="227">
        <v>0</v>
      </c>
      <c r="BW17" s="227">
        <v>0</v>
      </c>
      <c r="BX17" s="227">
        <v>0</v>
      </c>
      <c r="BY17" s="227">
        <v>0</v>
      </c>
      <c r="BZ17" s="227">
        <v>0</v>
      </c>
      <c r="CA17" s="227">
        <v>0</v>
      </c>
    </row>
    <row r="18" spans="1:79" ht="18" customHeight="1">
      <c r="B18" s="227" t="s">
        <v>246</v>
      </c>
      <c r="C18" s="279" t="s">
        <v>157</v>
      </c>
      <c r="D18" s="248"/>
      <c r="E18" s="251"/>
      <c r="F18" s="252"/>
      <c r="G18" s="248"/>
      <c r="H18" s="232"/>
      <c r="I18" s="210"/>
      <c r="J18" s="210"/>
      <c r="K18" s="210"/>
      <c r="L18" s="210"/>
      <c r="M18" s="232"/>
      <c r="N18" s="210"/>
      <c r="O18" s="210"/>
      <c r="P18" s="211"/>
      <c r="Q18" s="210"/>
      <c r="R18" s="210"/>
      <c r="S18" s="210"/>
      <c r="T18" s="210"/>
      <c r="U18" s="210"/>
      <c r="V18" s="232"/>
      <c r="W18" s="210"/>
      <c r="X18" s="210"/>
      <c r="Y18" s="211"/>
      <c r="Z18" s="210"/>
      <c r="AA18" s="210"/>
      <c r="AB18" s="210"/>
      <c r="AC18" s="210"/>
      <c r="AD18" s="210"/>
      <c r="AE18" s="232"/>
      <c r="AF18" s="210"/>
      <c r="AG18" s="210"/>
      <c r="AH18" s="211"/>
      <c r="AI18" s="210"/>
      <c r="AJ18" s="210"/>
      <c r="AK18" s="210"/>
      <c r="AL18" s="210"/>
      <c r="AM18" s="232"/>
      <c r="AN18" s="210"/>
      <c r="AO18" s="210"/>
      <c r="AP18" s="210"/>
      <c r="AQ18" s="211"/>
      <c r="AR18" s="210"/>
      <c r="AS18" s="210"/>
      <c r="AT18" s="210"/>
      <c r="AU18" s="210"/>
      <c r="AV18" s="232"/>
      <c r="AW18" s="210"/>
      <c r="AX18" s="210"/>
      <c r="AY18" s="211"/>
      <c r="AZ18" s="210"/>
      <c r="BA18" s="210"/>
      <c r="BB18" s="210"/>
      <c r="BC18" s="210"/>
      <c r="BD18" s="210"/>
      <c r="BE18" s="232"/>
      <c r="BF18" s="210"/>
      <c r="BG18" s="210"/>
      <c r="BH18" s="211"/>
      <c r="BI18" s="210"/>
      <c r="BJ18" s="233"/>
      <c r="BK18" s="290"/>
      <c r="BM18" s="345"/>
      <c r="BN18" s="346"/>
    </row>
    <row r="19" spans="1:79" s="230" customFormat="1" ht="18" customHeight="1" thickBot="1">
      <c r="A19" s="227"/>
      <c r="B19" s="227" t="s">
        <v>246</v>
      </c>
      <c r="C19" s="279" t="s">
        <v>157</v>
      </c>
      <c r="D19" s="248"/>
      <c r="E19" s="251"/>
      <c r="F19" s="252"/>
      <c r="G19" s="248"/>
      <c r="H19" s="232"/>
      <c r="I19" s="210"/>
      <c r="J19" s="210"/>
      <c r="K19" s="210"/>
      <c r="L19" s="210"/>
      <c r="M19" s="232"/>
      <c r="N19" s="210"/>
      <c r="O19" s="210"/>
      <c r="P19" s="211"/>
      <c r="Q19" s="210"/>
      <c r="R19" s="210"/>
      <c r="S19" s="210"/>
      <c r="T19" s="210"/>
      <c r="U19" s="210"/>
      <c r="V19" s="232"/>
      <c r="W19" s="210"/>
      <c r="X19" s="210"/>
      <c r="Y19" s="211"/>
      <c r="Z19" s="210"/>
      <c r="AA19" s="210"/>
      <c r="AB19" s="210"/>
      <c r="AC19" s="210"/>
      <c r="AD19" s="210"/>
      <c r="AE19" s="232"/>
      <c r="AF19" s="210"/>
      <c r="AG19" s="210"/>
      <c r="AH19" s="211"/>
      <c r="AI19" s="210"/>
      <c r="AJ19" s="210"/>
      <c r="AK19" s="210"/>
      <c r="AL19" s="210"/>
      <c r="AM19" s="232"/>
      <c r="AN19" s="210"/>
      <c r="AO19" s="210"/>
      <c r="AP19" s="210"/>
      <c r="AQ19" s="211"/>
      <c r="AR19" s="210"/>
      <c r="AS19" s="210"/>
      <c r="AT19" s="210"/>
      <c r="AU19" s="210"/>
      <c r="AV19" s="232"/>
      <c r="AW19" s="210"/>
      <c r="AX19" s="210"/>
      <c r="AY19" s="211"/>
      <c r="AZ19" s="210"/>
      <c r="BA19" s="210"/>
      <c r="BB19" s="210"/>
      <c r="BC19" s="210"/>
      <c r="BD19" s="210"/>
      <c r="BE19" s="232"/>
      <c r="BF19" s="210"/>
      <c r="BG19" s="210"/>
      <c r="BH19" s="211"/>
      <c r="BI19" s="210"/>
      <c r="BJ19" s="233"/>
      <c r="BK19" s="290"/>
      <c r="BL19" s="229"/>
      <c r="BM19" s="347"/>
      <c r="BN19" s="348"/>
      <c r="BO19" s="227"/>
      <c r="BP19" s="227"/>
      <c r="BQ19" s="227"/>
    </row>
    <row r="20" spans="1:79" ht="18" customHeight="1" thickBot="1">
      <c r="C20" s="279"/>
      <c r="D20" s="390"/>
      <c r="E20" s="391"/>
      <c r="F20" s="391"/>
      <c r="G20" s="392"/>
      <c r="H20" s="449"/>
      <c r="I20" s="450"/>
      <c r="J20" s="450"/>
      <c r="K20" s="450"/>
      <c r="L20" s="451"/>
      <c r="M20" s="449"/>
      <c r="N20" s="450"/>
      <c r="O20" s="450"/>
      <c r="P20" s="451"/>
      <c r="Q20" s="449"/>
      <c r="R20" s="450"/>
      <c r="S20" s="450"/>
      <c r="T20" s="450"/>
      <c r="U20" s="451"/>
      <c r="V20" s="449"/>
      <c r="W20" s="450"/>
      <c r="X20" s="450"/>
      <c r="Y20" s="451"/>
      <c r="Z20" s="390"/>
      <c r="AA20" s="391"/>
      <c r="AB20" s="391"/>
      <c r="AC20" s="391"/>
      <c r="AD20" s="392"/>
      <c r="AE20" s="390"/>
      <c r="AF20" s="391"/>
      <c r="AG20" s="391"/>
      <c r="AH20" s="392"/>
      <c r="AI20" s="390"/>
      <c r="AJ20" s="391"/>
      <c r="AK20" s="391"/>
      <c r="AL20" s="392"/>
      <c r="AM20" s="390"/>
      <c r="AN20" s="391"/>
      <c r="AO20" s="391"/>
      <c r="AP20" s="391"/>
      <c r="AQ20" s="392"/>
      <c r="AR20" s="390"/>
      <c r="AS20" s="391"/>
      <c r="AT20" s="391"/>
      <c r="AU20" s="392"/>
      <c r="AV20" s="390"/>
      <c r="AW20" s="391"/>
      <c r="AX20" s="391"/>
      <c r="AY20" s="392"/>
      <c r="AZ20" s="390"/>
      <c r="BA20" s="391"/>
      <c r="BB20" s="391"/>
      <c r="BC20" s="391"/>
      <c r="BD20" s="392"/>
      <c r="BE20" s="390"/>
      <c r="BF20" s="391"/>
      <c r="BG20" s="391"/>
      <c r="BH20" s="392"/>
      <c r="BI20" s="392"/>
      <c r="BJ20" s="376"/>
      <c r="BK20" s="377">
        <f>SUM(BK15:BK19)</f>
        <v>0</v>
      </c>
      <c r="BL20" s="247">
        <v>0</v>
      </c>
      <c r="BM20" s="447"/>
      <c r="BN20" s="448"/>
      <c r="BO20" s="227" t="s">
        <v>157</v>
      </c>
      <c r="BP20" s="227" t="s">
        <v>148</v>
      </c>
      <c r="BQ20" s="227" t="s">
        <v>112</v>
      </c>
      <c r="BR20" s="227" t="s">
        <v>28</v>
      </c>
      <c r="BS20" s="227" t="s">
        <v>21</v>
      </c>
      <c r="BT20" s="227" t="s">
        <v>22</v>
      </c>
      <c r="BU20" s="227" t="s">
        <v>31</v>
      </c>
      <c r="BV20" s="227" t="s">
        <v>32</v>
      </c>
      <c r="BW20" s="227" t="s">
        <v>33</v>
      </c>
      <c r="BX20" s="227" t="s">
        <v>26</v>
      </c>
      <c r="BY20" s="227" t="s">
        <v>27</v>
      </c>
      <c r="BZ20" s="227" t="s">
        <v>25</v>
      </c>
      <c r="CA20" s="227" t="s">
        <v>29</v>
      </c>
    </row>
    <row r="21" spans="1:79" ht="18" customHeight="1" thickBot="1">
      <c r="C21" s="279"/>
      <c r="D21" s="481" t="s">
        <v>47</v>
      </c>
      <c r="E21" s="482"/>
      <c r="F21" s="483"/>
      <c r="G21" s="482"/>
      <c r="H21" s="320"/>
      <c r="I21" s="393"/>
      <c r="J21" s="393"/>
      <c r="K21" s="393"/>
      <c r="L21" s="395"/>
      <c r="M21" s="323"/>
      <c r="N21" s="394"/>
      <c r="O21" s="394"/>
      <c r="P21" s="325"/>
      <c r="Q21" s="320"/>
      <c r="R21" s="393"/>
      <c r="S21" s="393"/>
      <c r="T21" s="393"/>
      <c r="U21" s="395"/>
      <c r="V21" s="394"/>
      <c r="W21" s="394"/>
      <c r="X21" s="394"/>
      <c r="Y21" s="394"/>
      <c r="Z21" s="323"/>
      <c r="AA21" s="393"/>
      <c r="AB21" s="393"/>
      <c r="AC21" s="393"/>
      <c r="AD21" s="395"/>
      <c r="AE21" s="394"/>
      <c r="AF21" s="394"/>
      <c r="AG21" s="394"/>
      <c r="AH21" s="394"/>
      <c r="AI21" s="323"/>
      <c r="AJ21" s="393"/>
      <c r="AK21" s="393"/>
      <c r="AL21" s="395"/>
      <c r="AM21" s="393"/>
      <c r="AN21" s="394"/>
      <c r="AO21" s="394"/>
      <c r="AP21" s="394"/>
      <c r="AQ21" s="394"/>
      <c r="AR21" s="323"/>
      <c r="AS21" s="393"/>
      <c r="AT21" s="393"/>
      <c r="AU21" s="395"/>
      <c r="AV21" s="394"/>
      <c r="AW21" s="394"/>
      <c r="AX21" s="394"/>
      <c r="AY21" s="394"/>
      <c r="AZ21" s="320"/>
      <c r="BA21" s="393"/>
      <c r="BB21" s="393"/>
      <c r="BC21" s="393"/>
      <c r="BD21" s="395"/>
      <c r="BE21" s="394"/>
      <c r="BF21" s="394"/>
      <c r="BG21" s="394"/>
      <c r="BH21" s="394"/>
      <c r="BI21" s="457"/>
      <c r="BJ21" s="453"/>
      <c r="BK21" s="458"/>
      <c r="BL21" s="231"/>
      <c r="BM21" s="400" t="s">
        <v>258</v>
      </c>
      <c r="BN21" s="351" t="s">
        <v>259</v>
      </c>
      <c r="BO21" s="227" t="s">
        <v>34</v>
      </c>
      <c r="BP21" s="227">
        <v>0</v>
      </c>
      <c r="BQ21" s="227">
        <v>0</v>
      </c>
      <c r="BR21" s="227">
        <v>0</v>
      </c>
      <c r="BS21" s="227">
        <v>0</v>
      </c>
      <c r="BT21" s="227">
        <v>0</v>
      </c>
      <c r="BU21" s="227">
        <v>0</v>
      </c>
      <c r="BV21" s="227">
        <v>0</v>
      </c>
      <c r="BW21" s="227">
        <v>0</v>
      </c>
      <c r="BX21" s="227">
        <v>0</v>
      </c>
      <c r="BY21" s="227">
        <v>0</v>
      </c>
      <c r="BZ21" s="227">
        <v>0</v>
      </c>
      <c r="CA21" s="227">
        <v>0</v>
      </c>
    </row>
    <row r="22" spans="1:79" ht="18" customHeight="1">
      <c r="B22" s="227" t="s">
        <v>246</v>
      </c>
      <c r="C22" s="279" t="s">
        <v>157</v>
      </c>
      <c r="D22" s="248"/>
      <c r="E22" s="249"/>
      <c r="F22" s="252"/>
      <c r="G22" s="253"/>
      <c r="H22" s="402"/>
      <c r="I22" s="401"/>
      <c r="J22" s="401"/>
      <c r="K22" s="401"/>
      <c r="L22" s="401"/>
      <c r="M22" s="402"/>
      <c r="N22" s="401"/>
      <c r="O22" s="401"/>
      <c r="P22" s="403"/>
      <c r="Q22" s="401"/>
      <c r="R22" s="401"/>
      <c r="S22" s="401"/>
      <c r="T22" s="401"/>
      <c r="U22" s="401"/>
      <c r="V22" s="402"/>
      <c r="W22" s="401"/>
      <c r="X22" s="401"/>
      <c r="Y22" s="403"/>
      <c r="Z22" s="401"/>
      <c r="AA22" s="401"/>
      <c r="AB22" s="401"/>
      <c r="AC22" s="401"/>
      <c r="AD22" s="401"/>
      <c r="AE22" s="402"/>
      <c r="AF22" s="401"/>
      <c r="AG22" s="401"/>
      <c r="AH22" s="403"/>
      <c r="AI22" s="401"/>
      <c r="AJ22" s="401"/>
      <c r="AK22" s="401"/>
      <c r="AL22" s="401"/>
      <c r="AM22" s="402"/>
      <c r="AN22" s="401"/>
      <c r="AO22" s="401"/>
      <c r="AP22" s="401"/>
      <c r="AQ22" s="403"/>
      <c r="AR22" s="401"/>
      <c r="AS22" s="401"/>
      <c r="AT22" s="401"/>
      <c r="AU22" s="401"/>
      <c r="AV22" s="402"/>
      <c r="AW22" s="401"/>
      <c r="AX22" s="401"/>
      <c r="AY22" s="403"/>
      <c r="AZ22" s="401"/>
      <c r="BA22" s="401"/>
      <c r="BB22" s="401"/>
      <c r="BC22" s="401"/>
      <c r="BD22" s="401"/>
      <c r="BE22" s="402"/>
      <c r="BF22" s="401"/>
      <c r="BG22" s="401"/>
      <c r="BH22" s="403"/>
      <c r="BI22" s="210"/>
      <c r="BJ22" s="212"/>
      <c r="BK22" s="290"/>
      <c r="BM22" s="349"/>
      <c r="BN22" s="344"/>
      <c r="BO22" s="227" t="s">
        <v>47</v>
      </c>
      <c r="BP22" s="227">
        <v>0</v>
      </c>
      <c r="BQ22" s="227">
        <v>0</v>
      </c>
      <c r="BR22" s="227">
        <v>0</v>
      </c>
      <c r="BS22" s="227">
        <v>0</v>
      </c>
      <c r="BT22" s="227">
        <v>0</v>
      </c>
      <c r="BU22" s="227">
        <v>0</v>
      </c>
      <c r="BV22" s="227">
        <v>0</v>
      </c>
      <c r="BW22" s="227">
        <v>0</v>
      </c>
      <c r="BX22" s="227">
        <v>0</v>
      </c>
      <c r="BY22" s="227">
        <v>0</v>
      </c>
      <c r="BZ22" s="227">
        <v>0</v>
      </c>
      <c r="CA22" s="227">
        <v>0</v>
      </c>
    </row>
    <row r="23" spans="1:79" ht="18" customHeight="1">
      <c r="B23" s="227" t="s">
        <v>246</v>
      </c>
      <c r="C23" s="279" t="s">
        <v>157</v>
      </c>
      <c r="D23" s="262"/>
      <c r="E23" s="263"/>
      <c r="F23" s="252"/>
      <c r="G23" s="262"/>
      <c r="H23" s="226"/>
      <c r="I23" s="210"/>
      <c r="J23" s="210"/>
      <c r="K23" s="210"/>
      <c r="L23" s="210"/>
      <c r="M23" s="226"/>
      <c r="N23" s="210"/>
      <c r="O23" s="210"/>
      <c r="P23" s="211"/>
      <c r="Q23" s="210"/>
      <c r="R23" s="210"/>
      <c r="S23" s="210"/>
      <c r="T23" s="210"/>
      <c r="U23" s="210"/>
      <c r="V23" s="226"/>
      <c r="W23" s="210"/>
      <c r="X23" s="210"/>
      <c r="Y23" s="211"/>
      <c r="Z23" s="210"/>
      <c r="AA23" s="210"/>
      <c r="AB23" s="210"/>
      <c r="AC23" s="210"/>
      <c r="AD23" s="210"/>
      <c r="AE23" s="226"/>
      <c r="AF23" s="210"/>
      <c r="AG23" s="210"/>
      <c r="AH23" s="211"/>
      <c r="AI23" s="210"/>
      <c r="AJ23" s="210"/>
      <c r="AK23" s="210"/>
      <c r="AL23" s="210"/>
      <c r="AM23" s="226"/>
      <c r="AN23" s="210"/>
      <c r="AO23" s="210"/>
      <c r="AP23" s="210"/>
      <c r="AQ23" s="211"/>
      <c r="AR23" s="210"/>
      <c r="AS23" s="210"/>
      <c r="AT23" s="210"/>
      <c r="AU23" s="210"/>
      <c r="AV23" s="226"/>
      <c r="AW23" s="210"/>
      <c r="AX23" s="210"/>
      <c r="AY23" s="211"/>
      <c r="AZ23" s="210"/>
      <c r="BA23" s="210"/>
      <c r="BB23" s="210"/>
      <c r="BC23" s="210"/>
      <c r="BD23" s="210"/>
      <c r="BE23" s="226"/>
      <c r="BF23" s="210"/>
      <c r="BG23" s="210"/>
      <c r="BH23" s="211"/>
      <c r="BI23" s="210"/>
      <c r="BJ23" s="284"/>
      <c r="BK23" s="290"/>
      <c r="BM23" s="345"/>
      <c r="BN23" s="346"/>
      <c r="BO23" s="227" t="s">
        <v>2</v>
      </c>
      <c r="BP23" s="227">
        <v>0</v>
      </c>
      <c r="BQ23" s="227">
        <v>0</v>
      </c>
      <c r="BR23" s="227">
        <v>0</v>
      </c>
      <c r="BS23" s="227">
        <v>0</v>
      </c>
      <c r="BT23" s="227">
        <v>0</v>
      </c>
      <c r="BU23" s="227">
        <v>0</v>
      </c>
      <c r="BV23" s="227">
        <v>0</v>
      </c>
      <c r="BW23" s="227">
        <v>0</v>
      </c>
      <c r="BX23" s="227">
        <v>0</v>
      </c>
      <c r="BY23" s="227">
        <v>0</v>
      </c>
      <c r="BZ23" s="227">
        <v>0</v>
      </c>
      <c r="CA23" s="227">
        <v>0</v>
      </c>
    </row>
    <row r="24" spans="1:79" ht="18" customHeight="1">
      <c r="B24" s="227" t="s">
        <v>246</v>
      </c>
      <c r="C24" s="279" t="s">
        <v>157</v>
      </c>
      <c r="D24" s="262"/>
      <c r="E24" s="263"/>
      <c r="F24" s="252"/>
      <c r="G24" s="262"/>
      <c r="H24" s="226"/>
      <c r="I24" s="210"/>
      <c r="J24" s="210"/>
      <c r="K24" s="210"/>
      <c r="L24" s="210"/>
      <c r="M24" s="226"/>
      <c r="N24" s="210"/>
      <c r="O24" s="210"/>
      <c r="P24" s="211"/>
      <c r="Q24" s="210"/>
      <c r="R24" s="210"/>
      <c r="S24" s="210"/>
      <c r="T24" s="210"/>
      <c r="U24" s="210"/>
      <c r="V24" s="226"/>
      <c r="W24" s="210"/>
      <c r="X24" s="210"/>
      <c r="Y24" s="211"/>
      <c r="Z24" s="210"/>
      <c r="AA24" s="210"/>
      <c r="AB24" s="210"/>
      <c r="AC24" s="210"/>
      <c r="AD24" s="210"/>
      <c r="AE24" s="226"/>
      <c r="AF24" s="210"/>
      <c r="AG24" s="210"/>
      <c r="AH24" s="211"/>
      <c r="AI24" s="210"/>
      <c r="AJ24" s="210"/>
      <c r="AK24" s="210"/>
      <c r="AL24" s="210"/>
      <c r="AM24" s="226"/>
      <c r="AN24" s="210"/>
      <c r="AO24" s="210"/>
      <c r="AP24" s="210"/>
      <c r="AQ24" s="211"/>
      <c r="AR24" s="210"/>
      <c r="AS24" s="210"/>
      <c r="AT24" s="210"/>
      <c r="AU24" s="210"/>
      <c r="AV24" s="226"/>
      <c r="AW24" s="210"/>
      <c r="AX24" s="210"/>
      <c r="AY24" s="211"/>
      <c r="AZ24" s="210"/>
      <c r="BA24" s="210"/>
      <c r="BB24" s="210"/>
      <c r="BC24" s="210"/>
      <c r="BD24" s="210"/>
      <c r="BE24" s="226"/>
      <c r="BF24" s="210"/>
      <c r="BG24" s="210"/>
      <c r="BH24" s="211"/>
      <c r="BI24" s="210"/>
      <c r="BJ24" s="284"/>
      <c r="BK24" s="290"/>
      <c r="BM24" s="345"/>
      <c r="BN24" s="346"/>
      <c r="BO24" s="227" t="s">
        <v>24</v>
      </c>
      <c r="BP24" s="227">
        <v>0</v>
      </c>
      <c r="BQ24" s="227">
        <v>0</v>
      </c>
      <c r="BR24" s="227">
        <v>0</v>
      </c>
      <c r="BS24" s="227">
        <v>0</v>
      </c>
      <c r="BT24" s="227">
        <v>0</v>
      </c>
      <c r="BU24" s="227">
        <v>0</v>
      </c>
      <c r="BV24" s="227">
        <v>0</v>
      </c>
      <c r="BW24" s="227">
        <v>0</v>
      </c>
      <c r="BX24" s="227">
        <v>0</v>
      </c>
      <c r="BY24" s="227">
        <v>0</v>
      </c>
      <c r="BZ24" s="227">
        <v>0</v>
      </c>
      <c r="CA24" s="227">
        <v>0</v>
      </c>
    </row>
    <row r="25" spans="1:79" ht="18" customHeight="1">
      <c r="B25" s="227" t="s">
        <v>246</v>
      </c>
      <c r="C25" s="279" t="s">
        <v>157</v>
      </c>
      <c r="D25" s="248"/>
      <c r="E25" s="251"/>
      <c r="F25" s="252"/>
      <c r="G25" s="248"/>
      <c r="H25" s="232"/>
      <c r="I25" s="210"/>
      <c r="J25" s="210"/>
      <c r="K25" s="210"/>
      <c r="L25" s="210"/>
      <c r="M25" s="232"/>
      <c r="N25" s="210"/>
      <c r="O25" s="210"/>
      <c r="P25" s="211"/>
      <c r="Q25" s="210"/>
      <c r="R25" s="210"/>
      <c r="S25" s="210"/>
      <c r="T25" s="210"/>
      <c r="U25" s="210"/>
      <c r="V25" s="232"/>
      <c r="W25" s="210"/>
      <c r="X25" s="210"/>
      <c r="Y25" s="211"/>
      <c r="Z25" s="210"/>
      <c r="AA25" s="210"/>
      <c r="AB25" s="210"/>
      <c r="AC25" s="210"/>
      <c r="AD25" s="210"/>
      <c r="AE25" s="232"/>
      <c r="AF25" s="210"/>
      <c r="AG25" s="210"/>
      <c r="AH25" s="211"/>
      <c r="AI25" s="210"/>
      <c r="AJ25" s="210"/>
      <c r="AK25" s="210"/>
      <c r="AL25" s="210"/>
      <c r="AM25" s="232"/>
      <c r="AN25" s="210"/>
      <c r="AO25" s="210"/>
      <c r="AP25" s="210"/>
      <c r="AQ25" s="211"/>
      <c r="AR25" s="210"/>
      <c r="AS25" s="210"/>
      <c r="AT25" s="210"/>
      <c r="AU25" s="210"/>
      <c r="AV25" s="232"/>
      <c r="AW25" s="210"/>
      <c r="AX25" s="210"/>
      <c r="AY25" s="211"/>
      <c r="AZ25" s="210"/>
      <c r="BA25" s="210"/>
      <c r="BB25" s="210"/>
      <c r="BC25" s="210"/>
      <c r="BD25" s="210"/>
      <c r="BE25" s="232"/>
      <c r="BF25" s="210"/>
      <c r="BG25" s="210"/>
      <c r="BH25" s="211"/>
      <c r="BI25" s="210"/>
      <c r="BJ25" s="233"/>
      <c r="BK25" s="290"/>
      <c r="BM25" s="345"/>
      <c r="BN25" s="346"/>
      <c r="BO25" s="227" t="s">
        <v>46</v>
      </c>
      <c r="BP25" s="227">
        <v>0</v>
      </c>
      <c r="BQ25" s="227">
        <v>0</v>
      </c>
      <c r="BR25" s="227">
        <v>0</v>
      </c>
      <c r="BS25" s="227">
        <v>0</v>
      </c>
      <c r="BT25" s="227">
        <v>0</v>
      </c>
      <c r="BU25" s="227">
        <v>0</v>
      </c>
      <c r="BV25" s="227">
        <v>0</v>
      </c>
      <c r="BW25" s="227">
        <v>0</v>
      </c>
      <c r="BX25" s="227">
        <v>0</v>
      </c>
      <c r="BY25" s="227">
        <v>0</v>
      </c>
      <c r="BZ25" s="227">
        <v>0</v>
      </c>
      <c r="CA25" s="227">
        <v>0</v>
      </c>
    </row>
    <row r="26" spans="1:79" s="230" customFormat="1" ht="18" customHeight="1" thickBot="1">
      <c r="A26" s="227"/>
      <c r="B26" s="227" t="s">
        <v>246</v>
      </c>
      <c r="C26" s="279" t="s">
        <v>157</v>
      </c>
      <c r="D26" s="248"/>
      <c r="E26" s="251"/>
      <c r="F26" s="252"/>
      <c r="G26" s="248"/>
      <c r="H26" s="232"/>
      <c r="I26" s="210"/>
      <c r="J26" s="210"/>
      <c r="K26" s="210"/>
      <c r="L26" s="210"/>
      <c r="M26" s="232"/>
      <c r="N26" s="210"/>
      <c r="O26" s="210"/>
      <c r="P26" s="211"/>
      <c r="Q26" s="210"/>
      <c r="R26" s="210"/>
      <c r="S26" s="210"/>
      <c r="T26" s="210"/>
      <c r="U26" s="210"/>
      <c r="V26" s="232"/>
      <c r="W26" s="210"/>
      <c r="X26" s="210"/>
      <c r="Y26" s="211"/>
      <c r="Z26" s="210"/>
      <c r="AA26" s="210"/>
      <c r="AB26" s="210"/>
      <c r="AC26" s="210"/>
      <c r="AD26" s="210"/>
      <c r="AE26" s="232"/>
      <c r="AF26" s="210"/>
      <c r="AG26" s="210"/>
      <c r="AH26" s="211"/>
      <c r="AI26" s="210"/>
      <c r="AJ26" s="210"/>
      <c r="AK26" s="210"/>
      <c r="AL26" s="210"/>
      <c r="AM26" s="232"/>
      <c r="AN26" s="210"/>
      <c r="AO26" s="210"/>
      <c r="AP26" s="210"/>
      <c r="AQ26" s="211"/>
      <c r="AR26" s="210"/>
      <c r="AS26" s="210"/>
      <c r="AT26" s="210"/>
      <c r="AU26" s="210"/>
      <c r="AV26" s="232"/>
      <c r="AW26" s="210"/>
      <c r="AX26" s="210"/>
      <c r="AY26" s="211"/>
      <c r="AZ26" s="210"/>
      <c r="BA26" s="210"/>
      <c r="BB26" s="210"/>
      <c r="BC26" s="210"/>
      <c r="BD26" s="210"/>
      <c r="BE26" s="232"/>
      <c r="BF26" s="210"/>
      <c r="BG26" s="210"/>
      <c r="BH26" s="211"/>
      <c r="BI26" s="210"/>
      <c r="BJ26" s="233"/>
      <c r="BK26" s="290"/>
      <c r="BL26" s="229"/>
      <c r="BM26" s="347"/>
      <c r="BN26" s="348"/>
      <c r="BO26" s="227" t="s">
        <v>134</v>
      </c>
      <c r="BP26" s="227">
        <v>0</v>
      </c>
      <c r="BQ26" s="227">
        <v>0</v>
      </c>
      <c r="BR26" s="227">
        <v>0</v>
      </c>
      <c r="BS26" s="227">
        <v>0</v>
      </c>
      <c r="BT26" s="227">
        <v>0</v>
      </c>
      <c r="BU26" s="227">
        <v>0</v>
      </c>
      <c r="BV26" s="227">
        <v>0</v>
      </c>
      <c r="BW26" s="227">
        <v>0</v>
      </c>
      <c r="BX26" s="227">
        <v>0</v>
      </c>
      <c r="BY26" s="227">
        <v>0</v>
      </c>
      <c r="BZ26" s="227">
        <v>0</v>
      </c>
      <c r="CA26" s="227">
        <v>0</v>
      </c>
    </row>
    <row r="27" spans="1:79" ht="18" customHeight="1" thickBot="1">
      <c r="C27" s="279"/>
      <c r="D27" s="390"/>
      <c r="E27" s="391"/>
      <c r="F27" s="391"/>
      <c r="G27" s="392"/>
      <c r="H27" s="449"/>
      <c r="I27" s="450"/>
      <c r="J27" s="450"/>
      <c r="K27" s="450"/>
      <c r="L27" s="451"/>
      <c r="M27" s="449"/>
      <c r="N27" s="450"/>
      <c r="O27" s="450"/>
      <c r="P27" s="451"/>
      <c r="Q27" s="449"/>
      <c r="R27" s="450"/>
      <c r="S27" s="450"/>
      <c r="T27" s="450"/>
      <c r="U27" s="451"/>
      <c r="V27" s="449"/>
      <c r="W27" s="450"/>
      <c r="X27" s="450"/>
      <c r="Y27" s="451"/>
      <c r="Z27" s="390"/>
      <c r="AA27" s="391"/>
      <c r="AB27" s="391"/>
      <c r="AC27" s="391"/>
      <c r="AD27" s="392"/>
      <c r="AE27" s="390"/>
      <c r="AF27" s="391"/>
      <c r="AG27" s="391"/>
      <c r="AH27" s="392"/>
      <c r="AI27" s="390"/>
      <c r="AJ27" s="391"/>
      <c r="AK27" s="391"/>
      <c r="AL27" s="392"/>
      <c r="AM27" s="390"/>
      <c r="AN27" s="391"/>
      <c r="AO27" s="391"/>
      <c r="AP27" s="391"/>
      <c r="AQ27" s="392"/>
      <c r="AR27" s="390"/>
      <c r="AS27" s="391"/>
      <c r="AT27" s="391"/>
      <c r="AU27" s="392"/>
      <c r="AV27" s="390"/>
      <c r="AW27" s="391"/>
      <c r="AX27" s="391"/>
      <c r="AY27" s="392"/>
      <c r="AZ27" s="390"/>
      <c r="BA27" s="391"/>
      <c r="BB27" s="391"/>
      <c r="BC27" s="391"/>
      <c r="BD27" s="392"/>
      <c r="BE27" s="390"/>
      <c r="BF27" s="391"/>
      <c r="BG27" s="391"/>
      <c r="BH27" s="392"/>
      <c r="BI27" s="392"/>
      <c r="BJ27" s="376"/>
      <c r="BK27" s="378">
        <f>SUM(BK22:BK26)</f>
        <v>0</v>
      </c>
      <c r="BL27" s="247">
        <v>0</v>
      </c>
      <c r="BM27" s="447"/>
      <c r="BN27" s="448"/>
      <c r="BO27" s="227" t="s">
        <v>140</v>
      </c>
      <c r="BP27" s="227">
        <v>0</v>
      </c>
      <c r="BQ27" s="227">
        <v>0</v>
      </c>
      <c r="BR27" s="227">
        <v>0</v>
      </c>
      <c r="BS27" s="227">
        <v>0</v>
      </c>
      <c r="BT27" s="227">
        <v>0</v>
      </c>
      <c r="BU27" s="227">
        <v>0</v>
      </c>
      <c r="BV27" s="227">
        <v>0</v>
      </c>
      <c r="BW27" s="227">
        <v>0</v>
      </c>
      <c r="BX27" s="227">
        <v>0</v>
      </c>
      <c r="BY27" s="227">
        <v>0</v>
      </c>
      <c r="BZ27" s="227">
        <v>0</v>
      </c>
      <c r="CA27" s="227">
        <v>0</v>
      </c>
    </row>
    <row r="28" spans="1:79" ht="18" customHeight="1" thickBot="1">
      <c r="C28" s="279"/>
      <c r="D28" s="481" t="s">
        <v>2</v>
      </c>
      <c r="E28" s="482"/>
      <c r="F28" s="483"/>
      <c r="G28" s="482"/>
      <c r="H28" s="320"/>
      <c r="I28" s="393"/>
      <c r="J28" s="393"/>
      <c r="K28" s="393"/>
      <c r="L28" s="395"/>
      <c r="M28" s="323"/>
      <c r="N28" s="394"/>
      <c r="O28" s="394"/>
      <c r="P28" s="325"/>
      <c r="Q28" s="320"/>
      <c r="R28" s="393"/>
      <c r="S28" s="393"/>
      <c r="T28" s="393"/>
      <c r="U28" s="395"/>
      <c r="V28" s="394"/>
      <c r="W28" s="394"/>
      <c r="X28" s="394"/>
      <c r="Y28" s="394"/>
      <c r="Z28" s="323"/>
      <c r="AA28" s="393"/>
      <c r="AB28" s="393"/>
      <c r="AC28" s="393"/>
      <c r="AD28" s="395"/>
      <c r="AE28" s="394"/>
      <c r="AF28" s="394"/>
      <c r="AG28" s="394"/>
      <c r="AH28" s="394"/>
      <c r="AI28" s="323"/>
      <c r="AJ28" s="393"/>
      <c r="AK28" s="393"/>
      <c r="AL28" s="395"/>
      <c r="AM28" s="393"/>
      <c r="AN28" s="394"/>
      <c r="AO28" s="394"/>
      <c r="AP28" s="394"/>
      <c r="AQ28" s="394"/>
      <c r="AR28" s="323"/>
      <c r="AS28" s="393"/>
      <c r="AT28" s="393"/>
      <c r="AU28" s="395"/>
      <c r="AV28" s="394"/>
      <c r="AW28" s="394"/>
      <c r="AX28" s="394"/>
      <c r="AY28" s="394"/>
      <c r="AZ28" s="320"/>
      <c r="BA28" s="393"/>
      <c r="BB28" s="393"/>
      <c r="BC28" s="393"/>
      <c r="BD28" s="395"/>
      <c r="BE28" s="394"/>
      <c r="BF28" s="394"/>
      <c r="BG28" s="394"/>
      <c r="BH28" s="394"/>
      <c r="BI28" s="457"/>
      <c r="BJ28" s="453"/>
      <c r="BK28" s="458"/>
      <c r="BL28" s="231"/>
      <c r="BM28" s="400" t="s">
        <v>258</v>
      </c>
      <c r="BN28" s="351" t="s">
        <v>259</v>
      </c>
      <c r="BO28" s="227" t="s">
        <v>135</v>
      </c>
      <c r="BP28" s="227">
        <v>0</v>
      </c>
      <c r="BQ28" s="227">
        <v>0</v>
      </c>
      <c r="BR28" s="227">
        <v>0</v>
      </c>
      <c r="BS28" s="227">
        <v>3524990</v>
      </c>
      <c r="BT28" s="227">
        <v>15049980</v>
      </c>
      <c r="BU28" s="227">
        <v>0</v>
      </c>
      <c r="BV28" s="227">
        <v>0</v>
      </c>
      <c r="BW28" s="227">
        <v>0</v>
      </c>
      <c r="BX28" s="227">
        <v>0</v>
      </c>
      <c r="BY28" s="227">
        <v>0</v>
      </c>
      <c r="BZ28" s="227">
        <v>0</v>
      </c>
      <c r="CA28" s="227">
        <v>0</v>
      </c>
    </row>
    <row r="29" spans="1:79" ht="18" customHeight="1">
      <c r="B29" s="227" t="s">
        <v>246</v>
      </c>
      <c r="C29" s="279" t="s">
        <v>157</v>
      </c>
      <c r="D29" s="248"/>
      <c r="E29" s="249"/>
      <c r="F29" s="252"/>
      <c r="G29" s="253"/>
      <c r="H29" s="402"/>
      <c r="I29" s="401"/>
      <c r="J29" s="401"/>
      <c r="K29" s="401"/>
      <c r="L29" s="401"/>
      <c r="M29" s="402"/>
      <c r="N29" s="401"/>
      <c r="O29" s="401"/>
      <c r="P29" s="403"/>
      <c r="Q29" s="401"/>
      <c r="R29" s="401"/>
      <c r="S29" s="401"/>
      <c r="T29" s="401"/>
      <c r="U29" s="401"/>
      <c r="V29" s="402"/>
      <c r="W29" s="401"/>
      <c r="X29" s="401"/>
      <c r="Y29" s="403"/>
      <c r="Z29" s="401"/>
      <c r="AA29" s="401"/>
      <c r="AB29" s="401"/>
      <c r="AC29" s="401"/>
      <c r="AD29" s="401"/>
      <c r="AE29" s="402"/>
      <c r="AF29" s="401"/>
      <c r="AG29" s="401"/>
      <c r="AH29" s="403"/>
      <c r="AI29" s="401"/>
      <c r="AJ29" s="401"/>
      <c r="AK29" s="401"/>
      <c r="AL29" s="401"/>
      <c r="AM29" s="402"/>
      <c r="AN29" s="401"/>
      <c r="AO29" s="401"/>
      <c r="AP29" s="401"/>
      <c r="AQ29" s="403"/>
      <c r="AR29" s="401"/>
      <c r="AS29" s="401"/>
      <c r="AT29" s="401"/>
      <c r="AU29" s="401"/>
      <c r="AV29" s="402"/>
      <c r="AW29" s="401"/>
      <c r="AX29" s="401"/>
      <c r="AY29" s="403"/>
      <c r="AZ29" s="401"/>
      <c r="BA29" s="401"/>
      <c r="BB29" s="401"/>
      <c r="BC29" s="401"/>
      <c r="BD29" s="401"/>
      <c r="BE29" s="402"/>
      <c r="BF29" s="401"/>
      <c r="BG29" s="401"/>
      <c r="BH29" s="403"/>
      <c r="BI29" s="210"/>
      <c r="BJ29" s="212"/>
      <c r="BK29" s="290"/>
      <c r="BM29" s="349"/>
      <c r="BN29" s="344"/>
      <c r="BO29" s="227" t="s">
        <v>136</v>
      </c>
      <c r="BP29" s="227">
        <v>0</v>
      </c>
      <c r="BQ29" s="227">
        <v>0</v>
      </c>
      <c r="BR29" s="227">
        <v>0</v>
      </c>
      <c r="BS29" s="227">
        <v>0</v>
      </c>
      <c r="BT29" s="227">
        <v>0</v>
      </c>
      <c r="BU29" s="227">
        <v>0</v>
      </c>
      <c r="BV29" s="227">
        <v>0</v>
      </c>
      <c r="BW29" s="227">
        <v>0</v>
      </c>
      <c r="BX29" s="227">
        <v>0</v>
      </c>
      <c r="BY29" s="227">
        <v>0</v>
      </c>
      <c r="BZ29" s="227">
        <v>0</v>
      </c>
      <c r="CA29" s="227">
        <v>0</v>
      </c>
    </row>
    <row r="30" spans="1:79" ht="18" customHeight="1">
      <c r="B30" s="227" t="s">
        <v>246</v>
      </c>
      <c r="C30" s="279" t="s">
        <v>157</v>
      </c>
      <c r="D30" s="262"/>
      <c r="E30" s="263"/>
      <c r="F30" s="252"/>
      <c r="G30" s="262"/>
      <c r="H30" s="226"/>
      <c r="I30" s="210"/>
      <c r="J30" s="210"/>
      <c r="K30" s="210"/>
      <c r="L30" s="210"/>
      <c r="M30" s="226"/>
      <c r="N30" s="210"/>
      <c r="O30" s="210"/>
      <c r="P30" s="211"/>
      <c r="Q30" s="210"/>
      <c r="R30" s="210"/>
      <c r="S30" s="210"/>
      <c r="T30" s="210"/>
      <c r="U30" s="210"/>
      <c r="V30" s="226"/>
      <c r="W30" s="210"/>
      <c r="X30" s="210"/>
      <c r="Y30" s="211"/>
      <c r="Z30" s="210"/>
      <c r="AA30" s="210"/>
      <c r="AB30" s="210"/>
      <c r="AC30" s="210"/>
      <c r="AD30" s="210"/>
      <c r="AE30" s="226"/>
      <c r="AF30" s="210"/>
      <c r="AG30" s="210"/>
      <c r="AH30" s="211"/>
      <c r="AI30" s="210"/>
      <c r="AJ30" s="210"/>
      <c r="AK30" s="210"/>
      <c r="AL30" s="210"/>
      <c r="AM30" s="226"/>
      <c r="AN30" s="210"/>
      <c r="AO30" s="210"/>
      <c r="AP30" s="210"/>
      <c r="AQ30" s="211"/>
      <c r="AR30" s="210"/>
      <c r="AS30" s="210"/>
      <c r="AT30" s="210"/>
      <c r="AU30" s="210"/>
      <c r="AV30" s="226"/>
      <c r="AW30" s="210"/>
      <c r="AX30" s="210"/>
      <c r="AY30" s="211"/>
      <c r="AZ30" s="210"/>
      <c r="BA30" s="210"/>
      <c r="BB30" s="210"/>
      <c r="BC30" s="210"/>
      <c r="BD30" s="210"/>
      <c r="BE30" s="226"/>
      <c r="BF30" s="210"/>
      <c r="BG30" s="210"/>
      <c r="BH30" s="211"/>
      <c r="BI30" s="210"/>
      <c r="BJ30" s="284"/>
      <c r="BK30" s="290"/>
      <c r="BM30" s="345"/>
      <c r="BN30" s="346"/>
    </row>
    <row r="31" spans="1:79" ht="18" customHeight="1">
      <c r="B31" s="227" t="s">
        <v>246</v>
      </c>
      <c r="C31" s="279" t="s">
        <v>157</v>
      </c>
      <c r="D31" s="262"/>
      <c r="E31" s="263"/>
      <c r="F31" s="252"/>
      <c r="G31" s="262"/>
      <c r="H31" s="226"/>
      <c r="I31" s="210"/>
      <c r="J31" s="210"/>
      <c r="K31" s="210"/>
      <c r="L31" s="210"/>
      <c r="M31" s="226"/>
      <c r="N31" s="210"/>
      <c r="O31" s="210"/>
      <c r="P31" s="211"/>
      <c r="Q31" s="210"/>
      <c r="R31" s="210"/>
      <c r="S31" s="210"/>
      <c r="T31" s="210"/>
      <c r="U31" s="210"/>
      <c r="V31" s="226"/>
      <c r="W31" s="210"/>
      <c r="X31" s="210"/>
      <c r="Y31" s="211"/>
      <c r="Z31" s="210"/>
      <c r="AA31" s="210"/>
      <c r="AB31" s="210"/>
      <c r="AC31" s="210"/>
      <c r="AD31" s="210"/>
      <c r="AE31" s="226"/>
      <c r="AF31" s="210"/>
      <c r="AG31" s="210"/>
      <c r="AH31" s="211"/>
      <c r="AI31" s="210"/>
      <c r="AJ31" s="210"/>
      <c r="AK31" s="210"/>
      <c r="AL31" s="210"/>
      <c r="AM31" s="226"/>
      <c r="AN31" s="210"/>
      <c r="AO31" s="210"/>
      <c r="AP31" s="210"/>
      <c r="AQ31" s="211"/>
      <c r="AR31" s="210"/>
      <c r="AS31" s="210"/>
      <c r="AT31" s="210"/>
      <c r="AU31" s="210"/>
      <c r="AV31" s="226"/>
      <c r="AW31" s="210"/>
      <c r="AX31" s="210"/>
      <c r="AY31" s="211"/>
      <c r="AZ31" s="210"/>
      <c r="BA31" s="210"/>
      <c r="BB31" s="210"/>
      <c r="BC31" s="210"/>
      <c r="BD31" s="210"/>
      <c r="BE31" s="226"/>
      <c r="BF31" s="210"/>
      <c r="BG31" s="210"/>
      <c r="BH31" s="211"/>
      <c r="BI31" s="210"/>
      <c r="BJ31" s="284"/>
      <c r="BK31" s="290"/>
      <c r="BM31" s="345"/>
      <c r="BN31" s="346"/>
    </row>
    <row r="32" spans="1:79" ht="18" customHeight="1">
      <c r="B32" s="227" t="s">
        <v>246</v>
      </c>
      <c r="C32" s="279" t="s">
        <v>157</v>
      </c>
      <c r="D32" s="248"/>
      <c r="E32" s="251"/>
      <c r="F32" s="252"/>
      <c r="G32" s="248"/>
      <c r="H32" s="232"/>
      <c r="I32" s="210"/>
      <c r="J32" s="210"/>
      <c r="K32" s="210"/>
      <c r="L32" s="210"/>
      <c r="M32" s="232"/>
      <c r="N32" s="210"/>
      <c r="O32" s="210"/>
      <c r="P32" s="211"/>
      <c r="Q32" s="210"/>
      <c r="R32" s="210"/>
      <c r="S32" s="210"/>
      <c r="T32" s="210"/>
      <c r="U32" s="210"/>
      <c r="V32" s="232"/>
      <c r="W32" s="210"/>
      <c r="X32" s="210"/>
      <c r="Y32" s="211"/>
      <c r="Z32" s="210"/>
      <c r="AA32" s="210"/>
      <c r="AB32" s="210"/>
      <c r="AC32" s="210"/>
      <c r="AD32" s="210"/>
      <c r="AE32" s="232"/>
      <c r="AF32" s="210"/>
      <c r="AG32" s="210"/>
      <c r="AH32" s="211"/>
      <c r="AI32" s="210"/>
      <c r="AJ32" s="210"/>
      <c r="AK32" s="210"/>
      <c r="AL32" s="210"/>
      <c r="AM32" s="232"/>
      <c r="AN32" s="210"/>
      <c r="AO32" s="210"/>
      <c r="AP32" s="210"/>
      <c r="AQ32" s="211"/>
      <c r="AR32" s="210"/>
      <c r="AS32" s="210"/>
      <c r="AT32" s="210"/>
      <c r="AU32" s="210"/>
      <c r="AV32" s="232"/>
      <c r="AW32" s="210"/>
      <c r="AX32" s="210"/>
      <c r="AY32" s="211"/>
      <c r="AZ32" s="210"/>
      <c r="BA32" s="210"/>
      <c r="BB32" s="210"/>
      <c r="BC32" s="210"/>
      <c r="BD32" s="210"/>
      <c r="BE32" s="232"/>
      <c r="BF32" s="210"/>
      <c r="BG32" s="210"/>
      <c r="BH32" s="211"/>
      <c r="BI32" s="210"/>
      <c r="BJ32" s="233"/>
      <c r="BK32" s="290"/>
      <c r="BM32" s="345"/>
      <c r="BN32" s="346"/>
    </row>
    <row r="33" spans="1:69" s="230" customFormat="1" ht="18" customHeight="1" thickBot="1">
      <c r="A33" s="227"/>
      <c r="B33" s="227" t="s">
        <v>246</v>
      </c>
      <c r="C33" s="279" t="s">
        <v>157</v>
      </c>
      <c r="D33" s="248"/>
      <c r="E33" s="251"/>
      <c r="F33" s="252"/>
      <c r="G33" s="248"/>
      <c r="H33" s="232"/>
      <c r="I33" s="210"/>
      <c r="J33" s="210"/>
      <c r="K33" s="210"/>
      <c r="L33" s="210"/>
      <c r="M33" s="232"/>
      <c r="N33" s="210"/>
      <c r="O33" s="210"/>
      <c r="P33" s="211"/>
      <c r="Q33" s="210"/>
      <c r="R33" s="210"/>
      <c r="S33" s="210"/>
      <c r="T33" s="210"/>
      <c r="U33" s="210"/>
      <c r="V33" s="232"/>
      <c r="W33" s="210"/>
      <c r="X33" s="210"/>
      <c r="Y33" s="211"/>
      <c r="Z33" s="210"/>
      <c r="AA33" s="210"/>
      <c r="AB33" s="210"/>
      <c r="AC33" s="210"/>
      <c r="AD33" s="210"/>
      <c r="AE33" s="232"/>
      <c r="AF33" s="210"/>
      <c r="AG33" s="210"/>
      <c r="AH33" s="211"/>
      <c r="AI33" s="210"/>
      <c r="AJ33" s="210"/>
      <c r="AK33" s="210"/>
      <c r="AL33" s="210"/>
      <c r="AM33" s="232"/>
      <c r="AN33" s="210"/>
      <c r="AO33" s="210"/>
      <c r="AP33" s="210"/>
      <c r="AQ33" s="211"/>
      <c r="AR33" s="210"/>
      <c r="AS33" s="210"/>
      <c r="AT33" s="210"/>
      <c r="AU33" s="210"/>
      <c r="AV33" s="232"/>
      <c r="AW33" s="210"/>
      <c r="AX33" s="210"/>
      <c r="AY33" s="211"/>
      <c r="AZ33" s="210"/>
      <c r="BA33" s="210"/>
      <c r="BB33" s="210"/>
      <c r="BC33" s="210"/>
      <c r="BD33" s="210"/>
      <c r="BE33" s="232"/>
      <c r="BF33" s="210"/>
      <c r="BG33" s="210"/>
      <c r="BH33" s="211"/>
      <c r="BI33" s="210"/>
      <c r="BJ33" s="233"/>
      <c r="BK33" s="290"/>
      <c r="BL33" s="229"/>
      <c r="BM33" s="347"/>
      <c r="BN33" s="348"/>
      <c r="BO33" s="227"/>
      <c r="BP33" s="227"/>
      <c r="BQ33" s="227"/>
    </row>
    <row r="34" spans="1:69" ht="18" customHeight="1" thickBot="1">
      <c r="C34" s="279"/>
      <c r="D34" s="390"/>
      <c r="E34" s="391"/>
      <c r="F34" s="391"/>
      <c r="G34" s="392"/>
      <c r="H34" s="449"/>
      <c r="I34" s="450"/>
      <c r="J34" s="450"/>
      <c r="K34" s="450"/>
      <c r="L34" s="451"/>
      <c r="M34" s="449"/>
      <c r="N34" s="450"/>
      <c r="O34" s="450"/>
      <c r="P34" s="451"/>
      <c r="Q34" s="449"/>
      <c r="R34" s="450"/>
      <c r="S34" s="450"/>
      <c r="T34" s="450"/>
      <c r="U34" s="451"/>
      <c r="V34" s="449"/>
      <c r="W34" s="450"/>
      <c r="X34" s="450"/>
      <c r="Y34" s="451"/>
      <c r="Z34" s="390"/>
      <c r="AA34" s="391"/>
      <c r="AB34" s="391"/>
      <c r="AC34" s="391"/>
      <c r="AD34" s="392"/>
      <c r="AE34" s="390"/>
      <c r="AF34" s="391"/>
      <c r="AG34" s="391"/>
      <c r="AH34" s="392"/>
      <c r="AI34" s="390"/>
      <c r="AJ34" s="391"/>
      <c r="AK34" s="391"/>
      <c r="AL34" s="392"/>
      <c r="AM34" s="390"/>
      <c r="AN34" s="391"/>
      <c r="AO34" s="391"/>
      <c r="AP34" s="391"/>
      <c r="AQ34" s="392"/>
      <c r="AR34" s="390"/>
      <c r="AS34" s="391"/>
      <c r="AT34" s="391"/>
      <c r="AU34" s="392"/>
      <c r="AV34" s="390"/>
      <c r="AW34" s="391"/>
      <c r="AX34" s="391"/>
      <c r="AY34" s="392"/>
      <c r="AZ34" s="390"/>
      <c r="BA34" s="391"/>
      <c r="BB34" s="391"/>
      <c r="BC34" s="391"/>
      <c r="BD34" s="392"/>
      <c r="BE34" s="390"/>
      <c r="BF34" s="391"/>
      <c r="BG34" s="391"/>
      <c r="BH34" s="392"/>
      <c r="BI34" s="392"/>
      <c r="BJ34" s="376"/>
      <c r="BK34" s="378">
        <f>SUM(BK29:BK33)</f>
        <v>0</v>
      </c>
      <c r="BL34" s="247">
        <v>0</v>
      </c>
      <c r="BM34" s="447"/>
      <c r="BN34" s="448"/>
    </row>
    <row r="35" spans="1:69" ht="18" customHeight="1" thickBot="1">
      <c r="C35" s="279"/>
      <c r="D35" s="481" t="s">
        <v>24</v>
      </c>
      <c r="E35" s="482"/>
      <c r="F35" s="483"/>
      <c r="G35" s="482"/>
      <c r="H35" s="320"/>
      <c r="I35" s="398"/>
      <c r="J35" s="398"/>
      <c r="K35" s="398"/>
      <c r="L35" s="399"/>
      <c r="M35" s="396"/>
      <c r="N35" s="394"/>
      <c r="O35" s="394"/>
      <c r="P35" s="325"/>
      <c r="Q35" s="320"/>
      <c r="R35" s="398"/>
      <c r="S35" s="398"/>
      <c r="T35" s="398"/>
      <c r="U35" s="399"/>
      <c r="V35" s="394"/>
      <c r="W35" s="394"/>
      <c r="X35" s="394"/>
      <c r="Y35" s="394"/>
      <c r="Z35" s="396"/>
      <c r="AA35" s="398"/>
      <c r="AB35" s="398"/>
      <c r="AC35" s="398"/>
      <c r="AD35" s="399"/>
      <c r="AE35" s="394"/>
      <c r="AF35" s="394"/>
      <c r="AG35" s="394"/>
      <c r="AH35" s="394"/>
      <c r="AI35" s="396"/>
      <c r="AJ35" s="398"/>
      <c r="AK35" s="398"/>
      <c r="AL35" s="399"/>
      <c r="AM35" s="398"/>
      <c r="AN35" s="394"/>
      <c r="AO35" s="394"/>
      <c r="AP35" s="394"/>
      <c r="AQ35" s="394"/>
      <c r="AR35" s="396"/>
      <c r="AS35" s="398"/>
      <c r="AT35" s="398"/>
      <c r="AU35" s="399"/>
      <c r="AV35" s="394"/>
      <c r="AW35" s="394"/>
      <c r="AX35" s="394"/>
      <c r="AY35" s="394"/>
      <c r="AZ35" s="320"/>
      <c r="BA35" s="398"/>
      <c r="BB35" s="398"/>
      <c r="BC35" s="398"/>
      <c r="BD35" s="399"/>
      <c r="BE35" s="394"/>
      <c r="BF35" s="394"/>
      <c r="BG35" s="394"/>
      <c r="BH35" s="394"/>
      <c r="BI35" s="457"/>
      <c r="BJ35" s="453"/>
      <c r="BK35" s="458"/>
      <c r="BL35" s="231"/>
      <c r="BM35" s="400" t="s">
        <v>258</v>
      </c>
      <c r="BN35" s="351" t="s">
        <v>259</v>
      </c>
      <c r="BO35" s="230"/>
      <c r="BP35" s="230"/>
      <c r="BQ35" s="230"/>
    </row>
    <row r="36" spans="1:69" ht="18" customHeight="1">
      <c r="B36" s="227" t="s">
        <v>246</v>
      </c>
      <c r="C36" s="279" t="s">
        <v>157</v>
      </c>
      <c r="D36" s="248"/>
      <c r="E36" s="249"/>
      <c r="F36" s="252"/>
      <c r="G36" s="253"/>
      <c r="H36" s="402"/>
      <c r="I36" s="401"/>
      <c r="J36" s="401"/>
      <c r="K36" s="401"/>
      <c r="L36" s="401"/>
      <c r="M36" s="402"/>
      <c r="N36" s="401"/>
      <c r="O36" s="401"/>
      <c r="P36" s="403"/>
      <c r="Q36" s="401"/>
      <c r="R36" s="401"/>
      <c r="S36" s="401"/>
      <c r="T36" s="401"/>
      <c r="U36" s="401"/>
      <c r="V36" s="402"/>
      <c r="W36" s="401"/>
      <c r="X36" s="401"/>
      <c r="Y36" s="403"/>
      <c r="Z36" s="401"/>
      <c r="AA36" s="401"/>
      <c r="AB36" s="401"/>
      <c r="AC36" s="401"/>
      <c r="AD36" s="401"/>
      <c r="AE36" s="402"/>
      <c r="AF36" s="401"/>
      <c r="AG36" s="401"/>
      <c r="AH36" s="403"/>
      <c r="AI36" s="401"/>
      <c r="AJ36" s="401"/>
      <c r="AK36" s="401"/>
      <c r="AL36" s="401"/>
      <c r="AM36" s="402"/>
      <c r="AN36" s="401"/>
      <c r="AO36" s="401"/>
      <c r="AP36" s="401"/>
      <c r="AQ36" s="403"/>
      <c r="AR36" s="401"/>
      <c r="AS36" s="401"/>
      <c r="AT36" s="401"/>
      <c r="AU36" s="401"/>
      <c r="AV36" s="402"/>
      <c r="AW36" s="401"/>
      <c r="AX36" s="401"/>
      <c r="AY36" s="403"/>
      <c r="AZ36" s="401"/>
      <c r="BA36" s="401"/>
      <c r="BB36" s="401"/>
      <c r="BC36" s="401"/>
      <c r="BD36" s="401"/>
      <c r="BE36" s="402"/>
      <c r="BF36" s="401"/>
      <c r="BG36" s="401"/>
      <c r="BH36" s="403"/>
      <c r="BI36" s="210"/>
      <c r="BJ36" s="212"/>
      <c r="BK36" s="290"/>
      <c r="BM36" s="349"/>
      <c r="BN36" s="344"/>
    </row>
    <row r="37" spans="1:69" ht="18" customHeight="1">
      <c r="B37" s="227" t="s">
        <v>246</v>
      </c>
      <c r="C37" s="279" t="s">
        <v>157</v>
      </c>
      <c r="D37" s="262"/>
      <c r="E37" s="263"/>
      <c r="F37" s="252"/>
      <c r="G37" s="262"/>
      <c r="H37" s="226"/>
      <c r="I37" s="210"/>
      <c r="J37" s="210"/>
      <c r="K37" s="210"/>
      <c r="L37" s="210"/>
      <c r="M37" s="226"/>
      <c r="N37" s="210"/>
      <c r="O37" s="210"/>
      <c r="P37" s="211"/>
      <c r="Q37" s="210"/>
      <c r="R37" s="210"/>
      <c r="S37" s="210"/>
      <c r="T37" s="210"/>
      <c r="U37" s="210"/>
      <c r="V37" s="226"/>
      <c r="W37" s="210"/>
      <c r="X37" s="210"/>
      <c r="Y37" s="211"/>
      <c r="Z37" s="210"/>
      <c r="AA37" s="210"/>
      <c r="AB37" s="210"/>
      <c r="AC37" s="210"/>
      <c r="AD37" s="210"/>
      <c r="AE37" s="226"/>
      <c r="AF37" s="210"/>
      <c r="AG37" s="210"/>
      <c r="AH37" s="211"/>
      <c r="AI37" s="210"/>
      <c r="AJ37" s="210"/>
      <c r="AK37" s="210"/>
      <c r="AL37" s="210"/>
      <c r="AM37" s="226"/>
      <c r="AN37" s="210"/>
      <c r="AO37" s="210"/>
      <c r="AP37" s="210"/>
      <c r="AQ37" s="211"/>
      <c r="AR37" s="210"/>
      <c r="AS37" s="210"/>
      <c r="AT37" s="210"/>
      <c r="AU37" s="210"/>
      <c r="AV37" s="226"/>
      <c r="AW37" s="210"/>
      <c r="AX37" s="210"/>
      <c r="AY37" s="211"/>
      <c r="AZ37" s="210"/>
      <c r="BA37" s="210"/>
      <c r="BB37" s="210"/>
      <c r="BC37" s="210"/>
      <c r="BD37" s="210"/>
      <c r="BE37" s="226"/>
      <c r="BF37" s="210"/>
      <c r="BG37" s="210"/>
      <c r="BH37" s="211"/>
      <c r="BI37" s="210"/>
      <c r="BJ37" s="284"/>
      <c r="BK37" s="290"/>
      <c r="BM37" s="345"/>
      <c r="BN37" s="346"/>
    </row>
    <row r="38" spans="1:69" ht="18" customHeight="1">
      <c r="B38" s="227" t="s">
        <v>246</v>
      </c>
      <c r="C38" s="279" t="s">
        <v>157</v>
      </c>
      <c r="D38" s="262"/>
      <c r="E38" s="263"/>
      <c r="F38" s="252"/>
      <c r="G38" s="262"/>
      <c r="H38" s="226"/>
      <c r="I38" s="210"/>
      <c r="J38" s="210"/>
      <c r="K38" s="210"/>
      <c r="L38" s="210"/>
      <c r="M38" s="226"/>
      <c r="N38" s="210"/>
      <c r="O38" s="210"/>
      <c r="P38" s="211"/>
      <c r="Q38" s="210"/>
      <c r="R38" s="210"/>
      <c r="S38" s="210"/>
      <c r="T38" s="210"/>
      <c r="U38" s="210"/>
      <c r="V38" s="226"/>
      <c r="W38" s="210"/>
      <c r="X38" s="210"/>
      <c r="Y38" s="211"/>
      <c r="Z38" s="210"/>
      <c r="AA38" s="210"/>
      <c r="AB38" s="210"/>
      <c r="AC38" s="210"/>
      <c r="AD38" s="210"/>
      <c r="AE38" s="226"/>
      <c r="AF38" s="210"/>
      <c r="AG38" s="210"/>
      <c r="AH38" s="211"/>
      <c r="AI38" s="210"/>
      <c r="AJ38" s="210"/>
      <c r="AK38" s="210"/>
      <c r="AL38" s="210"/>
      <c r="AM38" s="226"/>
      <c r="AN38" s="210"/>
      <c r="AO38" s="210"/>
      <c r="AP38" s="210"/>
      <c r="AQ38" s="211"/>
      <c r="AR38" s="210"/>
      <c r="AS38" s="210"/>
      <c r="AT38" s="210"/>
      <c r="AU38" s="210"/>
      <c r="AV38" s="226"/>
      <c r="AW38" s="210"/>
      <c r="AX38" s="210"/>
      <c r="AY38" s="211"/>
      <c r="AZ38" s="210"/>
      <c r="BA38" s="210"/>
      <c r="BB38" s="210"/>
      <c r="BC38" s="210"/>
      <c r="BD38" s="210"/>
      <c r="BE38" s="226"/>
      <c r="BF38" s="210"/>
      <c r="BG38" s="210"/>
      <c r="BH38" s="211"/>
      <c r="BI38" s="210"/>
      <c r="BJ38" s="284"/>
      <c r="BK38" s="290"/>
      <c r="BM38" s="345"/>
      <c r="BN38" s="346"/>
    </row>
    <row r="39" spans="1:69" ht="18" customHeight="1">
      <c r="B39" s="227" t="s">
        <v>246</v>
      </c>
      <c r="C39" s="279" t="s">
        <v>157</v>
      </c>
      <c r="D39" s="248"/>
      <c r="E39" s="251"/>
      <c r="F39" s="252"/>
      <c r="G39" s="248"/>
      <c r="H39" s="232"/>
      <c r="I39" s="210"/>
      <c r="J39" s="210"/>
      <c r="K39" s="210"/>
      <c r="L39" s="210"/>
      <c r="M39" s="232"/>
      <c r="N39" s="210"/>
      <c r="O39" s="210"/>
      <c r="P39" s="211"/>
      <c r="Q39" s="210"/>
      <c r="R39" s="210"/>
      <c r="S39" s="210"/>
      <c r="T39" s="210"/>
      <c r="U39" s="210"/>
      <c r="V39" s="232"/>
      <c r="W39" s="210"/>
      <c r="X39" s="210"/>
      <c r="Y39" s="211"/>
      <c r="Z39" s="210"/>
      <c r="AA39" s="210"/>
      <c r="AB39" s="210"/>
      <c r="AC39" s="210"/>
      <c r="AD39" s="210"/>
      <c r="AE39" s="232"/>
      <c r="AF39" s="210"/>
      <c r="AG39" s="210"/>
      <c r="AH39" s="211"/>
      <c r="AI39" s="210"/>
      <c r="AJ39" s="210"/>
      <c r="AK39" s="210"/>
      <c r="AL39" s="210"/>
      <c r="AM39" s="232"/>
      <c r="AN39" s="210"/>
      <c r="AO39" s="210"/>
      <c r="AP39" s="210"/>
      <c r="AQ39" s="211"/>
      <c r="AR39" s="210"/>
      <c r="AS39" s="210"/>
      <c r="AT39" s="210"/>
      <c r="AU39" s="210"/>
      <c r="AV39" s="232"/>
      <c r="AW39" s="210"/>
      <c r="AX39" s="210"/>
      <c r="AY39" s="211"/>
      <c r="AZ39" s="210"/>
      <c r="BA39" s="210"/>
      <c r="BB39" s="210"/>
      <c r="BC39" s="210"/>
      <c r="BD39" s="210"/>
      <c r="BE39" s="232"/>
      <c r="BF39" s="210"/>
      <c r="BG39" s="210"/>
      <c r="BH39" s="211"/>
      <c r="BI39" s="210"/>
      <c r="BJ39" s="233"/>
      <c r="BK39" s="290"/>
      <c r="BM39" s="345"/>
      <c r="BN39" s="346"/>
    </row>
    <row r="40" spans="1:69" s="230" customFormat="1" ht="18" customHeight="1" thickBot="1">
      <c r="A40" s="227"/>
      <c r="B40" s="227" t="s">
        <v>246</v>
      </c>
      <c r="C40" s="279" t="s">
        <v>157</v>
      </c>
      <c r="D40" s="248"/>
      <c r="E40" s="251"/>
      <c r="F40" s="252"/>
      <c r="G40" s="248"/>
      <c r="H40" s="232"/>
      <c r="I40" s="210"/>
      <c r="J40" s="210"/>
      <c r="K40" s="210"/>
      <c r="L40" s="210"/>
      <c r="M40" s="232"/>
      <c r="N40" s="210"/>
      <c r="O40" s="210"/>
      <c r="P40" s="211"/>
      <c r="Q40" s="210"/>
      <c r="R40" s="210"/>
      <c r="S40" s="210"/>
      <c r="T40" s="210"/>
      <c r="U40" s="210"/>
      <c r="V40" s="232"/>
      <c r="W40" s="210"/>
      <c r="X40" s="210"/>
      <c r="Y40" s="211"/>
      <c r="Z40" s="210"/>
      <c r="AA40" s="210"/>
      <c r="AB40" s="210"/>
      <c r="AC40" s="210"/>
      <c r="AD40" s="210"/>
      <c r="AE40" s="232"/>
      <c r="AF40" s="210"/>
      <c r="AG40" s="210"/>
      <c r="AH40" s="211"/>
      <c r="AI40" s="210"/>
      <c r="AJ40" s="210"/>
      <c r="AK40" s="210"/>
      <c r="AL40" s="210"/>
      <c r="AM40" s="232"/>
      <c r="AN40" s="210"/>
      <c r="AO40" s="210"/>
      <c r="AP40" s="210"/>
      <c r="AQ40" s="211"/>
      <c r="AR40" s="210"/>
      <c r="AS40" s="210"/>
      <c r="AT40" s="210"/>
      <c r="AU40" s="210"/>
      <c r="AV40" s="232"/>
      <c r="AW40" s="210"/>
      <c r="AX40" s="210"/>
      <c r="AY40" s="211"/>
      <c r="AZ40" s="210"/>
      <c r="BA40" s="210"/>
      <c r="BB40" s="210"/>
      <c r="BC40" s="210"/>
      <c r="BD40" s="210"/>
      <c r="BE40" s="232"/>
      <c r="BF40" s="210"/>
      <c r="BG40" s="210"/>
      <c r="BH40" s="211"/>
      <c r="BI40" s="210"/>
      <c r="BJ40" s="233"/>
      <c r="BK40" s="290"/>
      <c r="BL40" s="229"/>
      <c r="BM40" s="347"/>
      <c r="BN40" s="348"/>
      <c r="BO40" s="227"/>
      <c r="BP40" s="227"/>
      <c r="BQ40" s="227"/>
    </row>
    <row r="41" spans="1:69" ht="18" customHeight="1" thickBot="1">
      <c r="C41" s="279"/>
      <c r="D41" s="390"/>
      <c r="E41" s="391"/>
      <c r="F41" s="391"/>
      <c r="G41" s="392"/>
      <c r="H41" s="449"/>
      <c r="I41" s="450"/>
      <c r="J41" s="450"/>
      <c r="K41" s="450"/>
      <c r="L41" s="451"/>
      <c r="M41" s="449"/>
      <c r="N41" s="450"/>
      <c r="O41" s="450"/>
      <c r="P41" s="451"/>
      <c r="Q41" s="449"/>
      <c r="R41" s="450"/>
      <c r="S41" s="450"/>
      <c r="T41" s="450"/>
      <c r="U41" s="451"/>
      <c r="V41" s="449"/>
      <c r="W41" s="450"/>
      <c r="X41" s="450"/>
      <c r="Y41" s="451"/>
      <c r="Z41" s="390"/>
      <c r="AA41" s="391"/>
      <c r="AB41" s="391"/>
      <c r="AC41" s="391"/>
      <c r="AD41" s="392"/>
      <c r="AE41" s="390"/>
      <c r="AF41" s="391"/>
      <c r="AG41" s="391"/>
      <c r="AH41" s="392"/>
      <c r="AI41" s="390"/>
      <c r="AJ41" s="391"/>
      <c r="AK41" s="391"/>
      <c r="AL41" s="392"/>
      <c r="AM41" s="390"/>
      <c r="AN41" s="391"/>
      <c r="AO41" s="391"/>
      <c r="AP41" s="391"/>
      <c r="AQ41" s="392"/>
      <c r="AR41" s="390"/>
      <c r="AS41" s="391"/>
      <c r="AT41" s="391"/>
      <c r="AU41" s="392"/>
      <c r="AV41" s="390"/>
      <c r="AW41" s="391"/>
      <c r="AX41" s="391"/>
      <c r="AY41" s="392"/>
      <c r="AZ41" s="390"/>
      <c r="BA41" s="391"/>
      <c r="BB41" s="391"/>
      <c r="BC41" s="391"/>
      <c r="BD41" s="392"/>
      <c r="BE41" s="390"/>
      <c r="BF41" s="391"/>
      <c r="BG41" s="391"/>
      <c r="BH41" s="392"/>
      <c r="BI41" s="392"/>
      <c r="BJ41" s="376"/>
      <c r="BK41" s="378">
        <f>SUM(BK36:BK40)</f>
        <v>0</v>
      </c>
      <c r="BL41" s="247">
        <v>0</v>
      </c>
      <c r="BM41" s="447"/>
      <c r="BN41" s="448"/>
    </row>
    <row r="42" spans="1:69" ht="18" customHeight="1" thickBot="1">
      <c r="C42" s="279"/>
      <c r="D42" s="481" t="s">
        <v>46</v>
      </c>
      <c r="E42" s="482"/>
      <c r="F42" s="483"/>
      <c r="G42" s="482"/>
      <c r="H42" s="320"/>
      <c r="I42" s="398"/>
      <c r="J42" s="398"/>
      <c r="K42" s="398"/>
      <c r="L42" s="399"/>
      <c r="M42" s="396"/>
      <c r="N42" s="394"/>
      <c r="O42" s="394"/>
      <c r="P42" s="325"/>
      <c r="Q42" s="320"/>
      <c r="R42" s="398"/>
      <c r="S42" s="398"/>
      <c r="T42" s="398"/>
      <c r="U42" s="399"/>
      <c r="V42" s="394"/>
      <c r="W42" s="394"/>
      <c r="X42" s="394"/>
      <c r="Y42" s="394"/>
      <c r="Z42" s="396"/>
      <c r="AA42" s="398"/>
      <c r="AB42" s="398"/>
      <c r="AC42" s="398"/>
      <c r="AD42" s="399"/>
      <c r="AE42" s="394"/>
      <c r="AF42" s="394"/>
      <c r="AG42" s="394"/>
      <c r="AH42" s="394"/>
      <c r="AI42" s="396"/>
      <c r="AJ42" s="398"/>
      <c r="AK42" s="398"/>
      <c r="AL42" s="399"/>
      <c r="AM42" s="398"/>
      <c r="AN42" s="394"/>
      <c r="AO42" s="394"/>
      <c r="AP42" s="394"/>
      <c r="AQ42" s="394"/>
      <c r="AR42" s="396"/>
      <c r="AS42" s="398"/>
      <c r="AT42" s="398"/>
      <c r="AU42" s="399"/>
      <c r="AV42" s="394"/>
      <c r="AW42" s="394"/>
      <c r="AX42" s="394"/>
      <c r="AY42" s="394"/>
      <c r="AZ42" s="320"/>
      <c r="BA42" s="398"/>
      <c r="BB42" s="398"/>
      <c r="BC42" s="398"/>
      <c r="BD42" s="399"/>
      <c r="BE42" s="394"/>
      <c r="BF42" s="394"/>
      <c r="BG42" s="394"/>
      <c r="BH42" s="394"/>
      <c r="BI42" s="457"/>
      <c r="BJ42" s="453"/>
      <c r="BK42" s="458"/>
      <c r="BL42" s="231"/>
      <c r="BM42" s="400" t="s">
        <v>258</v>
      </c>
      <c r="BN42" s="351" t="s">
        <v>259</v>
      </c>
      <c r="BO42" s="230"/>
      <c r="BP42" s="230"/>
      <c r="BQ42" s="230"/>
    </row>
    <row r="43" spans="1:69" ht="18" customHeight="1">
      <c r="B43" s="227" t="s">
        <v>246</v>
      </c>
      <c r="C43" s="279" t="s">
        <v>157</v>
      </c>
      <c r="D43" s="248"/>
      <c r="E43" s="249"/>
      <c r="F43" s="252"/>
      <c r="G43" s="253"/>
      <c r="H43" s="402"/>
      <c r="I43" s="401"/>
      <c r="J43" s="401"/>
      <c r="K43" s="401"/>
      <c r="L43" s="401"/>
      <c r="M43" s="402"/>
      <c r="N43" s="401"/>
      <c r="O43" s="401"/>
      <c r="P43" s="403"/>
      <c r="Q43" s="401"/>
      <c r="R43" s="401"/>
      <c r="S43" s="401"/>
      <c r="T43" s="401"/>
      <c r="U43" s="401"/>
      <c r="V43" s="402"/>
      <c r="W43" s="401"/>
      <c r="X43" s="401"/>
      <c r="Y43" s="403"/>
      <c r="Z43" s="401"/>
      <c r="AA43" s="401"/>
      <c r="AB43" s="401"/>
      <c r="AC43" s="401"/>
      <c r="AD43" s="401"/>
      <c r="AE43" s="402"/>
      <c r="AF43" s="401"/>
      <c r="AG43" s="401"/>
      <c r="AH43" s="403"/>
      <c r="AI43" s="401"/>
      <c r="AJ43" s="401"/>
      <c r="AK43" s="401"/>
      <c r="AL43" s="401"/>
      <c r="AM43" s="402"/>
      <c r="AN43" s="401"/>
      <c r="AO43" s="401"/>
      <c r="AP43" s="401"/>
      <c r="AQ43" s="403"/>
      <c r="AR43" s="401"/>
      <c r="AS43" s="401"/>
      <c r="AT43" s="401"/>
      <c r="AU43" s="401"/>
      <c r="AV43" s="402"/>
      <c r="AW43" s="401"/>
      <c r="AX43" s="401"/>
      <c r="AY43" s="403"/>
      <c r="AZ43" s="401"/>
      <c r="BA43" s="401"/>
      <c r="BB43" s="401"/>
      <c r="BC43" s="401"/>
      <c r="BD43" s="401"/>
      <c r="BE43" s="402"/>
      <c r="BF43" s="401"/>
      <c r="BG43" s="401"/>
      <c r="BH43" s="403"/>
      <c r="BI43" s="210"/>
      <c r="BJ43" s="212"/>
      <c r="BK43" s="290"/>
      <c r="BM43" s="349"/>
      <c r="BN43" s="344"/>
    </row>
    <row r="44" spans="1:69" ht="18" customHeight="1">
      <c r="B44" s="227" t="s">
        <v>246</v>
      </c>
      <c r="C44" s="279" t="s">
        <v>157</v>
      </c>
      <c r="D44" s="262"/>
      <c r="E44" s="263"/>
      <c r="F44" s="252"/>
      <c r="G44" s="262"/>
      <c r="H44" s="226"/>
      <c r="I44" s="210"/>
      <c r="J44" s="210"/>
      <c r="K44" s="210"/>
      <c r="L44" s="210"/>
      <c r="M44" s="226"/>
      <c r="N44" s="210"/>
      <c r="O44" s="210"/>
      <c r="P44" s="211"/>
      <c r="Q44" s="210"/>
      <c r="R44" s="210"/>
      <c r="S44" s="210"/>
      <c r="T44" s="210"/>
      <c r="U44" s="210"/>
      <c r="V44" s="226"/>
      <c r="W44" s="210"/>
      <c r="X44" s="210"/>
      <c r="Y44" s="211"/>
      <c r="Z44" s="210"/>
      <c r="AA44" s="210"/>
      <c r="AB44" s="210"/>
      <c r="AC44" s="210"/>
      <c r="AD44" s="210"/>
      <c r="AE44" s="226"/>
      <c r="AF44" s="210"/>
      <c r="AG44" s="210"/>
      <c r="AH44" s="211"/>
      <c r="AI44" s="210"/>
      <c r="AJ44" s="210"/>
      <c r="AK44" s="210"/>
      <c r="AL44" s="210"/>
      <c r="AM44" s="226"/>
      <c r="AN44" s="210"/>
      <c r="AO44" s="210"/>
      <c r="AP44" s="210"/>
      <c r="AQ44" s="211"/>
      <c r="AR44" s="210"/>
      <c r="AS44" s="210"/>
      <c r="AT44" s="210"/>
      <c r="AU44" s="210"/>
      <c r="AV44" s="226"/>
      <c r="AW44" s="210"/>
      <c r="AX44" s="210"/>
      <c r="AY44" s="211"/>
      <c r="AZ44" s="210"/>
      <c r="BA44" s="210"/>
      <c r="BB44" s="210"/>
      <c r="BC44" s="210"/>
      <c r="BD44" s="210"/>
      <c r="BE44" s="226"/>
      <c r="BF44" s="210"/>
      <c r="BG44" s="210"/>
      <c r="BH44" s="211"/>
      <c r="BI44" s="210"/>
      <c r="BJ44" s="284"/>
      <c r="BK44" s="290"/>
      <c r="BM44" s="345"/>
      <c r="BN44" s="346"/>
    </row>
    <row r="45" spans="1:69" ht="18" customHeight="1">
      <c r="B45" s="227" t="s">
        <v>246</v>
      </c>
      <c r="C45" s="279" t="s">
        <v>157</v>
      </c>
      <c r="D45" s="262"/>
      <c r="E45" s="263"/>
      <c r="F45" s="252"/>
      <c r="G45" s="262"/>
      <c r="H45" s="226"/>
      <c r="I45" s="210"/>
      <c r="J45" s="210"/>
      <c r="K45" s="210"/>
      <c r="L45" s="210"/>
      <c r="M45" s="226"/>
      <c r="N45" s="210"/>
      <c r="O45" s="210"/>
      <c r="P45" s="211"/>
      <c r="Q45" s="210"/>
      <c r="R45" s="210"/>
      <c r="S45" s="210"/>
      <c r="T45" s="210"/>
      <c r="U45" s="210"/>
      <c r="V45" s="226"/>
      <c r="W45" s="210"/>
      <c r="X45" s="210"/>
      <c r="Y45" s="211"/>
      <c r="Z45" s="210"/>
      <c r="AA45" s="210"/>
      <c r="AB45" s="210"/>
      <c r="AC45" s="210"/>
      <c r="AD45" s="210"/>
      <c r="AE45" s="226"/>
      <c r="AF45" s="210"/>
      <c r="AG45" s="210"/>
      <c r="AH45" s="211"/>
      <c r="AI45" s="210"/>
      <c r="AJ45" s="210"/>
      <c r="AK45" s="210"/>
      <c r="AL45" s="210"/>
      <c r="AM45" s="226"/>
      <c r="AN45" s="210"/>
      <c r="AO45" s="210"/>
      <c r="AP45" s="210"/>
      <c r="AQ45" s="211"/>
      <c r="AR45" s="210"/>
      <c r="AS45" s="210"/>
      <c r="AT45" s="210"/>
      <c r="AU45" s="210"/>
      <c r="AV45" s="226"/>
      <c r="AW45" s="210"/>
      <c r="AX45" s="210"/>
      <c r="AY45" s="211"/>
      <c r="AZ45" s="210"/>
      <c r="BA45" s="210"/>
      <c r="BB45" s="210"/>
      <c r="BC45" s="210"/>
      <c r="BD45" s="210"/>
      <c r="BE45" s="226"/>
      <c r="BF45" s="210"/>
      <c r="BG45" s="210"/>
      <c r="BH45" s="211"/>
      <c r="BI45" s="210"/>
      <c r="BJ45" s="284"/>
      <c r="BK45" s="290"/>
      <c r="BM45" s="345"/>
      <c r="BN45" s="346"/>
    </row>
    <row r="46" spans="1:69" ht="18" customHeight="1">
      <c r="B46" s="227" t="s">
        <v>246</v>
      </c>
      <c r="C46" s="279" t="s">
        <v>157</v>
      </c>
      <c r="D46" s="248"/>
      <c r="E46" s="251"/>
      <c r="F46" s="252"/>
      <c r="G46" s="248"/>
      <c r="H46" s="232"/>
      <c r="I46" s="210"/>
      <c r="J46" s="210"/>
      <c r="K46" s="210"/>
      <c r="L46" s="210"/>
      <c r="M46" s="232"/>
      <c r="N46" s="210"/>
      <c r="O46" s="210"/>
      <c r="P46" s="211"/>
      <c r="Q46" s="210"/>
      <c r="R46" s="210"/>
      <c r="S46" s="210"/>
      <c r="T46" s="210"/>
      <c r="U46" s="210"/>
      <c r="V46" s="232"/>
      <c r="W46" s="210"/>
      <c r="X46" s="210"/>
      <c r="Y46" s="211"/>
      <c r="Z46" s="210"/>
      <c r="AA46" s="210"/>
      <c r="AB46" s="210"/>
      <c r="AC46" s="210"/>
      <c r="AD46" s="210"/>
      <c r="AE46" s="232"/>
      <c r="AF46" s="210"/>
      <c r="AG46" s="210"/>
      <c r="AH46" s="211"/>
      <c r="AI46" s="210"/>
      <c r="AJ46" s="210"/>
      <c r="AK46" s="210"/>
      <c r="AL46" s="210"/>
      <c r="AM46" s="232"/>
      <c r="AN46" s="210"/>
      <c r="AO46" s="210"/>
      <c r="AP46" s="210"/>
      <c r="AQ46" s="211"/>
      <c r="AR46" s="210"/>
      <c r="AS46" s="210"/>
      <c r="AT46" s="210"/>
      <c r="AU46" s="210"/>
      <c r="AV46" s="232"/>
      <c r="AW46" s="210"/>
      <c r="AX46" s="210"/>
      <c r="AY46" s="211"/>
      <c r="AZ46" s="210"/>
      <c r="BA46" s="210"/>
      <c r="BB46" s="210"/>
      <c r="BC46" s="210"/>
      <c r="BD46" s="210"/>
      <c r="BE46" s="232"/>
      <c r="BF46" s="210"/>
      <c r="BG46" s="210"/>
      <c r="BH46" s="211"/>
      <c r="BI46" s="210"/>
      <c r="BJ46" s="233"/>
      <c r="BK46" s="290"/>
      <c r="BM46" s="345"/>
      <c r="BN46" s="346"/>
    </row>
    <row r="47" spans="1:69" s="230" customFormat="1" ht="18" customHeight="1" thickBot="1">
      <c r="A47" s="227"/>
      <c r="B47" s="227" t="s">
        <v>246</v>
      </c>
      <c r="C47" s="279" t="s">
        <v>157</v>
      </c>
      <c r="D47" s="248"/>
      <c r="E47" s="251"/>
      <c r="F47" s="252"/>
      <c r="G47" s="248"/>
      <c r="H47" s="232"/>
      <c r="I47" s="210"/>
      <c r="J47" s="210"/>
      <c r="K47" s="210"/>
      <c r="L47" s="210"/>
      <c r="M47" s="232"/>
      <c r="N47" s="210"/>
      <c r="O47" s="210"/>
      <c r="P47" s="211"/>
      <c r="Q47" s="210"/>
      <c r="R47" s="210"/>
      <c r="S47" s="210"/>
      <c r="T47" s="210"/>
      <c r="U47" s="210"/>
      <c r="V47" s="232"/>
      <c r="W47" s="210"/>
      <c r="X47" s="210"/>
      <c r="Y47" s="211"/>
      <c r="Z47" s="210"/>
      <c r="AA47" s="210"/>
      <c r="AB47" s="210"/>
      <c r="AC47" s="210"/>
      <c r="AD47" s="210"/>
      <c r="AE47" s="232"/>
      <c r="AF47" s="210"/>
      <c r="AG47" s="210"/>
      <c r="AH47" s="211"/>
      <c r="AI47" s="210"/>
      <c r="AJ47" s="210"/>
      <c r="AK47" s="210"/>
      <c r="AL47" s="210"/>
      <c r="AM47" s="232"/>
      <c r="AN47" s="210"/>
      <c r="AO47" s="210"/>
      <c r="AP47" s="210"/>
      <c r="AQ47" s="211"/>
      <c r="AR47" s="210"/>
      <c r="AS47" s="210"/>
      <c r="AT47" s="210"/>
      <c r="AU47" s="210"/>
      <c r="AV47" s="232"/>
      <c r="AW47" s="210"/>
      <c r="AX47" s="210"/>
      <c r="AY47" s="211"/>
      <c r="AZ47" s="210"/>
      <c r="BA47" s="210"/>
      <c r="BB47" s="210"/>
      <c r="BC47" s="210"/>
      <c r="BD47" s="210"/>
      <c r="BE47" s="232"/>
      <c r="BF47" s="210"/>
      <c r="BG47" s="210"/>
      <c r="BH47" s="211"/>
      <c r="BI47" s="210"/>
      <c r="BJ47" s="233"/>
      <c r="BK47" s="290"/>
      <c r="BL47" s="229"/>
      <c r="BM47" s="347"/>
      <c r="BN47" s="348"/>
      <c r="BO47" s="227"/>
      <c r="BP47" s="227"/>
      <c r="BQ47" s="227"/>
    </row>
    <row r="48" spans="1:69" ht="18" customHeight="1" thickBot="1">
      <c r="C48" s="279"/>
      <c r="D48" s="390"/>
      <c r="E48" s="391"/>
      <c r="F48" s="391"/>
      <c r="G48" s="392"/>
      <c r="H48" s="449"/>
      <c r="I48" s="450"/>
      <c r="J48" s="450"/>
      <c r="K48" s="450"/>
      <c r="L48" s="451"/>
      <c r="M48" s="449"/>
      <c r="N48" s="450"/>
      <c r="O48" s="450"/>
      <c r="P48" s="451"/>
      <c r="Q48" s="449"/>
      <c r="R48" s="450"/>
      <c r="S48" s="450"/>
      <c r="T48" s="450"/>
      <c r="U48" s="451"/>
      <c r="V48" s="449"/>
      <c r="W48" s="450"/>
      <c r="X48" s="450"/>
      <c r="Y48" s="451"/>
      <c r="Z48" s="390"/>
      <c r="AA48" s="391"/>
      <c r="AB48" s="391"/>
      <c r="AC48" s="391"/>
      <c r="AD48" s="392"/>
      <c r="AE48" s="390"/>
      <c r="AF48" s="391"/>
      <c r="AG48" s="391"/>
      <c r="AH48" s="392"/>
      <c r="AI48" s="390"/>
      <c r="AJ48" s="391"/>
      <c r="AK48" s="391"/>
      <c r="AL48" s="392"/>
      <c r="AM48" s="390"/>
      <c r="AN48" s="391"/>
      <c r="AO48" s="391"/>
      <c r="AP48" s="391"/>
      <c r="AQ48" s="392"/>
      <c r="AR48" s="390"/>
      <c r="AS48" s="391"/>
      <c r="AT48" s="391"/>
      <c r="AU48" s="392"/>
      <c r="AV48" s="390"/>
      <c r="AW48" s="391"/>
      <c r="AX48" s="391"/>
      <c r="AY48" s="392"/>
      <c r="AZ48" s="390"/>
      <c r="BA48" s="391"/>
      <c r="BB48" s="391"/>
      <c r="BC48" s="391"/>
      <c r="BD48" s="392"/>
      <c r="BE48" s="390"/>
      <c r="BF48" s="391"/>
      <c r="BG48" s="391"/>
      <c r="BH48" s="392"/>
      <c r="BI48" s="392"/>
      <c r="BJ48" s="376"/>
      <c r="BK48" s="378">
        <f>SUM(BK43:BK47)</f>
        <v>0</v>
      </c>
      <c r="BL48" s="247">
        <v>0</v>
      </c>
      <c r="BM48" s="447"/>
      <c r="BN48" s="448"/>
    </row>
    <row r="49" spans="1:69" ht="18" customHeight="1" thickBot="1">
      <c r="C49" s="279"/>
      <c r="D49" s="481" t="s">
        <v>134</v>
      </c>
      <c r="E49" s="482"/>
      <c r="F49" s="483"/>
      <c r="G49" s="482"/>
      <c r="H49" s="320"/>
      <c r="I49" s="398"/>
      <c r="J49" s="398"/>
      <c r="K49" s="398"/>
      <c r="L49" s="399"/>
      <c r="M49" s="396"/>
      <c r="N49" s="394"/>
      <c r="O49" s="394"/>
      <c r="P49" s="325"/>
      <c r="Q49" s="320"/>
      <c r="R49" s="398"/>
      <c r="S49" s="398"/>
      <c r="T49" s="398"/>
      <c r="U49" s="399"/>
      <c r="V49" s="394"/>
      <c r="W49" s="394"/>
      <c r="X49" s="394"/>
      <c r="Y49" s="394"/>
      <c r="Z49" s="396"/>
      <c r="AA49" s="398"/>
      <c r="AB49" s="398"/>
      <c r="AC49" s="398"/>
      <c r="AD49" s="399"/>
      <c r="AE49" s="394"/>
      <c r="AF49" s="394"/>
      <c r="AG49" s="394"/>
      <c r="AH49" s="394"/>
      <c r="AI49" s="396"/>
      <c r="AJ49" s="398"/>
      <c r="AK49" s="398"/>
      <c r="AL49" s="399"/>
      <c r="AM49" s="398"/>
      <c r="AN49" s="394"/>
      <c r="AO49" s="394"/>
      <c r="AP49" s="394"/>
      <c r="AQ49" s="394"/>
      <c r="AR49" s="396"/>
      <c r="AS49" s="398"/>
      <c r="AT49" s="398"/>
      <c r="AU49" s="399"/>
      <c r="AV49" s="394"/>
      <c r="AW49" s="394"/>
      <c r="AX49" s="394"/>
      <c r="AY49" s="394"/>
      <c r="AZ49" s="320"/>
      <c r="BA49" s="398"/>
      <c r="BB49" s="398"/>
      <c r="BC49" s="398"/>
      <c r="BD49" s="399"/>
      <c r="BE49" s="394"/>
      <c r="BF49" s="394"/>
      <c r="BG49" s="394"/>
      <c r="BH49" s="394"/>
      <c r="BI49" s="457"/>
      <c r="BJ49" s="453"/>
      <c r="BK49" s="458"/>
      <c r="BL49" s="231"/>
      <c r="BM49" s="400" t="s">
        <v>258</v>
      </c>
      <c r="BN49" s="351" t="s">
        <v>259</v>
      </c>
      <c r="BO49" s="230"/>
      <c r="BP49" s="230"/>
      <c r="BQ49" s="230"/>
    </row>
    <row r="50" spans="1:69" ht="18" customHeight="1">
      <c r="B50" s="227" t="s">
        <v>246</v>
      </c>
      <c r="C50" s="279" t="s">
        <v>157</v>
      </c>
      <c r="D50" s="248"/>
      <c r="E50" s="249"/>
      <c r="F50" s="252"/>
      <c r="G50" s="253"/>
      <c r="H50" s="402"/>
      <c r="I50" s="401"/>
      <c r="J50" s="401"/>
      <c r="K50" s="401"/>
      <c r="L50" s="401"/>
      <c r="M50" s="402"/>
      <c r="N50" s="401"/>
      <c r="O50" s="401"/>
      <c r="P50" s="403"/>
      <c r="Q50" s="401"/>
      <c r="R50" s="401"/>
      <c r="S50" s="401"/>
      <c r="T50" s="401"/>
      <c r="U50" s="401"/>
      <c r="V50" s="402"/>
      <c r="W50" s="401"/>
      <c r="X50" s="401"/>
      <c r="Y50" s="403"/>
      <c r="Z50" s="401"/>
      <c r="AA50" s="401"/>
      <c r="AB50" s="401"/>
      <c r="AC50" s="401"/>
      <c r="AD50" s="401"/>
      <c r="AE50" s="402"/>
      <c r="AF50" s="401"/>
      <c r="AG50" s="401"/>
      <c r="AH50" s="403"/>
      <c r="AI50" s="401"/>
      <c r="AJ50" s="401"/>
      <c r="AK50" s="401"/>
      <c r="AL50" s="401"/>
      <c r="AM50" s="402"/>
      <c r="AN50" s="401"/>
      <c r="AO50" s="401"/>
      <c r="AP50" s="401"/>
      <c r="AQ50" s="403"/>
      <c r="AR50" s="401"/>
      <c r="AS50" s="401"/>
      <c r="AT50" s="401"/>
      <c r="AU50" s="401"/>
      <c r="AV50" s="402"/>
      <c r="AW50" s="401"/>
      <c r="AX50" s="401"/>
      <c r="AY50" s="403"/>
      <c r="AZ50" s="401"/>
      <c r="BA50" s="401"/>
      <c r="BB50" s="401"/>
      <c r="BC50" s="401"/>
      <c r="BD50" s="401"/>
      <c r="BE50" s="402"/>
      <c r="BF50" s="401"/>
      <c r="BG50" s="401"/>
      <c r="BH50" s="403"/>
      <c r="BI50" s="210"/>
      <c r="BJ50" s="212"/>
      <c r="BK50" s="290"/>
      <c r="BM50" s="349"/>
      <c r="BN50" s="344"/>
    </row>
    <row r="51" spans="1:69" ht="18" customHeight="1">
      <c r="B51" s="227" t="s">
        <v>246</v>
      </c>
      <c r="C51" s="279" t="s">
        <v>157</v>
      </c>
      <c r="D51" s="262"/>
      <c r="E51" s="263"/>
      <c r="F51" s="252"/>
      <c r="G51" s="262"/>
      <c r="H51" s="226"/>
      <c r="I51" s="210"/>
      <c r="J51" s="210"/>
      <c r="K51" s="210"/>
      <c r="L51" s="210"/>
      <c r="M51" s="226"/>
      <c r="N51" s="210"/>
      <c r="O51" s="210"/>
      <c r="P51" s="211"/>
      <c r="Q51" s="210"/>
      <c r="R51" s="210"/>
      <c r="S51" s="210"/>
      <c r="T51" s="210"/>
      <c r="U51" s="210"/>
      <c r="V51" s="226"/>
      <c r="W51" s="210"/>
      <c r="X51" s="210"/>
      <c r="Y51" s="211"/>
      <c r="Z51" s="210"/>
      <c r="AA51" s="210"/>
      <c r="AB51" s="210"/>
      <c r="AC51" s="210"/>
      <c r="AD51" s="210"/>
      <c r="AE51" s="226"/>
      <c r="AF51" s="210"/>
      <c r="AG51" s="210"/>
      <c r="AH51" s="211"/>
      <c r="AI51" s="210"/>
      <c r="AJ51" s="210"/>
      <c r="AK51" s="210"/>
      <c r="AL51" s="210"/>
      <c r="AM51" s="226"/>
      <c r="AN51" s="210"/>
      <c r="AO51" s="210"/>
      <c r="AP51" s="210"/>
      <c r="AQ51" s="211"/>
      <c r="AR51" s="210"/>
      <c r="AS51" s="210"/>
      <c r="AT51" s="210"/>
      <c r="AU51" s="210"/>
      <c r="AV51" s="226"/>
      <c r="AW51" s="210"/>
      <c r="AX51" s="210"/>
      <c r="AY51" s="211"/>
      <c r="AZ51" s="210"/>
      <c r="BA51" s="210"/>
      <c r="BB51" s="210"/>
      <c r="BC51" s="210"/>
      <c r="BD51" s="210"/>
      <c r="BE51" s="226"/>
      <c r="BF51" s="210"/>
      <c r="BG51" s="210"/>
      <c r="BH51" s="211"/>
      <c r="BI51" s="210"/>
      <c r="BJ51" s="284"/>
      <c r="BK51" s="290"/>
      <c r="BM51" s="345"/>
      <c r="BN51" s="346"/>
    </row>
    <row r="52" spans="1:69" ht="18" customHeight="1">
      <c r="B52" s="227" t="s">
        <v>246</v>
      </c>
      <c r="C52" s="279" t="s">
        <v>157</v>
      </c>
      <c r="D52" s="262"/>
      <c r="E52" s="263"/>
      <c r="F52" s="252"/>
      <c r="G52" s="262"/>
      <c r="H52" s="226"/>
      <c r="I52" s="210"/>
      <c r="J52" s="210"/>
      <c r="K52" s="210"/>
      <c r="L52" s="210"/>
      <c r="M52" s="226"/>
      <c r="N52" s="210"/>
      <c r="O52" s="210"/>
      <c r="P52" s="211"/>
      <c r="Q52" s="210"/>
      <c r="R52" s="210"/>
      <c r="S52" s="210"/>
      <c r="T52" s="210"/>
      <c r="U52" s="210"/>
      <c r="V52" s="226"/>
      <c r="W52" s="210"/>
      <c r="X52" s="210"/>
      <c r="Y52" s="211"/>
      <c r="Z52" s="210"/>
      <c r="AA52" s="210"/>
      <c r="AB52" s="210"/>
      <c r="AC52" s="210"/>
      <c r="AD52" s="210"/>
      <c r="AE52" s="226"/>
      <c r="AF52" s="210"/>
      <c r="AG52" s="210"/>
      <c r="AH52" s="211"/>
      <c r="AI52" s="210"/>
      <c r="AJ52" s="210"/>
      <c r="AK52" s="210"/>
      <c r="AL52" s="210"/>
      <c r="AM52" s="226"/>
      <c r="AN52" s="210"/>
      <c r="AO52" s="210"/>
      <c r="AP52" s="210"/>
      <c r="AQ52" s="211"/>
      <c r="AR52" s="210"/>
      <c r="AS52" s="210"/>
      <c r="AT52" s="210"/>
      <c r="AU52" s="210"/>
      <c r="AV52" s="226"/>
      <c r="AW52" s="210"/>
      <c r="AX52" s="210"/>
      <c r="AY52" s="211"/>
      <c r="AZ52" s="210"/>
      <c r="BA52" s="210"/>
      <c r="BB52" s="210"/>
      <c r="BC52" s="210"/>
      <c r="BD52" s="210"/>
      <c r="BE52" s="226"/>
      <c r="BF52" s="210"/>
      <c r="BG52" s="210"/>
      <c r="BH52" s="211"/>
      <c r="BI52" s="210"/>
      <c r="BJ52" s="284"/>
      <c r="BK52" s="290"/>
      <c r="BM52" s="345"/>
      <c r="BN52" s="346"/>
    </row>
    <row r="53" spans="1:69" ht="18" customHeight="1">
      <c r="B53" s="227" t="s">
        <v>246</v>
      </c>
      <c r="C53" s="279" t="s">
        <v>157</v>
      </c>
      <c r="D53" s="248"/>
      <c r="E53" s="251"/>
      <c r="F53" s="252"/>
      <c r="G53" s="248"/>
      <c r="H53" s="232"/>
      <c r="I53" s="210"/>
      <c r="J53" s="210"/>
      <c r="K53" s="210"/>
      <c r="L53" s="210"/>
      <c r="M53" s="232"/>
      <c r="N53" s="210"/>
      <c r="O53" s="210"/>
      <c r="P53" s="211"/>
      <c r="Q53" s="210"/>
      <c r="R53" s="210"/>
      <c r="S53" s="210"/>
      <c r="T53" s="210"/>
      <c r="U53" s="210"/>
      <c r="V53" s="232"/>
      <c r="W53" s="210"/>
      <c r="X53" s="210"/>
      <c r="Y53" s="211"/>
      <c r="Z53" s="210"/>
      <c r="AA53" s="210"/>
      <c r="AB53" s="210"/>
      <c r="AC53" s="210"/>
      <c r="AD53" s="210"/>
      <c r="AE53" s="232"/>
      <c r="AF53" s="210"/>
      <c r="AG53" s="210"/>
      <c r="AH53" s="211"/>
      <c r="AI53" s="210"/>
      <c r="AJ53" s="210"/>
      <c r="AK53" s="210"/>
      <c r="AL53" s="210"/>
      <c r="AM53" s="232"/>
      <c r="AN53" s="210"/>
      <c r="AO53" s="210"/>
      <c r="AP53" s="210"/>
      <c r="AQ53" s="211"/>
      <c r="AR53" s="210"/>
      <c r="AS53" s="210"/>
      <c r="AT53" s="210"/>
      <c r="AU53" s="210"/>
      <c r="AV53" s="232"/>
      <c r="AW53" s="210"/>
      <c r="AX53" s="210"/>
      <c r="AY53" s="211"/>
      <c r="AZ53" s="210"/>
      <c r="BA53" s="210"/>
      <c r="BB53" s="210"/>
      <c r="BC53" s="210"/>
      <c r="BD53" s="210"/>
      <c r="BE53" s="232"/>
      <c r="BF53" s="210"/>
      <c r="BG53" s="210"/>
      <c r="BH53" s="211"/>
      <c r="BI53" s="210"/>
      <c r="BJ53" s="233"/>
      <c r="BK53" s="290"/>
      <c r="BM53" s="345"/>
      <c r="BN53" s="346"/>
    </row>
    <row r="54" spans="1:69" s="230" customFormat="1" ht="18" customHeight="1" thickBot="1">
      <c r="A54" s="227"/>
      <c r="B54" s="227" t="s">
        <v>246</v>
      </c>
      <c r="C54" s="279" t="s">
        <v>157</v>
      </c>
      <c r="D54" s="248"/>
      <c r="E54" s="251"/>
      <c r="F54" s="252"/>
      <c r="G54" s="248"/>
      <c r="H54" s="232"/>
      <c r="I54" s="210"/>
      <c r="J54" s="210"/>
      <c r="K54" s="210"/>
      <c r="L54" s="210"/>
      <c r="M54" s="232"/>
      <c r="N54" s="210"/>
      <c r="O54" s="210"/>
      <c r="P54" s="211"/>
      <c r="Q54" s="210"/>
      <c r="R54" s="210"/>
      <c r="S54" s="210"/>
      <c r="T54" s="210"/>
      <c r="U54" s="210"/>
      <c r="V54" s="232"/>
      <c r="W54" s="210"/>
      <c r="X54" s="210"/>
      <c r="Y54" s="211"/>
      <c r="Z54" s="210"/>
      <c r="AA54" s="210"/>
      <c r="AB54" s="210"/>
      <c r="AC54" s="210"/>
      <c r="AD54" s="210"/>
      <c r="AE54" s="232"/>
      <c r="AF54" s="210"/>
      <c r="AG54" s="210"/>
      <c r="AH54" s="211"/>
      <c r="AI54" s="210"/>
      <c r="AJ54" s="210"/>
      <c r="AK54" s="210"/>
      <c r="AL54" s="210"/>
      <c r="AM54" s="232"/>
      <c r="AN54" s="210"/>
      <c r="AO54" s="210"/>
      <c r="AP54" s="210"/>
      <c r="AQ54" s="211"/>
      <c r="AR54" s="210"/>
      <c r="AS54" s="210"/>
      <c r="AT54" s="210"/>
      <c r="AU54" s="210"/>
      <c r="AV54" s="232"/>
      <c r="AW54" s="210"/>
      <c r="AX54" s="210"/>
      <c r="AY54" s="211"/>
      <c r="AZ54" s="210"/>
      <c r="BA54" s="210"/>
      <c r="BB54" s="210"/>
      <c r="BC54" s="210"/>
      <c r="BD54" s="210"/>
      <c r="BE54" s="232"/>
      <c r="BF54" s="210"/>
      <c r="BG54" s="210"/>
      <c r="BH54" s="211"/>
      <c r="BI54" s="210"/>
      <c r="BJ54" s="233"/>
      <c r="BK54" s="290"/>
      <c r="BL54" s="229"/>
      <c r="BM54" s="347"/>
      <c r="BN54" s="348"/>
      <c r="BO54" s="227"/>
      <c r="BP54" s="227"/>
      <c r="BQ54" s="227"/>
    </row>
    <row r="55" spans="1:69" ht="18" customHeight="1" thickBot="1">
      <c r="C55" s="279"/>
      <c r="D55" s="390"/>
      <c r="E55" s="391"/>
      <c r="F55" s="391"/>
      <c r="G55" s="392"/>
      <c r="H55" s="449"/>
      <c r="I55" s="450"/>
      <c r="J55" s="450"/>
      <c r="K55" s="450"/>
      <c r="L55" s="451"/>
      <c r="M55" s="449"/>
      <c r="N55" s="450"/>
      <c r="O55" s="450"/>
      <c r="P55" s="451"/>
      <c r="Q55" s="449"/>
      <c r="R55" s="450"/>
      <c r="S55" s="450"/>
      <c r="T55" s="450"/>
      <c r="U55" s="451"/>
      <c r="V55" s="449"/>
      <c r="W55" s="450"/>
      <c r="X55" s="450"/>
      <c r="Y55" s="451"/>
      <c r="Z55" s="390"/>
      <c r="AA55" s="391"/>
      <c r="AB55" s="391"/>
      <c r="AC55" s="391"/>
      <c r="AD55" s="392"/>
      <c r="AE55" s="390"/>
      <c r="AF55" s="391"/>
      <c r="AG55" s="391"/>
      <c r="AH55" s="392"/>
      <c r="AI55" s="390"/>
      <c r="AJ55" s="391"/>
      <c r="AK55" s="391"/>
      <c r="AL55" s="392"/>
      <c r="AM55" s="390"/>
      <c r="AN55" s="391"/>
      <c r="AO55" s="391"/>
      <c r="AP55" s="391"/>
      <c r="AQ55" s="392"/>
      <c r="AR55" s="390"/>
      <c r="AS55" s="391"/>
      <c r="AT55" s="391"/>
      <c r="AU55" s="392"/>
      <c r="AV55" s="390"/>
      <c r="AW55" s="391"/>
      <c r="AX55" s="391"/>
      <c r="AY55" s="392"/>
      <c r="AZ55" s="390"/>
      <c r="BA55" s="391"/>
      <c r="BB55" s="391"/>
      <c r="BC55" s="391"/>
      <c r="BD55" s="392"/>
      <c r="BE55" s="390"/>
      <c r="BF55" s="391"/>
      <c r="BG55" s="391"/>
      <c r="BH55" s="392"/>
      <c r="BI55" s="392"/>
      <c r="BJ55" s="376"/>
      <c r="BK55" s="378">
        <f>SUM(BK50:BK54)</f>
        <v>0</v>
      </c>
      <c r="BL55" s="247">
        <v>0</v>
      </c>
      <c r="BM55" s="447"/>
      <c r="BN55" s="448"/>
    </row>
    <row r="56" spans="1:69" ht="18" customHeight="1" thickBot="1">
      <c r="C56" s="279"/>
      <c r="D56" s="481" t="s">
        <v>140</v>
      </c>
      <c r="E56" s="482"/>
      <c r="F56" s="483"/>
      <c r="G56" s="482"/>
      <c r="H56" s="320"/>
      <c r="I56" s="398"/>
      <c r="J56" s="398"/>
      <c r="K56" s="398"/>
      <c r="L56" s="399"/>
      <c r="M56" s="396"/>
      <c r="N56" s="394"/>
      <c r="O56" s="394"/>
      <c r="P56" s="325"/>
      <c r="Q56" s="320"/>
      <c r="R56" s="398"/>
      <c r="S56" s="398"/>
      <c r="T56" s="398"/>
      <c r="U56" s="399"/>
      <c r="V56" s="394"/>
      <c r="W56" s="394"/>
      <c r="X56" s="394"/>
      <c r="Y56" s="394"/>
      <c r="Z56" s="396"/>
      <c r="AA56" s="398"/>
      <c r="AB56" s="398"/>
      <c r="AC56" s="398"/>
      <c r="AD56" s="399"/>
      <c r="AE56" s="394"/>
      <c r="AF56" s="394"/>
      <c r="AG56" s="394"/>
      <c r="AH56" s="394"/>
      <c r="AI56" s="396"/>
      <c r="AJ56" s="398"/>
      <c r="AK56" s="398"/>
      <c r="AL56" s="399"/>
      <c r="AM56" s="398"/>
      <c r="AN56" s="394"/>
      <c r="AO56" s="394"/>
      <c r="AP56" s="394"/>
      <c r="AQ56" s="394"/>
      <c r="AR56" s="396"/>
      <c r="AS56" s="398"/>
      <c r="AT56" s="398"/>
      <c r="AU56" s="399"/>
      <c r="AV56" s="394"/>
      <c r="AW56" s="394"/>
      <c r="AX56" s="394"/>
      <c r="AY56" s="394"/>
      <c r="AZ56" s="320"/>
      <c r="BA56" s="398"/>
      <c r="BB56" s="398"/>
      <c r="BC56" s="398"/>
      <c r="BD56" s="399"/>
      <c r="BE56" s="394"/>
      <c r="BF56" s="394"/>
      <c r="BG56" s="394"/>
      <c r="BH56" s="394"/>
      <c r="BI56" s="457"/>
      <c r="BJ56" s="453"/>
      <c r="BK56" s="458"/>
      <c r="BL56" s="231"/>
      <c r="BM56" s="400" t="s">
        <v>258</v>
      </c>
      <c r="BN56" s="351" t="s">
        <v>259</v>
      </c>
      <c r="BO56" s="230"/>
      <c r="BP56" s="230"/>
      <c r="BQ56" s="230"/>
    </row>
    <row r="57" spans="1:69" ht="18" customHeight="1">
      <c r="B57" s="227" t="s">
        <v>246</v>
      </c>
      <c r="C57" s="279" t="s">
        <v>157</v>
      </c>
      <c r="D57" s="248"/>
      <c r="E57" s="249"/>
      <c r="F57" s="252"/>
      <c r="G57" s="253"/>
      <c r="H57" s="402"/>
      <c r="I57" s="401"/>
      <c r="J57" s="401"/>
      <c r="K57" s="401"/>
      <c r="L57" s="401"/>
      <c r="M57" s="402"/>
      <c r="N57" s="401"/>
      <c r="O57" s="401"/>
      <c r="P57" s="403"/>
      <c r="Q57" s="401"/>
      <c r="R57" s="401"/>
      <c r="S57" s="401"/>
      <c r="T57" s="401"/>
      <c r="U57" s="401"/>
      <c r="V57" s="402"/>
      <c r="W57" s="401"/>
      <c r="X57" s="401"/>
      <c r="Y57" s="403"/>
      <c r="Z57" s="401"/>
      <c r="AA57" s="401"/>
      <c r="AB57" s="401"/>
      <c r="AC57" s="401"/>
      <c r="AD57" s="401"/>
      <c r="AE57" s="402"/>
      <c r="AF57" s="401"/>
      <c r="AG57" s="401"/>
      <c r="AH57" s="403"/>
      <c r="AI57" s="401"/>
      <c r="AJ57" s="401"/>
      <c r="AK57" s="401"/>
      <c r="AL57" s="401"/>
      <c r="AM57" s="402"/>
      <c r="AN57" s="401"/>
      <c r="AO57" s="401"/>
      <c r="AP57" s="401"/>
      <c r="AQ57" s="403"/>
      <c r="AR57" s="401"/>
      <c r="AS57" s="401"/>
      <c r="AT57" s="401"/>
      <c r="AU57" s="401"/>
      <c r="AV57" s="402"/>
      <c r="AW57" s="401"/>
      <c r="AX57" s="401"/>
      <c r="AY57" s="403"/>
      <c r="AZ57" s="401"/>
      <c r="BA57" s="401"/>
      <c r="BB57" s="401"/>
      <c r="BC57" s="401"/>
      <c r="BD57" s="401"/>
      <c r="BE57" s="402"/>
      <c r="BF57" s="401"/>
      <c r="BG57" s="401"/>
      <c r="BH57" s="403"/>
      <c r="BI57" s="210"/>
      <c r="BJ57" s="212"/>
      <c r="BK57" s="290"/>
      <c r="BM57" s="349"/>
      <c r="BN57" s="344"/>
    </row>
    <row r="58" spans="1:69" ht="18" customHeight="1">
      <c r="B58" s="227" t="s">
        <v>246</v>
      </c>
      <c r="C58" s="279" t="s">
        <v>157</v>
      </c>
      <c r="D58" s="262"/>
      <c r="E58" s="263"/>
      <c r="F58" s="252"/>
      <c r="G58" s="262"/>
      <c r="H58" s="226"/>
      <c r="I58" s="210"/>
      <c r="J58" s="210"/>
      <c r="K58" s="210"/>
      <c r="L58" s="210"/>
      <c r="M58" s="226"/>
      <c r="N58" s="210"/>
      <c r="O58" s="210"/>
      <c r="P58" s="211"/>
      <c r="Q58" s="210"/>
      <c r="R58" s="210"/>
      <c r="S58" s="210"/>
      <c r="T58" s="210"/>
      <c r="U58" s="210"/>
      <c r="V58" s="226"/>
      <c r="W58" s="210"/>
      <c r="X58" s="210"/>
      <c r="Y58" s="211"/>
      <c r="Z58" s="210"/>
      <c r="AA58" s="210"/>
      <c r="AB58" s="210"/>
      <c r="AC58" s="210"/>
      <c r="AD58" s="210"/>
      <c r="AE58" s="226"/>
      <c r="AF58" s="210"/>
      <c r="AG58" s="210"/>
      <c r="AH58" s="211"/>
      <c r="AI58" s="210"/>
      <c r="AJ58" s="210"/>
      <c r="AK58" s="210"/>
      <c r="AL58" s="210"/>
      <c r="AM58" s="226"/>
      <c r="AN58" s="210"/>
      <c r="AO58" s="210"/>
      <c r="AP58" s="210"/>
      <c r="AQ58" s="211"/>
      <c r="AR58" s="210"/>
      <c r="AS58" s="210"/>
      <c r="AT58" s="210"/>
      <c r="AU58" s="210"/>
      <c r="AV58" s="226"/>
      <c r="AW58" s="210"/>
      <c r="AX58" s="210"/>
      <c r="AY58" s="211"/>
      <c r="AZ58" s="210"/>
      <c r="BA58" s="210"/>
      <c r="BB58" s="210"/>
      <c r="BC58" s="210"/>
      <c r="BD58" s="210"/>
      <c r="BE58" s="226"/>
      <c r="BF58" s="210"/>
      <c r="BG58" s="210"/>
      <c r="BH58" s="211"/>
      <c r="BI58" s="210"/>
      <c r="BJ58" s="284"/>
      <c r="BK58" s="290"/>
      <c r="BM58" s="345"/>
      <c r="BN58" s="346"/>
    </row>
    <row r="59" spans="1:69" ht="18" customHeight="1">
      <c r="B59" s="227" t="s">
        <v>246</v>
      </c>
      <c r="C59" s="279" t="s">
        <v>157</v>
      </c>
      <c r="D59" s="248"/>
      <c r="E59" s="251"/>
      <c r="F59" s="252"/>
      <c r="G59" s="248"/>
      <c r="H59" s="232"/>
      <c r="I59" s="210"/>
      <c r="J59" s="210"/>
      <c r="K59" s="210"/>
      <c r="L59" s="210"/>
      <c r="M59" s="232"/>
      <c r="N59" s="210"/>
      <c r="O59" s="210"/>
      <c r="P59" s="211"/>
      <c r="Q59" s="210"/>
      <c r="R59" s="210"/>
      <c r="S59" s="210"/>
      <c r="T59" s="210"/>
      <c r="U59" s="210"/>
      <c r="V59" s="232"/>
      <c r="W59" s="210"/>
      <c r="X59" s="210"/>
      <c r="Y59" s="211"/>
      <c r="Z59" s="210"/>
      <c r="AA59" s="210"/>
      <c r="AB59" s="210"/>
      <c r="AC59" s="210"/>
      <c r="AD59" s="210"/>
      <c r="AE59" s="232"/>
      <c r="AF59" s="210"/>
      <c r="AG59" s="210"/>
      <c r="AH59" s="211"/>
      <c r="AI59" s="210"/>
      <c r="AJ59" s="210"/>
      <c r="AK59" s="210"/>
      <c r="AL59" s="210"/>
      <c r="AM59" s="232"/>
      <c r="AN59" s="210"/>
      <c r="AO59" s="210"/>
      <c r="AP59" s="210"/>
      <c r="AQ59" s="211"/>
      <c r="AR59" s="210"/>
      <c r="AS59" s="210"/>
      <c r="AT59" s="210"/>
      <c r="AU59" s="210"/>
      <c r="AV59" s="232"/>
      <c r="AW59" s="210"/>
      <c r="AX59" s="210"/>
      <c r="AY59" s="211"/>
      <c r="AZ59" s="210"/>
      <c r="BA59" s="210"/>
      <c r="BB59" s="210"/>
      <c r="BC59" s="210"/>
      <c r="BD59" s="210"/>
      <c r="BE59" s="232"/>
      <c r="BF59" s="210"/>
      <c r="BG59" s="210"/>
      <c r="BH59" s="211"/>
      <c r="BI59" s="210"/>
      <c r="BJ59" s="233"/>
      <c r="BK59" s="290"/>
      <c r="BM59" s="345"/>
      <c r="BN59" s="346"/>
    </row>
    <row r="60" spans="1:69" ht="18" customHeight="1">
      <c r="B60" s="227" t="s">
        <v>246</v>
      </c>
      <c r="C60" s="279" t="s">
        <v>157</v>
      </c>
      <c r="D60" s="262"/>
      <c r="E60" s="263"/>
      <c r="F60" s="252"/>
      <c r="G60" s="262"/>
      <c r="H60" s="226"/>
      <c r="I60" s="210"/>
      <c r="J60" s="210"/>
      <c r="K60" s="210"/>
      <c r="L60" s="210"/>
      <c r="M60" s="226"/>
      <c r="N60" s="210"/>
      <c r="O60" s="210"/>
      <c r="P60" s="211"/>
      <c r="Q60" s="210"/>
      <c r="R60" s="210"/>
      <c r="S60" s="210"/>
      <c r="T60" s="210"/>
      <c r="U60" s="210"/>
      <c r="V60" s="226"/>
      <c r="W60" s="210"/>
      <c r="X60" s="210"/>
      <c r="Y60" s="211"/>
      <c r="Z60" s="210"/>
      <c r="AA60" s="210"/>
      <c r="AB60" s="210"/>
      <c r="AC60" s="210"/>
      <c r="AD60" s="210"/>
      <c r="AE60" s="226"/>
      <c r="AF60" s="210"/>
      <c r="AG60" s="210"/>
      <c r="AH60" s="211"/>
      <c r="AI60" s="210"/>
      <c r="AJ60" s="210"/>
      <c r="AK60" s="210"/>
      <c r="AL60" s="210"/>
      <c r="AM60" s="226"/>
      <c r="AN60" s="210"/>
      <c r="AO60" s="210"/>
      <c r="AP60" s="210"/>
      <c r="AQ60" s="211"/>
      <c r="AR60" s="210"/>
      <c r="AS60" s="210"/>
      <c r="AT60" s="210"/>
      <c r="AU60" s="210"/>
      <c r="AV60" s="226"/>
      <c r="AW60" s="210"/>
      <c r="AX60" s="210"/>
      <c r="AY60" s="211"/>
      <c r="AZ60" s="210"/>
      <c r="BA60" s="210"/>
      <c r="BB60" s="210"/>
      <c r="BC60" s="210"/>
      <c r="BD60" s="210"/>
      <c r="BE60" s="226"/>
      <c r="BF60" s="210"/>
      <c r="BG60" s="210"/>
      <c r="BH60" s="211"/>
      <c r="BI60" s="210"/>
      <c r="BJ60" s="284"/>
      <c r="BK60" s="290"/>
      <c r="BM60" s="345"/>
      <c r="BN60" s="346"/>
    </row>
    <row r="61" spans="1:69" s="230" customFormat="1" ht="18" customHeight="1" thickBot="1">
      <c r="A61" s="227"/>
      <c r="B61" s="227" t="s">
        <v>246</v>
      </c>
      <c r="C61" s="279" t="s">
        <v>157</v>
      </c>
      <c r="D61" s="248"/>
      <c r="E61" s="251"/>
      <c r="F61" s="252"/>
      <c r="G61" s="248"/>
      <c r="H61" s="232"/>
      <c r="I61" s="210"/>
      <c r="J61" s="210"/>
      <c r="K61" s="210"/>
      <c r="L61" s="210"/>
      <c r="M61" s="232"/>
      <c r="N61" s="210"/>
      <c r="O61" s="210"/>
      <c r="P61" s="211"/>
      <c r="Q61" s="210"/>
      <c r="R61" s="210"/>
      <c r="S61" s="210"/>
      <c r="T61" s="210"/>
      <c r="U61" s="210"/>
      <c r="V61" s="232"/>
      <c r="W61" s="210"/>
      <c r="X61" s="210"/>
      <c r="Y61" s="211"/>
      <c r="Z61" s="210"/>
      <c r="AA61" s="210"/>
      <c r="AB61" s="210"/>
      <c r="AC61" s="210"/>
      <c r="AD61" s="210"/>
      <c r="AE61" s="232"/>
      <c r="AF61" s="210"/>
      <c r="AG61" s="210"/>
      <c r="AH61" s="211"/>
      <c r="AI61" s="210"/>
      <c r="AJ61" s="210"/>
      <c r="AK61" s="210"/>
      <c r="AL61" s="210"/>
      <c r="AM61" s="232"/>
      <c r="AN61" s="210"/>
      <c r="AO61" s="210"/>
      <c r="AP61" s="210"/>
      <c r="AQ61" s="211"/>
      <c r="AR61" s="210"/>
      <c r="AS61" s="210"/>
      <c r="AT61" s="210"/>
      <c r="AU61" s="210"/>
      <c r="AV61" s="232"/>
      <c r="AW61" s="210"/>
      <c r="AX61" s="210"/>
      <c r="AY61" s="211"/>
      <c r="AZ61" s="210"/>
      <c r="BA61" s="210"/>
      <c r="BB61" s="210"/>
      <c r="BC61" s="210"/>
      <c r="BD61" s="210"/>
      <c r="BE61" s="232"/>
      <c r="BF61" s="210"/>
      <c r="BG61" s="210"/>
      <c r="BH61" s="211"/>
      <c r="BI61" s="210"/>
      <c r="BJ61" s="233"/>
      <c r="BK61" s="290"/>
      <c r="BL61" s="229"/>
      <c r="BM61" s="347"/>
      <c r="BN61" s="348"/>
      <c r="BO61" s="227"/>
      <c r="BP61" s="227"/>
      <c r="BQ61" s="227"/>
    </row>
    <row r="62" spans="1:69" ht="18" customHeight="1" thickBot="1">
      <c r="C62" s="279"/>
      <c r="D62" s="390"/>
      <c r="E62" s="391"/>
      <c r="F62" s="391"/>
      <c r="G62" s="392"/>
      <c r="H62" s="449"/>
      <c r="I62" s="450"/>
      <c r="J62" s="450"/>
      <c r="K62" s="450"/>
      <c r="L62" s="451"/>
      <c r="M62" s="449"/>
      <c r="N62" s="450"/>
      <c r="O62" s="450"/>
      <c r="P62" s="451"/>
      <c r="Q62" s="449"/>
      <c r="R62" s="450"/>
      <c r="S62" s="450"/>
      <c r="T62" s="450"/>
      <c r="U62" s="451"/>
      <c r="V62" s="449"/>
      <c r="W62" s="450"/>
      <c r="X62" s="450"/>
      <c r="Y62" s="451"/>
      <c r="Z62" s="390"/>
      <c r="AA62" s="391"/>
      <c r="AB62" s="391"/>
      <c r="AC62" s="391"/>
      <c r="AD62" s="392"/>
      <c r="AE62" s="390"/>
      <c r="AF62" s="391"/>
      <c r="AG62" s="391"/>
      <c r="AH62" s="392"/>
      <c r="AI62" s="390"/>
      <c r="AJ62" s="391"/>
      <c r="AK62" s="391"/>
      <c r="AL62" s="392"/>
      <c r="AM62" s="390"/>
      <c r="AN62" s="391"/>
      <c r="AO62" s="391"/>
      <c r="AP62" s="391"/>
      <c r="AQ62" s="392"/>
      <c r="AR62" s="390"/>
      <c r="AS62" s="391"/>
      <c r="AT62" s="391"/>
      <c r="AU62" s="392"/>
      <c r="AV62" s="390"/>
      <c r="AW62" s="391"/>
      <c r="AX62" s="391"/>
      <c r="AY62" s="392"/>
      <c r="AZ62" s="390"/>
      <c r="BA62" s="391"/>
      <c r="BB62" s="391"/>
      <c r="BC62" s="391"/>
      <c r="BD62" s="392"/>
      <c r="BE62" s="390"/>
      <c r="BF62" s="391"/>
      <c r="BG62" s="391"/>
      <c r="BH62" s="392"/>
      <c r="BI62" s="392"/>
      <c r="BJ62" s="376"/>
      <c r="BK62" s="378">
        <f>SUM(BK57:BK61)</f>
        <v>0</v>
      </c>
      <c r="BL62" s="247">
        <v>0</v>
      </c>
      <c r="BM62" s="447"/>
      <c r="BN62" s="448"/>
    </row>
    <row r="63" spans="1:69" ht="18" customHeight="1" thickBot="1">
      <c r="C63" s="279"/>
      <c r="D63" s="481" t="s">
        <v>135</v>
      </c>
      <c r="E63" s="482"/>
      <c r="F63" s="483"/>
      <c r="G63" s="482"/>
      <c r="H63" s="320"/>
      <c r="I63" s="398"/>
      <c r="J63" s="398"/>
      <c r="K63" s="398"/>
      <c r="L63" s="399"/>
      <c r="M63" s="396"/>
      <c r="N63" s="394"/>
      <c r="O63" s="394"/>
      <c r="P63" s="325"/>
      <c r="Q63" s="320"/>
      <c r="R63" s="398"/>
      <c r="S63" s="398"/>
      <c r="T63" s="398"/>
      <c r="U63" s="399"/>
      <c r="V63" s="394"/>
      <c r="W63" s="394"/>
      <c r="X63" s="394"/>
      <c r="Y63" s="394"/>
      <c r="Z63" s="405"/>
      <c r="AA63" s="397"/>
      <c r="AB63" s="398"/>
      <c r="AC63" s="398"/>
      <c r="AD63" s="399"/>
      <c r="AE63" s="394"/>
      <c r="AF63" s="394"/>
      <c r="AG63" s="394"/>
      <c r="AH63" s="394"/>
      <c r="AI63" s="396"/>
      <c r="AJ63" s="398"/>
      <c r="AK63" s="398"/>
      <c r="AL63" s="399"/>
      <c r="AM63" s="398"/>
      <c r="AN63" s="394"/>
      <c r="AO63" s="394"/>
      <c r="AP63" s="394"/>
      <c r="AQ63" s="394"/>
      <c r="AR63" s="396"/>
      <c r="AS63" s="398"/>
      <c r="AT63" s="398"/>
      <c r="AU63" s="399"/>
      <c r="AV63" s="394"/>
      <c r="AW63" s="394"/>
      <c r="AX63" s="394"/>
      <c r="AY63" s="394"/>
      <c r="AZ63" s="320"/>
      <c r="BA63" s="398"/>
      <c r="BB63" s="398"/>
      <c r="BC63" s="398"/>
      <c r="BD63" s="399"/>
      <c r="BE63" s="394"/>
      <c r="BF63" s="394"/>
      <c r="BG63" s="394"/>
      <c r="BH63" s="394"/>
      <c r="BI63" s="457"/>
      <c r="BJ63" s="453"/>
      <c r="BK63" s="458"/>
      <c r="BL63" s="231"/>
      <c r="BM63" s="400" t="s">
        <v>258</v>
      </c>
      <c r="BN63" s="351" t="s">
        <v>259</v>
      </c>
      <c r="BO63" s="230"/>
      <c r="BP63" s="230"/>
      <c r="BQ63" s="230"/>
    </row>
    <row r="64" spans="1:69" ht="18" customHeight="1" thickBot="1">
      <c r="B64" s="227" t="s">
        <v>247</v>
      </c>
      <c r="C64" s="279" t="s">
        <v>254</v>
      </c>
      <c r="D64" s="248" t="s">
        <v>268</v>
      </c>
      <c r="E64" s="249" t="s">
        <v>292</v>
      </c>
      <c r="F64" s="252" t="s">
        <v>267</v>
      </c>
      <c r="G64" s="253" t="s">
        <v>291</v>
      </c>
      <c r="H64" s="402"/>
      <c r="I64" s="401"/>
      <c r="J64" s="401"/>
      <c r="K64" s="401"/>
      <c r="L64" s="401"/>
      <c r="M64" s="402"/>
      <c r="N64" s="401"/>
      <c r="O64" s="401"/>
      <c r="P64" s="403"/>
      <c r="Q64" s="401"/>
      <c r="R64" s="401"/>
      <c r="S64" s="401"/>
      <c r="T64" s="401"/>
      <c r="U64" s="401"/>
      <c r="V64" s="402"/>
      <c r="W64" s="401"/>
      <c r="X64" s="401"/>
      <c r="Y64" s="444" t="s">
        <v>282</v>
      </c>
      <c r="Z64" s="445"/>
      <c r="AA64" s="484"/>
      <c r="AB64" s="401"/>
      <c r="AC64" s="401"/>
      <c r="AD64" s="401"/>
      <c r="AE64" s="402"/>
      <c r="AF64" s="401"/>
      <c r="AG64" s="401"/>
      <c r="AH64" s="403"/>
      <c r="AI64" s="401"/>
      <c r="AJ64" s="401"/>
      <c r="AK64" s="401"/>
      <c r="AL64" s="401"/>
      <c r="AM64" s="402"/>
      <c r="AN64" s="401"/>
      <c r="AO64" s="401"/>
      <c r="AP64" s="401"/>
      <c r="AQ64" s="403"/>
      <c r="AR64" s="401"/>
      <c r="AS64" s="401"/>
      <c r="AT64" s="401"/>
      <c r="AU64" s="401"/>
      <c r="AV64" s="402"/>
      <c r="AW64" s="401"/>
      <c r="AX64" s="401"/>
      <c r="AY64" s="403"/>
      <c r="AZ64" s="401"/>
      <c r="BA64" s="401"/>
      <c r="BB64" s="401"/>
      <c r="BC64" s="401"/>
      <c r="BD64" s="401"/>
      <c r="BE64" s="402"/>
      <c r="BF64" s="401"/>
      <c r="BG64" s="401"/>
      <c r="BH64" s="403"/>
      <c r="BI64" s="210">
        <v>1</v>
      </c>
      <c r="BJ64" s="406">
        <v>3524990</v>
      </c>
      <c r="BK64" s="290">
        <v>3524990</v>
      </c>
      <c r="BM64" s="349">
        <v>42849</v>
      </c>
      <c r="BN64" s="344">
        <v>42867</v>
      </c>
    </row>
    <row r="65" spans="1:69" ht="18" customHeight="1" thickBot="1">
      <c r="B65" s="227" t="s">
        <v>247</v>
      </c>
      <c r="C65" s="279" t="s">
        <v>254</v>
      </c>
      <c r="D65" s="262"/>
      <c r="E65" s="263" t="s">
        <v>289</v>
      </c>
      <c r="F65" s="252" t="s">
        <v>287</v>
      </c>
      <c r="G65" s="262" t="s">
        <v>288</v>
      </c>
      <c r="H65" s="226"/>
      <c r="I65" s="210"/>
      <c r="J65" s="210"/>
      <c r="K65" s="210"/>
      <c r="L65" s="210"/>
      <c r="M65" s="226"/>
      <c r="N65" s="210"/>
      <c r="O65" s="210"/>
      <c r="P65" s="211"/>
      <c r="Q65" s="210"/>
      <c r="R65" s="210"/>
      <c r="S65" s="210"/>
      <c r="T65" s="210"/>
      <c r="U65" s="210"/>
      <c r="V65" s="226"/>
      <c r="W65" s="210"/>
      <c r="X65" s="210"/>
      <c r="Y65" s="211"/>
      <c r="Z65" s="210"/>
      <c r="AA65" s="212" t="s">
        <v>298</v>
      </c>
      <c r="AB65" s="210"/>
      <c r="AC65" s="210"/>
      <c r="AD65" s="210"/>
      <c r="AE65" s="226"/>
      <c r="AF65" s="210"/>
      <c r="AG65" s="210"/>
      <c r="AH65" s="211"/>
      <c r="AI65" s="210"/>
      <c r="AJ65" s="210"/>
      <c r="AK65" s="210"/>
      <c r="AL65" s="210"/>
      <c r="AM65" s="226"/>
      <c r="AN65" s="210"/>
      <c r="AO65" s="210"/>
      <c r="AP65" s="210"/>
      <c r="AQ65" s="211"/>
      <c r="AR65" s="210"/>
      <c r="AS65" s="210"/>
      <c r="AT65" s="210"/>
      <c r="AU65" s="210"/>
      <c r="AV65" s="226"/>
      <c r="AW65" s="210"/>
      <c r="AX65" s="210"/>
      <c r="AY65" s="211"/>
      <c r="AZ65" s="210"/>
      <c r="BA65" s="210"/>
      <c r="BB65" s="210"/>
      <c r="BC65" s="210"/>
      <c r="BD65" s="210"/>
      <c r="BE65" s="226"/>
      <c r="BF65" s="210"/>
      <c r="BG65" s="210"/>
      <c r="BH65" s="211"/>
      <c r="BI65" s="210">
        <v>1</v>
      </c>
      <c r="BJ65" s="381">
        <v>4000000</v>
      </c>
      <c r="BK65" s="290">
        <v>4000000</v>
      </c>
      <c r="BM65" s="349">
        <v>42865</v>
      </c>
      <c r="BN65" s="350">
        <v>42865</v>
      </c>
    </row>
    <row r="66" spans="1:69" ht="18" customHeight="1" thickBot="1">
      <c r="B66" s="227" t="s">
        <v>247</v>
      </c>
      <c r="C66" s="279" t="s">
        <v>254</v>
      </c>
      <c r="D66" s="262"/>
      <c r="E66" s="263" t="s">
        <v>290</v>
      </c>
      <c r="F66" s="252" t="s">
        <v>267</v>
      </c>
      <c r="G66" s="262" t="s">
        <v>291</v>
      </c>
      <c r="H66" s="226"/>
      <c r="I66" s="210"/>
      <c r="J66" s="210"/>
      <c r="K66" s="210"/>
      <c r="L66" s="210"/>
      <c r="M66" s="226"/>
      <c r="N66" s="210"/>
      <c r="O66" s="210"/>
      <c r="P66" s="211"/>
      <c r="Q66" s="210"/>
      <c r="R66" s="210"/>
      <c r="S66" s="210"/>
      <c r="T66" s="210"/>
      <c r="U66" s="210"/>
      <c r="V66" s="226"/>
      <c r="W66" s="210"/>
      <c r="X66" s="210"/>
      <c r="Y66" s="444" t="s">
        <v>282</v>
      </c>
      <c r="Z66" s="445"/>
      <c r="AA66" s="484"/>
      <c r="AB66" s="210"/>
      <c r="AC66" s="210"/>
      <c r="AD66" s="210"/>
      <c r="AE66" s="226"/>
      <c r="AF66" s="210"/>
      <c r="AG66" s="210"/>
      <c r="AH66" s="211"/>
      <c r="AI66" s="210"/>
      <c r="AJ66" s="210"/>
      <c r="AK66" s="210"/>
      <c r="AL66" s="210"/>
      <c r="AM66" s="226"/>
      <c r="AN66" s="210"/>
      <c r="AO66" s="210"/>
      <c r="AP66" s="210"/>
      <c r="AQ66" s="211"/>
      <c r="AR66" s="210"/>
      <c r="AS66" s="210"/>
      <c r="AT66" s="210"/>
      <c r="AU66" s="210"/>
      <c r="AV66" s="226"/>
      <c r="AW66" s="210"/>
      <c r="AX66" s="210"/>
      <c r="AY66" s="211"/>
      <c r="AZ66" s="210"/>
      <c r="BA66" s="210"/>
      <c r="BB66" s="210"/>
      <c r="BC66" s="210"/>
      <c r="BD66" s="210"/>
      <c r="BE66" s="226"/>
      <c r="BF66" s="210"/>
      <c r="BG66" s="210"/>
      <c r="BH66" s="211"/>
      <c r="BI66" s="210">
        <v>1</v>
      </c>
      <c r="BJ66" s="381">
        <v>7049980</v>
      </c>
      <c r="BK66" s="290">
        <v>7049980</v>
      </c>
      <c r="BM66" s="349">
        <v>42849</v>
      </c>
      <c r="BN66" s="350">
        <v>42867</v>
      </c>
    </row>
    <row r="67" spans="1:69" ht="18" customHeight="1" thickBot="1">
      <c r="B67" s="227" t="s">
        <v>247</v>
      </c>
      <c r="C67" s="279" t="s">
        <v>254</v>
      </c>
      <c r="D67" s="262"/>
      <c r="E67" s="263" t="s">
        <v>286</v>
      </c>
      <c r="F67" s="252" t="s">
        <v>287</v>
      </c>
      <c r="G67" s="262" t="s">
        <v>288</v>
      </c>
      <c r="H67" s="226"/>
      <c r="I67" s="210"/>
      <c r="J67" s="210"/>
      <c r="K67" s="210"/>
      <c r="L67" s="210"/>
      <c r="M67" s="226"/>
      <c r="N67" s="210"/>
      <c r="O67" s="210"/>
      <c r="P67" s="211"/>
      <c r="Q67" s="210"/>
      <c r="R67" s="210"/>
      <c r="S67" s="210"/>
      <c r="T67" s="210"/>
      <c r="U67" s="210"/>
      <c r="V67" s="226"/>
      <c r="W67" s="210"/>
      <c r="X67" s="210"/>
      <c r="Y67" s="211"/>
      <c r="Z67" s="210"/>
      <c r="AA67" s="379" t="s">
        <v>298</v>
      </c>
      <c r="AB67" s="210"/>
      <c r="AC67" s="210"/>
      <c r="AD67" s="210"/>
      <c r="AE67" s="226"/>
      <c r="AF67" s="210"/>
      <c r="AG67" s="210"/>
      <c r="AH67" s="211"/>
      <c r="AI67" s="210"/>
      <c r="AJ67" s="210"/>
      <c r="AK67" s="210"/>
      <c r="AL67" s="210"/>
      <c r="AM67" s="226"/>
      <c r="AN67" s="210"/>
      <c r="AO67" s="210"/>
      <c r="AP67" s="210"/>
      <c r="AQ67" s="211"/>
      <c r="AR67" s="210"/>
      <c r="AS67" s="210"/>
      <c r="AT67" s="210"/>
      <c r="AU67" s="210"/>
      <c r="AV67" s="226"/>
      <c r="AW67" s="210"/>
      <c r="AX67" s="210"/>
      <c r="AY67" s="211"/>
      <c r="AZ67" s="210"/>
      <c r="BA67" s="210"/>
      <c r="BB67" s="210"/>
      <c r="BC67" s="210"/>
      <c r="BD67" s="210"/>
      <c r="BE67" s="226"/>
      <c r="BF67" s="210"/>
      <c r="BG67" s="210"/>
      <c r="BH67" s="211"/>
      <c r="BI67" s="210">
        <v>1</v>
      </c>
      <c r="BJ67" s="381">
        <v>4000000</v>
      </c>
      <c r="BK67" s="290">
        <v>4000000</v>
      </c>
      <c r="BM67" s="349">
        <v>42865</v>
      </c>
      <c r="BN67" s="350">
        <v>42865</v>
      </c>
    </row>
    <row r="68" spans="1:69" ht="18" customHeight="1">
      <c r="B68" s="227" t="s">
        <v>246</v>
      </c>
      <c r="C68" s="279" t="s">
        <v>157</v>
      </c>
      <c r="D68" s="262"/>
      <c r="E68" s="263"/>
      <c r="F68" s="252"/>
      <c r="G68" s="262"/>
      <c r="H68" s="226"/>
      <c r="I68" s="210"/>
      <c r="J68" s="210"/>
      <c r="K68" s="210"/>
      <c r="L68" s="210"/>
      <c r="M68" s="226"/>
      <c r="N68" s="210"/>
      <c r="O68" s="210"/>
      <c r="P68" s="211"/>
      <c r="Q68" s="210"/>
      <c r="R68" s="210"/>
      <c r="S68" s="210"/>
      <c r="T68" s="210"/>
      <c r="U68" s="210"/>
      <c r="V68" s="226"/>
      <c r="W68" s="210"/>
      <c r="X68" s="210"/>
      <c r="Y68" s="211"/>
      <c r="Z68" s="210"/>
      <c r="AA68" s="210"/>
      <c r="AB68" s="210"/>
      <c r="AC68" s="210"/>
      <c r="AD68" s="210"/>
      <c r="AE68" s="226"/>
      <c r="AF68" s="210"/>
      <c r="AG68" s="210"/>
      <c r="AH68" s="211"/>
      <c r="AI68" s="210"/>
      <c r="AJ68" s="210"/>
      <c r="AK68" s="210"/>
      <c r="AL68" s="210"/>
      <c r="AM68" s="226"/>
      <c r="AN68" s="210"/>
      <c r="AO68" s="210"/>
      <c r="AP68" s="210"/>
      <c r="AQ68" s="211"/>
      <c r="AR68" s="210"/>
      <c r="AS68" s="210"/>
      <c r="AT68" s="210"/>
      <c r="AU68" s="210"/>
      <c r="AV68" s="226"/>
      <c r="AW68" s="210"/>
      <c r="AX68" s="210"/>
      <c r="AY68" s="211"/>
      <c r="AZ68" s="210"/>
      <c r="BA68" s="210"/>
      <c r="BB68" s="210"/>
      <c r="BC68" s="210"/>
      <c r="BD68" s="210"/>
      <c r="BE68" s="226"/>
      <c r="BF68" s="210"/>
      <c r="BG68" s="210"/>
      <c r="BH68" s="211"/>
      <c r="BI68" s="210"/>
      <c r="BJ68" s="284"/>
      <c r="BK68" s="290"/>
      <c r="BM68" s="345"/>
      <c r="BN68" s="346"/>
    </row>
    <row r="69" spans="1:69" ht="18" customHeight="1">
      <c r="B69" s="227" t="s">
        <v>246</v>
      </c>
      <c r="C69" s="279" t="s">
        <v>157</v>
      </c>
      <c r="D69" s="262"/>
      <c r="E69" s="263"/>
      <c r="F69" s="252"/>
      <c r="G69" s="262"/>
      <c r="H69" s="226"/>
      <c r="I69" s="210"/>
      <c r="J69" s="210"/>
      <c r="K69" s="210"/>
      <c r="L69" s="210"/>
      <c r="M69" s="226"/>
      <c r="N69" s="210"/>
      <c r="O69" s="210"/>
      <c r="P69" s="211"/>
      <c r="Q69" s="210"/>
      <c r="R69" s="210"/>
      <c r="S69" s="210"/>
      <c r="T69" s="210"/>
      <c r="U69" s="210"/>
      <c r="V69" s="226"/>
      <c r="W69" s="210"/>
      <c r="X69" s="210"/>
      <c r="Y69" s="211"/>
      <c r="Z69" s="210"/>
      <c r="AA69" s="210"/>
      <c r="AB69" s="210"/>
      <c r="AC69" s="210"/>
      <c r="AD69" s="210"/>
      <c r="AE69" s="226"/>
      <c r="AF69" s="210"/>
      <c r="AG69" s="210"/>
      <c r="AH69" s="211"/>
      <c r="AI69" s="210"/>
      <c r="AJ69" s="210"/>
      <c r="AK69" s="210"/>
      <c r="AL69" s="210"/>
      <c r="AM69" s="226"/>
      <c r="AN69" s="210"/>
      <c r="AO69" s="210"/>
      <c r="AP69" s="210"/>
      <c r="AQ69" s="211"/>
      <c r="AR69" s="210"/>
      <c r="AS69" s="210"/>
      <c r="AT69" s="210"/>
      <c r="AU69" s="210"/>
      <c r="AV69" s="226"/>
      <c r="AW69" s="210"/>
      <c r="AX69" s="210"/>
      <c r="AY69" s="211"/>
      <c r="AZ69" s="210"/>
      <c r="BA69" s="210"/>
      <c r="BB69" s="210"/>
      <c r="BC69" s="210"/>
      <c r="BD69" s="210"/>
      <c r="BE69" s="226"/>
      <c r="BF69" s="210"/>
      <c r="BG69" s="210"/>
      <c r="BH69" s="211"/>
      <c r="BI69" s="210"/>
      <c r="BJ69" s="284"/>
      <c r="BK69" s="290"/>
      <c r="BM69" s="345"/>
      <c r="BN69" s="346"/>
    </row>
    <row r="70" spans="1:69" ht="18" customHeight="1">
      <c r="C70" s="279"/>
      <c r="D70" s="262"/>
      <c r="E70" s="263"/>
      <c r="F70" s="252"/>
      <c r="G70" s="262"/>
      <c r="H70" s="226"/>
      <c r="I70" s="210"/>
      <c r="J70" s="210"/>
      <c r="K70" s="210"/>
      <c r="L70" s="210"/>
      <c r="M70" s="226"/>
      <c r="N70" s="210"/>
      <c r="O70" s="210"/>
      <c r="P70" s="211"/>
      <c r="Q70" s="210"/>
      <c r="R70" s="210"/>
      <c r="S70" s="210"/>
      <c r="T70" s="210"/>
      <c r="U70" s="210"/>
      <c r="V70" s="226"/>
      <c r="W70" s="210"/>
      <c r="X70" s="210"/>
      <c r="Y70" s="211"/>
      <c r="Z70" s="210"/>
      <c r="AA70" s="210"/>
      <c r="AB70" s="210"/>
      <c r="AC70" s="210"/>
      <c r="AD70" s="210"/>
      <c r="AE70" s="226"/>
      <c r="AF70" s="210"/>
      <c r="AG70" s="210"/>
      <c r="AH70" s="211"/>
      <c r="AI70" s="210"/>
      <c r="AJ70" s="210"/>
      <c r="AK70" s="210"/>
      <c r="AL70" s="210"/>
      <c r="AM70" s="226"/>
      <c r="AN70" s="210"/>
      <c r="AO70" s="210"/>
      <c r="AP70" s="210"/>
      <c r="AQ70" s="211"/>
      <c r="AR70" s="210"/>
      <c r="AS70" s="210"/>
      <c r="AT70" s="210"/>
      <c r="AU70" s="210"/>
      <c r="AV70" s="226"/>
      <c r="AW70" s="210"/>
      <c r="AX70" s="210"/>
      <c r="AY70" s="211"/>
      <c r="AZ70" s="210"/>
      <c r="BA70" s="210"/>
      <c r="BB70" s="210"/>
      <c r="BC70" s="210"/>
      <c r="BD70" s="210"/>
      <c r="BE70" s="226"/>
      <c r="BF70" s="210"/>
      <c r="BG70" s="210"/>
      <c r="BH70" s="211"/>
      <c r="BI70" s="210"/>
      <c r="BJ70" s="284"/>
      <c r="BK70" s="290"/>
      <c r="BM70" s="345"/>
      <c r="BN70" s="346"/>
    </row>
    <row r="71" spans="1:69" ht="18" customHeight="1">
      <c r="B71" s="227" t="s">
        <v>246</v>
      </c>
      <c r="C71" s="279" t="s">
        <v>157</v>
      </c>
      <c r="D71" s="248"/>
      <c r="E71" s="251"/>
      <c r="F71" s="252"/>
      <c r="G71" s="248"/>
      <c r="H71" s="232"/>
      <c r="I71" s="210"/>
      <c r="J71" s="210"/>
      <c r="K71" s="210"/>
      <c r="L71" s="210"/>
      <c r="M71" s="232"/>
      <c r="N71" s="210"/>
      <c r="O71" s="210"/>
      <c r="P71" s="211"/>
      <c r="Q71" s="210"/>
      <c r="R71" s="210"/>
      <c r="S71" s="210"/>
      <c r="T71" s="210"/>
      <c r="U71" s="210"/>
      <c r="V71" s="232"/>
      <c r="W71" s="210"/>
      <c r="X71" s="210"/>
      <c r="Y71" s="211"/>
      <c r="Z71" s="210"/>
      <c r="AA71" s="210"/>
      <c r="AB71" s="210"/>
      <c r="AC71" s="210"/>
      <c r="AD71" s="210"/>
      <c r="AE71" s="232"/>
      <c r="AF71" s="210"/>
      <c r="AG71" s="210"/>
      <c r="AH71" s="211"/>
      <c r="AI71" s="210"/>
      <c r="AJ71" s="210"/>
      <c r="AK71" s="210"/>
      <c r="AL71" s="210"/>
      <c r="AM71" s="232"/>
      <c r="AN71" s="210"/>
      <c r="AO71" s="210"/>
      <c r="AP71" s="210"/>
      <c r="AQ71" s="211"/>
      <c r="AR71" s="210"/>
      <c r="AS71" s="210"/>
      <c r="AT71" s="210"/>
      <c r="AU71" s="210"/>
      <c r="AV71" s="232"/>
      <c r="AW71" s="210"/>
      <c r="AX71" s="210"/>
      <c r="AY71" s="211"/>
      <c r="AZ71" s="210"/>
      <c r="BA71" s="210"/>
      <c r="BB71" s="210"/>
      <c r="BC71" s="210"/>
      <c r="BD71" s="210"/>
      <c r="BE71" s="232"/>
      <c r="BF71" s="210"/>
      <c r="BG71" s="210"/>
      <c r="BH71" s="211"/>
      <c r="BI71" s="210"/>
      <c r="BJ71" s="233"/>
      <c r="BK71" s="290"/>
      <c r="BM71" s="345"/>
      <c r="BN71" s="346"/>
    </row>
    <row r="72" spans="1:69" s="230" customFormat="1" ht="18" customHeight="1" thickBot="1">
      <c r="A72" s="227"/>
      <c r="B72" s="227" t="s">
        <v>246</v>
      </c>
      <c r="C72" s="279" t="s">
        <v>157</v>
      </c>
      <c r="D72" s="248"/>
      <c r="E72" s="251"/>
      <c r="F72" s="252"/>
      <c r="G72" s="248"/>
      <c r="H72" s="232"/>
      <c r="I72" s="210"/>
      <c r="J72" s="210"/>
      <c r="K72" s="210"/>
      <c r="L72" s="210"/>
      <c r="M72" s="232"/>
      <c r="N72" s="210"/>
      <c r="O72" s="210"/>
      <c r="P72" s="211"/>
      <c r="Q72" s="210"/>
      <c r="R72" s="210"/>
      <c r="S72" s="210"/>
      <c r="T72" s="210"/>
      <c r="U72" s="210"/>
      <c r="V72" s="232"/>
      <c r="W72" s="210"/>
      <c r="X72" s="210"/>
      <c r="Y72" s="211"/>
      <c r="Z72" s="210"/>
      <c r="AA72" s="210"/>
      <c r="AB72" s="210"/>
      <c r="AC72" s="210"/>
      <c r="AD72" s="210"/>
      <c r="AE72" s="232"/>
      <c r="AF72" s="210"/>
      <c r="AG72" s="210"/>
      <c r="AH72" s="211"/>
      <c r="AI72" s="210"/>
      <c r="AJ72" s="210"/>
      <c r="AK72" s="210"/>
      <c r="AL72" s="210"/>
      <c r="AM72" s="232"/>
      <c r="AN72" s="210"/>
      <c r="AO72" s="210"/>
      <c r="AP72" s="210"/>
      <c r="AQ72" s="211"/>
      <c r="AR72" s="210"/>
      <c r="AS72" s="210"/>
      <c r="AT72" s="210"/>
      <c r="AU72" s="210"/>
      <c r="AV72" s="232"/>
      <c r="AW72" s="210"/>
      <c r="AX72" s="210"/>
      <c r="AY72" s="211"/>
      <c r="AZ72" s="210"/>
      <c r="BA72" s="210"/>
      <c r="BB72" s="210"/>
      <c r="BC72" s="210"/>
      <c r="BD72" s="210"/>
      <c r="BE72" s="232"/>
      <c r="BF72" s="210"/>
      <c r="BG72" s="210"/>
      <c r="BH72" s="211"/>
      <c r="BI72" s="210"/>
      <c r="BJ72" s="233"/>
      <c r="BK72" s="290"/>
      <c r="BL72" s="229"/>
      <c r="BM72" s="347"/>
      <c r="BN72" s="348"/>
      <c r="BO72" s="227"/>
      <c r="BP72" s="227"/>
      <c r="BQ72" s="227"/>
    </row>
    <row r="73" spans="1:69" ht="18" customHeight="1" thickBot="1">
      <c r="C73" s="279"/>
      <c r="D73" s="390"/>
      <c r="E73" s="391"/>
      <c r="F73" s="391"/>
      <c r="G73" s="392"/>
      <c r="H73" s="449"/>
      <c r="I73" s="450"/>
      <c r="J73" s="450"/>
      <c r="K73" s="450"/>
      <c r="L73" s="451"/>
      <c r="M73" s="449"/>
      <c r="N73" s="450"/>
      <c r="O73" s="450"/>
      <c r="P73" s="451"/>
      <c r="Q73" s="449"/>
      <c r="R73" s="450"/>
      <c r="S73" s="450"/>
      <c r="T73" s="450"/>
      <c r="U73" s="451"/>
      <c r="V73" s="449"/>
      <c r="W73" s="450"/>
      <c r="X73" s="450"/>
      <c r="Y73" s="451"/>
      <c r="Z73" s="390"/>
      <c r="AA73" s="391"/>
      <c r="AB73" s="391"/>
      <c r="AC73" s="391"/>
      <c r="AD73" s="392"/>
      <c r="AE73" s="390"/>
      <c r="AF73" s="391"/>
      <c r="AG73" s="391"/>
      <c r="AH73" s="392"/>
      <c r="AI73" s="390"/>
      <c r="AJ73" s="391"/>
      <c r="AK73" s="391"/>
      <c r="AL73" s="392"/>
      <c r="AM73" s="390"/>
      <c r="AN73" s="391"/>
      <c r="AO73" s="391"/>
      <c r="AP73" s="391"/>
      <c r="AQ73" s="392"/>
      <c r="AR73" s="390"/>
      <c r="AS73" s="391"/>
      <c r="AT73" s="391"/>
      <c r="AU73" s="392"/>
      <c r="AV73" s="390"/>
      <c r="AW73" s="391"/>
      <c r="AX73" s="391"/>
      <c r="AY73" s="392"/>
      <c r="AZ73" s="390"/>
      <c r="BA73" s="391"/>
      <c r="BB73" s="391"/>
      <c r="BC73" s="391"/>
      <c r="BD73" s="392"/>
      <c r="BE73" s="390"/>
      <c r="BF73" s="391"/>
      <c r="BG73" s="391"/>
      <c r="BH73" s="392"/>
      <c r="BI73" s="392"/>
      <c r="BJ73" s="376"/>
      <c r="BK73" s="378">
        <f>SUM(BK64:BK72)</f>
        <v>18574970</v>
      </c>
      <c r="BL73" s="331">
        <v>1</v>
      </c>
      <c r="BM73" s="447"/>
      <c r="BN73" s="448"/>
    </row>
    <row r="74" spans="1:69" ht="18" customHeight="1" thickBot="1">
      <c r="D74" s="481" t="s">
        <v>151</v>
      </c>
      <c r="E74" s="482"/>
      <c r="F74" s="483"/>
      <c r="G74" s="482"/>
      <c r="H74" s="320"/>
      <c r="I74" s="398"/>
      <c r="J74" s="398"/>
      <c r="K74" s="398"/>
      <c r="L74" s="399"/>
      <c r="M74" s="396"/>
      <c r="N74" s="394"/>
      <c r="O74" s="394"/>
      <c r="P74" s="325"/>
      <c r="Q74" s="320"/>
      <c r="R74" s="398"/>
      <c r="S74" s="398"/>
      <c r="T74" s="398"/>
      <c r="U74" s="399"/>
      <c r="V74" s="394"/>
      <c r="W74" s="394"/>
      <c r="X74" s="394"/>
      <c r="Y74" s="394"/>
      <c r="Z74" s="396"/>
      <c r="AA74" s="398"/>
      <c r="AB74" s="398"/>
      <c r="AC74" s="398"/>
      <c r="AD74" s="399"/>
      <c r="AE74" s="394"/>
      <c r="AF74" s="394"/>
      <c r="AG74" s="394"/>
      <c r="AH74" s="394"/>
      <c r="AI74" s="396"/>
      <c r="AJ74" s="398"/>
      <c r="AK74" s="398"/>
      <c r="AL74" s="399"/>
      <c r="AM74" s="398"/>
      <c r="AN74" s="394"/>
      <c r="AO74" s="394"/>
      <c r="AP74" s="394"/>
      <c r="AQ74" s="394"/>
      <c r="AR74" s="396"/>
      <c r="AS74" s="398"/>
      <c r="AT74" s="398"/>
      <c r="AU74" s="399"/>
      <c r="AV74" s="394"/>
      <c r="AW74" s="394"/>
      <c r="AX74" s="394"/>
      <c r="AY74" s="394"/>
      <c r="AZ74" s="320"/>
      <c r="BA74" s="398"/>
      <c r="BB74" s="398"/>
      <c r="BC74" s="398"/>
      <c r="BD74" s="399"/>
      <c r="BE74" s="394"/>
      <c r="BF74" s="394"/>
      <c r="BG74" s="394"/>
      <c r="BH74" s="394"/>
      <c r="BI74" s="457"/>
      <c r="BJ74" s="453"/>
      <c r="BK74" s="458"/>
      <c r="BL74" s="231"/>
      <c r="BM74" s="329" t="s">
        <v>258</v>
      </c>
      <c r="BN74" s="330" t="s">
        <v>259</v>
      </c>
      <c r="BO74" s="230"/>
      <c r="BP74" s="230"/>
      <c r="BQ74" s="230"/>
    </row>
    <row r="75" spans="1:69" ht="18" customHeight="1">
      <c r="B75" s="227" t="s">
        <v>246</v>
      </c>
      <c r="C75" s="279" t="s">
        <v>250</v>
      </c>
      <c r="D75" s="248"/>
      <c r="E75" s="249"/>
      <c r="F75" s="252"/>
      <c r="G75" s="253"/>
      <c r="H75" s="402"/>
      <c r="I75" s="401"/>
      <c r="J75" s="401"/>
      <c r="K75" s="401"/>
      <c r="L75" s="401"/>
      <c r="M75" s="402"/>
      <c r="N75" s="401"/>
      <c r="O75" s="401"/>
      <c r="P75" s="403"/>
      <c r="Q75" s="401"/>
      <c r="R75" s="401"/>
      <c r="S75" s="401"/>
      <c r="T75" s="401"/>
      <c r="U75" s="401"/>
      <c r="V75" s="402"/>
      <c r="W75" s="401"/>
      <c r="X75" s="401"/>
      <c r="Y75" s="403"/>
      <c r="Z75" s="401"/>
      <c r="AA75" s="401"/>
      <c r="AB75" s="401"/>
      <c r="AC75" s="401"/>
      <c r="AD75" s="401"/>
      <c r="AE75" s="402"/>
      <c r="AF75" s="401"/>
      <c r="AG75" s="401"/>
      <c r="AH75" s="403"/>
      <c r="AI75" s="401"/>
      <c r="AJ75" s="401"/>
      <c r="AK75" s="401"/>
      <c r="AL75" s="401"/>
      <c r="AM75" s="402"/>
      <c r="AN75" s="401"/>
      <c r="AO75" s="401"/>
      <c r="AP75" s="401"/>
      <c r="AQ75" s="403"/>
      <c r="AR75" s="401"/>
      <c r="AS75" s="401"/>
      <c r="AT75" s="401"/>
      <c r="AU75" s="401"/>
      <c r="AV75" s="402"/>
      <c r="AW75" s="401"/>
      <c r="AX75" s="401"/>
      <c r="AY75" s="403"/>
      <c r="AZ75" s="401"/>
      <c r="BA75" s="401"/>
      <c r="BB75" s="401"/>
      <c r="BC75" s="401"/>
      <c r="BD75" s="401"/>
      <c r="BE75" s="402"/>
      <c r="BF75" s="401"/>
      <c r="BG75" s="401"/>
      <c r="BH75" s="403"/>
      <c r="BI75" s="210"/>
      <c r="BJ75" s="212"/>
      <c r="BK75" s="290"/>
      <c r="BM75" s="343"/>
      <c r="BN75" s="344"/>
    </row>
    <row r="76" spans="1:69" ht="18" customHeight="1">
      <c r="B76" s="227" t="s">
        <v>246</v>
      </c>
      <c r="C76" s="279" t="s">
        <v>250</v>
      </c>
      <c r="D76" s="262"/>
      <c r="E76" s="263"/>
      <c r="F76" s="252"/>
      <c r="G76" s="262"/>
      <c r="H76" s="226"/>
      <c r="I76" s="210"/>
      <c r="J76" s="210"/>
      <c r="K76" s="210"/>
      <c r="L76" s="210"/>
      <c r="M76" s="226"/>
      <c r="N76" s="210"/>
      <c r="O76" s="210"/>
      <c r="P76" s="211"/>
      <c r="Q76" s="210"/>
      <c r="R76" s="210"/>
      <c r="S76" s="210"/>
      <c r="T76" s="210"/>
      <c r="U76" s="210"/>
      <c r="V76" s="226"/>
      <c r="W76" s="210"/>
      <c r="X76" s="210"/>
      <c r="Y76" s="211"/>
      <c r="Z76" s="210"/>
      <c r="AA76" s="210"/>
      <c r="AB76" s="210"/>
      <c r="AC76" s="210"/>
      <c r="AD76" s="210"/>
      <c r="AE76" s="226"/>
      <c r="AF76" s="210"/>
      <c r="AG76" s="210"/>
      <c r="AH76" s="211"/>
      <c r="AI76" s="210"/>
      <c r="AJ76" s="210"/>
      <c r="AK76" s="210"/>
      <c r="AL76" s="210"/>
      <c r="AM76" s="226"/>
      <c r="AN76" s="210"/>
      <c r="AO76" s="210"/>
      <c r="AP76" s="210"/>
      <c r="AQ76" s="211"/>
      <c r="AR76" s="210"/>
      <c r="AS76" s="210"/>
      <c r="AT76" s="210"/>
      <c r="AU76" s="210"/>
      <c r="AV76" s="226"/>
      <c r="AW76" s="210"/>
      <c r="AX76" s="210"/>
      <c r="AY76" s="211"/>
      <c r="AZ76" s="210"/>
      <c r="BA76" s="210"/>
      <c r="BB76" s="210"/>
      <c r="BC76" s="210"/>
      <c r="BD76" s="210"/>
      <c r="BE76" s="226"/>
      <c r="BF76" s="210"/>
      <c r="BG76" s="210"/>
      <c r="BH76" s="211"/>
      <c r="BI76" s="210"/>
      <c r="BJ76" s="284"/>
      <c r="BK76" s="290"/>
      <c r="BM76" s="345"/>
      <c r="BN76" s="346"/>
    </row>
    <row r="77" spans="1:69" ht="18" customHeight="1">
      <c r="B77" s="227" t="s">
        <v>246</v>
      </c>
      <c r="C77" s="279" t="s">
        <v>250</v>
      </c>
      <c r="D77" s="262"/>
      <c r="E77" s="263"/>
      <c r="F77" s="252"/>
      <c r="G77" s="262"/>
      <c r="H77" s="226"/>
      <c r="I77" s="210"/>
      <c r="J77" s="210"/>
      <c r="K77" s="210"/>
      <c r="L77" s="210"/>
      <c r="M77" s="226"/>
      <c r="N77" s="210"/>
      <c r="O77" s="210"/>
      <c r="P77" s="211"/>
      <c r="Q77" s="210"/>
      <c r="R77" s="210"/>
      <c r="S77" s="210"/>
      <c r="T77" s="210"/>
      <c r="U77" s="210"/>
      <c r="V77" s="226"/>
      <c r="W77" s="210"/>
      <c r="X77" s="210"/>
      <c r="Y77" s="211"/>
      <c r="Z77" s="210"/>
      <c r="AA77" s="210"/>
      <c r="AB77" s="210"/>
      <c r="AC77" s="210"/>
      <c r="AD77" s="210"/>
      <c r="AE77" s="226"/>
      <c r="AF77" s="210"/>
      <c r="AG77" s="210"/>
      <c r="AH77" s="211"/>
      <c r="AI77" s="210"/>
      <c r="AJ77" s="210"/>
      <c r="AK77" s="210"/>
      <c r="AL77" s="210"/>
      <c r="AM77" s="226"/>
      <c r="AN77" s="210"/>
      <c r="AO77" s="210"/>
      <c r="AP77" s="210"/>
      <c r="AQ77" s="211"/>
      <c r="AR77" s="210"/>
      <c r="AS77" s="210"/>
      <c r="AT77" s="210"/>
      <c r="AU77" s="210"/>
      <c r="AV77" s="226"/>
      <c r="AW77" s="210"/>
      <c r="AX77" s="210"/>
      <c r="AY77" s="211"/>
      <c r="AZ77" s="210"/>
      <c r="BA77" s="210"/>
      <c r="BB77" s="210"/>
      <c r="BC77" s="210"/>
      <c r="BD77" s="210"/>
      <c r="BE77" s="226"/>
      <c r="BF77" s="210"/>
      <c r="BG77" s="210"/>
      <c r="BH77" s="211"/>
      <c r="BI77" s="210"/>
      <c r="BJ77" s="284"/>
      <c r="BK77" s="290"/>
      <c r="BM77" s="345"/>
      <c r="BN77" s="346"/>
    </row>
    <row r="78" spans="1:69" ht="18" customHeight="1">
      <c r="B78" s="227" t="s">
        <v>246</v>
      </c>
      <c r="C78" s="279" t="s">
        <v>250</v>
      </c>
      <c r="D78" s="248"/>
      <c r="E78" s="251"/>
      <c r="F78" s="252"/>
      <c r="G78" s="248"/>
      <c r="H78" s="232"/>
      <c r="I78" s="210"/>
      <c r="J78" s="210"/>
      <c r="K78" s="210"/>
      <c r="L78" s="210"/>
      <c r="M78" s="232"/>
      <c r="N78" s="210"/>
      <c r="O78" s="210"/>
      <c r="P78" s="211"/>
      <c r="Q78" s="210"/>
      <c r="R78" s="210"/>
      <c r="S78" s="210"/>
      <c r="T78" s="210"/>
      <c r="U78" s="210"/>
      <c r="V78" s="232"/>
      <c r="W78" s="210"/>
      <c r="X78" s="210"/>
      <c r="Y78" s="211"/>
      <c r="Z78" s="210"/>
      <c r="AA78" s="210"/>
      <c r="AB78" s="210"/>
      <c r="AC78" s="210"/>
      <c r="AD78" s="210"/>
      <c r="AE78" s="232"/>
      <c r="AF78" s="210"/>
      <c r="AG78" s="210"/>
      <c r="AH78" s="211"/>
      <c r="AI78" s="210"/>
      <c r="AJ78" s="210"/>
      <c r="AK78" s="210"/>
      <c r="AL78" s="210"/>
      <c r="AM78" s="232"/>
      <c r="AN78" s="210"/>
      <c r="AO78" s="210"/>
      <c r="AP78" s="210"/>
      <c r="AQ78" s="211"/>
      <c r="AR78" s="210"/>
      <c r="AS78" s="210"/>
      <c r="AT78" s="210"/>
      <c r="AU78" s="210"/>
      <c r="AV78" s="232"/>
      <c r="AW78" s="210"/>
      <c r="AX78" s="210"/>
      <c r="AY78" s="211"/>
      <c r="AZ78" s="210"/>
      <c r="BA78" s="210"/>
      <c r="BB78" s="210"/>
      <c r="BC78" s="210"/>
      <c r="BD78" s="210"/>
      <c r="BE78" s="232"/>
      <c r="BF78" s="210"/>
      <c r="BG78" s="210"/>
      <c r="BH78" s="211"/>
      <c r="BI78" s="210"/>
      <c r="BJ78" s="233"/>
      <c r="BK78" s="290"/>
      <c r="BM78" s="345"/>
      <c r="BN78" s="346"/>
    </row>
    <row r="79" spans="1:69" s="230" customFormat="1" ht="18" customHeight="1" thickBot="1">
      <c r="A79" s="227"/>
      <c r="B79" s="227" t="s">
        <v>246</v>
      </c>
      <c r="C79" s="279" t="s">
        <v>250</v>
      </c>
      <c r="D79" s="248"/>
      <c r="E79" s="251"/>
      <c r="F79" s="252"/>
      <c r="G79" s="248"/>
      <c r="H79" s="232"/>
      <c r="I79" s="210"/>
      <c r="J79" s="210"/>
      <c r="K79" s="210"/>
      <c r="L79" s="210"/>
      <c r="M79" s="232"/>
      <c r="N79" s="210"/>
      <c r="O79" s="210"/>
      <c r="P79" s="211"/>
      <c r="Q79" s="210"/>
      <c r="R79" s="210"/>
      <c r="S79" s="210"/>
      <c r="T79" s="210"/>
      <c r="U79" s="210"/>
      <c r="V79" s="232"/>
      <c r="W79" s="210"/>
      <c r="X79" s="210"/>
      <c r="Y79" s="211"/>
      <c r="Z79" s="210"/>
      <c r="AA79" s="210"/>
      <c r="AB79" s="210"/>
      <c r="AC79" s="210"/>
      <c r="AD79" s="210"/>
      <c r="AE79" s="232"/>
      <c r="AF79" s="210"/>
      <c r="AG79" s="210"/>
      <c r="AH79" s="211"/>
      <c r="AI79" s="210"/>
      <c r="AJ79" s="210"/>
      <c r="AK79" s="210"/>
      <c r="AL79" s="210"/>
      <c r="AM79" s="232"/>
      <c r="AN79" s="210"/>
      <c r="AO79" s="210"/>
      <c r="AP79" s="210"/>
      <c r="AQ79" s="211"/>
      <c r="AR79" s="210"/>
      <c r="AS79" s="210"/>
      <c r="AT79" s="210"/>
      <c r="AU79" s="210"/>
      <c r="AV79" s="232"/>
      <c r="AW79" s="210"/>
      <c r="AX79" s="210"/>
      <c r="AY79" s="211"/>
      <c r="AZ79" s="210"/>
      <c r="BA79" s="210"/>
      <c r="BB79" s="210"/>
      <c r="BC79" s="210"/>
      <c r="BD79" s="210"/>
      <c r="BE79" s="232"/>
      <c r="BF79" s="210"/>
      <c r="BG79" s="210"/>
      <c r="BH79" s="211"/>
      <c r="BI79" s="210"/>
      <c r="BJ79" s="233"/>
      <c r="BK79" s="290"/>
      <c r="BL79" s="229"/>
      <c r="BM79" s="347"/>
      <c r="BN79" s="348"/>
      <c r="BO79" s="227"/>
      <c r="BP79" s="227"/>
      <c r="BQ79" s="227"/>
    </row>
    <row r="80" spans="1:69" ht="18" customHeight="1" thickBot="1">
      <c r="C80" s="279"/>
      <c r="D80" s="390"/>
      <c r="E80" s="391"/>
      <c r="F80" s="391"/>
      <c r="G80" s="392"/>
      <c r="H80" s="449"/>
      <c r="I80" s="450"/>
      <c r="J80" s="450"/>
      <c r="K80" s="450"/>
      <c r="L80" s="451"/>
      <c r="M80" s="449"/>
      <c r="N80" s="450"/>
      <c r="O80" s="450"/>
      <c r="P80" s="451"/>
      <c r="Q80" s="449"/>
      <c r="R80" s="450"/>
      <c r="S80" s="450"/>
      <c r="T80" s="450"/>
      <c r="U80" s="451"/>
      <c r="V80" s="449"/>
      <c r="W80" s="450"/>
      <c r="X80" s="450"/>
      <c r="Y80" s="451"/>
      <c r="Z80" s="390"/>
      <c r="AA80" s="391"/>
      <c r="AB80" s="391"/>
      <c r="AC80" s="391"/>
      <c r="AD80" s="392"/>
      <c r="AE80" s="390"/>
      <c r="AF80" s="391"/>
      <c r="AG80" s="391"/>
      <c r="AH80" s="392"/>
      <c r="AI80" s="390"/>
      <c r="AJ80" s="391"/>
      <c r="AK80" s="391"/>
      <c r="AL80" s="392"/>
      <c r="AM80" s="390"/>
      <c r="AN80" s="391"/>
      <c r="AO80" s="391"/>
      <c r="AP80" s="391"/>
      <c r="AQ80" s="392"/>
      <c r="AR80" s="390"/>
      <c r="AS80" s="391"/>
      <c r="AT80" s="391"/>
      <c r="AU80" s="392"/>
      <c r="AV80" s="390"/>
      <c r="AW80" s="391"/>
      <c r="AX80" s="391"/>
      <c r="AY80" s="392"/>
      <c r="AZ80" s="390"/>
      <c r="BA80" s="391"/>
      <c r="BB80" s="391"/>
      <c r="BC80" s="391"/>
      <c r="BD80" s="392"/>
      <c r="BE80" s="390"/>
      <c r="BF80" s="391"/>
      <c r="BG80" s="391"/>
      <c r="BH80" s="392"/>
      <c r="BI80" s="392"/>
      <c r="BJ80" s="376"/>
      <c r="BK80" s="378">
        <f>SUM(BK75:BK79)</f>
        <v>0</v>
      </c>
      <c r="BL80" s="331">
        <v>0</v>
      </c>
      <c r="BM80" s="355"/>
      <c r="BN80" s="355"/>
    </row>
    <row r="81" spans="1:69" ht="18" customHeight="1" thickBot="1">
      <c r="D81" s="481" t="s">
        <v>129</v>
      </c>
      <c r="E81" s="482"/>
      <c r="F81" s="483"/>
      <c r="G81" s="482"/>
      <c r="H81" s="320"/>
      <c r="I81" s="398"/>
      <c r="J81" s="398"/>
      <c r="K81" s="398"/>
      <c r="L81" s="399"/>
      <c r="M81" s="396"/>
      <c r="N81" s="394"/>
      <c r="O81" s="394"/>
      <c r="P81" s="325"/>
      <c r="Q81" s="320"/>
      <c r="R81" s="398"/>
      <c r="S81" s="398"/>
      <c r="T81" s="398"/>
      <c r="U81" s="399"/>
      <c r="V81" s="394"/>
      <c r="W81" s="394"/>
      <c r="X81" s="394"/>
      <c r="Y81" s="394"/>
      <c r="Z81" s="396"/>
      <c r="AA81" s="398"/>
      <c r="AB81" s="398"/>
      <c r="AC81" s="398"/>
      <c r="AD81" s="399"/>
      <c r="AE81" s="394"/>
      <c r="AF81" s="394"/>
      <c r="AG81" s="394"/>
      <c r="AH81" s="394"/>
      <c r="AI81" s="396"/>
      <c r="AJ81" s="398"/>
      <c r="AK81" s="398"/>
      <c r="AL81" s="399"/>
      <c r="AM81" s="398"/>
      <c r="AN81" s="394"/>
      <c r="AO81" s="394"/>
      <c r="AP81" s="394"/>
      <c r="AQ81" s="394"/>
      <c r="AR81" s="396"/>
      <c r="AS81" s="398"/>
      <c r="AT81" s="398"/>
      <c r="AU81" s="399"/>
      <c r="AV81" s="394"/>
      <c r="AW81" s="394"/>
      <c r="AX81" s="394"/>
      <c r="AY81" s="394"/>
      <c r="AZ81" s="320"/>
      <c r="BA81" s="398"/>
      <c r="BB81" s="398"/>
      <c r="BC81" s="398"/>
      <c r="BD81" s="399"/>
      <c r="BE81" s="394"/>
      <c r="BF81" s="394"/>
      <c r="BG81" s="394"/>
      <c r="BH81" s="394"/>
      <c r="BI81" s="457"/>
      <c r="BJ81" s="453"/>
      <c r="BK81" s="458"/>
      <c r="BL81" s="231"/>
      <c r="BM81" s="353"/>
      <c r="BN81" s="353"/>
      <c r="BO81" s="230"/>
      <c r="BP81" s="230"/>
      <c r="BQ81" s="230"/>
    </row>
    <row r="82" spans="1:69" ht="18" customHeight="1">
      <c r="C82" s="279" t="s">
        <v>250</v>
      </c>
      <c r="D82" s="248"/>
      <c r="E82" s="249"/>
      <c r="F82" s="252"/>
      <c r="G82" s="253"/>
      <c r="H82" s="402"/>
      <c r="I82" s="401"/>
      <c r="J82" s="401"/>
      <c r="K82" s="401"/>
      <c r="L82" s="401"/>
      <c r="M82" s="402"/>
      <c r="N82" s="401"/>
      <c r="O82" s="401"/>
      <c r="P82" s="403"/>
      <c r="Q82" s="401"/>
      <c r="R82" s="401"/>
      <c r="S82" s="401"/>
      <c r="T82" s="401"/>
      <c r="U82" s="401"/>
      <c r="V82" s="402"/>
      <c r="W82" s="401"/>
      <c r="X82" s="401"/>
      <c r="Y82" s="403"/>
      <c r="Z82" s="401"/>
      <c r="AA82" s="401"/>
      <c r="AB82" s="401"/>
      <c r="AC82" s="401"/>
      <c r="AD82" s="401"/>
      <c r="AE82" s="402"/>
      <c r="AF82" s="401"/>
      <c r="AG82" s="401"/>
      <c r="AH82" s="403"/>
      <c r="AI82" s="401"/>
      <c r="AJ82" s="401"/>
      <c r="AK82" s="401"/>
      <c r="AL82" s="401"/>
      <c r="AM82" s="402"/>
      <c r="AN82" s="401"/>
      <c r="AO82" s="401"/>
      <c r="AP82" s="401"/>
      <c r="AQ82" s="403"/>
      <c r="AR82" s="401"/>
      <c r="AS82" s="401"/>
      <c r="AT82" s="401"/>
      <c r="AU82" s="401"/>
      <c r="AV82" s="402"/>
      <c r="AW82" s="401"/>
      <c r="AX82" s="401"/>
      <c r="AY82" s="403"/>
      <c r="AZ82" s="401"/>
      <c r="BA82" s="401"/>
      <c r="BB82" s="401"/>
      <c r="BC82" s="401"/>
      <c r="BD82" s="401"/>
      <c r="BE82" s="402"/>
      <c r="BF82" s="401"/>
      <c r="BG82" s="401"/>
      <c r="BH82" s="403"/>
      <c r="BI82" s="210"/>
      <c r="BJ82" s="212"/>
      <c r="BK82" s="290"/>
      <c r="BM82" s="354"/>
      <c r="BN82" s="354"/>
    </row>
    <row r="83" spans="1:69" ht="18" customHeight="1">
      <c r="C83" s="279" t="s">
        <v>250</v>
      </c>
      <c r="D83" s="262"/>
      <c r="E83" s="263"/>
      <c r="F83" s="252"/>
      <c r="G83" s="262"/>
      <c r="H83" s="226"/>
      <c r="I83" s="210"/>
      <c r="J83" s="210"/>
      <c r="K83" s="210"/>
      <c r="L83" s="210"/>
      <c r="M83" s="226"/>
      <c r="N83" s="210"/>
      <c r="O83" s="210"/>
      <c r="P83" s="211"/>
      <c r="Q83" s="210"/>
      <c r="R83" s="210"/>
      <c r="S83" s="210"/>
      <c r="T83" s="210"/>
      <c r="U83" s="210"/>
      <c r="V83" s="226"/>
      <c r="W83" s="210"/>
      <c r="X83" s="210"/>
      <c r="Y83" s="211"/>
      <c r="Z83" s="210"/>
      <c r="AA83" s="210"/>
      <c r="AB83" s="210"/>
      <c r="AC83" s="210"/>
      <c r="AD83" s="210"/>
      <c r="AE83" s="226"/>
      <c r="AF83" s="210"/>
      <c r="AG83" s="210"/>
      <c r="AH83" s="211"/>
      <c r="AI83" s="210"/>
      <c r="AJ83" s="210"/>
      <c r="AK83" s="210"/>
      <c r="AL83" s="210"/>
      <c r="AM83" s="226"/>
      <c r="AN83" s="210"/>
      <c r="AO83" s="210"/>
      <c r="AP83" s="210"/>
      <c r="AQ83" s="211"/>
      <c r="AR83" s="210"/>
      <c r="AS83" s="210"/>
      <c r="AT83" s="210"/>
      <c r="AU83" s="210"/>
      <c r="AV83" s="226"/>
      <c r="AW83" s="210"/>
      <c r="AX83" s="210"/>
      <c r="AY83" s="211"/>
      <c r="AZ83" s="210"/>
      <c r="BA83" s="210"/>
      <c r="BB83" s="210"/>
      <c r="BC83" s="210"/>
      <c r="BD83" s="210"/>
      <c r="BE83" s="226"/>
      <c r="BF83" s="210"/>
      <c r="BG83" s="210"/>
      <c r="BH83" s="211"/>
      <c r="BI83" s="210"/>
      <c r="BJ83" s="284"/>
      <c r="BK83" s="290"/>
      <c r="BM83" s="354"/>
      <c r="BN83" s="354"/>
    </row>
    <row r="84" spans="1:69" ht="18" customHeight="1">
      <c r="C84" s="279" t="s">
        <v>250</v>
      </c>
      <c r="D84" s="262"/>
      <c r="E84" s="263"/>
      <c r="F84" s="252"/>
      <c r="G84" s="262"/>
      <c r="H84" s="226"/>
      <c r="I84" s="210"/>
      <c r="J84" s="210"/>
      <c r="K84" s="210"/>
      <c r="L84" s="210"/>
      <c r="M84" s="226"/>
      <c r="N84" s="210"/>
      <c r="O84" s="210"/>
      <c r="P84" s="211"/>
      <c r="Q84" s="210"/>
      <c r="R84" s="210"/>
      <c r="S84" s="210"/>
      <c r="T84" s="210"/>
      <c r="U84" s="210"/>
      <c r="V84" s="226"/>
      <c r="W84" s="210"/>
      <c r="X84" s="210"/>
      <c r="Y84" s="211"/>
      <c r="Z84" s="210"/>
      <c r="AA84" s="210"/>
      <c r="AB84" s="210"/>
      <c r="AC84" s="210"/>
      <c r="AD84" s="210"/>
      <c r="AE84" s="226"/>
      <c r="AF84" s="210"/>
      <c r="AG84" s="210"/>
      <c r="AH84" s="211"/>
      <c r="AI84" s="210"/>
      <c r="AJ84" s="210"/>
      <c r="AK84" s="210"/>
      <c r="AL84" s="210"/>
      <c r="AM84" s="226"/>
      <c r="AN84" s="210"/>
      <c r="AO84" s="210"/>
      <c r="AP84" s="210"/>
      <c r="AQ84" s="211"/>
      <c r="AR84" s="210"/>
      <c r="AS84" s="210"/>
      <c r="AT84" s="210"/>
      <c r="AU84" s="210"/>
      <c r="AV84" s="226"/>
      <c r="AW84" s="210"/>
      <c r="AX84" s="210"/>
      <c r="AY84" s="211"/>
      <c r="AZ84" s="210"/>
      <c r="BA84" s="210"/>
      <c r="BB84" s="210"/>
      <c r="BC84" s="210"/>
      <c r="BD84" s="210"/>
      <c r="BE84" s="226"/>
      <c r="BF84" s="210"/>
      <c r="BG84" s="210"/>
      <c r="BH84" s="211"/>
      <c r="BI84" s="210"/>
      <c r="BJ84" s="284"/>
      <c r="BK84" s="290"/>
      <c r="BM84" s="354"/>
      <c r="BN84" s="354"/>
    </row>
    <row r="85" spans="1:69" ht="18" customHeight="1">
      <c r="C85" s="279" t="s">
        <v>250</v>
      </c>
      <c r="D85" s="248"/>
      <c r="E85" s="251"/>
      <c r="F85" s="252"/>
      <c r="G85" s="248"/>
      <c r="H85" s="232"/>
      <c r="I85" s="210"/>
      <c r="J85" s="210"/>
      <c r="K85" s="210"/>
      <c r="L85" s="210"/>
      <c r="M85" s="232"/>
      <c r="N85" s="210"/>
      <c r="O85" s="210"/>
      <c r="P85" s="211"/>
      <c r="Q85" s="210"/>
      <c r="R85" s="210"/>
      <c r="S85" s="210"/>
      <c r="T85" s="210"/>
      <c r="U85" s="210"/>
      <c r="V85" s="232"/>
      <c r="W85" s="210"/>
      <c r="X85" s="210"/>
      <c r="Y85" s="211"/>
      <c r="Z85" s="210"/>
      <c r="AA85" s="210"/>
      <c r="AB85" s="210"/>
      <c r="AC85" s="210"/>
      <c r="AD85" s="210"/>
      <c r="AE85" s="232"/>
      <c r="AF85" s="210"/>
      <c r="AG85" s="210"/>
      <c r="AH85" s="211"/>
      <c r="AI85" s="210"/>
      <c r="AJ85" s="210"/>
      <c r="AK85" s="210"/>
      <c r="AL85" s="210"/>
      <c r="AM85" s="232"/>
      <c r="AN85" s="210"/>
      <c r="AO85" s="210"/>
      <c r="AP85" s="210"/>
      <c r="AQ85" s="211"/>
      <c r="AR85" s="210"/>
      <c r="AS85" s="210"/>
      <c r="AT85" s="210"/>
      <c r="AU85" s="210"/>
      <c r="AV85" s="232"/>
      <c r="AW85" s="210"/>
      <c r="AX85" s="210"/>
      <c r="AY85" s="211"/>
      <c r="AZ85" s="210"/>
      <c r="BA85" s="210"/>
      <c r="BB85" s="210"/>
      <c r="BC85" s="210"/>
      <c r="BD85" s="210"/>
      <c r="BE85" s="232"/>
      <c r="BF85" s="210"/>
      <c r="BG85" s="210"/>
      <c r="BH85" s="211"/>
      <c r="BI85" s="210"/>
      <c r="BJ85" s="233"/>
      <c r="BK85" s="290"/>
      <c r="BM85" s="354"/>
      <c r="BN85" s="354"/>
    </row>
    <row r="86" spans="1:69" s="230" customFormat="1" ht="18" customHeight="1" thickBot="1">
      <c r="A86" s="227"/>
      <c r="B86" s="227"/>
      <c r="C86" s="279" t="s">
        <v>250</v>
      </c>
      <c r="D86" s="248"/>
      <c r="E86" s="251"/>
      <c r="F86" s="252"/>
      <c r="G86" s="248"/>
      <c r="H86" s="232"/>
      <c r="I86" s="210"/>
      <c r="J86" s="210"/>
      <c r="K86" s="210"/>
      <c r="L86" s="210"/>
      <c r="M86" s="232"/>
      <c r="N86" s="210"/>
      <c r="O86" s="210"/>
      <c r="P86" s="211"/>
      <c r="Q86" s="210"/>
      <c r="R86" s="210"/>
      <c r="S86" s="210"/>
      <c r="T86" s="210"/>
      <c r="U86" s="210"/>
      <c r="V86" s="232"/>
      <c r="W86" s="210"/>
      <c r="X86" s="210"/>
      <c r="Y86" s="211"/>
      <c r="Z86" s="210"/>
      <c r="AA86" s="210"/>
      <c r="AB86" s="210"/>
      <c r="AC86" s="210"/>
      <c r="AD86" s="210"/>
      <c r="AE86" s="232"/>
      <c r="AF86" s="210"/>
      <c r="AG86" s="210"/>
      <c r="AH86" s="211"/>
      <c r="AI86" s="210"/>
      <c r="AJ86" s="210"/>
      <c r="AK86" s="210"/>
      <c r="AL86" s="210"/>
      <c r="AM86" s="232"/>
      <c r="AN86" s="210"/>
      <c r="AO86" s="210"/>
      <c r="AP86" s="210"/>
      <c r="AQ86" s="211"/>
      <c r="AR86" s="210"/>
      <c r="AS86" s="210"/>
      <c r="AT86" s="210"/>
      <c r="AU86" s="210"/>
      <c r="AV86" s="232"/>
      <c r="AW86" s="210"/>
      <c r="AX86" s="210"/>
      <c r="AY86" s="211"/>
      <c r="AZ86" s="210"/>
      <c r="BA86" s="210"/>
      <c r="BB86" s="210"/>
      <c r="BC86" s="210"/>
      <c r="BD86" s="210"/>
      <c r="BE86" s="232"/>
      <c r="BF86" s="210"/>
      <c r="BG86" s="210"/>
      <c r="BH86" s="211"/>
      <c r="BI86" s="210"/>
      <c r="BJ86" s="233"/>
      <c r="BK86" s="290"/>
      <c r="BL86" s="229"/>
      <c r="BM86" s="354"/>
      <c r="BN86" s="354"/>
      <c r="BO86" s="227"/>
      <c r="BP86" s="227"/>
      <c r="BQ86" s="227"/>
    </row>
    <row r="87" spans="1:69" ht="18" customHeight="1" thickBot="1">
      <c r="C87" s="279"/>
      <c r="D87" s="390"/>
      <c r="E87" s="391"/>
      <c r="F87" s="391"/>
      <c r="G87" s="392"/>
      <c r="H87" s="449"/>
      <c r="I87" s="450"/>
      <c r="J87" s="450"/>
      <c r="K87" s="450"/>
      <c r="L87" s="451"/>
      <c r="M87" s="449"/>
      <c r="N87" s="450"/>
      <c r="O87" s="450"/>
      <c r="P87" s="451"/>
      <c r="Q87" s="449"/>
      <c r="R87" s="450"/>
      <c r="S87" s="450"/>
      <c r="T87" s="450"/>
      <c r="U87" s="451"/>
      <c r="V87" s="449"/>
      <c r="W87" s="450"/>
      <c r="X87" s="450"/>
      <c r="Y87" s="451"/>
      <c r="Z87" s="390"/>
      <c r="AA87" s="391"/>
      <c r="AB87" s="391"/>
      <c r="AC87" s="391"/>
      <c r="AD87" s="392"/>
      <c r="AE87" s="390"/>
      <c r="AF87" s="391"/>
      <c r="AG87" s="391"/>
      <c r="AH87" s="392"/>
      <c r="AI87" s="390"/>
      <c r="AJ87" s="391"/>
      <c r="AK87" s="391"/>
      <c r="AL87" s="392"/>
      <c r="AM87" s="390"/>
      <c r="AN87" s="391"/>
      <c r="AO87" s="391"/>
      <c r="AP87" s="391"/>
      <c r="AQ87" s="392"/>
      <c r="AR87" s="390"/>
      <c r="AS87" s="391"/>
      <c r="AT87" s="391"/>
      <c r="AU87" s="392"/>
      <c r="AV87" s="390"/>
      <c r="AW87" s="391"/>
      <c r="AX87" s="391"/>
      <c r="AY87" s="392"/>
      <c r="AZ87" s="390"/>
      <c r="BA87" s="391"/>
      <c r="BB87" s="391"/>
      <c r="BC87" s="391"/>
      <c r="BD87" s="392"/>
      <c r="BE87" s="390"/>
      <c r="BF87" s="391"/>
      <c r="BG87" s="391"/>
      <c r="BH87" s="392"/>
      <c r="BI87" s="392"/>
      <c r="BJ87" s="376"/>
      <c r="BK87" s="378">
        <f>SUM(BK82:BK86)</f>
        <v>0</v>
      </c>
      <c r="BL87" s="247">
        <v>0</v>
      </c>
      <c r="BM87" s="447"/>
      <c r="BN87" s="448"/>
    </row>
    <row r="88" spans="1:69" ht="18" customHeight="1" thickBot="1">
      <c r="D88" s="481" t="s">
        <v>136</v>
      </c>
      <c r="E88" s="482"/>
      <c r="F88" s="483"/>
      <c r="G88" s="482"/>
      <c r="H88" s="320"/>
      <c r="I88" s="398"/>
      <c r="J88" s="398"/>
      <c r="K88" s="398"/>
      <c r="L88" s="399"/>
      <c r="M88" s="396"/>
      <c r="N88" s="394"/>
      <c r="O88" s="394"/>
      <c r="P88" s="325"/>
      <c r="Q88" s="320"/>
      <c r="R88" s="398"/>
      <c r="S88" s="398"/>
      <c r="T88" s="398"/>
      <c r="U88" s="399"/>
      <c r="V88" s="394"/>
      <c r="W88" s="394"/>
      <c r="X88" s="394"/>
      <c r="Y88" s="394"/>
      <c r="Z88" s="396"/>
      <c r="AA88" s="398"/>
      <c r="AB88" s="398"/>
      <c r="AC88" s="398"/>
      <c r="AD88" s="399"/>
      <c r="AE88" s="394"/>
      <c r="AF88" s="394"/>
      <c r="AG88" s="394"/>
      <c r="AH88" s="394"/>
      <c r="AI88" s="396"/>
      <c r="AJ88" s="398"/>
      <c r="AK88" s="398"/>
      <c r="AL88" s="399"/>
      <c r="AM88" s="398"/>
      <c r="AN88" s="394"/>
      <c r="AO88" s="394"/>
      <c r="AP88" s="394"/>
      <c r="AQ88" s="394"/>
      <c r="AR88" s="396"/>
      <c r="AS88" s="398"/>
      <c r="AT88" s="398"/>
      <c r="AU88" s="399"/>
      <c r="AV88" s="394"/>
      <c r="AW88" s="394"/>
      <c r="AX88" s="394"/>
      <c r="AY88" s="394"/>
      <c r="AZ88" s="320"/>
      <c r="BA88" s="398"/>
      <c r="BB88" s="398"/>
      <c r="BC88" s="398"/>
      <c r="BD88" s="399"/>
      <c r="BE88" s="394"/>
      <c r="BF88" s="394"/>
      <c r="BG88" s="394"/>
      <c r="BH88" s="394"/>
      <c r="BI88" s="457"/>
      <c r="BJ88" s="453"/>
      <c r="BK88" s="458"/>
      <c r="BL88" s="231"/>
      <c r="BM88" s="329" t="s">
        <v>258</v>
      </c>
      <c r="BN88" s="330" t="s">
        <v>259</v>
      </c>
      <c r="BO88" s="230"/>
      <c r="BP88" s="230"/>
      <c r="BQ88" s="230"/>
    </row>
    <row r="89" spans="1:69" ht="18" customHeight="1">
      <c r="B89" s="227" t="s">
        <v>246</v>
      </c>
      <c r="C89" s="279" t="s">
        <v>250</v>
      </c>
      <c r="D89" s="254"/>
      <c r="E89" s="255"/>
      <c r="F89" s="256"/>
      <c r="G89" s="257"/>
      <c r="H89" s="402"/>
      <c r="I89" s="401"/>
      <c r="J89" s="401"/>
      <c r="K89" s="401"/>
      <c r="L89" s="401"/>
      <c r="M89" s="402"/>
      <c r="N89" s="401"/>
      <c r="O89" s="401"/>
      <c r="P89" s="403"/>
      <c r="Q89" s="401"/>
      <c r="R89" s="401"/>
      <c r="S89" s="401"/>
      <c r="T89" s="401"/>
      <c r="U89" s="401"/>
      <c r="V89" s="402"/>
      <c r="W89" s="401"/>
      <c r="X89" s="401"/>
      <c r="Y89" s="403"/>
      <c r="Z89" s="401"/>
      <c r="AA89" s="401"/>
      <c r="AB89" s="401"/>
      <c r="AC89" s="401"/>
      <c r="AD89" s="401"/>
      <c r="AE89" s="402"/>
      <c r="AF89" s="401"/>
      <c r="AG89" s="401"/>
      <c r="AH89" s="403"/>
      <c r="AI89" s="401"/>
      <c r="AJ89" s="401"/>
      <c r="AK89" s="401"/>
      <c r="AL89" s="401"/>
      <c r="AM89" s="402"/>
      <c r="AN89" s="401"/>
      <c r="AO89" s="401"/>
      <c r="AP89" s="401"/>
      <c r="AQ89" s="403"/>
      <c r="AR89" s="401"/>
      <c r="AS89" s="401"/>
      <c r="AT89" s="401"/>
      <c r="AU89" s="401"/>
      <c r="AV89" s="402"/>
      <c r="AW89" s="401"/>
      <c r="AX89" s="401"/>
      <c r="AY89" s="403"/>
      <c r="AZ89" s="401"/>
      <c r="BA89" s="401"/>
      <c r="BB89" s="401"/>
      <c r="BC89" s="401"/>
      <c r="BD89" s="401"/>
      <c r="BE89" s="402"/>
      <c r="BF89" s="401"/>
      <c r="BG89" s="401"/>
      <c r="BH89" s="403"/>
      <c r="BI89" s="235"/>
      <c r="BJ89" s="234"/>
      <c r="BK89" s="236"/>
      <c r="BM89" s="343"/>
      <c r="BN89" s="344"/>
    </row>
    <row r="90" spans="1:69" ht="18" customHeight="1">
      <c r="B90" s="227" t="s">
        <v>246</v>
      </c>
      <c r="C90" s="279" t="s">
        <v>250</v>
      </c>
      <c r="D90" s="254"/>
      <c r="E90" s="258"/>
      <c r="F90" s="256"/>
      <c r="G90" s="254"/>
      <c r="H90" s="232"/>
      <c r="I90" s="210"/>
      <c r="J90" s="210"/>
      <c r="K90" s="210"/>
      <c r="L90" s="210"/>
      <c r="M90" s="232"/>
      <c r="N90" s="210"/>
      <c r="O90" s="210"/>
      <c r="P90" s="211"/>
      <c r="Q90" s="210"/>
      <c r="R90" s="210"/>
      <c r="S90" s="210"/>
      <c r="T90" s="210"/>
      <c r="U90" s="210"/>
      <c r="V90" s="232"/>
      <c r="W90" s="210"/>
      <c r="X90" s="210"/>
      <c r="Y90" s="211"/>
      <c r="Z90" s="210"/>
      <c r="AA90" s="210"/>
      <c r="AB90" s="210"/>
      <c r="AC90" s="210"/>
      <c r="AD90" s="210"/>
      <c r="AE90" s="232"/>
      <c r="AF90" s="210"/>
      <c r="AG90" s="210"/>
      <c r="AH90" s="211"/>
      <c r="AI90" s="210"/>
      <c r="AJ90" s="210"/>
      <c r="AK90" s="210"/>
      <c r="AL90" s="210"/>
      <c r="AM90" s="232"/>
      <c r="AN90" s="210"/>
      <c r="AO90" s="210"/>
      <c r="AP90" s="210"/>
      <c r="AQ90" s="211"/>
      <c r="AR90" s="210"/>
      <c r="AS90" s="210"/>
      <c r="AT90" s="210"/>
      <c r="AU90" s="210"/>
      <c r="AV90" s="232"/>
      <c r="AW90" s="210"/>
      <c r="AX90" s="210"/>
      <c r="AY90" s="211"/>
      <c r="AZ90" s="210"/>
      <c r="BA90" s="210"/>
      <c r="BB90" s="210"/>
      <c r="BC90" s="210"/>
      <c r="BD90" s="210"/>
      <c r="BE90" s="232"/>
      <c r="BF90" s="210"/>
      <c r="BG90" s="210"/>
      <c r="BH90" s="211"/>
      <c r="BI90" s="235"/>
      <c r="BJ90" s="237"/>
      <c r="BK90" s="236"/>
      <c r="BM90" s="345"/>
      <c r="BN90" s="346"/>
    </row>
    <row r="91" spans="1:69" ht="18" customHeight="1">
      <c r="B91" s="227" t="s">
        <v>246</v>
      </c>
      <c r="C91" s="279" t="s">
        <v>250</v>
      </c>
      <c r="D91" s="254"/>
      <c r="E91" s="258"/>
      <c r="F91" s="256"/>
      <c r="G91" s="254"/>
      <c r="H91" s="232"/>
      <c r="I91" s="210"/>
      <c r="J91" s="210"/>
      <c r="K91" s="210"/>
      <c r="L91" s="210"/>
      <c r="M91" s="232"/>
      <c r="N91" s="210"/>
      <c r="O91" s="210"/>
      <c r="P91" s="211"/>
      <c r="Q91" s="210"/>
      <c r="R91" s="210"/>
      <c r="S91" s="210"/>
      <c r="T91" s="210"/>
      <c r="U91" s="210"/>
      <c r="V91" s="232"/>
      <c r="W91" s="210"/>
      <c r="X91" s="210"/>
      <c r="Y91" s="211"/>
      <c r="Z91" s="210"/>
      <c r="AA91" s="210"/>
      <c r="AB91" s="210"/>
      <c r="AC91" s="210"/>
      <c r="AD91" s="210"/>
      <c r="AE91" s="232"/>
      <c r="AF91" s="210"/>
      <c r="AG91" s="210"/>
      <c r="AH91" s="211"/>
      <c r="AI91" s="210"/>
      <c r="AJ91" s="210"/>
      <c r="AK91" s="210"/>
      <c r="AL91" s="210"/>
      <c r="AM91" s="232"/>
      <c r="AN91" s="210"/>
      <c r="AO91" s="210"/>
      <c r="AP91" s="210"/>
      <c r="AQ91" s="211"/>
      <c r="AR91" s="210"/>
      <c r="AS91" s="210"/>
      <c r="AT91" s="210"/>
      <c r="AU91" s="210"/>
      <c r="AV91" s="232"/>
      <c r="AW91" s="210"/>
      <c r="AX91" s="210"/>
      <c r="AY91" s="211"/>
      <c r="AZ91" s="210"/>
      <c r="BA91" s="210"/>
      <c r="BB91" s="210"/>
      <c r="BC91" s="210"/>
      <c r="BD91" s="210"/>
      <c r="BE91" s="232"/>
      <c r="BF91" s="210"/>
      <c r="BG91" s="210"/>
      <c r="BH91" s="211"/>
      <c r="BI91" s="235"/>
      <c r="BJ91" s="237"/>
      <c r="BK91" s="236"/>
      <c r="BM91" s="345"/>
      <c r="BN91" s="346"/>
    </row>
    <row r="92" spans="1:69" ht="18" customHeight="1">
      <c r="B92" s="227" t="s">
        <v>246</v>
      </c>
      <c r="C92" s="279" t="s">
        <v>250</v>
      </c>
      <c r="D92" s="254"/>
      <c r="E92" s="258"/>
      <c r="F92" s="256"/>
      <c r="G92" s="254"/>
      <c r="H92" s="232"/>
      <c r="I92" s="210"/>
      <c r="J92" s="210"/>
      <c r="K92" s="210"/>
      <c r="L92" s="210"/>
      <c r="M92" s="232"/>
      <c r="N92" s="210"/>
      <c r="O92" s="210"/>
      <c r="P92" s="211"/>
      <c r="Q92" s="210"/>
      <c r="R92" s="210"/>
      <c r="S92" s="210"/>
      <c r="T92" s="210"/>
      <c r="U92" s="210"/>
      <c r="V92" s="232"/>
      <c r="W92" s="210"/>
      <c r="X92" s="210"/>
      <c r="Y92" s="211"/>
      <c r="Z92" s="210"/>
      <c r="AA92" s="210"/>
      <c r="AB92" s="210"/>
      <c r="AC92" s="210"/>
      <c r="AD92" s="210"/>
      <c r="AE92" s="232"/>
      <c r="AF92" s="210"/>
      <c r="AG92" s="210"/>
      <c r="AH92" s="211"/>
      <c r="AI92" s="210"/>
      <c r="AJ92" s="210"/>
      <c r="AK92" s="210"/>
      <c r="AL92" s="210"/>
      <c r="AM92" s="232"/>
      <c r="AN92" s="210"/>
      <c r="AO92" s="210"/>
      <c r="AP92" s="210"/>
      <c r="AQ92" s="211"/>
      <c r="AR92" s="210"/>
      <c r="AS92" s="210"/>
      <c r="AT92" s="210"/>
      <c r="AU92" s="210"/>
      <c r="AV92" s="232"/>
      <c r="AW92" s="210"/>
      <c r="AX92" s="210"/>
      <c r="AY92" s="211"/>
      <c r="AZ92" s="210"/>
      <c r="BA92" s="210"/>
      <c r="BB92" s="210"/>
      <c r="BC92" s="210"/>
      <c r="BD92" s="210"/>
      <c r="BE92" s="232"/>
      <c r="BF92" s="210"/>
      <c r="BG92" s="210"/>
      <c r="BH92" s="211"/>
      <c r="BI92" s="235"/>
      <c r="BJ92" s="237"/>
      <c r="BK92" s="236"/>
      <c r="BM92" s="345"/>
      <c r="BN92" s="346"/>
    </row>
    <row r="93" spans="1:69" ht="18" customHeight="1">
      <c r="B93" s="227" t="s">
        <v>246</v>
      </c>
      <c r="C93" s="279" t="s">
        <v>250</v>
      </c>
      <c r="D93" s="254"/>
      <c r="E93" s="258"/>
      <c r="F93" s="256"/>
      <c r="G93" s="254"/>
      <c r="H93" s="232"/>
      <c r="I93" s="210"/>
      <c r="J93" s="210"/>
      <c r="K93" s="210"/>
      <c r="L93" s="210"/>
      <c r="M93" s="232"/>
      <c r="N93" s="210"/>
      <c r="O93" s="210"/>
      <c r="P93" s="211"/>
      <c r="Q93" s="210"/>
      <c r="R93" s="210"/>
      <c r="S93" s="210"/>
      <c r="T93" s="210"/>
      <c r="U93" s="210"/>
      <c r="V93" s="232"/>
      <c r="W93" s="210"/>
      <c r="X93" s="210"/>
      <c r="Y93" s="211"/>
      <c r="Z93" s="210"/>
      <c r="AA93" s="210"/>
      <c r="AB93" s="210"/>
      <c r="AC93" s="210"/>
      <c r="AD93" s="210"/>
      <c r="AE93" s="232"/>
      <c r="AF93" s="210"/>
      <c r="AG93" s="210"/>
      <c r="AH93" s="211"/>
      <c r="AI93" s="210"/>
      <c r="AJ93" s="210"/>
      <c r="AK93" s="210"/>
      <c r="AL93" s="210"/>
      <c r="AM93" s="232"/>
      <c r="AN93" s="210"/>
      <c r="AO93" s="210"/>
      <c r="AP93" s="210"/>
      <c r="AQ93" s="211"/>
      <c r="AR93" s="210"/>
      <c r="AS93" s="210"/>
      <c r="AT93" s="210"/>
      <c r="AU93" s="210"/>
      <c r="AV93" s="232"/>
      <c r="AW93" s="210"/>
      <c r="AX93" s="210"/>
      <c r="AY93" s="211"/>
      <c r="AZ93" s="210"/>
      <c r="BA93" s="210"/>
      <c r="BB93" s="210"/>
      <c r="BC93" s="210"/>
      <c r="BD93" s="210"/>
      <c r="BE93" s="232"/>
      <c r="BF93" s="210"/>
      <c r="BG93" s="210"/>
      <c r="BH93" s="211"/>
      <c r="BI93" s="235"/>
      <c r="BJ93" s="237"/>
      <c r="BK93" s="236"/>
      <c r="BM93" s="345"/>
      <c r="BN93" s="346"/>
    </row>
    <row r="94" spans="1:69" ht="18" customHeight="1">
      <c r="B94" s="227" t="s">
        <v>246</v>
      </c>
      <c r="C94" s="279" t="s">
        <v>250</v>
      </c>
      <c r="D94" s="254"/>
      <c r="E94" s="258"/>
      <c r="F94" s="256"/>
      <c r="G94" s="254"/>
      <c r="H94" s="232"/>
      <c r="I94" s="210"/>
      <c r="J94" s="210"/>
      <c r="K94" s="210"/>
      <c r="L94" s="210"/>
      <c r="M94" s="232"/>
      <c r="N94" s="210"/>
      <c r="O94" s="210"/>
      <c r="P94" s="211"/>
      <c r="Q94" s="210"/>
      <c r="R94" s="210"/>
      <c r="S94" s="210"/>
      <c r="T94" s="210"/>
      <c r="U94" s="210"/>
      <c r="V94" s="232"/>
      <c r="W94" s="210"/>
      <c r="X94" s="210"/>
      <c r="Y94" s="211"/>
      <c r="Z94" s="210"/>
      <c r="AA94" s="210"/>
      <c r="AB94" s="210"/>
      <c r="AC94" s="210"/>
      <c r="AD94" s="210"/>
      <c r="AE94" s="232"/>
      <c r="AF94" s="210"/>
      <c r="AG94" s="210"/>
      <c r="AH94" s="211"/>
      <c r="AI94" s="210"/>
      <c r="AJ94" s="210"/>
      <c r="AK94" s="210"/>
      <c r="AL94" s="210"/>
      <c r="AM94" s="232"/>
      <c r="AN94" s="210"/>
      <c r="AO94" s="210"/>
      <c r="AP94" s="210"/>
      <c r="AQ94" s="211"/>
      <c r="AR94" s="210"/>
      <c r="AS94" s="210"/>
      <c r="AT94" s="210"/>
      <c r="AU94" s="210"/>
      <c r="AV94" s="232"/>
      <c r="AW94" s="210"/>
      <c r="AX94" s="210"/>
      <c r="AY94" s="211"/>
      <c r="AZ94" s="210"/>
      <c r="BA94" s="210"/>
      <c r="BB94" s="210"/>
      <c r="BC94" s="210"/>
      <c r="BD94" s="210"/>
      <c r="BE94" s="232"/>
      <c r="BF94" s="210"/>
      <c r="BG94" s="210"/>
      <c r="BH94" s="211"/>
      <c r="BI94" s="235"/>
      <c r="BJ94" s="237"/>
      <c r="BK94" s="236"/>
      <c r="BM94" s="345"/>
      <c r="BN94" s="346"/>
    </row>
    <row r="95" spans="1:69" ht="18" customHeight="1" thickBot="1">
      <c r="B95" s="227" t="s">
        <v>246</v>
      </c>
      <c r="C95" s="279" t="s">
        <v>250</v>
      </c>
      <c r="D95" s="254"/>
      <c r="E95" s="258"/>
      <c r="F95" s="256"/>
      <c r="G95" s="254"/>
      <c r="H95" s="232"/>
      <c r="I95" s="210"/>
      <c r="J95" s="210"/>
      <c r="K95" s="210"/>
      <c r="L95" s="210"/>
      <c r="M95" s="232"/>
      <c r="N95" s="210"/>
      <c r="O95" s="210"/>
      <c r="P95" s="211"/>
      <c r="Q95" s="210"/>
      <c r="R95" s="210"/>
      <c r="S95" s="210"/>
      <c r="T95" s="210"/>
      <c r="U95" s="210"/>
      <c r="V95" s="232"/>
      <c r="W95" s="210"/>
      <c r="X95" s="210"/>
      <c r="Y95" s="211"/>
      <c r="Z95" s="210"/>
      <c r="AA95" s="210"/>
      <c r="AB95" s="210"/>
      <c r="AC95" s="210"/>
      <c r="AD95" s="210"/>
      <c r="AE95" s="232"/>
      <c r="AF95" s="210"/>
      <c r="AG95" s="210"/>
      <c r="AH95" s="211"/>
      <c r="AI95" s="210"/>
      <c r="AJ95" s="210"/>
      <c r="AK95" s="210"/>
      <c r="AL95" s="210"/>
      <c r="AM95" s="232"/>
      <c r="AN95" s="210"/>
      <c r="AO95" s="210"/>
      <c r="AP95" s="210"/>
      <c r="AQ95" s="211"/>
      <c r="AR95" s="210"/>
      <c r="AS95" s="210"/>
      <c r="AT95" s="210"/>
      <c r="AU95" s="210"/>
      <c r="AV95" s="232"/>
      <c r="AW95" s="210"/>
      <c r="AX95" s="210"/>
      <c r="AY95" s="211"/>
      <c r="AZ95" s="210"/>
      <c r="BA95" s="210"/>
      <c r="BB95" s="210"/>
      <c r="BC95" s="210"/>
      <c r="BD95" s="210"/>
      <c r="BE95" s="232"/>
      <c r="BF95" s="210"/>
      <c r="BG95" s="210"/>
      <c r="BH95" s="211"/>
      <c r="BI95" s="235"/>
      <c r="BJ95" s="237"/>
      <c r="BK95" s="236"/>
      <c r="BM95" s="347"/>
      <c r="BN95" s="348"/>
    </row>
    <row r="96" spans="1:69" ht="18" customHeight="1" thickBot="1">
      <c r="D96" s="390"/>
      <c r="E96" s="391"/>
      <c r="F96" s="391"/>
      <c r="G96" s="392"/>
      <c r="H96" s="449"/>
      <c r="I96" s="450"/>
      <c r="J96" s="450"/>
      <c r="K96" s="450"/>
      <c r="L96" s="451"/>
      <c r="M96" s="449"/>
      <c r="N96" s="450"/>
      <c r="O96" s="450"/>
      <c r="P96" s="451"/>
      <c r="Q96" s="449"/>
      <c r="R96" s="450"/>
      <c r="S96" s="450"/>
      <c r="T96" s="450"/>
      <c r="U96" s="451"/>
      <c r="V96" s="449"/>
      <c r="W96" s="450"/>
      <c r="X96" s="450"/>
      <c r="Y96" s="451"/>
      <c r="Z96" s="390"/>
      <c r="AA96" s="391"/>
      <c r="AB96" s="391"/>
      <c r="AC96" s="391"/>
      <c r="AD96" s="392"/>
      <c r="AE96" s="390"/>
      <c r="AF96" s="391"/>
      <c r="AG96" s="391"/>
      <c r="AH96" s="392"/>
      <c r="AI96" s="390"/>
      <c r="AJ96" s="391"/>
      <c r="AK96" s="391"/>
      <c r="AL96" s="392"/>
      <c r="AM96" s="390"/>
      <c r="AN96" s="391"/>
      <c r="AO96" s="391"/>
      <c r="AP96" s="391"/>
      <c r="AQ96" s="392"/>
      <c r="AR96" s="390"/>
      <c r="AS96" s="391"/>
      <c r="AT96" s="391"/>
      <c r="AU96" s="392"/>
      <c r="AV96" s="390"/>
      <c r="AW96" s="391"/>
      <c r="AX96" s="391"/>
      <c r="AY96" s="392"/>
      <c r="AZ96" s="390"/>
      <c r="BA96" s="391"/>
      <c r="BB96" s="391"/>
      <c r="BC96" s="391"/>
      <c r="BD96" s="392"/>
      <c r="BE96" s="390"/>
      <c r="BF96" s="391"/>
      <c r="BG96" s="391"/>
      <c r="BH96" s="392"/>
      <c r="BI96" s="392"/>
      <c r="BJ96" s="376"/>
      <c r="BK96" s="378">
        <f>SUM(BK89:BK95)</f>
        <v>0</v>
      </c>
      <c r="BL96" s="247">
        <v>0</v>
      </c>
    </row>
    <row r="97" spans="1:79" ht="18" customHeight="1" thickBot="1">
      <c r="BJ97" s="238" t="s">
        <v>242</v>
      </c>
      <c r="BK97" s="239">
        <f>SUM(OTROS,MEDIOS_REGIONALES,COMPARTIDOS,DIGITAL,CINE,VIA_PUBLICA,PRENSA,SUPLEMENTOS,REVISTAS,RADIO,TV)</f>
        <v>18574970</v>
      </c>
    </row>
    <row r="98" spans="1:79" ht="18.75" customHeight="1" thickBot="1">
      <c r="BK98" s="240"/>
    </row>
    <row r="99" spans="1:79" ht="18" customHeight="1" thickBot="1">
      <c r="BJ99" s="241" t="s">
        <v>235</v>
      </c>
      <c r="BK99" s="242">
        <v>0</v>
      </c>
    </row>
    <row r="100" spans="1:79" ht="18" customHeight="1" thickBot="1">
      <c r="BJ100" s="243" t="s">
        <v>243</v>
      </c>
      <c r="BK100" s="244">
        <v>20000000</v>
      </c>
    </row>
    <row r="101" spans="1:79" s="229" customFormat="1" ht="18" customHeight="1" thickBot="1">
      <c r="A101" s="227"/>
      <c r="B101" s="227"/>
      <c r="C101" s="227"/>
      <c r="D101" s="227"/>
      <c r="E101" s="227"/>
      <c r="F101" s="227"/>
      <c r="G101" s="227"/>
      <c r="H101" s="227"/>
      <c r="I101" s="227"/>
      <c r="J101" s="227"/>
      <c r="K101" s="227"/>
      <c r="L101" s="227"/>
      <c r="M101" s="227"/>
      <c r="N101" s="227"/>
      <c r="O101" s="227"/>
      <c r="P101" s="227"/>
      <c r="Q101" s="227"/>
      <c r="R101" s="227"/>
      <c r="S101" s="227"/>
      <c r="T101" s="227"/>
      <c r="U101" s="227"/>
      <c r="V101" s="227"/>
      <c r="W101" s="227"/>
      <c r="X101" s="227"/>
      <c r="Y101" s="227"/>
      <c r="Z101" s="227"/>
      <c r="AA101" s="227"/>
      <c r="AB101" s="227"/>
      <c r="AC101" s="227"/>
      <c r="AD101" s="227"/>
      <c r="AE101" s="227"/>
      <c r="AF101" s="227"/>
      <c r="AG101" s="227"/>
      <c r="AH101" s="227"/>
      <c r="AI101" s="227"/>
      <c r="AJ101" s="227"/>
      <c r="AK101" s="227"/>
      <c r="AL101" s="227"/>
      <c r="AM101" s="227"/>
      <c r="AN101" s="227"/>
      <c r="AO101" s="227"/>
      <c r="AP101" s="227"/>
      <c r="AQ101" s="227"/>
      <c r="AR101" s="227"/>
      <c r="AS101" s="227"/>
      <c r="AT101" s="227"/>
      <c r="AU101" s="227"/>
      <c r="AV101" s="227"/>
      <c r="AW101" s="227"/>
      <c r="AX101" s="227"/>
      <c r="AY101" s="227"/>
      <c r="AZ101" s="227"/>
      <c r="BA101" s="227"/>
      <c r="BB101" s="227"/>
      <c r="BC101" s="227"/>
      <c r="BD101" s="227"/>
      <c r="BE101" s="227"/>
      <c r="BF101" s="227"/>
      <c r="BG101" s="227"/>
      <c r="BH101" s="227"/>
      <c r="BI101" s="227"/>
      <c r="BJ101" s="245" t="s">
        <v>4</v>
      </c>
      <c r="BK101" s="246">
        <f>+presupuesto-Total-comision</f>
        <v>1425030</v>
      </c>
      <c r="BM101" s="227"/>
      <c r="BN101" s="227"/>
      <c r="BO101" s="227"/>
      <c r="BP101" s="227"/>
      <c r="BQ101" s="227"/>
      <c r="BR101" s="227"/>
      <c r="BS101" s="227"/>
      <c r="BT101" s="227"/>
      <c r="BU101" s="227"/>
      <c r="BV101" s="227"/>
      <c r="BW101" s="227"/>
      <c r="BX101" s="227"/>
      <c r="BY101" s="227"/>
      <c r="BZ101" s="227"/>
      <c r="CA101" s="227"/>
    </row>
    <row r="102" spans="1:79" s="229" customFormat="1" ht="18" customHeight="1">
      <c r="A102" s="227"/>
      <c r="B102" s="227"/>
      <c r="C102" s="227"/>
      <c r="D102" s="227"/>
      <c r="E102" s="227"/>
      <c r="F102" s="227"/>
      <c r="G102" s="227"/>
      <c r="H102" s="227"/>
      <c r="I102" s="227"/>
      <c r="J102" s="227"/>
      <c r="K102" s="227"/>
      <c r="L102" s="227"/>
      <c r="M102" s="227"/>
      <c r="N102" s="227"/>
      <c r="O102" s="227"/>
      <c r="P102" s="227"/>
      <c r="Q102" s="227"/>
      <c r="R102" s="227"/>
      <c r="S102" s="227"/>
      <c r="T102" s="227"/>
      <c r="U102" s="227"/>
      <c r="V102" s="227"/>
      <c r="W102" s="227"/>
      <c r="X102" s="227"/>
      <c r="Y102" s="227"/>
      <c r="Z102" s="227"/>
      <c r="AA102" s="227"/>
      <c r="AB102" s="227"/>
      <c r="AC102" s="227"/>
      <c r="AD102" s="227"/>
      <c r="AE102" s="227"/>
      <c r="AF102" s="227"/>
      <c r="AG102" s="227"/>
      <c r="AH102" s="227"/>
      <c r="AI102" s="227"/>
      <c r="AJ102" s="227"/>
      <c r="AK102" s="227"/>
      <c r="AL102" s="227"/>
      <c r="AM102" s="227"/>
      <c r="AN102" s="227"/>
      <c r="AO102" s="227"/>
      <c r="AP102" s="227"/>
      <c r="AQ102" s="227"/>
      <c r="AR102" s="227"/>
      <c r="AS102" s="227"/>
      <c r="AT102" s="227"/>
      <c r="AU102" s="227"/>
      <c r="AV102" s="227"/>
      <c r="AW102" s="227"/>
      <c r="AX102" s="227"/>
      <c r="AY102" s="227"/>
      <c r="AZ102" s="227"/>
      <c r="BA102" s="227"/>
      <c r="BB102" s="227"/>
      <c r="BC102" s="227"/>
      <c r="BD102" s="227"/>
      <c r="BE102" s="227"/>
      <c r="BF102" s="227"/>
      <c r="BG102" s="227"/>
      <c r="BH102" s="227"/>
      <c r="BI102" s="227"/>
      <c r="BJ102" s="227"/>
      <c r="BK102" s="227"/>
      <c r="BM102" s="227"/>
      <c r="BN102" s="227"/>
      <c r="BO102" s="227"/>
      <c r="BP102" s="227"/>
      <c r="BQ102" s="227"/>
      <c r="BR102" s="227"/>
      <c r="BS102" s="227"/>
      <c r="BT102" s="227"/>
      <c r="BU102" s="227"/>
      <c r="BV102" s="227"/>
      <c r="BW102" s="227"/>
      <c r="BX102" s="227"/>
      <c r="BY102" s="227"/>
      <c r="BZ102" s="227"/>
      <c r="CA102" s="227"/>
    </row>
    <row r="103" spans="1:79" s="229" customFormat="1" ht="18" customHeight="1">
      <c r="A103" s="227"/>
      <c r="B103" s="227"/>
      <c r="C103" s="227"/>
      <c r="D103" s="227"/>
      <c r="E103" s="227"/>
      <c r="F103" s="227"/>
      <c r="G103" s="227"/>
      <c r="H103" s="227"/>
      <c r="I103" s="227"/>
      <c r="J103" s="227"/>
      <c r="K103" s="227"/>
      <c r="L103" s="227"/>
      <c r="M103" s="227"/>
      <c r="N103" s="227"/>
      <c r="O103" s="227"/>
      <c r="P103" s="227"/>
      <c r="Q103" s="227"/>
      <c r="R103" s="227"/>
      <c r="S103" s="227"/>
      <c r="T103" s="227"/>
      <c r="U103" s="227"/>
      <c r="V103" s="227"/>
      <c r="W103" s="227"/>
      <c r="X103" s="227"/>
      <c r="Y103" s="227"/>
      <c r="Z103" s="227"/>
      <c r="AA103" s="227"/>
      <c r="AB103" s="227"/>
      <c r="AC103" s="227"/>
      <c r="AD103" s="227"/>
      <c r="AE103" s="227"/>
      <c r="AF103" s="227"/>
      <c r="AG103" s="227"/>
      <c r="AH103" s="227"/>
      <c r="AI103" s="227"/>
      <c r="AJ103" s="227"/>
      <c r="AK103" s="227"/>
      <c r="AL103" s="227"/>
      <c r="AM103" s="227"/>
      <c r="AN103" s="227"/>
      <c r="AO103" s="227"/>
      <c r="AP103" s="227"/>
      <c r="AQ103" s="227"/>
      <c r="AR103" s="227"/>
      <c r="AS103" s="227"/>
      <c r="AT103" s="227"/>
      <c r="AU103" s="227"/>
      <c r="AV103" s="227"/>
      <c r="AW103" s="227"/>
      <c r="AX103" s="227"/>
      <c r="AY103" s="227"/>
      <c r="AZ103" s="227"/>
      <c r="BA103" s="227"/>
      <c r="BB103" s="227"/>
      <c r="BC103" s="227"/>
      <c r="BD103" s="227"/>
      <c r="BE103" s="227"/>
      <c r="BF103" s="227"/>
      <c r="BG103" s="227"/>
      <c r="BH103" s="227"/>
      <c r="BI103" s="227"/>
      <c r="BJ103" s="227"/>
      <c r="BK103" s="227"/>
      <c r="BM103" s="227"/>
      <c r="BN103" s="227"/>
      <c r="BO103" s="227"/>
      <c r="BP103" s="227"/>
      <c r="BQ103" s="227"/>
      <c r="BR103" s="227"/>
      <c r="BS103" s="227"/>
      <c r="BT103" s="227"/>
      <c r="BU103" s="227"/>
      <c r="BV103" s="227"/>
      <c r="BW103" s="227"/>
      <c r="BX103" s="227"/>
      <c r="BY103" s="227"/>
      <c r="BZ103" s="227"/>
      <c r="CA103" s="227"/>
    </row>
    <row r="104" spans="1:79" s="229" customFormat="1" ht="18" customHeight="1">
      <c r="A104" s="227"/>
      <c r="B104" s="227"/>
      <c r="C104" s="227"/>
      <c r="D104" s="227"/>
      <c r="E104" s="227"/>
      <c r="F104" s="227"/>
      <c r="G104" s="227"/>
      <c r="H104" s="227"/>
      <c r="I104" s="227"/>
      <c r="J104" s="227"/>
      <c r="K104" s="227"/>
      <c r="L104" s="227"/>
      <c r="M104" s="227"/>
      <c r="N104" s="227"/>
      <c r="O104" s="227"/>
      <c r="P104" s="227"/>
      <c r="Q104" s="227"/>
      <c r="R104" s="227"/>
      <c r="S104" s="227"/>
      <c r="T104" s="227"/>
      <c r="U104" s="227"/>
      <c r="V104" s="227"/>
      <c r="W104" s="227"/>
      <c r="X104" s="227"/>
      <c r="Y104" s="227"/>
      <c r="Z104" s="227"/>
      <c r="AA104" s="227"/>
      <c r="AB104" s="227"/>
      <c r="AC104" s="227"/>
      <c r="AD104" s="227"/>
      <c r="AE104" s="227"/>
      <c r="AF104" s="227"/>
      <c r="AG104" s="227"/>
      <c r="AH104" s="227"/>
      <c r="AI104" s="227"/>
      <c r="AJ104" s="227"/>
      <c r="AK104" s="227"/>
      <c r="AL104" s="227"/>
      <c r="AM104" s="227"/>
      <c r="AN104" s="227"/>
      <c r="AO104" s="227"/>
      <c r="AP104" s="227"/>
      <c r="AQ104" s="227"/>
      <c r="AR104" s="227"/>
      <c r="AS104" s="227"/>
      <c r="AT104" s="227"/>
      <c r="AU104" s="227"/>
      <c r="AV104" s="227"/>
      <c r="AW104" s="227"/>
      <c r="AX104" s="227"/>
      <c r="AY104" s="227"/>
      <c r="AZ104" s="227"/>
      <c r="BA104" s="227"/>
      <c r="BB104" s="227"/>
      <c r="BC104" s="227"/>
      <c r="BD104" s="227"/>
      <c r="BE104" s="227"/>
      <c r="BF104" s="227"/>
      <c r="BG104" s="227"/>
      <c r="BH104" s="227"/>
      <c r="BI104" s="227"/>
      <c r="BJ104" s="227"/>
      <c r="BK104" s="227"/>
      <c r="BM104" s="227"/>
      <c r="BN104" s="227"/>
      <c r="BO104" s="227"/>
      <c r="BP104" s="227"/>
      <c r="BQ104" s="227"/>
      <c r="BR104" s="227"/>
      <c r="BS104" s="227"/>
      <c r="BT104" s="227"/>
      <c r="BU104" s="227"/>
      <c r="BV104" s="227"/>
      <c r="BW104" s="227"/>
      <c r="BX104" s="227"/>
      <c r="BY104" s="227"/>
      <c r="BZ104" s="227"/>
      <c r="CA104" s="227"/>
    </row>
    <row r="105" spans="1:79" s="229" customFormat="1" ht="18" customHeight="1">
      <c r="A105" s="227"/>
      <c r="B105" s="227"/>
      <c r="C105" s="227"/>
      <c r="D105" s="227"/>
      <c r="E105" s="227"/>
      <c r="F105" s="227"/>
      <c r="G105" s="227"/>
      <c r="H105" s="227"/>
      <c r="I105" s="227"/>
      <c r="J105" s="227"/>
      <c r="K105" s="227"/>
      <c r="L105" s="227"/>
      <c r="M105" s="227"/>
      <c r="N105" s="227"/>
      <c r="O105" s="227"/>
      <c r="P105" s="227"/>
      <c r="Q105" s="227"/>
      <c r="R105" s="227"/>
      <c r="S105" s="227"/>
      <c r="T105" s="227"/>
      <c r="U105" s="227"/>
      <c r="V105" s="227"/>
      <c r="W105" s="227"/>
      <c r="X105" s="227"/>
      <c r="Y105" s="227"/>
      <c r="Z105" s="227"/>
      <c r="AA105" s="227"/>
      <c r="AB105" s="227"/>
      <c r="AC105" s="227"/>
      <c r="AD105" s="227"/>
      <c r="AE105" s="227"/>
      <c r="AF105" s="227"/>
      <c r="AG105" s="227"/>
      <c r="AH105" s="227"/>
      <c r="AI105" s="227"/>
      <c r="AJ105" s="227"/>
      <c r="AK105" s="227"/>
      <c r="AL105" s="227"/>
      <c r="AM105" s="227"/>
      <c r="AN105" s="227"/>
      <c r="AO105" s="227"/>
      <c r="AP105" s="227"/>
      <c r="AQ105" s="227"/>
      <c r="AR105" s="227"/>
      <c r="AS105" s="227"/>
      <c r="AT105" s="227"/>
      <c r="AU105" s="227"/>
      <c r="AV105" s="227"/>
      <c r="AW105" s="227"/>
      <c r="AX105" s="227"/>
      <c r="AY105" s="227"/>
      <c r="AZ105" s="227"/>
      <c r="BA105" s="227"/>
      <c r="BB105" s="227"/>
      <c r="BC105" s="227"/>
      <c r="BD105" s="227"/>
      <c r="BE105" s="227"/>
      <c r="BF105" s="227"/>
      <c r="BG105" s="227"/>
      <c r="BH105" s="227"/>
      <c r="BI105" s="227"/>
      <c r="BJ105" s="227"/>
      <c r="BK105" s="227"/>
      <c r="BM105" s="227"/>
      <c r="BN105" s="227"/>
      <c r="BO105" s="227"/>
      <c r="BP105" s="227"/>
      <c r="BQ105" s="227"/>
      <c r="BR105" s="227"/>
      <c r="BS105" s="227"/>
      <c r="BT105" s="227"/>
      <c r="BU105" s="227"/>
      <c r="BV105" s="227"/>
      <c r="BW105" s="227"/>
      <c r="BX105" s="227"/>
      <c r="BY105" s="227"/>
      <c r="BZ105" s="227"/>
      <c r="CA105" s="227"/>
    </row>
    <row r="106" spans="1:79" s="229" customFormat="1" ht="18" customHeight="1">
      <c r="A106" s="227"/>
      <c r="B106" s="227"/>
      <c r="C106" s="227"/>
      <c r="D106" s="227"/>
      <c r="E106" s="227"/>
      <c r="F106" s="227"/>
      <c r="G106" s="227"/>
      <c r="H106" s="227"/>
      <c r="I106" s="227"/>
      <c r="J106" s="227"/>
      <c r="K106" s="227"/>
      <c r="L106" s="227"/>
      <c r="M106" s="227"/>
      <c r="N106" s="227"/>
      <c r="O106" s="227"/>
      <c r="P106" s="227"/>
      <c r="Q106" s="227"/>
      <c r="R106" s="227"/>
      <c r="S106" s="227"/>
      <c r="T106" s="227"/>
      <c r="U106" s="227"/>
      <c r="V106" s="227"/>
      <c r="W106" s="227"/>
      <c r="X106" s="227"/>
      <c r="Y106" s="227"/>
      <c r="Z106" s="227"/>
      <c r="AA106" s="227"/>
      <c r="AB106" s="227"/>
      <c r="AC106" s="227"/>
      <c r="AD106" s="227"/>
      <c r="AE106" s="227"/>
      <c r="AF106" s="227"/>
      <c r="AG106" s="227"/>
      <c r="AH106" s="227"/>
      <c r="AI106" s="227"/>
      <c r="AJ106" s="227"/>
      <c r="AK106" s="227"/>
      <c r="AL106" s="227"/>
      <c r="AM106" s="227"/>
      <c r="AN106" s="227"/>
      <c r="AO106" s="227"/>
      <c r="AP106" s="227"/>
      <c r="AQ106" s="227"/>
      <c r="AR106" s="227"/>
      <c r="AS106" s="227"/>
      <c r="AT106" s="227"/>
      <c r="AU106" s="227"/>
      <c r="AV106" s="227"/>
      <c r="AW106" s="227"/>
      <c r="AX106" s="227"/>
      <c r="AY106" s="227"/>
      <c r="AZ106" s="227"/>
      <c r="BA106" s="227"/>
      <c r="BB106" s="227"/>
      <c r="BC106" s="227"/>
      <c r="BD106" s="227"/>
      <c r="BE106" s="227"/>
      <c r="BF106" s="227"/>
      <c r="BG106" s="227"/>
      <c r="BH106" s="227"/>
      <c r="BI106" s="227"/>
      <c r="BJ106" s="227"/>
      <c r="BK106" s="227"/>
      <c r="BM106" s="227"/>
      <c r="BN106" s="227"/>
      <c r="BO106" s="227"/>
      <c r="BP106" s="227"/>
      <c r="BQ106" s="227"/>
      <c r="BR106" s="227"/>
      <c r="BS106" s="227"/>
      <c r="BT106" s="227"/>
      <c r="BU106" s="227"/>
      <c r="BV106" s="227"/>
      <c r="BW106" s="227"/>
      <c r="BX106" s="227"/>
      <c r="BY106" s="227"/>
      <c r="BZ106" s="227"/>
      <c r="CA106" s="227"/>
    </row>
    <row r="107" spans="1:79" s="229" customFormat="1" ht="18" customHeight="1">
      <c r="A107" s="227"/>
      <c r="B107" s="227"/>
      <c r="C107" s="227"/>
      <c r="D107" s="227"/>
      <c r="E107" s="227"/>
      <c r="F107" s="227"/>
      <c r="G107" s="227"/>
      <c r="H107" s="227"/>
      <c r="I107" s="227"/>
      <c r="J107" s="227"/>
      <c r="K107" s="227"/>
      <c r="L107" s="227"/>
      <c r="M107" s="227"/>
      <c r="N107" s="227"/>
      <c r="O107" s="227"/>
      <c r="P107" s="227"/>
      <c r="Q107" s="227"/>
      <c r="R107" s="227"/>
      <c r="S107" s="227"/>
      <c r="T107" s="227"/>
      <c r="U107" s="227"/>
      <c r="V107" s="227"/>
      <c r="W107" s="227"/>
      <c r="X107" s="227"/>
      <c r="Y107" s="227"/>
      <c r="Z107" s="227"/>
      <c r="AA107" s="227"/>
      <c r="AB107" s="227"/>
      <c r="AC107" s="227"/>
      <c r="AD107" s="227"/>
      <c r="AE107" s="227"/>
      <c r="AF107" s="227"/>
      <c r="AG107" s="227"/>
      <c r="AH107" s="227"/>
      <c r="AI107" s="227"/>
      <c r="AJ107" s="227"/>
      <c r="AK107" s="227"/>
      <c r="AL107" s="227"/>
      <c r="AM107" s="227"/>
      <c r="AN107" s="227"/>
      <c r="AO107" s="227"/>
      <c r="AP107" s="227"/>
      <c r="AQ107" s="227"/>
      <c r="AR107" s="227"/>
      <c r="AS107" s="227"/>
      <c r="AT107" s="227"/>
      <c r="AU107" s="227"/>
      <c r="AV107" s="227"/>
      <c r="AW107" s="227"/>
      <c r="AX107" s="227"/>
      <c r="AY107" s="227"/>
      <c r="AZ107" s="227"/>
      <c r="BA107" s="227"/>
      <c r="BB107" s="227"/>
      <c r="BC107" s="227"/>
      <c r="BD107" s="227"/>
      <c r="BE107" s="227"/>
      <c r="BF107" s="227"/>
      <c r="BG107" s="227"/>
      <c r="BH107" s="227"/>
      <c r="BI107" s="227"/>
      <c r="BJ107" s="227"/>
      <c r="BK107" s="227"/>
      <c r="BM107" s="227"/>
      <c r="BN107" s="227"/>
      <c r="BO107" s="227"/>
      <c r="BP107" s="227"/>
      <c r="BQ107" s="227"/>
      <c r="BR107" s="227"/>
      <c r="BS107" s="227"/>
      <c r="BT107" s="227"/>
      <c r="BU107" s="227"/>
      <c r="BV107" s="227"/>
      <c r="BW107" s="227"/>
      <c r="BX107" s="227"/>
      <c r="BY107" s="227"/>
      <c r="BZ107" s="227"/>
      <c r="CA107" s="227"/>
    </row>
    <row r="108" spans="1:79" s="229" customFormat="1" ht="18" customHeight="1">
      <c r="A108" s="227"/>
      <c r="B108" s="227"/>
      <c r="C108" s="227"/>
      <c r="D108" s="227"/>
      <c r="E108" s="227"/>
      <c r="F108" s="227"/>
      <c r="G108" s="227"/>
      <c r="H108" s="227"/>
      <c r="I108" s="227"/>
      <c r="J108" s="227"/>
      <c r="K108" s="227"/>
      <c r="L108" s="227"/>
      <c r="M108" s="227"/>
      <c r="N108" s="227"/>
      <c r="O108" s="227"/>
      <c r="P108" s="227"/>
      <c r="Q108" s="227"/>
      <c r="R108" s="227"/>
      <c r="S108" s="227"/>
      <c r="T108" s="227"/>
      <c r="U108" s="227"/>
      <c r="V108" s="227"/>
      <c r="W108" s="227"/>
      <c r="X108" s="227"/>
      <c r="Y108" s="227"/>
      <c r="Z108" s="227"/>
      <c r="AA108" s="227"/>
      <c r="AB108" s="227"/>
      <c r="AC108" s="227"/>
      <c r="AD108" s="227"/>
      <c r="AE108" s="227"/>
      <c r="AF108" s="227"/>
      <c r="AG108" s="227"/>
      <c r="AH108" s="227"/>
      <c r="AI108" s="227"/>
      <c r="AJ108" s="227"/>
      <c r="AK108" s="227"/>
      <c r="AL108" s="227"/>
      <c r="AM108" s="227"/>
      <c r="AN108" s="227"/>
      <c r="AO108" s="227"/>
      <c r="AP108" s="227"/>
      <c r="AQ108" s="227"/>
      <c r="AR108" s="227"/>
      <c r="AS108" s="227"/>
      <c r="AT108" s="227"/>
      <c r="AU108" s="227"/>
      <c r="AV108" s="227"/>
      <c r="AW108" s="227"/>
      <c r="AX108" s="227"/>
      <c r="AY108" s="227"/>
      <c r="AZ108" s="227"/>
      <c r="BA108" s="227"/>
      <c r="BB108" s="227"/>
      <c r="BC108" s="227"/>
      <c r="BD108" s="227"/>
      <c r="BE108" s="227"/>
      <c r="BF108" s="227"/>
      <c r="BG108" s="227"/>
      <c r="BH108" s="227"/>
      <c r="BI108" s="227"/>
      <c r="BJ108" s="227"/>
      <c r="BK108" s="227"/>
      <c r="BM108" s="227"/>
      <c r="BN108" s="227"/>
      <c r="BO108" s="227"/>
      <c r="BP108" s="227"/>
      <c r="BQ108" s="227"/>
      <c r="BR108" s="227"/>
      <c r="BS108" s="227"/>
      <c r="BT108" s="227"/>
      <c r="BU108" s="227"/>
      <c r="BV108" s="227"/>
      <c r="BW108" s="227"/>
      <c r="BX108" s="227"/>
      <c r="BY108" s="227"/>
      <c r="BZ108" s="227"/>
      <c r="CA108" s="227"/>
    </row>
  </sheetData>
  <mergeCells count="100">
    <mergeCell ref="H9:BH9"/>
    <mergeCell ref="D10:G11"/>
    <mergeCell ref="H10:L11"/>
    <mergeCell ref="M10:P11"/>
    <mergeCell ref="Q10:U11"/>
    <mergeCell ref="V10:Y11"/>
    <mergeCell ref="Z10:AD11"/>
    <mergeCell ref="AE10:AH11"/>
    <mergeCell ref="AI10:AL11"/>
    <mergeCell ref="AM10:AQ11"/>
    <mergeCell ref="AR10:AU11"/>
    <mergeCell ref="AV10:AY11"/>
    <mergeCell ref="AZ10:BD11"/>
    <mergeCell ref="BE10:BH11"/>
    <mergeCell ref="BI10:BK11"/>
    <mergeCell ref="H20:L20"/>
    <mergeCell ref="M20:P20"/>
    <mergeCell ref="Q20:U20"/>
    <mergeCell ref="V20:Y20"/>
    <mergeCell ref="BM20:BN20"/>
    <mergeCell ref="BJ12:BJ13"/>
    <mergeCell ref="BK12:BK13"/>
    <mergeCell ref="BM13:BN13"/>
    <mergeCell ref="D14:G14"/>
    <mergeCell ref="BI14:BK14"/>
    <mergeCell ref="D12:D13"/>
    <mergeCell ref="E12:E13"/>
    <mergeCell ref="F12:F13"/>
    <mergeCell ref="G12:G13"/>
    <mergeCell ref="BI12:BI13"/>
    <mergeCell ref="D21:G21"/>
    <mergeCell ref="BI21:BK21"/>
    <mergeCell ref="H27:L27"/>
    <mergeCell ref="M27:P27"/>
    <mergeCell ref="Q27:U27"/>
    <mergeCell ref="V27:Y27"/>
    <mergeCell ref="BM27:BN27"/>
    <mergeCell ref="D28:G28"/>
    <mergeCell ref="BI28:BK28"/>
    <mergeCell ref="H34:L34"/>
    <mergeCell ref="M34:P34"/>
    <mergeCell ref="Q34:U34"/>
    <mergeCell ref="V34:Y34"/>
    <mergeCell ref="BM34:BN34"/>
    <mergeCell ref="D35:G35"/>
    <mergeCell ref="BI35:BK35"/>
    <mergeCell ref="H41:L41"/>
    <mergeCell ref="M41:P41"/>
    <mergeCell ref="Q41:U41"/>
    <mergeCell ref="V41:Y41"/>
    <mergeCell ref="BM41:BN41"/>
    <mergeCell ref="D42:G42"/>
    <mergeCell ref="BI42:BK42"/>
    <mergeCell ref="H48:L48"/>
    <mergeCell ref="M48:P48"/>
    <mergeCell ref="Q48:U48"/>
    <mergeCell ref="V48:Y48"/>
    <mergeCell ref="BM48:BN48"/>
    <mergeCell ref="D49:G49"/>
    <mergeCell ref="BI49:BK49"/>
    <mergeCell ref="H55:L55"/>
    <mergeCell ref="M55:P55"/>
    <mergeCell ref="Q55:U55"/>
    <mergeCell ref="V55:Y55"/>
    <mergeCell ref="BM55:BN55"/>
    <mergeCell ref="D56:G56"/>
    <mergeCell ref="BI56:BK56"/>
    <mergeCell ref="H62:L62"/>
    <mergeCell ref="M62:P62"/>
    <mergeCell ref="Q62:U62"/>
    <mergeCell ref="V62:Y62"/>
    <mergeCell ref="BM62:BN62"/>
    <mergeCell ref="D63:G63"/>
    <mergeCell ref="BI63:BK63"/>
    <mergeCell ref="H73:L73"/>
    <mergeCell ref="M73:P73"/>
    <mergeCell ref="Q73:U73"/>
    <mergeCell ref="V73:Y73"/>
    <mergeCell ref="Y64:AA64"/>
    <mergeCell ref="Y66:AA66"/>
    <mergeCell ref="BM73:BN73"/>
    <mergeCell ref="D74:G74"/>
    <mergeCell ref="BI74:BK74"/>
    <mergeCell ref="H80:L80"/>
    <mergeCell ref="M80:P80"/>
    <mergeCell ref="Q80:U80"/>
    <mergeCell ref="V80:Y80"/>
    <mergeCell ref="D81:G81"/>
    <mergeCell ref="BI81:BK81"/>
    <mergeCell ref="H87:L87"/>
    <mergeCell ref="M87:P87"/>
    <mergeCell ref="Q87:U87"/>
    <mergeCell ref="V87:Y87"/>
    <mergeCell ref="BM87:BN87"/>
    <mergeCell ref="D88:G88"/>
    <mergeCell ref="BI88:BK88"/>
    <mergeCell ref="H96:L96"/>
    <mergeCell ref="M96:P96"/>
    <mergeCell ref="Q96:U96"/>
    <mergeCell ref="V96:Y96"/>
  </mergeCells>
  <conditionalFormatting sqref="Y64:AA64">
    <cfRule type="containsText" dxfId="39" priority="4" operator="containsText" text="al">
      <formula>NOT(ISERROR(SEARCH("al",Y64)))</formula>
    </cfRule>
    <cfRule type="containsText" dxfId="38" priority="8" operator="containsText" text="al">
      <formula>NOT(ISERROR(SEARCH("al",Y64)))</formula>
    </cfRule>
    <cfRule type="containsText" dxfId="37" priority="12" operator="containsText" text="al">
      <formula>NOT(ISERROR(SEARCH("al",Y64)))</formula>
    </cfRule>
    <cfRule type="containsText" dxfId="36" priority="16" operator="containsText" text="al">
      <formula>NOT(ISERROR(SEARCH("al",Y64)))</formula>
    </cfRule>
    <cfRule type="containsText" dxfId="35" priority="20" operator="containsText" text="al">
      <formula>NOT(ISERROR(SEARCH("al",Y64)))</formula>
    </cfRule>
    <cfRule type="containsText" dxfId="34" priority="24" operator="containsText" text="al">
      <formula>NOT(ISERROR(SEARCH("al",Y64)))</formula>
    </cfRule>
  </conditionalFormatting>
  <conditionalFormatting sqref="AA65">
    <cfRule type="containsText" dxfId="33" priority="3" operator="containsText" text="al">
      <formula>NOT(ISERROR(SEARCH("al",AA65)))</formula>
    </cfRule>
    <cfRule type="containsText" dxfId="32" priority="7" operator="containsText" text="al">
      <formula>NOT(ISERROR(SEARCH("al",AA65)))</formula>
    </cfRule>
    <cfRule type="containsText" dxfId="31" priority="11" operator="containsText" text="al">
      <formula>NOT(ISERROR(SEARCH("al",AA65)))</formula>
    </cfRule>
    <cfRule type="containsText" dxfId="30" priority="15" operator="containsText" text="al">
      <formula>NOT(ISERROR(SEARCH("al",AA65)))</formula>
    </cfRule>
    <cfRule type="containsText" dxfId="29" priority="19" operator="containsText" text="al">
      <formula>NOT(ISERROR(SEARCH("al",AA65)))</formula>
    </cfRule>
    <cfRule type="containsText" dxfId="28" priority="23" operator="containsText" text="al">
      <formula>NOT(ISERROR(SEARCH("al",AA65)))</formula>
    </cfRule>
  </conditionalFormatting>
  <conditionalFormatting sqref="Y66:AA66">
    <cfRule type="containsText" dxfId="27" priority="2" operator="containsText" text="al">
      <formula>NOT(ISERROR(SEARCH("al",Y66)))</formula>
    </cfRule>
    <cfRule type="containsText" dxfId="26" priority="6" operator="containsText" text="al">
      <formula>NOT(ISERROR(SEARCH("al",Y66)))</formula>
    </cfRule>
    <cfRule type="containsText" dxfId="25" priority="10" operator="containsText" text="al">
      <formula>NOT(ISERROR(SEARCH("al",Y66)))</formula>
    </cfRule>
    <cfRule type="containsText" dxfId="24" priority="14" operator="containsText" text="al">
      <formula>NOT(ISERROR(SEARCH("al",Y66)))</formula>
    </cfRule>
    <cfRule type="containsText" dxfId="23" priority="18" operator="containsText" text="al">
      <formula>NOT(ISERROR(SEARCH("al",Y66)))</formula>
    </cfRule>
    <cfRule type="containsText" dxfId="22" priority="22" operator="containsText" text="al">
      <formula>NOT(ISERROR(SEARCH("al",Y66)))</formula>
    </cfRule>
  </conditionalFormatting>
  <conditionalFormatting sqref="AA67">
    <cfRule type="containsText" dxfId="21" priority="1" operator="containsText" text="al">
      <formula>NOT(ISERROR(SEARCH("al",AA67)))</formula>
    </cfRule>
    <cfRule type="containsText" dxfId="20" priority="5" operator="containsText" text="al">
      <formula>NOT(ISERROR(SEARCH("al",AA67)))</formula>
    </cfRule>
    <cfRule type="containsText" dxfId="19" priority="9" operator="containsText" text="al">
      <formula>NOT(ISERROR(SEARCH("al",AA67)))</formula>
    </cfRule>
    <cfRule type="containsText" dxfId="18" priority="13" operator="containsText" text="al">
      <formula>NOT(ISERROR(SEARCH("al",AA67)))</formula>
    </cfRule>
    <cfRule type="containsText" dxfId="17" priority="17" operator="containsText" text="al">
      <formula>NOT(ISERROR(SEARCH("al",AA67)))</formula>
    </cfRule>
    <cfRule type="containsText" dxfId="16" priority="21" operator="containsText" text="al">
      <formula>NOT(ISERROR(SEARCH("al",AA67)))</formula>
    </cfRule>
  </conditionalFormatting>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62145" r:id="rId4" name="Button 1">
              <controlPr defaultSize="0" print="0" autoFill="0" autoPict="0" macro="[0]!calular_comision">
                <anchor moveWithCells="1">
                  <from>
                    <xdr:col>63</xdr:col>
                    <xdr:colOff>200025</xdr:colOff>
                    <xdr:row>97</xdr:row>
                    <xdr:rowOff>228600</xdr:rowOff>
                  </from>
                  <to>
                    <xdr:col>64</xdr:col>
                    <xdr:colOff>1028700</xdr:colOff>
                    <xdr:row>100</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'1 lista'!$D$6:$D$8</xm:f>
          </x14:formula1>
          <xm:sqref>C75:C80 C82:C87 C89:C95 C15:C73</xm:sqref>
        </x14:dataValidation>
        <x14:dataValidation type="list" allowBlank="1" showInputMessage="1" showErrorMessage="1">
          <x14:formula1>
            <xm:f>'1 lista'!$D$2:$D$3</xm:f>
          </x14:formula1>
          <xm:sqref>B89:B95 B75:B80 B15:B73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8">
    <tabColor rgb="FFC00000"/>
  </sheetPr>
  <dimension ref="A1:CA119"/>
  <sheetViews>
    <sheetView showGridLines="0" zoomScale="80" zoomScaleNormal="80" workbookViewId="0">
      <pane xSplit="7" ySplit="13" topLeftCell="BH95" activePane="bottomRight" state="frozen"/>
      <selection pane="topRight" activeCell="H1" sqref="H1"/>
      <selection pane="bottomLeft" activeCell="A14" sqref="A14"/>
      <selection pane="bottomRight" activeCell="C107" sqref="C107"/>
    </sheetView>
  </sheetViews>
  <sheetFormatPr defaultColWidth="11.42578125" defaultRowHeight="12.75"/>
  <cols>
    <col min="1" max="1" width="3.42578125" style="227" customWidth="1"/>
    <col min="2" max="2" width="4.7109375" style="227" customWidth="1"/>
    <col min="3" max="3" width="9.85546875" style="227" customWidth="1"/>
    <col min="4" max="4" width="30.42578125" style="227" customWidth="1"/>
    <col min="5" max="5" width="30.140625" style="227" customWidth="1"/>
    <col min="6" max="6" width="31.85546875" style="227" customWidth="1"/>
    <col min="7" max="7" width="24" style="227" customWidth="1"/>
    <col min="8" max="8" width="3.5703125" style="227" customWidth="1"/>
    <col min="9" max="60" width="4.28515625" style="227" customWidth="1"/>
    <col min="61" max="61" width="11.28515625" style="227" customWidth="1"/>
    <col min="62" max="63" width="24.5703125" style="227" customWidth="1"/>
    <col min="64" max="64" width="5.85546875" style="229" customWidth="1"/>
    <col min="65" max="66" width="20.7109375" style="227" customWidth="1"/>
    <col min="67" max="67" width="17.140625" style="227" customWidth="1"/>
    <col min="68" max="16384" width="11.42578125" style="227"/>
  </cols>
  <sheetData>
    <row r="1" spans="1:79" ht="18" customHeight="1">
      <c r="I1" s="228"/>
      <c r="J1" s="228"/>
      <c r="K1" s="228"/>
      <c r="L1" s="228"/>
      <c r="M1" s="228"/>
      <c r="N1" s="228"/>
      <c r="O1" s="228"/>
      <c r="P1" s="228"/>
      <c r="Q1" s="228"/>
      <c r="R1" s="228"/>
      <c r="S1" s="228"/>
      <c r="T1" s="228"/>
      <c r="U1" s="228"/>
      <c r="V1" s="228"/>
      <c r="W1" s="228"/>
      <c r="X1" s="228"/>
      <c r="Y1" s="228"/>
      <c r="Z1" s="228"/>
      <c r="AA1" s="228"/>
      <c r="AB1" s="228"/>
      <c r="AC1" s="228"/>
      <c r="AD1" s="228"/>
      <c r="AE1" s="228"/>
      <c r="AF1" s="228"/>
      <c r="AG1" s="228"/>
      <c r="AH1" s="228"/>
      <c r="AI1" s="228"/>
      <c r="AJ1" s="228"/>
      <c r="AK1" s="228"/>
      <c r="AL1" s="228"/>
      <c r="AM1" s="228"/>
      <c r="AN1" s="228"/>
      <c r="AO1" s="228"/>
      <c r="AP1" s="228"/>
      <c r="AQ1" s="228"/>
      <c r="AR1" s="228"/>
      <c r="AS1" s="228"/>
      <c r="AT1" s="228"/>
      <c r="AU1" s="228"/>
      <c r="AV1" s="228"/>
      <c r="AW1" s="228"/>
      <c r="AX1" s="228"/>
      <c r="AY1" s="228"/>
      <c r="AZ1" s="228"/>
      <c r="BA1" s="228"/>
      <c r="BB1" s="228"/>
      <c r="BC1" s="228"/>
      <c r="BD1" s="228"/>
      <c r="BE1" s="228"/>
      <c r="BF1" s="228"/>
      <c r="BG1" s="228"/>
      <c r="BH1" s="228"/>
    </row>
    <row r="2" spans="1:79" ht="18" customHeight="1">
      <c r="E2" s="230" t="s">
        <v>6</v>
      </c>
      <c r="F2" s="230"/>
    </row>
    <row r="3" spans="1:79" ht="18" customHeight="1">
      <c r="E3" s="230" t="s">
        <v>8</v>
      </c>
      <c r="F3" s="230" t="s">
        <v>269</v>
      </c>
    </row>
    <row r="4" spans="1:79" ht="18" customHeight="1">
      <c r="E4" s="230" t="s">
        <v>236</v>
      </c>
      <c r="F4" s="230" t="s">
        <v>279</v>
      </c>
    </row>
    <row r="5" spans="1:79" ht="18" customHeight="1">
      <c r="E5" s="230" t="s">
        <v>237</v>
      </c>
      <c r="F5" s="230" t="s">
        <v>152</v>
      </c>
    </row>
    <row r="6" spans="1:79" ht="18" customHeight="1">
      <c r="E6" s="230" t="s">
        <v>238</v>
      </c>
      <c r="F6" s="230" t="s">
        <v>280</v>
      </c>
    </row>
    <row r="7" spans="1:79" ht="18" customHeight="1">
      <c r="E7" s="230" t="s">
        <v>239</v>
      </c>
      <c r="F7" s="230" t="s">
        <v>152</v>
      </c>
    </row>
    <row r="8" spans="1:79" s="230" customFormat="1" ht="18" customHeight="1" thickBot="1">
      <c r="A8" s="227"/>
      <c r="B8" s="227"/>
      <c r="C8" s="227"/>
      <c r="D8" s="227"/>
      <c r="G8" s="227"/>
      <c r="H8" s="227"/>
      <c r="I8" s="227"/>
      <c r="J8" s="227"/>
      <c r="K8" s="227"/>
      <c r="L8" s="227"/>
      <c r="M8" s="227"/>
      <c r="N8" s="227"/>
      <c r="O8" s="227"/>
      <c r="P8" s="227"/>
      <c r="Q8" s="227"/>
      <c r="R8" s="227"/>
      <c r="S8" s="227"/>
      <c r="T8" s="227"/>
      <c r="U8" s="227"/>
      <c r="V8" s="227"/>
      <c r="W8" s="227"/>
      <c r="X8" s="227"/>
      <c r="Y8" s="227"/>
      <c r="Z8" s="227"/>
      <c r="AA8" s="227"/>
      <c r="AB8" s="227"/>
      <c r="AC8" s="227"/>
      <c r="AD8" s="227"/>
      <c r="AE8" s="227"/>
      <c r="AF8" s="227"/>
      <c r="AG8" s="227"/>
      <c r="AH8" s="227"/>
      <c r="AI8" s="227"/>
      <c r="AJ8" s="227"/>
      <c r="AK8" s="227"/>
      <c r="AL8" s="227"/>
      <c r="AM8" s="227"/>
      <c r="AN8" s="227"/>
      <c r="AO8" s="227"/>
      <c r="AP8" s="227"/>
      <c r="AQ8" s="227"/>
      <c r="AR8" s="227"/>
      <c r="AS8" s="227"/>
      <c r="AT8" s="227"/>
      <c r="AU8" s="227"/>
      <c r="AV8" s="227"/>
      <c r="AW8" s="227"/>
      <c r="AX8" s="227"/>
      <c r="AY8" s="227"/>
      <c r="AZ8" s="227"/>
      <c r="BA8" s="227"/>
      <c r="BB8" s="227"/>
      <c r="BC8" s="227"/>
      <c r="BD8" s="227"/>
      <c r="BE8" s="227"/>
      <c r="BF8" s="227"/>
      <c r="BG8" s="227"/>
      <c r="BH8" s="227"/>
      <c r="BI8" s="227"/>
      <c r="BJ8" s="227"/>
      <c r="BK8" s="227"/>
      <c r="BL8" s="229"/>
      <c r="BM8" s="227"/>
      <c r="BN8" s="227"/>
      <c r="BO8" s="227" t="s">
        <v>157</v>
      </c>
      <c r="BP8" s="227" t="s">
        <v>148</v>
      </c>
      <c r="BQ8" s="227" t="s">
        <v>112</v>
      </c>
      <c r="BR8" s="227" t="s">
        <v>28</v>
      </c>
      <c r="BS8" s="227" t="s">
        <v>21</v>
      </c>
      <c r="BT8" s="227" t="s">
        <v>22</v>
      </c>
      <c r="BU8" s="227" t="s">
        <v>31</v>
      </c>
      <c r="BV8" s="227" t="s">
        <v>32</v>
      </c>
      <c r="BW8" s="227" t="s">
        <v>33</v>
      </c>
      <c r="BX8" s="227" t="s">
        <v>26</v>
      </c>
      <c r="BY8" s="227" t="s">
        <v>27</v>
      </c>
      <c r="BZ8" s="227" t="s">
        <v>25</v>
      </c>
      <c r="CA8" s="227" t="s">
        <v>29</v>
      </c>
    </row>
    <row r="9" spans="1:79" s="230" customFormat="1" ht="18" customHeight="1" thickBot="1">
      <c r="A9" s="227"/>
      <c r="B9" s="227"/>
      <c r="C9" s="227"/>
      <c r="D9" s="227"/>
      <c r="G9" s="227"/>
      <c r="H9" s="470">
        <f>+AE13</f>
        <v>42891</v>
      </c>
      <c r="I9" s="471"/>
      <c r="J9" s="471"/>
      <c r="K9" s="471"/>
      <c r="L9" s="471"/>
      <c r="M9" s="471"/>
      <c r="N9" s="471"/>
      <c r="O9" s="471"/>
      <c r="P9" s="471"/>
      <c r="Q9" s="471"/>
      <c r="R9" s="471"/>
      <c r="S9" s="471"/>
      <c r="T9" s="471"/>
      <c r="U9" s="471"/>
      <c r="V9" s="471"/>
      <c r="W9" s="471"/>
      <c r="X9" s="471"/>
      <c r="Y9" s="471"/>
      <c r="Z9" s="471"/>
      <c r="AA9" s="471"/>
      <c r="AB9" s="471"/>
      <c r="AC9" s="471"/>
      <c r="AD9" s="471"/>
      <c r="AE9" s="471"/>
      <c r="AF9" s="471"/>
      <c r="AG9" s="471"/>
      <c r="AH9" s="471"/>
      <c r="AI9" s="471"/>
      <c r="AJ9" s="471"/>
      <c r="AK9" s="471"/>
      <c r="AL9" s="471"/>
      <c r="AM9" s="471"/>
      <c r="AN9" s="471"/>
      <c r="AO9" s="471"/>
      <c r="AP9" s="471"/>
      <c r="AQ9" s="471"/>
      <c r="AR9" s="471"/>
      <c r="AS9" s="471"/>
      <c r="AT9" s="471"/>
      <c r="AU9" s="471"/>
      <c r="AV9" s="471"/>
      <c r="AW9" s="471"/>
      <c r="AX9" s="471"/>
      <c r="AY9" s="471"/>
      <c r="AZ9" s="471"/>
      <c r="BA9" s="471"/>
      <c r="BB9" s="471"/>
      <c r="BC9" s="471"/>
      <c r="BD9" s="471"/>
      <c r="BE9" s="471"/>
      <c r="BF9" s="471"/>
      <c r="BG9" s="471"/>
      <c r="BH9" s="472"/>
      <c r="BI9" s="227"/>
      <c r="BJ9" s="227"/>
      <c r="BK9" s="227"/>
      <c r="BL9" s="229"/>
      <c r="BM9" s="227"/>
      <c r="BN9" s="227"/>
      <c r="BO9" s="227" t="s">
        <v>34</v>
      </c>
      <c r="BP9" s="227">
        <v>0</v>
      </c>
      <c r="BQ9" s="227">
        <v>0</v>
      </c>
      <c r="BR9" s="227">
        <v>0</v>
      </c>
      <c r="BS9" s="227">
        <v>73352429.74000001</v>
      </c>
      <c r="BT9" s="227">
        <v>65310413.420000002</v>
      </c>
      <c r="BU9" s="227">
        <v>0</v>
      </c>
      <c r="BV9" s="227">
        <v>0</v>
      </c>
      <c r="BW9" s="227">
        <v>0</v>
      </c>
      <c r="BX9" s="227">
        <v>0</v>
      </c>
      <c r="BY9" s="227">
        <v>0</v>
      </c>
      <c r="BZ9" s="227">
        <v>0</v>
      </c>
      <c r="CA9" s="227">
        <v>0</v>
      </c>
    </row>
    <row r="10" spans="1:79" s="206" customFormat="1" ht="18" customHeight="1" thickBot="1">
      <c r="A10" s="227"/>
      <c r="B10" s="227"/>
      <c r="C10" s="227"/>
      <c r="D10" s="464"/>
      <c r="E10" s="465"/>
      <c r="F10" s="465"/>
      <c r="G10" s="466"/>
      <c r="H10" s="473" t="s">
        <v>148</v>
      </c>
      <c r="I10" s="474"/>
      <c r="J10" s="474"/>
      <c r="K10" s="474"/>
      <c r="L10" s="475"/>
      <c r="M10" s="473" t="s">
        <v>112</v>
      </c>
      <c r="N10" s="474"/>
      <c r="O10" s="474"/>
      <c r="P10" s="475"/>
      <c r="Q10" s="474" t="s">
        <v>28</v>
      </c>
      <c r="R10" s="474"/>
      <c r="S10" s="474"/>
      <c r="T10" s="474"/>
      <c r="U10" s="479"/>
      <c r="V10" s="461" t="s">
        <v>21</v>
      </c>
      <c r="W10" s="461"/>
      <c r="X10" s="461"/>
      <c r="Y10" s="461"/>
      <c r="Z10" s="461" t="s">
        <v>22</v>
      </c>
      <c r="AA10" s="461"/>
      <c r="AB10" s="461"/>
      <c r="AC10" s="462"/>
      <c r="AD10" s="462"/>
      <c r="AE10" s="462" t="s">
        <v>31</v>
      </c>
      <c r="AF10" s="462"/>
      <c r="AG10" s="462"/>
      <c r="AH10" s="462"/>
      <c r="AI10" s="473" t="s">
        <v>32</v>
      </c>
      <c r="AJ10" s="474"/>
      <c r="AK10" s="474"/>
      <c r="AL10" s="475"/>
      <c r="AM10" s="474" t="s">
        <v>33</v>
      </c>
      <c r="AN10" s="474"/>
      <c r="AO10" s="474"/>
      <c r="AP10" s="474"/>
      <c r="AQ10" s="479"/>
      <c r="AR10" s="461" t="s">
        <v>26</v>
      </c>
      <c r="AS10" s="461"/>
      <c r="AT10" s="461"/>
      <c r="AU10" s="461"/>
      <c r="AV10" s="480" t="s">
        <v>27</v>
      </c>
      <c r="AW10" s="474"/>
      <c r="AX10" s="474"/>
      <c r="AY10" s="474"/>
      <c r="AZ10" s="473" t="s">
        <v>25</v>
      </c>
      <c r="BA10" s="474"/>
      <c r="BB10" s="474"/>
      <c r="BC10" s="474"/>
      <c r="BD10" s="475"/>
      <c r="BE10" s="461" t="s">
        <v>29</v>
      </c>
      <c r="BF10" s="461"/>
      <c r="BG10" s="461"/>
      <c r="BH10" s="461"/>
      <c r="BI10" s="460"/>
      <c r="BJ10" s="460"/>
      <c r="BK10" s="460"/>
      <c r="BL10" s="231"/>
      <c r="BM10" s="230"/>
      <c r="BN10" s="230"/>
      <c r="BO10" s="227" t="s">
        <v>47</v>
      </c>
      <c r="BP10" s="227">
        <v>0</v>
      </c>
      <c r="BQ10" s="227">
        <v>0</v>
      </c>
      <c r="BR10" s="206">
        <v>0</v>
      </c>
      <c r="BS10" s="227">
        <v>0</v>
      </c>
      <c r="BT10" s="206">
        <v>0</v>
      </c>
      <c r="BU10" s="206">
        <v>0</v>
      </c>
      <c r="BV10" s="206">
        <v>0</v>
      </c>
      <c r="BW10" s="206">
        <v>0</v>
      </c>
      <c r="BX10" s="206">
        <v>0</v>
      </c>
      <c r="BY10" s="206">
        <v>0</v>
      </c>
      <c r="BZ10" s="206">
        <v>0</v>
      </c>
      <c r="CA10" s="206">
        <v>0</v>
      </c>
    </row>
    <row r="11" spans="1:79" s="206" customFormat="1" ht="18" customHeight="1" thickBot="1">
      <c r="A11" s="227"/>
      <c r="B11" s="227"/>
      <c r="C11" s="227"/>
      <c r="D11" s="467"/>
      <c r="E11" s="468"/>
      <c r="F11" s="468"/>
      <c r="G11" s="469"/>
      <c r="H11" s="476"/>
      <c r="I11" s="477"/>
      <c r="J11" s="477"/>
      <c r="K11" s="477"/>
      <c r="L11" s="478"/>
      <c r="M11" s="476"/>
      <c r="N11" s="477"/>
      <c r="O11" s="477"/>
      <c r="P11" s="478"/>
      <c r="Q11" s="477"/>
      <c r="R11" s="477"/>
      <c r="S11" s="477"/>
      <c r="T11" s="477"/>
      <c r="U11" s="478"/>
      <c r="V11" s="461"/>
      <c r="W11" s="461"/>
      <c r="X11" s="461"/>
      <c r="Y11" s="461"/>
      <c r="Z11" s="461"/>
      <c r="AA11" s="461"/>
      <c r="AB11" s="461"/>
      <c r="AC11" s="461"/>
      <c r="AD11" s="461"/>
      <c r="AE11" s="461"/>
      <c r="AF11" s="461"/>
      <c r="AG11" s="461"/>
      <c r="AH11" s="461"/>
      <c r="AI11" s="476"/>
      <c r="AJ11" s="477"/>
      <c r="AK11" s="477"/>
      <c r="AL11" s="478"/>
      <c r="AM11" s="477"/>
      <c r="AN11" s="477"/>
      <c r="AO11" s="477"/>
      <c r="AP11" s="477"/>
      <c r="AQ11" s="478"/>
      <c r="AR11" s="461"/>
      <c r="AS11" s="461"/>
      <c r="AT11" s="461"/>
      <c r="AU11" s="461"/>
      <c r="AV11" s="476"/>
      <c r="AW11" s="477"/>
      <c r="AX11" s="477"/>
      <c r="AY11" s="477"/>
      <c r="AZ11" s="476"/>
      <c r="BA11" s="477"/>
      <c r="BB11" s="477"/>
      <c r="BC11" s="477"/>
      <c r="BD11" s="478"/>
      <c r="BE11" s="461"/>
      <c r="BF11" s="461"/>
      <c r="BG11" s="461"/>
      <c r="BH11" s="461"/>
      <c r="BI11" s="460"/>
      <c r="BJ11" s="460"/>
      <c r="BK11" s="460"/>
      <c r="BL11" s="231"/>
      <c r="BM11" s="230"/>
      <c r="BN11" s="230"/>
      <c r="BO11" s="227" t="s">
        <v>2</v>
      </c>
      <c r="BP11" s="227">
        <v>0</v>
      </c>
      <c r="BQ11" s="227">
        <v>0</v>
      </c>
      <c r="BR11" s="206">
        <v>0</v>
      </c>
      <c r="BS11" s="206">
        <v>0</v>
      </c>
      <c r="BT11" s="206">
        <v>0</v>
      </c>
      <c r="BU11" s="206">
        <v>0</v>
      </c>
      <c r="BV11" s="206">
        <v>0</v>
      </c>
      <c r="BW11" s="206">
        <v>0</v>
      </c>
      <c r="BX11" s="206">
        <v>0</v>
      </c>
      <c r="BY11" s="206">
        <v>0</v>
      </c>
      <c r="BZ11" s="206">
        <v>0</v>
      </c>
      <c r="CA11" s="206">
        <v>0</v>
      </c>
    </row>
    <row r="12" spans="1:79" s="230" customFormat="1" ht="18" customHeight="1" thickBot="1">
      <c r="A12" s="206"/>
      <c r="B12" s="206"/>
      <c r="C12" s="206"/>
      <c r="D12" s="459" t="s">
        <v>0</v>
      </c>
      <c r="E12" s="459" t="s">
        <v>1</v>
      </c>
      <c r="F12" s="459" t="s">
        <v>7</v>
      </c>
      <c r="G12" s="463" t="s">
        <v>5</v>
      </c>
      <c r="H12" s="202" t="s">
        <v>20</v>
      </c>
      <c r="I12" s="203" t="s">
        <v>20</v>
      </c>
      <c r="J12" s="203" t="s">
        <v>20</v>
      </c>
      <c r="K12" s="203" t="s">
        <v>20</v>
      </c>
      <c r="L12" s="204" t="s">
        <v>20</v>
      </c>
      <c r="M12" s="202" t="s">
        <v>20</v>
      </c>
      <c r="N12" s="203" t="s">
        <v>20</v>
      </c>
      <c r="O12" s="203" t="s">
        <v>20</v>
      </c>
      <c r="P12" s="204" t="s">
        <v>20</v>
      </c>
      <c r="Q12" s="202" t="s">
        <v>20</v>
      </c>
      <c r="R12" s="203" t="s">
        <v>20</v>
      </c>
      <c r="S12" s="203" t="s">
        <v>20</v>
      </c>
      <c r="T12" s="203" t="s">
        <v>20</v>
      </c>
      <c r="U12" s="204" t="s">
        <v>20</v>
      </c>
      <c r="V12" s="202" t="s">
        <v>20</v>
      </c>
      <c r="W12" s="203" t="s">
        <v>20</v>
      </c>
      <c r="X12" s="203" t="s">
        <v>20</v>
      </c>
      <c r="Y12" s="204" t="s">
        <v>20</v>
      </c>
      <c r="Z12" s="202" t="s">
        <v>20</v>
      </c>
      <c r="AA12" s="203" t="s">
        <v>20</v>
      </c>
      <c r="AB12" s="203" t="s">
        <v>20</v>
      </c>
      <c r="AC12" s="203" t="s">
        <v>20</v>
      </c>
      <c r="AD12" s="204" t="s">
        <v>20</v>
      </c>
      <c r="AE12" s="202" t="s">
        <v>20</v>
      </c>
      <c r="AF12" s="203" t="s">
        <v>20</v>
      </c>
      <c r="AG12" s="203" t="s">
        <v>20</v>
      </c>
      <c r="AH12" s="204" t="s">
        <v>20</v>
      </c>
      <c r="AI12" s="202" t="s">
        <v>20</v>
      </c>
      <c r="AJ12" s="203" t="s">
        <v>20</v>
      </c>
      <c r="AK12" s="203" t="s">
        <v>20</v>
      </c>
      <c r="AL12" s="204" t="s">
        <v>20</v>
      </c>
      <c r="AM12" s="202" t="s">
        <v>20</v>
      </c>
      <c r="AN12" s="203" t="s">
        <v>20</v>
      </c>
      <c r="AO12" s="203" t="s">
        <v>20</v>
      </c>
      <c r="AP12" s="203" t="s">
        <v>20</v>
      </c>
      <c r="AQ12" s="204" t="s">
        <v>20</v>
      </c>
      <c r="AR12" s="202" t="s">
        <v>20</v>
      </c>
      <c r="AS12" s="203" t="s">
        <v>20</v>
      </c>
      <c r="AT12" s="203" t="s">
        <v>20</v>
      </c>
      <c r="AU12" s="204" t="s">
        <v>20</v>
      </c>
      <c r="AV12" s="202" t="s">
        <v>20</v>
      </c>
      <c r="AW12" s="203" t="s">
        <v>20</v>
      </c>
      <c r="AX12" s="203" t="s">
        <v>20</v>
      </c>
      <c r="AY12" s="204" t="s">
        <v>20</v>
      </c>
      <c r="AZ12" s="202" t="s">
        <v>20</v>
      </c>
      <c r="BA12" s="203" t="s">
        <v>20</v>
      </c>
      <c r="BB12" s="203" t="s">
        <v>20</v>
      </c>
      <c r="BC12" s="203" t="s">
        <v>20</v>
      </c>
      <c r="BD12" s="204" t="s">
        <v>20</v>
      </c>
      <c r="BE12" s="202" t="s">
        <v>20</v>
      </c>
      <c r="BF12" s="203" t="s">
        <v>20</v>
      </c>
      <c r="BG12" s="203" t="s">
        <v>20</v>
      </c>
      <c r="BH12" s="204" t="s">
        <v>20</v>
      </c>
      <c r="BI12" s="459" t="s">
        <v>23</v>
      </c>
      <c r="BJ12" s="459" t="s">
        <v>241</v>
      </c>
      <c r="BK12" s="459" t="s">
        <v>240</v>
      </c>
      <c r="BL12" s="205"/>
      <c r="BM12" s="206"/>
      <c r="BN12" s="206"/>
      <c r="BO12" s="206" t="s">
        <v>24</v>
      </c>
      <c r="BP12" s="206">
        <v>0</v>
      </c>
      <c r="BQ12" s="206">
        <v>0</v>
      </c>
      <c r="BR12" s="227">
        <v>0</v>
      </c>
      <c r="BS12" s="227">
        <v>0</v>
      </c>
      <c r="BT12" s="227">
        <v>0</v>
      </c>
      <c r="BU12" s="227">
        <v>0</v>
      </c>
      <c r="BV12" s="227">
        <v>0</v>
      </c>
      <c r="BW12" s="227">
        <v>0</v>
      </c>
      <c r="BX12" s="227">
        <v>0</v>
      </c>
      <c r="BY12" s="227">
        <v>0</v>
      </c>
      <c r="BZ12" s="227">
        <v>0</v>
      </c>
      <c r="CA12" s="227">
        <v>0</v>
      </c>
    </row>
    <row r="13" spans="1:79" ht="18" customHeight="1" thickBot="1">
      <c r="A13" s="206"/>
      <c r="B13" s="206"/>
      <c r="C13" s="206"/>
      <c r="D13" s="459"/>
      <c r="E13" s="459"/>
      <c r="F13" s="459"/>
      <c r="G13" s="463"/>
      <c r="H13" s="207">
        <v>42730</v>
      </c>
      <c r="I13" s="208">
        <f>+H13+7</f>
        <v>42737</v>
      </c>
      <c r="J13" s="208">
        <f>+I13+7</f>
        <v>42744</v>
      </c>
      <c r="K13" s="208">
        <f t="shared" ref="K13:BH13" si="0">+J13+7</f>
        <v>42751</v>
      </c>
      <c r="L13" s="209">
        <f t="shared" si="0"/>
        <v>42758</v>
      </c>
      <c r="M13" s="207">
        <f t="shared" si="0"/>
        <v>42765</v>
      </c>
      <c r="N13" s="208">
        <f t="shared" si="0"/>
        <v>42772</v>
      </c>
      <c r="O13" s="208">
        <f t="shared" si="0"/>
        <v>42779</v>
      </c>
      <c r="P13" s="209">
        <f t="shared" si="0"/>
        <v>42786</v>
      </c>
      <c r="Q13" s="207">
        <f t="shared" si="0"/>
        <v>42793</v>
      </c>
      <c r="R13" s="208">
        <f t="shared" si="0"/>
        <v>42800</v>
      </c>
      <c r="S13" s="208">
        <f t="shared" si="0"/>
        <v>42807</v>
      </c>
      <c r="T13" s="208">
        <f t="shared" si="0"/>
        <v>42814</v>
      </c>
      <c r="U13" s="209">
        <f t="shared" si="0"/>
        <v>42821</v>
      </c>
      <c r="V13" s="207">
        <f t="shared" si="0"/>
        <v>42828</v>
      </c>
      <c r="W13" s="208">
        <f t="shared" si="0"/>
        <v>42835</v>
      </c>
      <c r="X13" s="208">
        <f t="shared" si="0"/>
        <v>42842</v>
      </c>
      <c r="Y13" s="209">
        <f t="shared" si="0"/>
        <v>42849</v>
      </c>
      <c r="Z13" s="207">
        <f t="shared" si="0"/>
        <v>42856</v>
      </c>
      <c r="AA13" s="208">
        <f t="shared" si="0"/>
        <v>42863</v>
      </c>
      <c r="AB13" s="208">
        <f t="shared" si="0"/>
        <v>42870</v>
      </c>
      <c r="AC13" s="208">
        <f t="shared" si="0"/>
        <v>42877</v>
      </c>
      <c r="AD13" s="209">
        <f t="shared" si="0"/>
        <v>42884</v>
      </c>
      <c r="AE13" s="207">
        <f t="shared" si="0"/>
        <v>42891</v>
      </c>
      <c r="AF13" s="208">
        <f t="shared" si="0"/>
        <v>42898</v>
      </c>
      <c r="AG13" s="208">
        <f t="shared" si="0"/>
        <v>42905</v>
      </c>
      <c r="AH13" s="209">
        <f t="shared" si="0"/>
        <v>42912</v>
      </c>
      <c r="AI13" s="207">
        <f t="shared" si="0"/>
        <v>42919</v>
      </c>
      <c r="AJ13" s="208">
        <f t="shared" si="0"/>
        <v>42926</v>
      </c>
      <c r="AK13" s="208">
        <f t="shared" si="0"/>
        <v>42933</v>
      </c>
      <c r="AL13" s="209">
        <f t="shared" si="0"/>
        <v>42940</v>
      </c>
      <c r="AM13" s="207">
        <f t="shared" si="0"/>
        <v>42947</v>
      </c>
      <c r="AN13" s="208">
        <f t="shared" si="0"/>
        <v>42954</v>
      </c>
      <c r="AO13" s="208">
        <f t="shared" si="0"/>
        <v>42961</v>
      </c>
      <c r="AP13" s="208">
        <f t="shared" si="0"/>
        <v>42968</v>
      </c>
      <c r="AQ13" s="209">
        <f t="shared" si="0"/>
        <v>42975</v>
      </c>
      <c r="AR13" s="207">
        <f t="shared" si="0"/>
        <v>42982</v>
      </c>
      <c r="AS13" s="208">
        <f t="shared" si="0"/>
        <v>42989</v>
      </c>
      <c r="AT13" s="208">
        <f t="shared" si="0"/>
        <v>42996</v>
      </c>
      <c r="AU13" s="209">
        <f t="shared" si="0"/>
        <v>43003</v>
      </c>
      <c r="AV13" s="207">
        <f t="shared" si="0"/>
        <v>43010</v>
      </c>
      <c r="AW13" s="208">
        <f t="shared" si="0"/>
        <v>43017</v>
      </c>
      <c r="AX13" s="208">
        <f t="shared" si="0"/>
        <v>43024</v>
      </c>
      <c r="AY13" s="209">
        <f t="shared" si="0"/>
        <v>43031</v>
      </c>
      <c r="AZ13" s="207">
        <f t="shared" si="0"/>
        <v>43038</v>
      </c>
      <c r="BA13" s="208">
        <f t="shared" si="0"/>
        <v>43045</v>
      </c>
      <c r="BB13" s="208">
        <f t="shared" si="0"/>
        <v>43052</v>
      </c>
      <c r="BC13" s="208">
        <f t="shared" si="0"/>
        <v>43059</v>
      </c>
      <c r="BD13" s="209">
        <f t="shared" si="0"/>
        <v>43066</v>
      </c>
      <c r="BE13" s="207">
        <f t="shared" si="0"/>
        <v>43073</v>
      </c>
      <c r="BF13" s="208">
        <f t="shared" si="0"/>
        <v>43080</v>
      </c>
      <c r="BG13" s="208">
        <f t="shared" si="0"/>
        <v>43087</v>
      </c>
      <c r="BH13" s="209">
        <f t="shared" si="0"/>
        <v>43094</v>
      </c>
      <c r="BI13" s="459"/>
      <c r="BJ13" s="459"/>
      <c r="BK13" s="459"/>
      <c r="BL13" s="205"/>
      <c r="BM13" s="447" t="s">
        <v>260</v>
      </c>
      <c r="BN13" s="448"/>
      <c r="BO13" s="206" t="s">
        <v>46</v>
      </c>
      <c r="BP13" s="206">
        <v>0</v>
      </c>
      <c r="BQ13" s="206">
        <v>0</v>
      </c>
      <c r="BR13" s="227">
        <v>0</v>
      </c>
      <c r="BS13" s="227">
        <v>0</v>
      </c>
      <c r="BT13" s="227">
        <v>0</v>
      </c>
      <c r="BU13" s="227">
        <v>0</v>
      </c>
      <c r="BV13" s="227">
        <v>0</v>
      </c>
      <c r="BW13" s="227">
        <v>0</v>
      </c>
      <c r="BX13" s="227">
        <v>0</v>
      </c>
      <c r="BY13" s="227">
        <v>0</v>
      </c>
      <c r="BZ13" s="227">
        <v>0</v>
      </c>
      <c r="CA13" s="227">
        <v>0</v>
      </c>
    </row>
    <row r="14" spans="1:79" ht="18" customHeight="1" thickBot="1">
      <c r="D14" s="455" t="s">
        <v>34</v>
      </c>
      <c r="E14" s="456"/>
      <c r="F14" s="457"/>
      <c r="G14" s="458"/>
      <c r="H14" s="320" t="s">
        <v>3</v>
      </c>
      <c r="I14" s="393"/>
      <c r="J14" s="393"/>
      <c r="K14" s="393"/>
      <c r="L14" s="395"/>
      <c r="M14" s="323"/>
      <c r="N14" s="394"/>
      <c r="O14" s="394"/>
      <c r="P14" s="325"/>
      <c r="Q14" s="320"/>
      <c r="R14" s="393"/>
      <c r="S14" s="393"/>
      <c r="T14" s="393"/>
      <c r="U14" s="395"/>
      <c r="V14" s="394"/>
      <c r="W14" s="394"/>
      <c r="X14" s="394"/>
      <c r="Y14" s="394"/>
      <c r="Z14" s="380"/>
      <c r="AA14" s="393"/>
      <c r="AB14" s="393"/>
      <c r="AC14" s="393"/>
      <c r="AD14" s="395"/>
      <c r="AE14" s="394"/>
      <c r="AF14" s="394"/>
      <c r="AG14" s="394"/>
      <c r="AH14" s="394"/>
      <c r="AI14" s="323"/>
      <c r="AJ14" s="393"/>
      <c r="AK14" s="393"/>
      <c r="AL14" s="395"/>
      <c r="AM14" s="393"/>
      <c r="AN14" s="394"/>
      <c r="AO14" s="394"/>
      <c r="AP14" s="394"/>
      <c r="AQ14" s="394"/>
      <c r="AR14" s="323"/>
      <c r="AS14" s="393"/>
      <c r="AT14" s="393"/>
      <c r="AU14" s="395"/>
      <c r="AV14" s="394"/>
      <c r="AW14" s="394"/>
      <c r="AX14" s="394"/>
      <c r="AY14" s="394"/>
      <c r="AZ14" s="320"/>
      <c r="BA14" s="393"/>
      <c r="BB14" s="393"/>
      <c r="BC14" s="393"/>
      <c r="BD14" s="395"/>
      <c r="BE14" s="394"/>
      <c r="BF14" s="394"/>
      <c r="BG14" s="394"/>
      <c r="BH14" s="394"/>
      <c r="BI14" s="452"/>
      <c r="BJ14" s="453"/>
      <c r="BK14" s="454"/>
      <c r="BL14" s="231"/>
      <c r="BM14" s="400" t="s">
        <v>258</v>
      </c>
      <c r="BN14" s="351" t="s">
        <v>259</v>
      </c>
      <c r="BO14" s="227" t="s">
        <v>134</v>
      </c>
      <c r="BP14" s="227">
        <v>0</v>
      </c>
      <c r="BQ14" s="227">
        <v>0</v>
      </c>
      <c r="BR14" s="227">
        <v>0</v>
      </c>
      <c r="BS14" s="227">
        <v>0</v>
      </c>
      <c r="BT14" s="227">
        <v>0</v>
      </c>
      <c r="BU14" s="227">
        <v>0</v>
      </c>
      <c r="BV14" s="227">
        <v>0</v>
      </c>
      <c r="BW14" s="227">
        <v>0</v>
      </c>
      <c r="BX14" s="227">
        <v>0</v>
      </c>
      <c r="BY14" s="227">
        <v>0</v>
      </c>
      <c r="BZ14" s="227">
        <v>0</v>
      </c>
      <c r="CA14" s="227">
        <v>0</v>
      </c>
    </row>
    <row r="15" spans="1:79" ht="18" customHeight="1" thickBot="1">
      <c r="B15" s="227" t="s">
        <v>246</v>
      </c>
      <c r="C15" s="279" t="s">
        <v>157</v>
      </c>
      <c r="D15" s="248" t="s">
        <v>261</v>
      </c>
      <c r="E15" s="249" t="s">
        <v>273</v>
      </c>
      <c r="F15" s="250" t="s">
        <v>265</v>
      </c>
      <c r="G15" s="248"/>
      <c r="H15" s="402"/>
      <c r="I15" s="401"/>
      <c r="J15" s="401"/>
      <c r="K15" s="401"/>
      <c r="L15" s="401"/>
      <c r="M15" s="402"/>
      <c r="N15" s="401"/>
      <c r="O15" s="401"/>
      <c r="P15" s="403"/>
      <c r="Q15" s="401"/>
      <c r="R15" s="401"/>
      <c r="S15" s="401"/>
      <c r="T15" s="401"/>
      <c r="U15" s="401"/>
      <c r="V15" s="402"/>
      <c r="W15" s="444" t="s">
        <v>281</v>
      </c>
      <c r="X15" s="445"/>
      <c r="Y15" s="445"/>
      <c r="Z15" s="446"/>
      <c r="AA15" s="401"/>
      <c r="AB15" s="401"/>
      <c r="AC15" s="401"/>
      <c r="AD15" s="401"/>
      <c r="AE15" s="402"/>
      <c r="AF15" s="401"/>
      <c r="AG15" s="401"/>
      <c r="AH15" s="403"/>
      <c r="AI15" s="401"/>
      <c r="AJ15" s="401"/>
      <c r="AK15" s="401"/>
      <c r="AL15" s="401"/>
      <c r="AM15" s="402"/>
      <c r="AN15" s="401"/>
      <c r="AO15" s="401"/>
      <c r="AP15" s="401"/>
      <c r="AQ15" s="403"/>
      <c r="AR15" s="401"/>
      <c r="AS15" s="401"/>
      <c r="AT15" s="401"/>
      <c r="AU15" s="401"/>
      <c r="AV15" s="402"/>
      <c r="AW15" s="401"/>
      <c r="AX15" s="401"/>
      <c r="AY15" s="403"/>
      <c r="AZ15" s="401"/>
      <c r="BA15" s="401"/>
      <c r="BB15" s="401"/>
      <c r="BC15" s="401"/>
      <c r="BD15" s="401"/>
      <c r="BE15" s="402"/>
      <c r="BF15" s="401"/>
      <c r="BG15" s="401"/>
      <c r="BH15" s="403"/>
      <c r="BI15" s="210">
        <v>142</v>
      </c>
      <c r="BJ15" s="406">
        <v>92499298</v>
      </c>
      <c r="BK15" s="290">
        <v>92499298</v>
      </c>
      <c r="BM15" s="349"/>
      <c r="BN15" s="344"/>
      <c r="BO15" s="227" t="s">
        <v>140</v>
      </c>
      <c r="BP15" s="227">
        <v>0</v>
      </c>
      <c r="BQ15" s="227">
        <v>0</v>
      </c>
      <c r="BR15" s="227">
        <v>0</v>
      </c>
      <c r="BS15" s="227">
        <v>0</v>
      </c>
      <c r="BT15" s="227">
        <v>0</v>
      </c>
      <c r="BU15" s="227">
        <v>0</v>
      </c>
      <c r="BV15" s="227">
        <v>0</v>
      </c>
      <c r="BW15" s="227">
        <v>0</v>
      </c>
      <c r="BX15" s="227">
        <v>0</v>
      </c>
      <c r="BY15" s="227">
        <v>0</v>
      </c>
      <c r="BZ15" s="227">
        <v>0</v>
      </c>
      <c r="CA15" s="227">
        <v>0</v>
      </c>
    </row>
    <row r="16" spans="1:79" ht="18" customHeight="1" thickBot="1">
      <c r="B16" s="227" t="s">
        <v>246</v>
      </c>
      <c r="C16" s="279" t="s">
        <v>157</v>
      </c>
      <c r="D16" s="262"/>
      <c r="E16" s="263"/>
      <c r="F16" s="252" t="s">
        <v>271</v>
      </c>
      <c r="G16" s="262"/>
      <c r="H16" s="226"/>
      <c r="I16" s="210"/>
      <c r="J16" s="210"/>
      <c r="K16" s="210"/>
      <c r="L16" s="210"/>
      <c r="M16" s="226"/>
      <c r="N16" s="210"/>
      <c r="O16" s="210"/>
      <c r="P16" s="211"/>
      <c r="Q16" s="210"/>
      <c r="R16" s="210"/>
      <c r="S16" s="210"/>
      <c r="T16" s="210"/>
      <c r="U16" s="210"/>
      <c r="V16" s="226"/>
      <c r="W16" s="210"/>
      <c r="X16" s="210"/>
      <c r="Y16" s="210"/>
      <c r="Z16" s="210"/>
      <c r="AA16" s="210"/>
      <c r="AB16" s="210"/>
      <c r="AC16" s="210"/>
      <c r="AD16" s="210"/>
      <c r="AE16" s="226"/>
      <c r="AF16" s="210"/>
      <c r="AG16" s="210"/>
      <c r="AH16" s="211"/>
      <c r="AI16" s="210"/>
      <c r="AJ16" s="210"/>
      <c r="AK16" s="210"/>
      <c r="AL16" s="210"/>
      <c r="AM16" s="226"/>
      <c r="AN16" s="210"/>
      <c r="AO16" s="210"/>
      <c r="AP16" s="210"/>
      <c r="AQ16" s="211"/>
      <c r="AR16" s="210"/>
      <c r="AS16" s="210"/>
      <c r="AT16" s="210"/>
      <c r="AU16" s="210"/>
      <c r="AV16" s="226"/>
      <c r="AW16" s="210"/>
      <c r="AX16" s="210"/>
      <c r="AY16" s="211"/>
      <c r="AZ16" s="210"/>
      <c r="BA16" s="210"/>
      <c r="BB16" s="210"/>
      <c r="BC16" s="210"/>
      <c r="BD16" s="210"/>
      <c r="BE16" s="226"/>
      <c r="BF16" s="210"/>
      <c r="BG16" s="210"/>
      <c r="BH16" s="211"/>
      <c r="BI16" s="210"/>
      <c r="BJ16" s="381"/>
      <c r="BK16" s="290"/>
      <c r="BM16" s="349"/>
      <c r="BN16" s="350"/>
      <c r="BO16" s="227" t="s">
        <v>135</v>
      </c>
      <c r="BP16" s="227">
        <v>0</v>
      </c>
      <c r="BQ16" s="227">
        <v>0</v>
      </c>
      <c r="BR16" s="227">
        <v>0</v>
      </c>
      <c r="BS16" s="227">
        <v>0</v>
      </c>
      <c r="BT16" s="227">
        <v>0</v>
      </c>
      <c r="BU16" s="227">
        <v>0</v>
      </c>
      <c r="BV16" s="227">
        <v>0</v>
      </c>
      <c r="BW16" s="227">
        <v>0</v>
      </c>
      <c r="BX16" s="227">
        <v>0</v>
      </c>
      <c r="BY16" s="227">
        <v>0</v>
      </c>
      <c r="BZ16" s="227">
        <v>0</v>
      </c>
      <c r="CA16" s="227">
        <v>0</v>
      </c>
    </row>
    <row r="17" spans="2:79" ht="18" customHeight="1" thickBot="1">
      <c r="B17" s="227" t="s">
        <v>246</v>
      </c>
      <c r="C17" s="279" t="s">
        <v>157</v>
      </c>
      <c r="D17" s="262"/>
      <c r="E17" s="263" t="s">
        <v>270</v>
      </c>
      <c r="F17" s="252" t="s">
        <v>272</v>
      </c>
      <c r="G17" s="262"/>
      <c r="H17" s="226"/>
      <c r="I17" s="210"/>
      <c r="J17" s="210"/>
      <c r="K17" s="210"/>
      <c r="L17" s="210"/>
      <c r="M17" s="226"/>
      <c r="N17" s="210"/>
      <c r="O17" s="210"/>
      <c r="P17" s="211"/>
      <c r="Q17" s="210"/>
      <c r="R17" s="210"/>
      <c r="S17" s="210"/>
      <c r="T17" s="210"/>
      <c r="U17" s="210"/>
      <c r="V17" s="226"/>
      <c r="W17" s="210"/>
      <c r="X17" s="486" t="s">
        <v>282</v>
      </c>
      <c r="Y17" s="485"/>
      <c r="Z17" s="484"/>
      <c r="AA17" s="210"/>
      <c r="AB17" s="210"/>
      <c r="AC17" s="210"/>
      <c r="AD17" s="210"/>
      <c r="AE17" s="226"/>
      <c r="AF17" s="210"/>
      <c r="AG17" s="210"/>
      <c r="AH17" s="211"/>
      <c r="AI17" s="210"/>
      <c r="AJ17" s="210"/>
      <c r="AK17" s="210"/>
      <c r="AL17" s="210"/>
      <c r="AM17" s="226"/>
      <c r="AN17" s="210"/>
      <c r="AO17" s="210"/>
      <c r="AP17" s="210"/>
      <c r="AQ17" s="211"/>
      <c r="AR17" s="210"/>
      <c r="AS17" s="210"/>
      <c r="AT17" s="210"/>
      <c r="AU17" s="210"/>
      <c r="AV17" s="226"/>
      <c r="AW17" s="210"/>
      <c r="AX17" s="210"/>
      <c r="AY17" s="211"/>
      <c r="AZ17" s="210"/>
      <c r="BA17" s="210"/>
      <c r="BB17" s="210"/>
      <c r="BC17" s="210"/>
      <c r="BD17" s="210"/>
      <c r="BE17" s="226"/>
      <c r="BF17" s="210"/>
      <c r="BG17" s="210"/>
      <c r="BH17" s="211"/>
      <c r="BI17" s="210"/>
      <c r="BJ17" s="381"/>
      <c r="BK17" s="290"/>
      <c r="BM17" s="349"/>
      <c r="BN17" s="350"/>
      <c r="BO17" s="227" t="s">
        <v>136</v>
      </c>
      <c r="BP17" s="227">
        <v>0</v>
      </c>
      <c r="BQ17" s="227">
        <v>0</v>
      </c>
      <c r="BR17" s="227">
        <v>0</v>
      </c>
      <c r="BS17" s="227">
        <v>0</v>
      </c>
      <c r="BT17" s="227">
        <v>0</v>
      </c>
      <c r="BU17" s="227">
        <v>0</v>
      </c>
      <c r="BV17" s="227">
        <v>0</v>
      </c>
      <c r="BW17" s="227">
        <v>0</v>
      </c>
      <c r="BX17" s="227">
        <v>0</v>
      </c>
      <c r="BY17" s="227">
        <v>0</v>
      </c>
      <c r="BZ17" s="227">
        <v>0</v>
      </c>
      <c r="CA17" s="227">
        <v>0</v>
      </c>
    </row>
    <row r="18" spans="2:79" ht="18" customHeight="1" thickBot="1">
      <c r="B18" s="227" t="s">
        <v>246</v>
      </c>
      <c r="C18" s="279" t="s">
        <v>157</v>
      </c>
      <c r="D18" s="262"/>
      <c r="E18" s="263"/>
      <c r="F18" s="252" t="s">
        <v>271</v>
      </c>
      <c r="G18" s="262"/>
      <c r="H18" s="226"/>
      <c r="I18" s="210"/>
      <c r="J18" s="210"/>
      <c r="K18" s="210"/>
      <c r="L18" s="210"/>
      <c r="M18" s="226"/>
      <c r="N18" s="210"/>
      <c r="O18" s="210"/>
      <c r="P18" s="211"/>
      <c r="Q18" s="210"/>
      <c r="R18" s="210"/>
      <c r="S18" s="210"/>
      <c r="T18" s="210"/>
      <c r="U18" s="210"/>
      <c r="V18" s="226"/>
      <c r="W18" s="210"/>
      <c r="X18" s="486" t="s">
        <v>282</v>
      </c>
      <c r="Y18" s="485"/>
      <c r="Z18" s="484"/>
      <c r="AA18" s="210"/>
      <c r="AB18" s="210"/>
      <c r="AC18" s="210"/>
      <c r="AD18" s="210"/>
      <c r="AE18" s="226"/>
      <c r="AF18" s="210"/>
      <c r="AG18" s="210"/>
      <c r="AH18" s="211"/>
      <c r="AI18" s="210"/>
      <c r="AJ18" s="210"/>
      <c r="AK18" s="210"/>
      <c r="AL18" s="210"/>
      <c r="AM18" s="226"/>
      <c r="AN18" s="210"/>
      <c r="AO18" s="210"/>
      <c r="AP18" s="210"/>
      <c r="AQ18" s="211"/>
      <c r="AR18" s="210"/>
      <c r="AS18" s="210"/>
      <c r="AT18" s="210"/>
      <c r="AU18" s="210"/>
      <c r="AV18" s="226"/>
      <c r="AW18" s="210"/>
      <c r="AX18" s="210"/>
      <c r="AY18" s="211"/>
      <c r="AZ18" s="210"/>
      <c r="BA18" s="210"/>
      <c r="BB18" s="210"/>
      <c r="BC18" s="210"/>
      <c r="BD18" s="210"/>
      <c r="BE18" s="226"/>
      <c r="BF18" s="210"/>
      <c r="BG18" s="210"/>
      <c r="BH18" s="211"/>
      <c r="BI18" s="210"/>
      <c r="BJ18" s="381"/>
      <c r="BK18" s="290"/>
      <c r="BM18" s="349"/>
      <c r="BN18" s="350"/>
    </row>
    <row r="19" spans="2:79" ht="18" customHeight="1" thickBot="1">
      <c r="B19" s="227" t="s">
        <v>246</v>
      </c>
      <c r="C19" s="279" t="s">
        <v>157</v>
      </c>
      <c r="D19" s="262"/>
      <c r="E19" s="263"/>
      <c r="F19" s="252" t="s">
        <v>263</v>
      </c>
      <c r="G19" s="262"/>
      <c r="H19" s="226"/>
      <c r="I19" s="210"/>
      <c r="J19" s="210"/>
      <c r="K19" s="210"/>
      <c r="L19" s="210"/>
      <c r="M19" s="226"/>
      <c r="N19" s="210"/>
      <c r="O19" s="210"/>
      <c r="P19" s="211"/>
      <c r="Q19" s="210"/>
      <c r="R19" s="210"/>
      <c r="S19" s="210"/>
      <c r="T19" s="210"/>
      <c r="U19" s="210"/>
      <c r="V19" s="226"/>
      <c r="W19" s="210"/>
      <c r="X19" s="486" t="s">
        <v>282</v>
      </c>
      <c r="Y19" s="485"/>
      <c r="Z19" s="484"/>
      <c r="AA19" s="210"/>
      <c r="AB19" s="210"/>
      <c r="AC19" s="210"/>
      <c r="AD19" s="210"/>
      <c r="AE19" s="226"/>
      <c r="AF19" s="210"/>
      <c r="AG19" s="210"/>
      <c r="AH19" s="211"/>
      <c r="AI19" s="210"/>
      <c r="AJ19" s="210"/>
      <c r="AK19" s="210"/>
      <c r="AL19" s="210"/>
      <c r="AM19" s="226"/>
      <c r="AN19" s="210"/>
      <c r="AO19" s="210"/>
      <c r="AP19" s="210"/>
      <c r="AQ19" s="211"/>
      <c r="AR19" s="210"/>
      <c r="AS19" s="210"/>
      <c r="AT19" s="210"/>
      <c r="AU19" s="210"/>
      <c r="AV19" s="226"/>
      <c r="AW19" s="210"/>
      <c r="AX19" s="210"/>
      <c r="AY19" s="211"/>
      <c r="AZ19" s="210"/>
      <c r="BA19" s="210"/>
      <c r="BB19" s="210"/>
      <c r="BC19" s="210"/>
      <c r="BD19" s="210"/>
      <c r="BE19" s="226"/>
      <c r="BF19" s="210"/>
      <c r="BG19" s="210"/>
      <c r="BH19" s="211"/>
      <c r="BI19" s="210"/>
      <c r="BJ19" s="381"/>
      <c r="BK19" s="290"/>
      <c r="BM19" s="349"/>
      <c r="BN19" s="350"/>
    </row>
    <row r="20" spans="2:79" ht="18" customHeight="1" thickBot="1">
      <c r="B20" s="227" t="s">
        <v>246</v>
      </c>
      <c r="C20" s="279" t="s">
        <v>157</v>
      </c>
      <c r="D20" s="262"/>
      <c r="E20" s="263" t="s">
        <v>274</v>
      </c>
      <c r="F20" s="252" t="s">
        <v>265</v>
      </c>
      <c r="G20" s="262"/>
      <c r="H20" s="226"/>
      <c r="I20" s="210"/>
      <c r="J20" s="210"/>
      <c r="K20" s="210"/>
      <c r="L20" s="210"/>
      <c r="M20" s="226"/>
      <c r="N20" s="210"/>
      <c r="O20" s="210"/>
      <c r="P20" s="211"/>
      <c r="Q20" s="210"/>
      <c r="R20" s="210"/>
      <c r="S20" s="210"/>
      <c r="T20" s="210"/>
      <c r="U20" s="210"/>
      <c r="V20" s="226"/>
      <c r="W20" s="486" t="s">
        <v>283</v>
      </c>
      <c r="X20" s="485"/>
      <c r="Y20" s="485"/>
      <c r="Z20" s="485"/>
      <c r="AA20" s="484"/>
      <c r="AB20" s="210"/>
      <c r="AC20" s="210"/>
      <c r="AD20" s="210"/>
      <c r="AE20" s="226"/>
      <c r="AF20" s="210"/>
      <c r="AG20" s="210"/>
      <c r="AH20" s="211"/>
      <c r="AI20" s="210"/>
      <c r="AJ20" s="210"/>
      <c r="AK20" s="210"/>
      <c r="AL20" s="210"/>
      <c r="AM20" s="226"/>
      <c r="AN20" s="210"/>
      <c r="AO20" s="210"/>
      <c r="AP20" s="210"/>
      <c r="AQ20" s="211"/>
      <c r="AR20" s="210"/>
      <c r="AS20" s="210"/>
      <c r="AT20" s="210"/>
      <c r="AU20" s="210"/>
      <c r="AV20" s="226"/>
      <c r="AW20" s="210"/>
      <c r="AX20" s="210"/>
      <c r="AY20" s="211"/>
      <c r="AZ20" s="210"/>
      <c r="BA20" s="210"/>
      <c r="BB20" s="210"/>
      <c r="BC20" s="210"/>
      <c r="BD20" s="210"/>
      <c r="BE20" s="226"/>
      <c r="BF20" s="210"/>
      <c r="BG20" s="210"/>
      <c r="BH20" s="211"/>
      <c r="BI20" s="210"/>
      <c r="BJ20" s="381"/>
      <c r="BK20" s="290"/>
      <c r="BM20" s="349"/>
      <c r="BN20" s="350"/>
      <c r="BO20" s="227" t="s">
        <v>157</v>
      </c>
      <c r="BP20" s="227" t="s">
        <v>148</v>
      </c>
      <c r="BQ20" s="227" t="s">
        <v>112</v>
      </c>
      <c r="BR20" s="227" t="s">
        <v>28</v>
      </c>
      <c r="BS20" s="227" t="s">
        <v>21</v>
      </c>
      <c r="BT20" s="227" t="s">
        <v>22</v>
      </c>
      <c r="BU20" s="227" t="s">
        <v>31</v>
      </c>
      <c r="BV20" s="227" t="s">
        <v>32</v>
      </c>
      <c r="BW20" s="227" t="s">
        <v>33</v>
      </c>
      <c r="BX20" s="227" t="s">
        <v>26</v>
      </c>
      <c r="BY20" s="227" t="s">
        <v>27</v>
      </c>
      <c r="BZ20" s="227" t="s">
        <v>25</v>
      </c>
      <c r="CA20" s="227" t="s">
        <v>29</v>
      </c>
    </row>
    <row r="21" spans="2:79" ht="18" customHeight="1" thickBot="1">
      <c r="B21" s="227" t="s">
        <v>246</v>
      </c>
      <c r="C21" s="279" t="s">
        <v>157</v>
      </c>
      <c r="D21" s="262"/>
      <c r="E21" s="263"/>
      <c r="F21" s="252" t="s">
        <v>271</v>
      </c>
      <c r="G21" s="262"/>
      <c r="H21" s="226"/>
      <c r="I21" s="210"/>
      <c r="J21" s="210"/>
      <c r="K21" s="210"/>
      <c r="L21" s="210"/>
      <c r="M21" s="226"/>
      <c r="N21" s="210"/>
      <c r="O21" s="210"/>
      <c r="P21" s="211"/>
      <c r="Q21" s="210"/>
      <c r="R21" s="210"/>
      <c r="S21" s="210"/>
      <c r="T21" s="210"/>
      <c r="U21" s="210"/>
      <c r="V21" s="226"/>
      <c r="W21" s="486" t="s">
        <v>283</v>
      </c>
      <c r="X21" s="485"/>
      <c r="Y21" s="485"/>
      <c r="Z21" s="485"/>
      <c r="AA21" s="484"/>
      <c r="AB21" s="210"/>
      <c r="AC21" s="210"/>
      <c r="AD21" s="210"/>
      <c r="AE21" s="226"/>
      <c r="AF21" s="210"/>
      <c r="AG21" s="210"/>
      <c r="AH21" s="211"/>
      <c r="AI21" s="210"/>
      <c r="AJ21" s="210"/>
      <c r="AK21" s="210"/>
      <c r="AL21" s="210"/>
      <c r="AM21" s="226"/>
      <c r="AN21" s="210"/>
      <c r="AO21" s="210"/>
      <c r="AP21" s="210"/>
      <c r="AQ21" s="211"/>
      <c r="AR21" s="210"/>
      <c r="AS21" s="210"/>
      <c r="AT21" s="210"/>
      <c r="AU21" s="210"/>
      <c r="AV21" s="226"/>
      <c r="AW21" s="210"/>
      <c r="AX21" s="210"/>
      <c r="AY21" s="211"/>
      <c r="AZ21" s="210"/>
      <c r="BA21" s="210"/>
      <c r="BB21" s="210"/>
      <c r="BC21" s="210"/>
      <c r="BD21" s="210"/>
      <c r="BE21" s="226"/>
      <c r="BF21" s="210"/>
      <c r="BG21" s="210"/>
      <c r="BH21" s="211"/>
      <c r="BI21" s="210"/>
      <c r="BJ21" s="381"/>
      <c r="BK21" s="290"/>
      <c r="BM21" s="349"/>
      <c r="BN21" s="350"/>
      <c r="BO21" s="227" t="s">
        <v>34</v>
      </c>
      <c r="BP21" s="227">
        <v>0</v>
      </c>
      <c r="BQ21" s="227">
        <v>0</v>
      </c>
      <c r="BR21" s="227">
        <v>0</v>
      </c>
      <c r="BS21" s="227">
        <v>0</v>
      </c>
      <c r="BT21" s="227">
        <v>0</v>
      </c>
      <c r="BU21" s="227">
        <v>0</v>
      </c>
      <c r="BV21" s="227">
        <v>0</v>
      </c>
      <c r="BW21" s="227">
        <v>0</v>
      </c>
      <c r="BX21" s="227">
        <v>0</v>
      </c>
      <c r="BY21" s="227">
        <v>0</v>
      </c>
      <c r="BZ21" s="227">
        <v>0</v>
      </c>
      <c r="CA21" s="227">
        <v>0</v>
      </c>
    </row>
    <row r="22" spans="2:79" ht="18" customHeight="1" thickBot="1">
      <c r="B22" s="227" t="s">
        <v>246</v>
      </c>
      <c r="C22" s="279" t="s">
        <v>157</v>
      </c>
      <c r="D22" s="262"/>
      <c r="E22" s="263"/>
      <c r="F22" s="252" t="s">
        <v>275</v>
      </c>
      <c r="G22" s="262"/>
      <c r="H22" s="226"/>
      <c r="I22" s="210"/>
      <c r="J22" s="210"/>
      <c r="K22" s="210"/>
      <c r="L22" s="210"/>
      <c r="M22" s="226"/>
      <c r="N22" s="210"/>
      <c r="O22" s="210"/>
      <c r="P22" s="211"/>
      <c r="Q22" s="210"/>
      <c r="R22" s="210"/>
      <c r="S22" s="210"/>
      <c r="T22" s="210"/>
      <c r="U22" s="210"/>
      <c r="V22" s="226"/>
      <c r="W22" s="444" t="s">
        <v>283</v>
      </c>
      <c r="X22" s="485"/>
      <c r="Y22" s="485"/>
      <c r="Z22" s="485"/>
      <c r="AA22" s="446"/>
      <c r="AB22" s="210"/>
      <c r="AC22" s="210"/>
      <c r="AD22" s="210"/>
      <c r="AE22" s="226"/>
      <c r="AF22" s="210"/>
      <c r="AG22" s="210"/>
      <c r="AH22" s="211"/>
      <c r="AI22" s="210"/>
      <c r="AJ22" s="210"/>
      <c r="AK22" s="210"/>
      <c r="AL22" s="210"/>
      <c r="AM22" s="226"/>
      <c r="AN22" s="210"/>
      <c r="AO22" s="210"/>
      <c r="AP22" s="210"/>
      <c r="AQ22" s="211"/>
      <c r="AR22" s="210"/>
      <c r="AS22" s="210"/>
      <c r="AT22" s="210"/>
      <c r="AU22" s="210"/>
      <c r="AV22" s="226"/>
      <c r="AW22" s="210"/>
      <c r="AX22" s="210"/>
      <c r="AY22" s="211"/>
      <c r="AZ22" s="210"/>
      <c r="BA22" s="210"/>
      <c r="BB22" s="210"/>
      <c r="BC22" s="210"/>
      <c r="BD22" s="210"/>
      <c r="BE22" s="226"/>
      <c r="BF22" s="210"/>
      <c r="BG22" s="210"/>
      <c r="BH22" s="211"/>
      <c r="BI22" s="210"/>
      <c r="BJ22" s="381"/>
      <c r="BK22" s="290"/>
      <c r="BM22" s="349"/>
      <c r="BN22" s="350"/>
      <c r="BO22" s="227" t="s">
        <v>47</v>
      </c>
      <c r="BP22" s="227">
        <v>0</v>
      </c>
      <c r="BQ22" s="227">
        <v>0</v>
      </c>
      <c r="BR22" s="227">
        <v>0</v>
      </c>
      <c r="BS22" s="227">
        <v>0</v>
      </c>
      <c r="BT22" s="227">
        <v>0</v>
      </c>
      <c r="BU22" s="227">
        <v>0</v>
      </c>
      <c r="BV22" s="227">
        <v>0</v>
      </c>
      <c r="BW22" s="227">
        <v>0</v>
      </c>
      <c r="BX22" s="227">
        <v>0</v>
      </c>
      <c r="BY22" s="227">
        <v>0</v>
      </c>
      <c r="BZ22" s="227">
        <v>0</v>
      </c>
      <c r="CA22" s="227">
        <v>0</v>
      </c>
    </row>
    <row r="23" spans="2:79" ht="18" customHeight="1" thickBot="1">
      <c r="B23" s="227" t="s">
        <v>246</v>
      </c>
      <c r="C23" s="279" t="s">
        <v>157</v>
      </c>
      <c r="D23" s="262"/>
      <c r="E23" s="263" t="s">
        <v>276</v>
      </c>
      <c r="F23" s="252" t="s">
        <v>277</v>
      </c>
      <c r="G23" s="262"/>
      <c r="H23" s="226"/>
      <c r="I23" s="210"/>
      <c r="J23" s="210"/>
      <c r="K23" s="210"/>
      <c r="L23" s="210"/>
      <c r="M23" s="226"/>
      <c r="N23" s="210"/>
      <c r="O23" s="210"/>
      <c r="P23" s="211"/>
      <c r="Q23" s="210"/>
      <c r="R23" s="210"/>
      <c r="S23" s="210"/>
      <c r="T23" s="210"/>
      <c r="U23" s="210"/>
      <c r="V23" s="226"/>
      <c r="W23" s="210"/>
      <c r="X23" s="486" t="s">
        <v>284</v>
      </c>
      <c r="Y23" s="485"/>
      <c r="Z23" s="484"/>
      <c r="AA23" s="210"/>
      <c r="AB23" s="210"/>
      <c r="AC23" s="210"/>
      <c r="AD23" s="210"/>
      <c r="AE23" s="226"/>
      <c r="AF23" s="210"/>
      <c r="AG23" s="210"/>
      <c r="AH23" s="211"/>
      <c r="AI23" s="210"/>
      <c r="AJ23" s="210"/>
      <c r="AK23" s="210"/>
      <c r="AL23" s="210"/>
      <c r="AM23" s="226"/>
      <c r="AN23" s="210"/>
      <c r="AO23" s="210"/>
      <c r="AP23" s="210"/>
      <c r="AQ23" s="211"/>
      <c r="AR23" s="210"/>
      <c r="AS23" s="210"/>
      <c r="AT23" s="210"/>
      <c r="AU23" s="210"/>
      <c r="AV23" s="226"/>
      <c r="AW23" s="210"/>
      <c r="AX23" s="210"/>
      <c r="AY23" s="211"/>
      <c r="AZ23" s="210"/>
      <c r="BA23" s="210"/>
      <c r="BB23" s="210"/>
      <c r="BC23" s="210"/>
      <c r="BD23" s="210"/>
      <c r="BE23" s="226"/>
      <c r="BF23" s="210"/>
      <c r="BG23" s="210"/>
      <c r="BH23" s="211"/>
      <c r="BI23" s="210"/>
      <c r="BJ23" s="381"/>
      <c r="BK23" s="290"/>
      <c r="BM23" s="349"/>
      <c r="BN23" s="350"/>
      <c r="BO23" s="227" t="s">
        <v>2</v>
      </c>
      <c r="BP23" s="227">
        <v>0</v>
      </c>
      <c r="BQ23" s="227">
        <v>0</v>
      </c>
      <c r="BR23" s="227">
        <v>0</v>
      </c>
      <c r="BS23" s="227">
        <v>0</v>
      </c>
      <c r="BT23" s="227">
        <v>0</v>
      </c>
      <c r="BU23" s="227">
        <v>0</v>
      </c>
      <c r="BV23" s="227">
        <v>0</v>
      </c>
      <c r="BW23" s="227">
        <v>0</v>
      </c>
      <c r="BX23" s="227">
        <v>0</v>
      </c>
      <c r="BY23" s="227">
        <v>0</v>
      </c>
      <c r="BZ23" s="227">
        <v>0</v>
      </c>
      <c r="CA23" s="227">
        <v>0</v>
      </c>
    </row>
    <row r="24" spans="2:79" ht="18" customHeight="1" thickBot="1">
      <c r="B24" s="227" t="s">
        <v>246</v>
      </c>
      <c r="C24" s="279" t="s">
        <v>157</v>
      </c>
      <c r="D24" s="262"/>
      <c r="E24" s="263"/>
      <c r="F24" s="252" t="s">
        <v>266</v>
      </c>
      <c r="G24" s="262"/>
      <c r="H24" s="226"/>
      <c r="I24" s="210"/>
      <c r="J24" s="210"/>
      <c r="K24" s="210"/>
      <c r="L24" s="210"/>
      <c r="M24" s="226"/>
      <c r="N24" s="210"/>
      <c r="O24" s="210"/>
      <c r="P24" s="211"/>
      <c r="Q24" s="210"/>
      <c r="R24" s="210"/>
      <c r="S24" s="210"/>
      <c r="T24" s="210"/>
      <c r="U24" s="210"/>
      <c r="V24" s="226"/>
      <c r="W24" s="210"/>
      <c r="X24" s="486" t="s">
        <v>284</v>
      </c>
      <c r="Y24" s="485"/>
      <c r="Z24" s="484"/>
      <c r="AA24" s="210"/>
      <c r="AB24" s="210"/>
      <c r="AC24" s="210"/>
      <c r="AD24" s="210"/>
      <c r="AE24" s="226"/>
      <c r="AF24" s="210"/>
      <c r="AG24" s="210"/>
      <c r="AH24" s="211"/>
      <c r="AI24" s="210"/>
      <c r="AJ24" s="210"/>
      <c r="AK24" s="210"/>
      <c r="AL24" s="210"/>
      <c r="AM24" s="226"/>
      <c r="AN24" s="210"/>
      <c r="AO24" s="210"/>
      <c r="AP24" s="210"/>
      <c r="AQ24" s="211"/>
      <c r="AR24" s="210"/>
      <c r="AS24" s="210"/>
      <c r="AT24" s="210"/>
      <c r="AU24" s="210"/>
      <c r="AV24" s="226"/>
      <c r="AW24" s="210"/>
      <c r="AX24" s="210"/>
      <c r="AY24" s="211"/>
      <c r="AZ24" s="210"/>
      <c r="BA24" s="210"/>
      <c r="BB24" s="210"/>
      <c r="BC24" s="210"/>
      <c r="BD24" s="210"/>
      <c r="BE24" s="226"/>
      <c r="BF24" s="210"/>
      <c r="BG24" s="210"/>
      <c r="BH24" s="211"/>
      <c r="BI24" s="210"/>
      <c r="BJ24" s="381"/>
      <c r="BK24" s="290"/>
      <c r="BM24" s="349"/>
      <c r="BN24" s="350"/>
      <c r="BO24" s="227" t="s">
        <v>24</v>
      </c>
      <c r="BP24" s="227">
        <v>0</v>
      </c>
      <c r="BQ24" s="227">
        <v>0</v>
      </c>
      <c r="BR24" s="227">
        <v>0</v>
      </c>
      <c r="BS24" s="227">
        <v>0</v>
      </c>
      <c r="BT24" s="227">
        <v>0</v>
      </c>
      <c r="BU24" s="227">
        <v>0</v>
      </c>
      <c r="BV24" s="227">
        <v>0</v>
      </c>
      <c r="BW24" s="227">
        <v>0</v>
      </c>
      <c r="BX24" s="227">
        <v>0</v>
      </c>
      <c r="BY24" s="227">
        <v>0</v>
      </c>
      <c r="BZ24" s="227">
        <v>0</v>
      </c>
      <c r="CA24" s="227">
        <v>0</v>
      </c>
    </row>
    <row r="25" spans="2:79" ht="18" customHeight="1" thickBot="1">
      <c r="B25" s="227" t="s">
        <v>246</v>
      </c>
      <c r="C25" s="279" t="s">
        <v>157</v>
      </c>
      <c r="D25" s="262"/>
      <c r="E25" s="263"/>
      <c r="F25" s="252" t="s">
        <v>271</v>
      </c>
      <c r="G25" s="262"/>
      <c r="H25" s="226"/>
      <c r="I25" s="210"/>
      <c r="J25" s="210"/>
      <c r="K25" s="210"/>
      <c r="L25" s="210"/>
      <c r="M25" s="226"/>
      <c r="N25" s="210"/>
      <c r="O25" s="210"/>
      <c r="P25" s="211"/>
      <c r="Q25" s="210"/>
      <c r="R25" s="210"/>
      <c r="S25" s="210"/>
      <c r="T25" s="210"/>
      <c r="U25" s="210"/>
      <c r="V25" s="226"/>
      <c r="W25" s="210"/>
      <c r="X25" s="486" t="s">
        <v>284</v>
      </c>
      <c r="Y25" s="485"/>
      <c r="Z25" s="484"/>
      <c r="AA25" s="210"/>
      <c r="AB25" s="210"/>
      <c r="AC25" s="210"/>
      <c r="AD25" s="210"/>
      <c r="AE25" s="226"/>
      <c r="AF25" s="210"/>
      <c r="AG25" s="210"/>
      <c r="AH25" s="211"/>
      <c r="AI25" s="210"/>
      <c r="AJ25" s="210"/>
      <c r="AK25" s="210"/>
      <c r="AL25" s="210"/>
      <c r="AM25" s="226"/>
      <c r="AN25" s="210"/>
      <c r="AO25" s="210"/>
      <c r="AP25" s="210"/>
      <c r="AQ25" s="211"/>
      <c r="AR25" s="210"/>
      <c r="AS25" s="210"/>
      <c r="AT25" s="210"/>
      <c r="AU25" s="210"/>
      <c r="AV25" s="226"/>
      <c r="AW25" s="210"/>
      <c r="AX25" s="210"/>
      <c r="AY25" s="211"/>
      <c r="AZ25" s="210"/>
      <c r="BA25" s="210"/>
      <c r="BB25" s="210"/>
      <c r="BC25" s="210"/>
      <c r="BD25" s="210"/>
      <c r="BE25" s="226"/>
      <c r="BF25" s="210"/>
      <c r="BG25" s="210"/>
      <c r="BH25" s="211"/>
      <c r="BI25" s="210"/>
      <c r="BJ25" s="381"/>
      <c r="BK25" s="290"/>
      <c r="BM25" s="349"/>
      <c r="BN25" s="350"/>
      <c r="BO25" s="227" t="s">
        <v>46</v>
      </c>
      <c r="BP25" s="227">
        <v>0</v>
      </c>
      <c r="BQ25" s="227">
        <v>0</v>
      </c>
      <c r="BR25" s="227">
        <v>0</v>
      </c>
      <c r="BS25" s="227">
        <v>0</v>
      </c>
      <c r="BT25" s="227">
        <v>0</v>
      </c>
      <c r="BU25" s="227">
        <v>0</v>
      </c>
      <c r="BV25" s="227">
        <v>0</v>
      </c>
      <c r="BW25" s="227">
        <v>0</v>
      </c>
      <c r="BX25" s="227">
        <v>0</v>
      </c>
      <c r="BY25" s="227">
        <v>0</v>
      </c>
      <c r="BZ25" s="227">
        <v>0</v>
      </c>
      <c r="CA25" s="227">
        <v>0</v>
      </c>
    </row>
    <row r="26" spans="2:79" ht="18" customHeight="1" thickBot="1">
      <c r="B26" s="227" t="s">
        <v>246</v>
      </c>
      <c r="C26" s="279" t="s">
        <v>157</v>
      </c>
      <c r="D26" s="262"/>
      <c r="E26" s="263"/>
      <c r="F26" s="252" t="s">
        <v>275</v>
      </c>
      <c r="G26" s="262"/>
      <c r="H26" s="226"/>
      <c r="I26" s="210"/>
      <c r="J26" s="210"/>
      <c r="K26" s="210"/>
      <c r="L26" s="210"/>
      <c r="M26" s="226"/>
      <c r="N26" s="210"/>
      <c r="O26" s="210"/>
      <c r="P26" s="211"/>
      <c r="Q26" s="210"/>
      <c r="R26" s="210"/>
      <c r="S26" s="210"/>
      <c r="T26" s="210"/>
      <c r="U26" s="210"/>
      <c r="V26" s="226"/>
      <c r="W26" s="210"/>
      <c r="X26" s="486" t="s">
        <v>284</v>
      </c>
      <c r="Y26" s="445"/>
      <c r="Z26" s="446"/>
      <c r="AA26" s="210"/>
      <c r="AB26" s="210"/>
      <c r="AC26" s="210"/>
      <c r="AD26" s="210"/>
      <c r="AE26" s="226"/>
      <c r="AF26" s="210"/>
      <c r="AG26" s="210"/>
      <c r="AH26" s="211"/>
      <c r="AI26" s="210"/>
      <c r="AJ26" s="210"/>
      <c r="AK26" s="210"/>
      <c r="AL26" s="210"/>
      <c r="AM26" s="226"/>
      <c r="AN26" s="210"/>
      <c r="AO26" s="210"/>
      <c r="AP26" s="210"/>
      <c r="AQ26" s="211"/>
      <c r="AR26" s="210"/>
      <c r="AS26" s="210"/>
      <c r="AT26" s="210"/>
      <c r="AU26" s="210"/>
      <c r="AV26" s="226"/>
      <c r="AW26" s="210"/>
      <c r="AX26" s="210"/>
      <c r="AY26" s="211"/>
      <c r="AZ26" s="210"/>
      <c r="BA26" s="210"/>
      <c r="BB26" s="210"/>
      <c r="BC26" s="210"/>
      <c r="BD26" s="210"/>
      <c r="BE26" s="226"/>
      <c r="BF26" s="210"/>
      <c r="BG26" s="210"/>
      <c r="BH26" s="211"/>
      <c r="BI26" s="210"/>
      <c r="BJ26" s="381"/>
      <c r="BK26" s="290"/>
      <c r="BM26" s="349"/>
      <c r="BN26" s="350"/>
      <c r="BO26" s="227" t="s">
        <v>134</v>
      </c>
      <c r="BP26" s="227">
        <v>0</v>
      </c>
      <c r="BQ26" s="227">
        <v>0</v>
      </c>
      <c r="BR26" s="227">
        <v>0</v>
      </c>
      <c r="BS26" s="227">
        <v>0</v>
      </c>
      <c r="BT26" s="227">
        <v>0</v>
      </c>
      <c r="BU26" s="227">
        <v>0</v>
      </c>
      <c r="BV26" s="227">
        <v>0</v>
      </c>
      <c r="BW26" s="227">
        <v>0</v>
      </c>
      <c r="BX26" s="227">
        <v>0</v>
      </c>
      <c r="BY26" s="227">
        <v>0</v>
      </c>
      <c r="BZ26" s="227">
        <v>0</v>
      </c>
      <c r="CA26" s="227">
        <v>0</v>
      </c>
    </row>
    <row r="27" spans="2:79" ht="18" customHeight="1" thickBot="1">
      <c r="B27" s="227" t="s">
        <v>246</v>
      </c>
      <c r="C27" s="279" t="s">
        <v>157</v>
      </c>
      <c r="D27" s="262" t="s">
        <v>264</v>
      </c>
      <c r="E27" s="263" t="s">
        <v>278</v>
      </c>
      <c r="F27" s="252" t="s">
        <v>277</v>
      </c>
      <c r="G27" s="262"/>
      <c r="H27" s="226"/>
      <c r="I27" s="210"/>
      <c r="J27" s="210"/>
      <c r="K27" s="210"/>
      <c r="L27" s="210"/>
      <c r="M27" s="226"/>
      <c r="N27" s="210"/>
      <c r="O27" s="210"/>
      <c r="P27" s="211"/>
      <c r="Q27" s="210"/>
      <c r="R27" s="210"/>
      <c r="S27" s="210"/>
      <c r="T27" s="210"/>
      <c r="U27" s="210"/>
      <c r="V27" s="226"/>
      <c r="W27" s="210"/>
      <c r="X27" s="379" t="s">
        <v>285</v>
      </c>
      <c r="Y27" s="210"/>
      <c r="Z27" s="210"/>
      <c r="AA27" s="210"/>
      <c r="AB27" s="210"/>
      <c r="AC27" s="210"/>
      <c r="AD27" s="210"/>
      <c r="AE27" s="226"/>
      <c r="AF27" s="210"/>
      <c r="AG27" s="210"/>
      <c r="AH27" s="211"/>
      <c r="AI27" s="210"/>
      <c r="AJ27" s="210"/>
      <c r="AK27" s="210"/>
      <c r="AL27" s="210"/>
      <c r="AM27" s="226"/>
      <c r="AN27" s="210"/>
      <c r="AO27" s="210"/>
      <c r="AP27" s="210"/>
      <c r="AQ27" s="211"/>
      <c r="AR27" s="210"/>
      <c r="AS27" s="210"/>
      <c r="AT27" s="210"/>
      <c r="AU27" s="210"/>
      <c r="AV27" s="226"/>
      <c r="AW27" s="210"/>
      <c r="AX27" s="210"/>
      <c r="AY27" s="211"/>
      <c r="AZ27" s="210"/>
      <c r="BA27" s="210"/>
      <c r="BB27" s="210"/>
      <c r="BC27" s="210"/>
      <c r="BD27" s="210"/>
      <c r="BE27" s="226"/>
      <c r="BF27" s="210"/>
      <c r="BG27" s="210"/>
      <c r="BH27" s="211"/>
      <c r="BI27" s="210">
        <v>20</v>
      </c>
      <c r="BJ27" s="381">
        <v>7750000</v>
      </c>
      <c r="BK27" s="290">
        <v>7750000</v>
      </c>
      <c r="BM27" s="349"/>
      <c r="BN27" s="350"/>
      <c r="BO27" s="227" t="s">
        <v>140</v>
      </c>
      <c r="BP27" s="227">
        <v>0</v>
      </c>
      <c r="BQ27" s="227">
        <v>0</v>
      </c>
      <c r="BR27" s="227">
        <v>0</v>
      </c>
      <c r="BS27" s="227">
        <v>0</v>
      </c>
      <c r="BT27" s="227">
        <v>0</v>
      </c>
      <c r="BU27" s="227">
        <v>0</v>
      </c>
      <c r="BV27" s="227">
        <v>0</v>
      </c>
      <c r="BW27" s="227">
        <v>0</v>
      </c>
      <c r="BX27" s="227">
        <v>0</v>
      </c>
      <c r="BY27" s="227">
        <v>0</v>
      </c>
      <c r="BZ27" s="227">
        <v>0</v>
      </c>
      <c r="CA27" s="227">
        <v>0</v>
      </c>
    </row>
    <row r="28" spans="2:79" ht="18" customHeight="1">
      <c r="B28" s="227" t="s">
        <v>246</v>
      </c>
      <c r="C28" s="279" t="s">
        <v>157</v>
      </c>
      <c r="D28" s="262"/>
      <c r="E28" s="263"/>
      <c r="F28" s="252" t="s">
        <v>271</v>
      </c>
      <c r="G28" s="262"/>
      <c r="H28" s="226"/>
      <c r="I28" s="210"/>
      <c r="J28" s="210"/>
      <c r="K28" s="210"/>
      <c r="L28" s="210"/>
      <c r="M28" s="226"/>
      <c r="N28" s="210"/>
      <c r="O28" s="210"/>
      <c r="P28" s="211"/>
      <c r="Q28" s="210"/>
      <c r="R28" s="210"/>
      <c r="S28" s="210"/>
      <c r="T28" s="210"/>
      <c r="U28" s="210"/>
      <c r="V28" s="226"/>
      <c r="W28" s="210"/>
      <c r="X28" s="210"/>
      <c r="Y28" s="210"/>
      <c r="Z28" s="210"/>
      <c r="AA28" s="210"/>
      <c r="AB28" s="210"/>
      <c r="AC28" s="210"/>
      <c r="AD28" s="210"/>
      <c r="AE28" s="226"/>
      <c r="AF28" s="210"/>
      <c r="AG28" s="210"/>
      <c r="AH28" s="211"/>
      <c r="AI28" s="210"/>
      <c r="AJ28" s="210"/>
      <c r="AK28" s="210"/>
      <c r="AL28" s="210"/>
      <c r="AM28" s="226"/>
      <c r="AN28" s="210"/>
      <c r="AO28" s="210"/>
      <c r="AP28" s="210"/>
      <c r="AQ28" s="211"/>
      <c r="AR28" s="210"/>
      <c r="AS28" s="210"/>
      <c r="AT28" s="210"/>
      <c r="AU28" s="210"/>
      <c r="AV28" s="226"/>
      <c r="AW28" s="210"/>
      <c r="AX28" s="210"/>
      <c r="AY28" s="211"/>
      <c r="AZ28" s="210"/>
      <c r="BA28" s="210"/>
      <c r="BB28" s="210"/>
      <c r="BC28" s="210"/>
      <c r="BD28" s="210"/>
      <c r="BE28" s="226"/>
      <c r="BF28" s="210"/>
      <c r="BG28" s="210"/>
      <c r="BH28" s="211"/>
      <c r="BI28" s="210"/>
      <c r="BJ28" s="381"/>
      <c r="BK28" s="290"/>
      <c r="BM28" s="349"/>
      <c r="BN28" s="350"/>
      <c r="BO28" s="227" t="s">
        <v>135</v>
      </c>
      <c r="BP28" s="227">
        <v>0</v>
      </c>
      <c r="BQ28" s="227">
        <v>0</v>
      </c>
      <c r="BR28" s="227">
        <v>0</v>
      </c>
      <c r="BS28" s="227">
        <v>0</v>
      </c>
      <c r="BT28" s="227">
        <v>0</v>
      </c>
      <c r="BU28" s="227">
        <v>0</v>
      </c>
      <c r="BV28" s="227">
        <v>0</v>
      </c>
      <c r="BW28" s="227">
        <v>0</v>
      </c>
      <c r="BX28" s="227">
        <v>0</v>
      </c>
      <c r="BY28" s="227">
        <v>0</v>
      </c>
      <c r="BZ28" s="227">
        <v>0</v>
      </c>
      <c r="CA28" s="227">
        <v>0</v>
      </c>
    </row>
    <row r="29" spans="2:79" ht="18" customHeight="1" thickBot="1">
      <c r="B29" s="227" t="s">
        <v>246</v>
      </c>
      <c r="C29" s="279" t="s">
        <v>157</v>
      </c>
      <c r="D29" s="262"/>
      <c r="E29" s="263"/>
      <c r="F29" s="252" t="s">
        <v>263</v>
      </c>
      <c r="G29" s="262"/>
      <c r="H29" s="226"/>
      <c r="I29" s="210"/>
      <c r="J29" s="210"/>
      <c r="K29" s="210"/>
      <c r="L29" s="210"/>
      <c r="M29" s="226"/>
      <c r="N29" s="210"/>
      <c r="O29" s="210"/>
      <c r="P29" s="211"/>
      <c r="Q29" s="210"/>
      <c r="R29" s="210"/>
      <c r="S29" s="210"/>
      <c r="T29" s="210"/>
      <c r="U29" s="210"/>
      <c r="V29" s="226"/>
      <c r="W29" s="210"/>
      <c r="X29" s="210"/>
      <c r="Y29" s="210"/>
      <c r="Z29" s="210"/>
      <c r="AA29" s="210"/>
      <c r="AB29" s="210"/>
      <c r="AC29" s="210"/>
      <c r="AD29" s="210"/>
      <c r="AE29" s="226"/>
      <c r="AF29" s="210"/>
      <c r="AG29" s="210"/>
      <c r="AH29" s="211"/>
      <c r="AI29" s="210"/>
      <c r="AJ29" s="210"/>
      <c r="AK29" s="210"/>
      <c r="AL29" s="210"/>
      <c r="AM29" s="226"/>
      <c r="AN29" s="210"/>
      <c r="AO29" s="210"/>
      <c r="AP29" s="210"/>
      <c r="AQ29" s="211"/>
      <c r="AR29" s="210"/>
      <c r="AS29" s="210"/>
      <c r="AT29" s="210"/>
      <c r="AU29" s="210"/>
      <c r="AV29" s="226"/>
      <c r="AW29" s="210"/>
      <c r="AX29" s="210"/>
      <c r="AY29" s="211"/>
      <c r="AZ29" s="210"/>
      <c r="BA29" s="210"/>
      <c r="BB29" s="210"/>
      <c r="BC29" s="210"/>
      <c r="BD29" s="210"/>
      <c r="BE29" s="226"/>
      <c r="BF29" s="210"/>
      <c r="BG29" s="210"/>
      <c r="BH29" s="211"/>
      <c r="BI29" s="210"/>
      <c r="BJ29" s="381"/>
      <c r="BK29" s="290"/>
      <c r="BM29" s="349"/>
      <c r="BN29" s="350"/>
      <c r="BO29" s="227" t="s">
        <v>136</v>
      </c>
      <c r="BP29" s="227">
        <v>0</v>
      </c>
      <c r="BQ29" s="227">
        <v>0</v>
      </c>
      <c r="BR29" s="227">
        <v>0</v>
      </c>
      <c r="BS29" s="227">
        <v>0</v>
      </c>
      <c r="BT29" s="227">
        <v>0</v>
      </c>
      <c r="BU29" s="227">
        <v>0</v>
      </c>
      <c r="BV29" s="227">
        <v>0</v>
      </c>
      <c r="BW29" s="227">
        <v>0</v>
      </c>
      <c r="BX29" s="227">
        <v>0</v>
      </c>
      <c r="BY29" s="227">
        <v>0</v>
      </c>
      <c r="BZ29" s="227">
        <v>0</v>
      </c>
      <c r="CA29" s="227">
        <v>0</v>
      </c>
    </row>
    <row r="30" spans="2:79" ht="18" customHeight="1" thickBot="1">
      <c r="B30" s="227" t="s">
        <v>246</v>
      </c>
      <c r="C30" s="279" t="s">
        <v>157</v>
      </c>
      <c r="D30" s="262"/>
      <c r="E30" s="263" t="s">
        <v>262</v>
      </c>
      <c r="F30" s="252" t="s">
        <v>275</v>
      </c>
      <c r="G30" s="262"/>
      <c r="H30" s="226"/>
      <c r="I30" s="210"/>
      <c r="J30" s="210"/>
      <c r="K30" s="210"/>
      <c r="L30" s="210"/>
      <c r="M30" s="226"/>
      <c r="N30" s="210"/>
      <c r="O30" s="210"/>
      <c r="P30" s="211"/>
      <c r="Q30" s="210"/>
      <c r="R30" s="210"/>
      <c r="S30" s="210"/>
      <c r="T30" s="210"/>
      <c r="U30" s="210"/>
      <c r="V30" s="226"/>
      <c r="W30" s="444" t="s">
        <v>281</v>
      </c>
      <c r="X30" s="445"/>
      <c r="Y30" s="445"/>
      <c r="Z30" s="446"/>
      <c r="AA30" s="210"/>
      <c r="AB30" s="210"/>
      <c r="AC30" s="210"/>
      <c r="AD30" s="210"/>
      <c r="AE30" s="226"/>
      <c r="AF30" s="210"/>
      <c r="AG30" s="210"/>
      <c r="AH30" s="211"/>
      <c r="AI30" s="210"/>
      <c r="AJ30" s="210"/>
      <c r="AK30" s="210"/>
      <c r="AL30" s="210"/>
      <c r="AM30" s="226"/>
      <c r="AN30" s="210"/>
      <c r="AO30" s="210"/>
      <c r="AP30" s="210"/>
      <c r="AQ30" s="211"/>
      <c r="AR30" s="210"/>
      <c r="AS30" s="210"/>
      <c r="AT30" s="210"/>
      <c r="AU30" s="210"/>
      <c r="AV30" s="226"/>
      <c r="AW30" s="210"/>
      <c r="AX30" s="210"/>
      <c r="AY30" s="211"/>
      <c r="AZ30" s="210"/>
      <c r="BA30" s="210"/>
      <c r="BB30" s="210"/>
      <c r="BC30" s="210"/>
      <c r="BD30" s="210"/>
      <c r="BE30" s="226"/>
      <c r="BF30" s="210"/>
      <c r="BG30" s="210"/>
      <c r="BH30" s="211"/>
      <c r="BI30" s="210">
        <v>25</v>
      </c>
      <c r="BJ30" s="381">
        <v>38413545</v>
      </c>
      <c r="BK30" s="290">
        <v>38413545</v>
      </c>
      <c r="BM30" s="349"/>
      <c r="BN30" s="350"/>
    </row>
    <row r="31" spans="2:79" ht="18" customHeight="1">
      <c r="B31" s="227" t="s">
        <v>246</v>
      </c>
      <c r="C31" s="279" t="s">
        <v>157</v>
      </c>
      <c r="D31" s="262"/>
      <c r="E31" s="263"/>
      <c r="F31" s="252"/>
      <c r="G31" s="262"/>
      <c r="H31" s="226"/>
      <c r="I31" s="210"/>
      <c r="J31" s="210"/>
      <c r="K31" s="210"/>
      <c r="L31" s="210"/>
      <c r="M31" s="226"/>
      <c r="N31" s="210"/>
      <c r="O31" s="210"/>
      <c r="P31" s="211"/>
      <c r="Q31" s="210"/>
      <c r="R31" s="210"/>
      <c r="S31" s="210"/>
      <c r="T31" s="210"/>
      <c r="U31" s="210"/>
      <c r="V31" s="226"/>
      <c r="W31" s="210"/>
      <c r="X31" s="210"/>
      <c r="Y31" s="211"/>
      <c r="Z31" s="210"/>
      <c r="AA31" s="210"/>
      <c r="AB31" s="210"/>
      <c r="AC31" s="210"/>
      <c r="AD31" s="210"/>
      <c r="AE31" s="226"/>
      <c r="AF31" s="210"/>
      <c r="AG31" s="210"/>
      <c r="AH31" s="211"/>
      <c r="AI31" s="210"/>
      <c r="AJ31" s="210"/>
      <c r="AK31" s="210"/>
      <c r="AL31" s="210"/>
      <c r="AM31" s="226"/>
      <c r="AN31" s="210"/>
      <c r="AO31" s="210"/>
      <c r="AP31" s="210"/>
      <c r="AQ31" s="211"/>
      <c r="AR31" s="210"/>
      <c r="AS31" s="210"/>
      <c r="AT31" s="210"/>
      <c r="AU31" s="210"/>
      <c r="AV31" s="226"/>
      <c r="AW31" s="210"/>
      <c r="AX31" s="210"/>
      <c r="AY31" s="211"/>
      <c r="AZ31" s="210"/>
      <c r="BA31" s="210"/>
      <c r="BB31" s="210"/>
      <c r="BC31" s="210"/>
      <c r="BD31" s="210"/>
      <c r="BE31" s="226"/>
      <c r="BF31" s="210"/>
      <c r="BG31" s="210"/>
      <c r="BH31" s="211"/>
      <c r="BI31" s="210"/>
      <c r="BJ31" s="284"/>
      <c r="BK31" s="290"/>
      <c r="BM31" s="345"/>
      <c r="BN31" s="346"/>
      <c r="BO31" s="227" t="s">
        <v>135</v>
      </c>
      <c r="BP31" s="227">
        <v>0</v>
      </c>
      <c r="BQ31" s="227">
        <v>0</v>
      </c>
      <c r="BR31" s="227">
        <v>0</v>
      </c>
      <c r="BS31" s="227">
        <v>0</v>
      </c>
      <c r="BT31" s="227">
        <v>0</v>
      </c>
      <c r="BU31" s="227">
        <v>0</v>
      </c>
      <c r="BV31" s="227">
        <v>0</v>
      </c>
      <c r="BW31" s="227">
        <v>0</v>
      </c>
      <c r="BX31" s="227">
        <v>0</v>
      </c>
      <c r="BY31" s="227">
        <v>0</v>
      </c>
      <c r="BZ31" s="227">
        <v>0</v>
      </c>
      <c r="CA31" s="227">
        <v>0</v>
      </c>
    </row>
    <row r="32" spans="2:79" ht="18" customHeight="1">
      <c r="B32" s="227" t="s">
        <v>246</v>
      </c>
      <c r="C32" s="279" t="s">
        <v>157</v>
      </c>
      <c r="D32" s="262"/>
      <c r="E32" s="263"/>
      <c r="F32" s="252"/>
      <c r="G32" s="262"/>
      <c r="H32" s="226"/>
      <c r="I32" s="210"/>
      <c r="J32" s="210"/>
      <c r="K32" s="210"/>
      <c r="L32" s="210"/>
      <c r="M32" s="226"/>
      <c r="N32" s="210"/>
      <c r="O32" s="210"/>
      <c r="P32" s="211"/>
      <c r="Q32" s="210"/>
      <c r="R32" s="210"/>
      <c r="S32" s="210"/>
      <c r="T32" s="210"/>
      <c r="U32" s="210"/>
      <c r="V32" s="226"/>
      <c r="W32" s="210"/>
      <c r="X32" s="210"/>
      <c r="Y32" s="211"/>
      <c r="Z32" s="210"/>
      <c r="AA32" s="210"/>
      <c r="AB32" s="210"/>
      <c r="AC32" s="210"/>
      <c r="AD32" s="210"/>
      <c r="AE32" s="226"/>
      <c r="AF32" s="210"/>
      <c r="AG32" s="210"/>
      <c r="AH32" s="211"/>
      <c r="AI32" s="210"/>
      <c r="AJ32" s="210"/>
      <c r="AK32" s="210"/>
      <c r="AL32" s="210"/>
      <c r="AM32" s="226"/>
      <c r="AN32" s="210"/>
      <c r="AO32" s="210"/>
      <c r="AP32" s="210"/>
      <c r="AQ32" s="211"/>
      <c r="AR32" s="210"/>
      <c r="AS32" s="210"/>
      <c r="AT32" s="210"/>
      <c r="AU32" s="210"/>
      <c r="AV32" s="226"/>
      <c r="AW32" s="210"/>
      <c r="AX32" s="210"/>
      <c r="AY32" s="211"/>
      <c r="AZ32" s="210"/>
      <c r="BA32" s="210"/>
      <c r="BB32" s="210"/>
      <c r="BC32" s="210"/>
      <c r="BD32" s="210"/>
      <c r="BE32" s="226"/>
      <c r="BF32" s="210"/>
      <c r="BG32" s="210"/>
      <c r="BH32" s="211"/>
      <c r="BI32" s="210"/>
      <c r="BJ32" s="284"/>
      <c r="BK32" s="290"/>
      <c r="BM32" s="345"/>
      <c r="BN32" s="346"/>
      <c r="BO32" s="227" t="s">
        <v>136</v>
      </c>
      <c r="BP32" s="227">
        <v>0</v>
      </c>
      <c r="BQ32" s="227">
        <v>0</v>
      </c>
      <c r="BR32" s="227">
        <v>0</v>
      </c>
      <c r="BS32" s="227">
        <v>0</v>
      </c>
      <c r="BT32" s="227">
        <v>0</v>
      </c>
      <c r="BU32" s="227">
        <v>0</v>
      </c>
      <c r="BV32" s="227">
        <v>0</v>
      </c>
      <c r="BW32" s="227">
        <v>0</v>
      </c>
      <c r="BX32" s="227">
        <v>0</v>
      </c>
      <c r="BY32" s="227">
        <v>0</v>
      </c>
      <c r="BZ32" s="227">
        <v>0</v>
      </c>
      <c r="CA32" s="227">
        <v>0</v>
      </c>
    </row>
    <row r="33" spans="1:79" ht="18" customHeight="1">
      <c r="B33" s="227" t="s">
        <v>246</v>
      </c>
      <c r="C33" s="279" t="s">
        <v>157</v>
      </c>
      <c r="D33" s="248"/>
      <c r="E33" s="251"/>
      <c r="F33" s="252"/>
      <c r="G33" s="248"/>
      <c r="H33" s="232"/>
      <c r="I33" s="210"/>
      <c r="J33" s="210"/>
      <c r="K33" s="210"/>
      <c r="L33" s="210"/>
      <c r="M33" s="232"/>
      <c r="N33" s="210"/>
      <c r="O33" s="210"/>
      <c r="P33" s="211"/>
      <c r="Q33" s="210"/>
      <c r="R33" s="210"/>
      <c r="S33" s="210"/>
      <c r="T33" s="210"/>
      <c r="U33" s="210"/>
      <c r="V33" s="232"/>
      <c r="W33" s="210"/>
      <c r="X33" s="210"/>
      <c r="Y33" s="211"/>
      <c r="Z33" s="210"/>
      <c r="AA33" s="210"/>
      <c r="AB33" s="210"/>
      <c r="AC33" s="210"/>
      <c r="AD33" s="210"/>
      <c r="AE33" s="232"/>
      <c r="AF33" s="210"/>
      <c r="AG33" s="210"/>
      <c r="AH33" s="211"/>
      <c r="AI33" s="210"/>
      <c r="AJ33" s="210"/>
      <c r="AK33" s="210"/>
      <c r="AL33" s="210"/>
      <c r="AM33" s="232"/>
      <c r="AN33" s="210"/>
      <c r="AO33" s="210"/>
      <c r="AP33" s="210"/>
      <c r="AQ33" s="211"/>
      <c r="AR33" s="210"/>
      <c r="AS33" s="210"/>
      <c r="AT33" s="210"/>
      <c r="AU33" s="210"/>
      <c r="AV33" s="232"/>
      <c r="AW33" s="210"/>
      <c r="AX33" s="210"/>
      <c r="AY33" s="211"/>
      <c r="AZ33" s="210"/>
      <c r="BA33" s="210"/>
      <c r="BB33" s="210"/>
      <c r="BC33" s="210"/>
      <c r="BD33" s="210"/>
      <c r="BE33" s="232"/>
      <c r="BF33" s="210"/>
      <c r="BG33" s="210"/>
      <c r="BH33" s="211"/>
      <c r="BI33" s="210"/>
      <c r="BJ33" s="233"/>
      <c r="BK33" s="290"/>
      <c r="BM33" s="345"/>
      <c r="BN33" s="346"/>
    </row>
    <row r="34" spans="1:79" s="230" customFormat="1" ht="18" customHeight="1" thickBot="1">
      <c r="A34" s="227"/>
      <c r="B34" s="227" t="s">
        <v>246</v>
      </c>
      <c r="C34" s="279" t="s">
        <v>157</v>
      </c>
      <c r="D34" s="248"/>
      <c r="E34" s="251"/>
      <c r="F34" s="252"/>
      <c r="G34" s="248"/>
      <c r="H34" s="232"/>
      <c r="I34" s="210"/>
      <c r="J34" s="210"/>
      <c r="K34" s="210"/>
      <c r="L34" s="210"/>
      <c r="M34" s="232"/>
      <c r="N34" s="210"/>
      <c r="O34" s="210"/>
      <c r="P34" s="211"/>
      <c r="Q34" s="210"/>
      <c r="R34" s="210"/>
      <c r="S34" s="210"/>
      <c r="T34" s="210"/>
      <c r="U34" s="210"/>
      <c r="V34" s="232"/>
      <c r="W34" s="210"/>
      <c r="X34" s="210"/>
      <c r="Y34" s="211"/>
      <c r="Z34" s="210"/>
      <c r="AA34" s="210"/>
      <c r="AB34" s="210"/>
      <c r="AC34" s="210"/>
      <c r="AD34" s="210"/>
      <c r="AE34" s="232"/>
      <c r="AF34" s="210"/>
      <c r="AG34" s="210"/>
      <c r="AH34" s="211"/>
      <c r="AI34" s="210"/>
      <c r="AJ34" s="210"/>
      <c r="AK34" s="210"/>
      <c r="AL34" s="210"/>
      <c r="AM34" s="232"/>
      <c r="AN34" s="210"/>
      <c r="AO34" s="210"/>
      <c r="AP34" s="210"/>
      <c r="AQ34" s="211"/>
      <c r="AR34" s="210"/>
      <c r="AS34" s="210"/>
      <c r="AT34" s="210"/>
      <c r="AU34" s="210"/>
      <c r="AV34" s="232"/>
      <c r="AW34" s="210"/>
      <c r="AX34" s="210"/>
      <c r="AY34" s="211"/>
      <c r="AZ34" s="210"/>
      <c r="BA34" s="210"/>
      <c r="BB34" s="210"/>
      <c r="BC34" s="210"/>
      <c r="BD34" s="210"/>
      <c r="BE34" s="232"/>
      <c r="BF34" s="210"/>
      <c r="BG34" s="210"/>
      <c r="BH34" s="211"/>
      <c r="BI34" s="210"/>
      <c r="BJ34" s="233"/>
      <c r="BK34" s="290"/>
      <c r="BL34" s="229"/>
      <c r="BM34" s="347"/>
      <c r="BN34" s="348"/>
      <c r="BO34" s="227"/>
      <c r="BP34" s="227"/>
      <c r="BQ34" s="227"/>
    </row>
    <row r="35" spans="1:79" ht="18" customHeight="1" thickBot="1">
      <c r="C35" s="279"/>
      <c r="D35" s="390"/>
      <c r="E35" s="391"/>
      <c r="F35" s="391"/>
      <c r="G35" s="392"/>
      <c r="H35" s="449"/>
      <c r="I35" s="450"/>
      <c r="J35" s="450"/>
      <c r="K35" s="450"/>
      <c r="L35" s="451"/>
      <c r="M35" s="449"/>
      <c r="N35" s="450"/>
      <c r="O35" s="450"/>
      <c r="P35" s="451"/>
      <c r="Q35" s="449"/>
      <c r="R35" s="450"/>
      <c r="S35" s="450"/>
      <c r="T35" s="450"/>
      <c r="U35" s="451"/>
      <c r="V35" s="449"/>
      <c r="W35" s="450"/>
      <c r="X35" s="450"/>
      <c r="Y35" s="451"/>
      <c r="Z35" s="390"/>
      <c r="AA35" s="391"/>
      <c r="AB35" s="391"/>
      <c r="AC35" s="391"/>
      <c r="AD35" s="392"/>
      <c r="AE35" s="390"/>
      <c r="AF35" s="391"/>
      <c r="AG35" s="391"/>
      <c r="AH35" s="392"/>
      <c r="AI35" s="390"/>
      <c r="AJ35" s="391"/>
      <c r="AK35" s="391"/>
      <c r="AL35" s="392"/>
      <c r="AM35" s="390"/>
      <c r="AN35" s="391"/>
      <c r="AO35" s="391"/>
      <c r="AP35" s="391"/>
      <c r="AQ35" s="392"/>
      <c r="AR35" s="390"/>
      <c r="AS35" s="391"/>
      <c r="AT35" s="391"/>
      <c r="AU35" s="392"/>
      <c r="AV35" s="390"/>
      <c r="AW35" s="391"/>
      <c r="AX35" s="391"/>
      <c r="AY35" s="392"/>
      <c r="AZ35" s="390"/>
      <c r="BA35" s="391"/>
      <c r="BB35" s="391"/>
      <c r="BC35" s="391"/>
      <c r="BD35" s="392"/>
      <c r="BE35" s="390"/>
      <c r="BF35" s="391"/>
      <c r="BG35" s="391"/>
      <c r="BH35" s="392"/>
      <c r="BI35" s="392"/>
      <c r="BJ35" s="376"/>
      <c r="BK35" s="377">
        <f>SUM(BK15:BK34)</f>
        <v>138662843</v>
      </c>
      <c r="BL35" s="247">
        <v>1</v>
      </c>
      <c r="BM35" s="447"/>
      <c r="BN35" s="448"/>
      <c r="BO35" s="227" t="s">
        <v>157</v>
      </c>
      <c r="BP35" s="227" t="s">
        <v>148</v>
      </c>
      <c r="BQ35" s="227" t="s">
        <v>112</v>
      </c>
      <c r="BR35" s="227" t="s">
        <v>28</v>
      </c>
      <c r="BS35" s="227" t="s">
        <v>21</v>
      </c>
      <c r="BT35" s="227" t="s">
        <v>22</v>
      </c>
      <c r="BU35" s="227" t="s">
        <v>31</v>
      </c>
      <c r="BV35" s="227" t="s">
        <v>32</v>
      </c>
      <c r="BW35" s="227" t="s">
        <v>33</v>
      </c>
      <c r="BX35" s="227" t="s">
        <v>26</v>
      </c>
      <c r="BY35" s="227" t="s">
        <v>27</v>
      </c>
      <c r="BZ35" s="227" t="s">
        <v>25</v>
      </c>
      <c r="CA35" s="227" t="s">
        <v>29</v>
      </c>
    </row>
    <row r="36" spans="1:79" ht="18" customHeight="1" thickBot="1">
      <c r="C36" s="279"/>
      <c r="D36" s="481" t="s">
        <v>47</v>
      </c>
      <c r="E36" s="482"/>
      <c r="F36" s="483"/>
      <c r="G36" s="482"/>
      <c r="H36" s="320"/>
      <c r="I36" s="393"/>
      <c r="J36" s="393"/>
      <c r="K36" s="393"/>
      <c r="L36" s="395"/>
      <c r="M36" s="323"/>
      <c r="N36" s="394"/>
      <c r="O36" s="394"/>
      <c r="P36" s="325"/>
      <c r="Q36" s="320"/>
      <c r="R36" s="393"/>
      <c r="S36" s="393"/>
      <c r="T36" s="393"/>
      <c r="U36" s="395"/>
      <c r="V36" s="394"/>
      <c r="W36" s="394"/>
      <c r="X36" s="394"/>
      <c r="Y36" s="394"/>
      <c r="Z36" s="323"/>
      <c r="AA36" s="393"/>
      <c r="AB36" s="393"/>
      <c r="AC36" s="393"/>
      <c r="AD36" s="395"/>
      <c r="AE36" s="394"/>
      <c r="AF36" s="394"/>
      <c r="AG36" s="394"/>
      <c r="AH36" s="394"/>
      <c r="AI36" s="323"/>
      <c r="AJ36" s="393"/>
      <c r="AK36" s="393"/>
      <c r="AL36" s="395"/>
      <c r="AM36" s="393"/>
      <c r="AN36" s="394"/>
      <c r="AO36" s="394"/>
      <c r="AP36" s="394"/>
      <c r="AQ36" s="394"/>
      <c r="AR36" s="323"/>
      <c r="AS36" s="393"/>
      <c r="AT36" s="393"/>
      <c r="AU36" s="395"/>
      <c r="AV36" s="394"/>
      <c r="AW36" s="394"/>
      <c r="AX36" s="394"/>
      <c r="AY36" s="394"/>
      <c r="AZ36" s="320"/>
      <c r="BA36" s="393"/>
      <c r="BB36" s="393"/>
      <c r="BC36" s="393"/>
      <c r="BD36" s="395"/>
      <c r="BE36" s="394"/>
      <c r="BF36" s="394"/>
      <c r="BG36" s="394"/>
      <c r="BH36" s="394"/>
      <c r="BI36" s="457"/>
      <c r="BJ36" s="453"/>
      <c r="BK36" s="458"/>
      <c r="BL36" s="231"/>
      <c r="BM36" s="400" t="s">
        <v>258</v>
      </c>
      <c r="BN36" s="351" t="s">
        <v>259</v>
      </c>
      <c r="BO36" s="227" t="s">
        <v>34</v>
      </c>
      <c r="BP36" s="227">
        <v>0</v>
      </c>
      <c r="BQ36" s="227">
        <v>0</v>
      </c>
      <c r="BR36" s="227">
        <v>0</v>
      </c>
      <c r="BS36" s="227">
        <v>0</v>
      </c>
      <c r="BT36" s="227">
        <v>0</v>
      </c>
      <c r="BU36" s="227">
        <v>0</v>
      </c>
      <c r="BV36" s="227">
        <v>0</v>
      </c>
      <c r="BW36" s="227">
        <v>0</v>
      </c>
      <c r="BX36" s="227">
        <v>0</v>
      </c>
      <c r="BY36" s="227">
        <v>0</v>
      </c>
      <c r="BZ36" s="227">
        <v>0</v>
      </c>
      <c r="CA36" s="227">
        <v>0</v>
      </c>
    </row>
    <row r="37" spans="1:79" ht="18" customHeight="1">
      <c r="B37" s="227" t="s">
        <v>246</v>
      </c>
      <c r="C37" s="279" t="s">
        <v>157</v>
      </c>
      <c r="D37" s="248"/>
      <c r="E37" s="249"/>
      <c r="F37" s="252"/>
      <c r="G37" s="253"/>
      <c r="H37" s="402"/>
      <c r="I37" s="401"/>
      <c r="J37" s="401"/>
      <c r="K37" s="401"/>
      <c r="L37" s="401"/>
      <c r="M37" s="402"/>
      <c r="N37" s="401"/>
      <c r="O37" s="401"/>
      <c r="P37" s="403"/>
      <c r="Q37" s="401"/>
      <c r="R37" s="401"/>
      <c r="S37" s="401"/>
      <c r="T37" s="401"/>
      <c r="U37" s="401"/>
      <c r="V37" s="402"/>
      <c r="W37" s="401"/>
      <c r="X37" s="401"/>
      <c r="Y37" s="403"/>
      <c r="Z37" s="401"/>
      <c r="AA37" s="401"/>
      <c r="AB37" s="401"/>
      <c r="AC37" s="401"/>
      <c r="AD37" s="401"/>
      <c r="AE37" s="402"/>
      <c r="AF37" s="401"/>
      <c r="AG37" s="401"/>
      <c r="AH37" s="403"/>
      <c r="AI37" s="401"/>
      <c r="AJ37" s="401"/>
      <c r="AK37" s="401"/>
      <c r="AL37" s="401"/>
      <c r="AM37" s="402"/>
      <c r="AN37" s="401"/>
      <c r="AO37" s="401"/>
      <c r="AP37" s="401"/>
      <c r="AQ37" s="403"/>
      <c r="AR37" s="401"/>
      <c r="AS37" s="401"/>
      <c r="AT37" s="401"/>
      <c r="AU37" s="401"/>
      <c r="AV37" s="402"/>
      <c r="AW37" s="401"/>
      <c r="AX37" s="401"/>
      <c r="AY37" s="403"/>
      <c r="AZ37" s="401"/>
      <c r="BA37" s="401"/>
      <c r="BB37" s="401"/>
      <c r="BC37" s="401"/>
      <c r="BD37" s="401"/>
      <c r="BE37" s="402"/>
      <c r="BF37" s="401"/>
      <c r="BG37" s="401"/>
      <c r="BH37" s="403"/>
      <c r="BI37" s="210"/>
      <c r="BJ37" s="212"/>
      <c r="BK37" s="290"/>
      <c r="BM37" s="349"/>
      <c r="BN37" s="344"/>
      <c r="BO37" s="227" t="s">
        <v>47</v>
      </c>
      <c r="BP37" s="227">
        <v>0</v>
      </c>
      <c r="BQ37" s="227">
        <v>0</v>
      </c>
      <c r="BR37" s="227">
        <v>0</v>
      </c>
      <c r="BS37" s="227">
        <v>0</v>
      </c>
      <c r="BT37" s="227">
        <v>0</v>
      </c>
      <c r="BU37" s="227">
        <v>0</v>
      </c>
      <c r="BV37" s="227">
        <v>0</v>
      </c>
      <c r="BW37" s="227">
        <v>0</v>
      </c>
      <c r="BX37" s="227">
        <v>0</v>
      </c>
      <c r="BY37" s="227">
        <v>0</v>
      </c>
      <c r="BZ37" s="227">
        <v>0</v>
      </c>
      <c r="CA37" s="227">
        <v>0</v>
      </c>
    </row>
    <row r="38" spans="1:79" ht="18" customHeight="1">
      <c r="B38" s="227" t="s">
        <v>246</v>
      </c>
      <c r="C38" s="279" t="s">
        <v>157</v>
      </c>
      <c r="D38" s="262"/>
      <c r="E38" s="263"/>
      <c r="F38" s="252"/>
      <c r="G38" s="262"/>
      <c r="H38" s="226"/>
      <c r="I38" s="210"/>
      <c r="J38" s="210"/>
      <c r="K38" s="210"/>
      <c r="L38" s="210"/>
      <c r="M38" s="226"/>
      <c r="N38" s="210"/>
      <c r="O38" s="210"/>
      <c r="P38" s="211"/>
      <c r="Q38" s="210"/>
      <c r="R38" s="210"/>
      <c r="S38" s="210"/>
      <c r="T38" s="210"/>
      <c r="U38" s="210"/>
      <c r="V38" s="226"/>
      <c r="W38" s="210"/>
      <c r="X38" s="210"/>
      <c r="Y38" s="211"/>
      <c r="Z38" s="210"/>
      <c r="AA38" s="210"/>
      <c r="AB38" s="210"/>
      <c r="AC38" s="210"/>
      <c r="AD38" s="210"/>
      <c r="AE38" s="226"/>
      <c r="AF38" s="210"/>
      <c r="AG38" s="210"/>
      <c r="AH38" s="211"/>
      <c r="AI38" s="210"/>
      <c r="AJ38" s="210"/>
      <c r="AK38" s="210"/>
      <c r="AL38" s="210"/>
      <c r="AM38" s="226"/>
      <c r="AN38" s="210"/>
      <c r="AO38" s="210"/>
      <c r="AP38" s="210"/>
      <c r="AQ38" s="211"/>
      <c r="AR38" s="210"/>
      <c r="AS38" s="210"/>
      <c r="AT38" s="210"/>
      <c r="AU38" s="210"/>
      <c r="AV38" s="226"/>
      <c r="AW38" s="210"/>
      <c r="AX38" s="210"/>
      <c r="AY38" s="211"/>
      <c r="AZ38" s="210"/>
      <c r="BA38" s="210"/>
      <c r="BB38" s="210"/>
      <c r="BC38" s="210"/>
      <c r="BD38" s="210"/>
      <c r="BE38" s="226"/>
      <c r="BF38" s="210"/>
      <c r="BG38" s="210"/>
      <c r="BH38" s="211"/>
      <c r="BI38" s="210"/>
      <c r="BJ38" s="284"/>
      <c r="BK38" s="290"/>
      <c r="BM38" s="345"/>
      <c r="BN38" s="346"/>
      <c r="BO38" s="227" t="s">
        <v>2</v>
      </c>
      <c r="BP38" s="227">
        <v>0</v>
      </c>
      <c r="BQ38" s="227">
        <v>0</v>
      </c>
      <c r="BR38" s="227">
        <v>0</v>
      </c>
      <c r="BS38" s="227">
        <v>0</v>
      </c>
      <c r="BT38" s="227">
        <v>0</v>
      </c>
      <c r="BU38" s="227">
        <v>0</v>
      </c>
      <c r="BV38" s="227">
        <v>0</v>
      </c>
      <c r="BW38" s="227">
        <v>0</v>
      </c>
      <c r="BX38" s="227">
        <v>0</v>
      </c>
      <c r="BY38" s="227">
        <v>0</v>
      </c>
      <c r="BZ38" s="227">
        <v>0</v>
      </c>
      <c r="CA38" s="227">
        <v>0</v>
      </c>
    </row>
    <row r="39" spans="1:79" ht="18" customHeight="1">
      <c r="B39" s="227" t="s">
        <v>246</v>
      </c>
      <c r="C39" s="279" t="s">
        <v>157</v>
      </c>
      <c r="D39" s="262"/>
      <c r="E39" s="263"/>
      <c r="F39" s="252"/>
      <c r="G39" s="262"/>
      <c r="H39" s="226"/>
      <c r="I39" s="210"/>
      <c r="J39" s="210"/>
      <c r="K39" s="210"/>
      <c r="L39" s="210"/>
      <c r="M39" s="226"/>
      <c r="N39" s="210"/>
      <c r="O39" s="210"/>
      <c r="P39" s="211"/>
      <c r="Q39" s="210"/>
      <c r="R39" s="210"/>
      <c r="S39" s="210"/>
      <c r="T39" s="210"/>
      <c r="U39" s="210"/>
      <c r="V39" s="226"/>
      <c r="W39" s="210"/>
      <c r="X39" s="210"/>
      <c r="Y39" s="211"/>
      <c r="Z39" s="210"/>
      <c r="AA39" s="210"/>
      <c r="AB39" s="210"/>
      <c r="AC39" s="210"/>
      <c r="AD39" s="210"/>
      <c r="AE39" s="226"/>
      <c r="AF39" s="210"/>
      <c r="AG39" s="210"/>
      <c r="AH39" s="211"/>
      <c r="AI39" s="210"/>
      <c r="AJ39" s="210"/>
      <c r="AK39" s="210"/>
      <c r="AL39" s="210"/>
      <c r="AM39" s="226"/>
      <c r="AN39" s="210"/>
      <c r="AO39" s="210"/>
      <c r="AP39" s="210"/>
      <c r="AQ39" s="211"/>
      <c r="AR39" s="210"/>
      <c r="AS39" s="210"/>
      <c r="AT39" s="210"/>
      <c r="AU39" s="210"/>
      <c r="AV39" s="226"/>
      <c r="AW39" s="210"/>
      <c r="AX39" s="210"/>
      <c r="AY39" s="211"/>
      <c r="AZ39" s="210"/>
      <c r="BA39" s="210"/>
      <c r="BB39" s="210"/>
      <c r="BC39" s="210"/>
      <c r="BD39" s="210"/>
      <c r="BE39" s="226"/>
      <c r="BF39" s="210"/>
      <c r="BG39" s="210"/>
      <c r="BH39" s="211"/>
      <c r="BI39" s="210"/>
      <c r="BJ39" s="284"/>
      <c r="BK39" s="290"/>
      <c r="BM39" s="345"/>
      <c r="BN39" s="346"/>
      <c r="BO39" s="227" t="s">
        <v>24</v>
      </c>
      <c r="BP39" s="227">
        <v>0</v>
      </c>
      <c r="BQ39" s="227">
        <v>0</v>
      </c>
      <c r="BR39" s="227">
        <v>0</v>
      </c>
      <c r="BS39" s="227">
        <v>0</v>
      </c>
      <c r="BT39" s="227">
        <v>0</v>
      </c>
      <c r="BU39" s="227">
        <v>0</v>
      </c>
      <c r="BV39" s="227">
        <v>0</v>
      </c>
      <c r="BW39" s="227">
        <v>0</v>
      </c>
      <c r="BX39" s="227">
        <v>0</v>
      </c>
      <c r="BY39" s="227">
        <v>0</v>
      </c>
      <c r="BZ39" s="227">
        <v>0</v>
      </c>
      <c r="CA39" s="227">
        <v>0</v>
      </c>
    </row>
    <row r="40" spans="1:79" ht="18" customHeight="1">
      <c r="B40" s="227" t="s">
        <v>246</v>
      </c>
      <c r="C40" s="279" t="s">
        <v>157</v>
      </c>
      <c r="D40" s="248"/>
      <c r="E40" s="251"/>
      <c r="F40" s="252"/>
      <c r="G40" s="248"/>
      <c r="H40" s="232"/>
      <c r="I40" s="210"/>
      <c r="J40" s="210"/>
      <c r="K40" s="210"/>
      <c r="L40" s="210"/>
      <c r="M40" s="232"/>
      <c r="N40" s="210"/>
      <c r="O40" s="210"/>
      <c r="P40" s="211"/>
      <c r="Q40" s="210"/>
      <c r="R40" s="210"/>
      <c r="S40" s="210"/>
      <c r="T40" s="210"/>
      <c r="U40" s="210"/>
      <c r="V40" s="232"/>
      <c r="W40" s="210"/>
      <c r="X40" s="210"/>
      <c r="Y40" s="211"/>
      <c r="Z40" s="210"/>
      <c r="AA40" s="210"/>
      <c r="AB40" s="210"/>
      <c r="AC40" s="210"/>
      <c r="AD40" s="210"/>
      <c r="AE40" s="232"/>
      <c r="AF40" s="210"/>
      <c r="AG40" s="210"/>
      <c r="AH40" s="211"/>
      <c r="AI40" s="210"/>
      <c r="AJ40" s="210"/>
      <c r="AK40" s="210"/>
      <c r="AL40" s="210"/>
      <c r="AM40" s="232"/>
      <c r="AN40" s="210"/>
      <c r="AO40" s="210"/>
      <c r="AP40" s="210"/>
      <c r="AQ40" s="211"/>
      <c r="AR40" s="210"/>
      <c r="AS40" s="210"/>
      <c r="AT40" s="210"/>
      <c r="AU40" s="210"/>
      <c r="AV40" s="232"/>
      <c r="AW40" s="210"/>
      <c r="AX40" s="210"/>
      <c r="AY40" s="211"/>
      <c r="AZ40" s="210"/>
      <c r="BA40" s="210"/>
      <c r="BB40" s="210"/>
      <c r="BC40" s="210"/>
      <c r="BD40" s="210"/>
      <c r="BE40" s="232"/>
      <c r="BF40" s="210"/>
      <c r="BG40" s="210"/>
      <c r="BH40" s="211"/>
      <c r="BI40" s="210"/>
      <c r="BJ40" s="233"/>
      <c r="BK40" s="290"/>
      <c r="BM40" s="345"/>
      <c r="BN40" s="346"/>
      <c r="BO40" s="227" t="s">
        <v>46</v>
      </c>
      <c r="BP40" s="227">
        <v>0</v>
      </c>
      <c r="BQ40" s="227">
        <v>0</v>
      </c>
      <c r="BR40" s="227">
        <v>0</v>
      </c>
      <c r="BS40" s="227">
        <v>0</v>
      </c>
      <c r="BT40" s="227">
        <v>0</v>
      </c>
      <c r="BU40" s="227">
        <v>0</v>
      </c>
      <c r="BV40" s="227">
        <v>0</v>
      </c>
      <c r="BW40" s="227">
        <v>0</v>
      </c>
      <c r="BX40" s="227">
        <v>0</v>
      </c>
      <c r="BY40" s="227">
        <v>0</v>
      </c>
      <c r="BZ40" s="227">
        <v>0</v>
      </c>
      <c r="CA40" s="227">
        <v>0</v>
      </c>
    </row>
    <row r="41" spans="1:79" s="230" customFormat="1" ht="18" customHeight="1" thickBot="1">
      <c r="A41" s="227"/>
      <c r="B41" s="227" t="s">
        <v>246</v>
      </c>
      <c r="C41" s="279" t="s">
        <v>157</v>
      </c>
      <c r="D41" s="248"/>
      <c r="E41" s="251"/>
      <c r="F41" s="252"/>
      <c r="G41" s="248"/>
      <c r="H41" s="232"/>
      <c r="I41" s="210"/>
      <c r="J41" s="210"/>
      <c r="K41" s="210"/>
      <c r="L41" s="210"/>
      <c r="M41" s="232"/>
      <c r="N41" s="210"/>
      <c r="O41" s="210"/>
      <c r="P41" s="211"/>
      <c r="Q41" s="210"/>
      <c r="R41" s="210"/>
      <c r="S41" s="210"/>
      <c r="T41" s="210"/>
      <c r="U41" s="210"/>
      <c r="V41" s="232"/>
      <c r="W41" s="210"/>
      <c r="X41" s="210"/>
      <c r="Y41" s="211"/>
      <c r="Z41" s="210"/>
      <c r="AA41" s="210"/>
      <c r="AB41" s="210"/>
      <c r="AC41" s="210"/>
      <c r="AD41" s="210"/>
      <c r="AE41" s="232"/>
      <c r="AF41" s="210"/>
      <c r="AG41" s="210"/>
      <c r="AH41" s="211"/>
      <c r="AI41" s="210"/>
      <c r="AJ41" s="210"/>
      <c r="AK41" s="210"/>
      <c r="AL41" s="210"/>
      <c r="AM41" s="232"/>
      <c r="AN41" s="210"/>
      <c r="AO41" s="210"/>
      <c r="AP41" s="210"/>
      <c r="AQ41" s="211"/>
      <c r="AR41" s="210"/>
      <c r="AS41" s="210"/>
      <c r="AT41" s="210"/>
      <c r="AU41" s="210"/>
      <c r="AV41" s="232"/>
      <c r="AW41" s="210"/>
      <c r="AX41" s="210"/>
      <c r="AY41" s="211"/>
      <c r="AZ41" s="210"/>
      <c r="BA41" s="210"/>
      <c r="BB41" s="210"/>
      <c r="BC41" s="210"/>
      <c r="BD41" s="210"/>
      <c r="BE41" s="232"/>
      <c r="BF41" s="210"/>
      <c r="BG41" s="210"/>
      <c r="BH41" s="211"/>
      <c r="BI41" s="210"/>
      <c r="BJ41" s="233"/>
      <c r="BK41" s="290"/>
      <c r="BL41" s="229"/>
      <c r="BM41" s="347"/>
      <c r="BN41" s="348"/>
      <c r="BO41" s="227" t="s">
        <v>134</v>
      </c>
      <c r="BP41" s="227">
        <v>0</v>
      </c>
      <c r="BQ41" s="227">
        <v>0</v>
      </c>
      <c r="BR41" s="227">
        <v>0</v>
      </c>
      <c r="BS41" s="227">
        <v>0</v>
      </c>
      <c r="BT41" s="227">
        <v>0</v>
      </c>
      <c r="BU41" s="227">
        <v>0</v>
      </c>
      <c r="BV41" s="227">
        <v>0</v>
      </c>
      <c r="BW41" s="227">
        <v>0</v>
      </c>
      <c r="BX41" s="227">
        <v>0</v>
      </c>
      <c r="BY41" s="227">
        <v>0</v>
      </c>
      <c r="BZ41" s="227">
        <v>0</v>
      </c>
      <c r="CA41" s="227">
        <v>0</v>
      </c>
    </row>
    <row r="42" spans="1:79" ht="18" customHeight="1" thickBot="1">
      <c r="C42" s="279"/>
      <c r="D42" s="390"/>
      <c r="E42" s="391"/>
      <c r="F42" s="391"/>
      <c r="G42" s="392"/>
      <c r="H42" s="449"/>
      <c r="I42" s="450"/>
      <c r="J42" s="450"/>
      <c r="K42" s="450"/>
      <c r="L42" s="451"/>
      <c r="M42" s="449"/>
      <c r="N42" s="450"/>
      <c r="O42" s="450"/>
      <c r="P42" s="451"/>
      <c r="Q42" s="449"/>
      <c r="R42" s="450"/>
      <c r="S42" s="450"/>
      <c r="T42" s="450"/>
      <c r="U42" s="451"/>
      <c r="V42" s="449"/>
      <c r="W42" s="450"/>
      <c r="X42" s="450"/>
      <c r="Y42" s="451"/>
      <c r="Z42" s="390"/>
      <c r="AA42" s="391"/>
      <c r="AB42" s="391"/>
      <c r="AC42" s="391"/>
      <c r="AD42" s="392"/>
      <c r="AE42" s="390"/>
      <c r="AF42" s="391"/>
      <c r="AG42" s="391"/>
      <c r="AH42" s="392"/>
      <c r="AI42" s="390"/>
      <c r="AJ42" s="391"/>
      <c r="AK42" s="391"/>
      <c r="AL42" s="392"/>
      <c r="AM42" s="390"/>
      <c r="AN42" s="391"/>
      <c r="AO42" s="391"/>
      <c r="AP42" s="391"/>
      <c r="AQ42" s="392"/>
      <c r="AR42" s="390"/>
      <c r="AS42" s="391"/>
      <c r="AT42" s="391"/>
      <c r="AU42" s="392"/>
      <c r="AV42" s="390"/>
      <c r="AW42" s="391"/>
      <c r="AX42" s="391"/>
      <c r="AY42" s="392"/>
      <c r="AZ42" s="390"/>
      <c r="BA42" s="391"/>
      <c r="BB42" s="391"/>
      <c r="BC42" s="391"/>
      <c r="BD42" s="392"/>
      <c r="BE42" s="390"/>
      <c r="BF42" s="391"/>
      <c r="BG42" s="391"/>
      <c r="BH42" s="392"/>
      <c r="BI42" s="392"/>
      <c r="BJ42" s="376"/>
      <c r="BK42" s="378">
        <f>SUM(BK37:BK41)</f>
        <v>0</v>
      </c>
      <c r="BL42" s="247">
        <v>0</v>
      </c>
      <c r="BM42" s="447"/>
      <c r="BN42" s="448"/>
      <c r="BO42" s="227" t="s">
        <v>140</v>
      </c>
      <c r="BP42" s="227">
        <v>0</v>
      </c>
      <c r="BQ42" s="227">
        <v>0</v>
      </c>
      <c r="BR42" s="227">
        <v>0</v>
      </c>
      <c r="BS42" s="227">
        <v>0</v>
      </c>
      <c r="BT42" s="227">
        <v>0</v>
      </c>
      <c r="BU42" s="227">
        <v>0</v>
      </c>
      <c r="BV42" s="227">
        <v>0</v>
      </c>
      <c r="BW42" s="227">
        <v>0</v>
      </c>
      <c r="BX42" s="227">
        <v>0</v>
      </c>
      <c r="BY42" s="227">
        <v>0</v>
      </c>
      <c r="BZ42" s="227">
        <v>0</v>
      </c>
      <c r="CA42" s="227">
        <v>0</v>
      </c>
    </row>
    <row r="43" spans="1:79" ht="18" customHeight="1" thickBot="1">
      <c r="C43" s="279"/>
      <c r="D43" s="481" t="s">
        <v>2</v>
      </c>
      <c r="E43" s="482"/>
      <c r="F43" s="483"/>
      <c r="G43" s="482"/>
      <c r="H43" s="320"/>
      <c r="I43" s="393"/>
      <c r="J43" s="393"/>
      <c r="K43" s="393"/>
      <c r="L43" s="395"/>
      <c r="M43" s="323"/>
      <c r="N43" s="394"/>
      <c r="O43" s="394"/>
      <c r="P43" s="325"/>
      <c r="Q43" s="320"/>
      <c r="R43" s="393"/>
      <c r="S43" s="393"/>
      <c r="T43" s="393"/>
      <c r="U43" s="395"/>
      <c r="V43" s="394"/>
      <c r="W43" s="394"/>
      <c r="X43" s="394"/>
      <c r="Y43" s="394"/>
      <c r="Z43" s="323"/>
      <c r="AA43" s="393"/>
      <c r="AB43" s="393"/>
      <c r="AC43" s="393"/>
      <c r="AD43" s="395"/>
      <c r="AE43" s="394"/>
      <c r="AF43" s="394"/>
      <c r="AG43" s="394"/>
      <c r="AH43" s="394"/>
      <c r="AI43" s="323"/>
      <c r="AJ43" s="393"/>
      <c r="AK43" s="393"/>
      <c r="AL43" s="395"/>
      <c r="AM43" s="393"/>
      <c r="AN43" s="394"/>
      <c r="AO43" s="394"/>
      <c r="AP43" s="394"/>
      <c r="AQ43" s="394"/>
      <c r="AR43" s="323"/>
      <c r="AS43" s="393"/>
      <c r="AT43" s="393"/>
      <c r="AU43" s="395"/>
      <c r="AV43" s="394"/>
      <c r="AW43" s="394"/>
      <c r="AX43" s="394"/>
      <c r="AY43" s="394"/>
      <c r="AZ43" s="320"/>
      <c r="BA43" s="393"/>
      <c r="BB43" s="393"/>
      <c r="BC43" s="393"/>
      <c r="BD43" s="395"/>
      <c r="BE43" s="394"/>
      <c r="BF43" s="394"/>
      <c r="BG43" s="394"/>
      <c r="BH43" s="394"/>
      <c r="BI43" s="457"/>
      <c r="BJ43" s="453"/>
      <c r="BK43" s="458"/>
      <c r="BL43" s="231"/>
      <c r="BM43" s="400" t="s">
        <v>258</v>
      </c>
      <c r="BN43" s="351" t="s">
        <v>259</v>
      </c>
      <c r="BO43" s="227" t="s">
        <v>135</v>
      </c>
      <c r="BP43" s="227">
        <v>0</v>
      </c>
      <c r="BQ43" s="227">
        <v>0</v>
      </c>
      <c r="BR43" s="227">
        <v>0</v>
      </c>
      <c r="BS43" s="227">
        <v>0</v>
      </c>
      <c r="BT43" s="227">
        <v>0</v>
      </c>
      <c r="BU43" s="227">
        <v>0</v>
      </c>
      <c r="BV43" s="227">
        <v>0</v>
      </c>
      <c r="BW43" s="227">
        <v>0</v>
      </c>
      <c r="BX43" s="227">
        <v>0</v>
      </c>
      <c r="BY43" s="227">
        <v>0</v>
      </c>
      <c r="BZ43" s="227">
        <v>0</v>
      </c>
      <c r="CA43" s="227">
        <v>0</v>
      </c>
    </row>
    <row r="44" spans="1:79" ht="18" customHeight="1">
      <c r="B44" s="227" t="s">
        <v>246</v>
      </c>
      <c r="C44" s="279" t="s">
        <v>157</v>
      </c>
      <c r="D44" s="248"/>
      <c r="E44" s="249"/>
      <c r="F44" s="252"/>
      <c r="G44" s="253"/>
      <c r="H44" s="402"/>
      <c r="I44" s="401"/>
      <c r="J44" s="401"/>
      <c r="K44" s="401"/>
      <c r="L44" s="401"/>
      <c r="M44" s="402"/>
      <c r="N44" s="401"/>
      <c r="O44" s="401"/>
      <c r="P44" s="403"/>
      <c r="Q44" s="401"/>
      <c r="R44" s="401"/>
      <c r="S44" s="401"/>
      <c r="T44" s="401"/>
      <c r="U44" s="401"/>
      <c r="V44" s="402"/>
      <c r="W44" s="401"/>
      <c r="X44" s="401"/>
      <c r="Y44" s="403"/>
      <c r="Z44" s="401"/>
      <c r="AA44" s="401"/>
      <c r="AB44" s="401"/>
      <c r="AC44" s="401"/>
      <c r="AD44" s="401"/>
      <c r="AE44" s="402"/>
      <c r="AF44" s="401"/>
      <c r="AG44" s="401"/>
      <c r="AH44" s="403"/>
      <c r="AI44" s="401"/>
      <c r="AJ44" s="401"/>
      <c r="AK44" s="401"/>
      <c r="AL44" s="401"/>
      <c r="AM44" s="402"/>
      <c r="AN44" s="401"/>
      <c r="AO44" s="401"/>
      <c r="AP44" s="401"/>
      <c r="AQ44" s="403"/>
      <c r="AR44" s="401"/>
      <c r="AS44" s="401"/>
      <c r="AT44" s="401"/>
      <c r="AU44" s="401"/>
      <c r="AV44" s="402"/>
      <c r="AW44" s="401"/>
      <c r="AX44" s="401"/>
      <c r="AY44" s="403"/>
      <c r="AZ44" s="401"/>
      <c r="BA44" s="401"/>
      <c r="BB44" s="401"/>
      <c r="BC44" s="401"/>
      <c r="BD44" s="401"/>
      <c r="BE44" s="402"/>
      <c r="BF44" s="401"/>
      <c r="BG44" s="401"/>
      <c r="BH44" s="403"/>
      <c r="BI44" s="210"/>
      <c r="BJ44" s="212"/>
      <c r="BK44" s="290"/>
      <c r="BM44" s="349"/>
      <c r="BN44" s="344"/>
      <c r="BO44" s="227" t="s">
        <v>136</v>
      </c>
      <c r="BP44" s="227">
        <v>0</v>
      </c>
      <c r="BQ44" s="227">
        <v>0</v>
      </c>
      <c r="BR44" s="227">
        <v>0</v>
      </c>
      <c r="BS44" s="227">
        <v>0</v>
      </c>
      <c r="BT44" s="227">
        <v>0</v>
      </c>
      <c r="BU44" s="227">
        <v>0</v>
      </c>
      <c r="BV44" s="227">
        <v>0</v>
      </c>
      <c r="BW44" s="227">
        <v>0</v>
      </c>
      <c r="BX44" s="227">
        <v>0</v>
      </c>
      <c r="BY44" s="227">
        <v>0</v>
      </c>
      <c r="BZ44" s="227">
        <v>0</v>
      </c>
      <c r="CA44" s="227">
        <v>0</v>
      </c>
    </row>
    <row r="45" spans="1:79" ht="18" customHeight="1">
      <c r="B45" s="227" t="s">
        <v>246</v>
      </c>
      <c r="C45" s="279" t="s">
        <v>157</v>
      </c>
      <c r="D45" s="262"/>
      <c r="E45" s="263"/>
      <c r="F45" s="252"/>
      <c r="G45" s="262"/>
      <c r="H45" s="226"/>
      <c r="I45" s="210"/>
      <c r="J45" s="210"/>
      <c r="K45" s="210"/>
      <c r="L45" s="210"/>
      <c r="M45" s="226"/>
      <c r="N45" s="210"/>
      <c r="O45" s="210"/>
      <c r="P45" s="211"/>
      <c r="Q45" s="210"/>
      <c r="R45" s="210"/>
      <c r="S45" s="210"/>
      <c r="T45" s="210"/>
      <c r="U45" s="210"/>
      <c r="V45" s="226"/>
      <c r="W45" s="210"/>
      <c r="X45" s="210"/>
      <c r="Y45" s="211"/>
      <c r="Z45" s="210"/>
      <c r="AA45" s="210"/>
      <c r="AB45" s="210"/>
      <c r="AC45" s="210"/>
      <c r="AD45" s="210"/>
      <c r="AE45" s="226"/>
      <c r="AF45" s="210"/>
      <c r="AG45" s="210"/>
      <c r="AH45" s="211"/>
      <c r="AI45" s="210"/>
      <c r="AJ45" s="210"/>
      <c r="AK45" s="210"/>
      <c r="AL45" s="210"/>
      <c r="AM45" s="226"/>
      <c r="AN45" s="210"/>
      <c r="AO45" s="210"/>
      <c r="AP45" s="210"/>
      <c r="AQ45" s="211"/>
      <c r="AR45" s="210"/>
      <c r="AS45" s="210"/>
      <c r="AT45" s="210"/>
      <c r="AU45" s="210"/>
      <c r="AV45" s="226"/>
      <c r="AW45" s="210"/>
      <c r="AX45" s="210"/>
      <c r="AY45" s="211"/>
      <c r="AZ45" s="210"/>
      <c r="BA45" s="210"/>
      <c r="BB45" s="210"/>
      <c r="BC45" s="210"/>
      <c r="BD45" s="210"/>
      <c r="BE45" s="226"/>
      <c r="BF45" s="210"/>
      <c r="BG45" s="210"/>
      <c r="BH45" s="211"/>
      <c r="BI45" s="210"/>
      <c r="BJ45" s="284"/>
      <c r="BK45" s="290"/>
      <c r="BM45" s="345"/>
      <c r="BN45" s="346"/>
    </row>
    <row r="46" spans="1:79" ht="18" customHeight="1">
      <c r="B46" s="227" t="s">
        <v>246</v>
      </c>
      <c r="C46" s="279" t="s">
        <v>157</v>
      </c>
      <c r="D46" s="262"/>
      <c r="E46" s="263"/>
      <c r="F46" s="252"/>
      <c r="G46" s="262"/>
      <c r="H46" s="226"/>
      <c r="I46" s="210"/>
      <c r="J46" s="210"/>
      <c r="K46" s="210"/>
      <c r="L46" s="210"/>
      <c r="M46" s="226"/>
      <c r="N46" s="210"/>
      <c r="O46" s="210"/>
      <c r="P46" s="211"/>
      <c r="Q46" s="210"/>
      <c r="R46" s="210"/>
      <c r="S46" s="210"/>
      <c r="T46" s="210"/>
      <c r="U46" s="210"/>
      <c r="V46" s="226"/>
      <c r="W46" s="210"/>
      <c r="X46" s="210"/>
      <c r="Y46" s="211"/>
      <c r="Z46" s="210"/>
      <c r="AA46" s="210"/>
      <c r="AB46" s="210"/>
      <c r="AC46" s="210"/>
      <c r="AD46" s="210"/>
      <c r="AE46" s="226"/>
      <c r="AF46" s="210"/>
      <c r="AG46" s="210"/>
      <c r="AH46" s="211"/>
      <c r="AI46" s="210"/>
      <c r="AJ46" s="210"/>
      <c r="AK46" s="210"/>
      <c r="AL46" s="210"/>
      <c r="AM46" s="226"/>
      <c r="AN46" s="210"/>
      <c r="AO46" s="210"/>
      <c r="AP46" s="210"/>
      <c r="AQ46" s="211"/>
      <c r="AR46" s="210"/>
      <c r="AS46" s="210"/>
      <c r="AT46" s="210"/>
      <c r="AU46" s="210"/>
      <c r="AV46" s="226"/>
      <c r="AW46" s="210"/>
      <c r="AX46" s="210"/>
      <c r="AY46" s="211"/>
      <c r="AZ46" s="210"/>
      <c r="BA46" s="210"/>
      <c r="BB46" s="210"/>
      <c r="BC46" s="210"/>
      <c r="BD46" s="210"/>
      <c r="BE46" s="226"/>
      <c r="BF46" s="210"/>
      <c r="BG46" s="210"/>
      <c r="BH46" s="211"/>
      <c r="BI46" s="210"/>
      <c r="BJ46" s="284"/>
      <c r="BK46" s="290"/>
      <c r="BM46" s="345"/>
      <c r="BN46" s="346"/>
    </row>
    <row r="47" spans="1:79" ht="18" customHeight="1">
      <c r="B47" s="227" t="s">
        <v>246</v>
      </c>
      <c r="C47" s="279" t="s">
        <v>157</v>
      </c>
      <c r="D47" s="248"/>
      <c r="E47" s="251"/>
      <c r="F47" s="252"/>
      <c r="G47" s="248"/>
      <c r="H47" s="232"/>
      <c r="I47" s="210"/>
      <c r="J47" s="210"/>
      <c r="K47" s="210"/>
      <c r="L47" s="210"/>
      <c r="M47" s="232"/>
      <c r="N47" s="210"/>
      <c r="O47" s="210"/>
      <c r="P47" s="211"/>
      <c r="Q47" s="210"/>
      <c r="R47" s="210"/>
      <c r="S47" s="210"/>
      <c r="T47" s="210"/>
      <c r="U47" s="210"/>
      <c r="V47" s="232"/>
      <c r="W47" s="210"/>
      <c r="X47" s="210"/>
      <c r="Y47" s="211"/>
      <c r="Z47" s="210"/>
      <c r="AA47" s="210"/>
      <c r="AB47" s="210"/>
      <c r="AC47" s="210"/>
      <c r="AD47" s="210"/>
      <c r="AE47" s="232"/>
      <c r="AF47" s="210"/>
      <c r="AG47" s="210"/>
      <c r="AH47" s="211"/>
      <c r="AI47" s="210"/>
      <c r="AJ47" s="210"/>
      <c r="AK47" s="210"/>
      <c r="AL47" s="210"/>
      <c r="AM47" s="232"/>
      <c r="AN47" s="210"/>
      <c r="AO47" s="210"/>
      <c r="AP47" s="210"/>
      <c r="AQ47" s="211"/>
      <c r="AR47" s="210"/>
      <c r="AS47" s="210"/>
      <c r="AT47" s="210"/>
      <c r="AU47" s="210"/>
      <c r="AV47" s="232"/>
      <c r="AW47" s="210"/>
      <c r="AX47" s="210"/>
      <c r="AY47" s="211"/>
      <c r="AZ47" s="210"/>
      <c r="BA47" s="210"/>
      <c r="BB47" s="210"/>
      <c r="BC47" s="210"/>
      <c r="BD47" s="210"/>
      <c r="BE47" s="232"/>
      <c r="BF47" s="210"/>
      <c r="BG47" s="210"/>
      <c r="BH47" s="211"/>
      <c r="BI47" s="210"/>
      <c r="BJ47" s="233"/>
      <c r="BK47" s="290"/>
      <c r="BM47" s="345"/>
      <c r="BN47" s="346"/>
    </row>
    <row r="48" spans="1:79" s="230" customFormat="1" ht="18" customHeight="1" thickBot="1">
      <c r="A48" s="227"/>
      <c r="B48" s="227" t="s">
        <v>246</v>
      </c>
      <c r="C48" s="279" t="s">
        <v>157</v>
      </c>
      <c r="D48" s="248"/>
      <c r="E48" s="251"/>
      <c r="F48" s="252"/>
      <c r="G48" s="248"/>
      <c r="H48" s="232"/>
      <c r="I48" s="210"/>
      <c r="J48" s="210"/>
      <c r="K48" s="210"/>
      <c r="L48" s="210"/>
      <c r="M48" s="232"/>
      <c r="N48" s="210"/>
      <c r="O48" s="210"/>
      <c r="P48" s="211"/>
      <c r="Q48" s="210"/>
      <c r="R48" s="210"/>
      <c r="S48" s="210"/>
      <c r="T48" s="210"/>
      <c r="U48" s="210"/>
      <c r="V48" s="232"/>
      <c r="W48" s="210"/>
      <c r="X48" s="210"/>
      <c r="Y48" s="211"/>
      <c r="Z48" s="210"/>
      <c r="AA48" s="210"/>
      <c r="AB48" s="210"/>
      <c r="AC48" s="210"/>
      <c r="AD48" s="210"/>
      <c r="AE48" s="232"/>
      <c r="AF48" s="210"/>
      <c r="AG48" s="210"/>
      <c r="AH48" s="211"/>
      <c r="AI48" s="210"/>
      <c r="AJ48" s="210"/>
      <c r="AK48" s="210"/>
      <c r="AL48" s="210"/>
      <c r="AM48" s="232"/>
      <c r="AN48" s="210"/>
      <c r="AO48" s="210"/>
      <c r="AP48" s="210"/>
      <c r="AQ48" s="211"/>
      <c r="AR48" s="210"/>
      <c r="AS48" s="210"/>
      <c r="AT48" s="210"/>
      <c r="AU48" s="210"/>
      <c r="AV48" s="232"/>
      <c r="AW48" s="210"/>
      <c r="AX48" s="210"/>
      <c r="AY48" s="211"/>
      <c r="AZ48" s="210"/>
      <c r="BA48" s="210"/>
      <c r="BB48" s="210"/>
      <c r="BC48" s="210"/>
      <c r="BD48" s="210"/>
      <c r="BE48" s="232"/>
      <c r="BF48" s="210"/>
      <c r="BG48" s="210"/>
      <c r="BH48" s="211"/>
      <c r="BI48" s="210"/>
      <c r="BJ48" s="233"/>
      <c r="BK48" s="290"/>
      <c r="BL48" s="229"/>
      <c r="BM48" s="347"/>
      <c r="BN48" s="348"/>
      <c r="BO48" s="227"/>
      <c r="BP48" s="227"/>
      <c r="BQ48" s="227"/>
    </row>
    <row r="49" spans="1:69" ht="18" customHeight="1" thickBot="1">
      <c r="C49" s="279"/>
      <c r="D49" s="390"/>
      <c r="E49" s="391"/>
      <c r="F49" s="391"/>
      <c r="G49" s="392"/>
      <c r="H49" s="449"/>
      <c r="I49" s="450"/>
      <c r="J49" s="450"/>
      <c r="K49" s="450"/>
      <c r="L49" s="451"/>
      <c r="M49" s="449"/>
      <c r="N49" s="450"/>
      <c r="O49" s="450"/>
      <c r="P49" s="451"/>
      <c r="Q49" s="449"/>
      <c r="R49" s="450"/>
      <c r="S49" s="450"/>
      <c r="T49" s="450"/>
      <c r="U49" s="451"/>
      <c r="V49" s="449"/>
      <c r="W49" s="450"/>
      <c r="X49" s="450"/>
      <c r="Y49" s="451"/>
      <c r="Z49" s="390"/>
      <c r="AA49" s="391"/>
      <c r="AB49" s="391"/>
      <c r="AC49" s="391"/>
      <c r="AD49" s="392"/>
      <c r="AE49" s="390"/>
      <c r="AF49" s="391"/>
      <c r="AG49" s="391"/>
      <c r="AH49" s="392"/>
      <c r="AI49" s="390"/>
      <c r="AJ49" s="391"/>
      <c r="AK49" s="391"/>
      <c r="AL49" s="392"/>
      <c r="AM49" s="390"/>
      <c r="AN49" s="391"/>
      <c r="AO49" s="391"/>
      <c r="AP49" s="391"/>
      <c r="AQ49" s="392"/>
      <c r="AR49" s="390"/>
      <c r="AS49" s="391"/>
      <c r="AT49" s="391"/>
      <c r="AU49" s="392"/>
      <c r="AV49" s="390"/>
      <c r="AW49" s="391"/>
      <c r="AX49" s="391"/>
      <c r="AY49" s="392"/>
      <c r="AZ49" s="390"/>
      <c r="BA49" s="391"/>
      <c r="BB49" s="391"/>
      <c r="BC49" s="391"/>
      <c r="BD49" s="392"/>
      <c r="BE49" s="390"/>
      <c r="BF49" s="391"/>
      <c r="BG49" s="391"/>
      <c r="BH49" s="392"/>
      <c r="BI49" s="392"/>
      <c r="BJ49" s="376"/>
      <c r="BK49" s="378">
        <f>SUM(BK44:BK48)</f>
        <v>0</v>
      </c>
      <c r="BL49" s="247">
        <v>0</v>
      </c>
      <c r="BM49" s="447"/>
      <c r="BN49" s="448"/>
    </row>
    <row r="50" spans="1:69" ht="18" customHeight="1" thickBot="1">
      <c r="C50" s="279"/>
      <c r="D50" s="481" t="s">
        <v>24</v>
      </c>
      <c r="E50" s="482"/>
      <c r="F50" s="483"/>
      <c r="G50" s="482"/>
      <c r="H50" s="320"/>
      <c r="I50" s="398"/>
      <c r="J50" s="398"/>
      <c r="K50" s="398"/>
      <c r="L50" s="399"/>
      <c r="M50" s="396"/>
      <c r="N50" s="394"/>
      <c r="O50" s="394"/>
      <c r="P50" s="325"/>
      <c r="Q50" s="320"/>
      <c r="R50" s="398"/>
      <c r="S50" s="398"/>
      <c r="T50" s="398"/>
      <c r="U50" s="399"/>
      <c r="V50" s="394"/>
      <c r="W50" s="394"/>
      <c r="X50" s="394"/>
      <c r="Y50" s="394"/>
      <c r="Z50" s="396"/>
      <c r="AA50" s="398"/>
      <c r="AB50" s="398"/>
      <c r="AC50" s="398"/>
      <c r="AD50" s="399"/>
      <c r="AE50" s="394"/>
      <c r="AF50" s="394"/>
      <c r="AG50" s="394"/>
      <c r="AH50" s="394"/>
      <c r="AI50" s="396"/>
      <c r="AJ50" s="398"/>
      <c r="AK50" s="398"/>
      <c r="AL50" s="399"/>
      <c r="AM50" s="398"/>
      <c r="AN50" s="394"/>
      <c r="AO50" s="394"/>
      <c r="AP50" s="394"/>
      <c r="AQ50" s="394"/>
      <c r="AR50" s="396"/>
      <c r="AS50" s="398"/>
      <c r="AT50" s="398"/>
      <c r="AU50" s="399"/>
      <c r="AV50" s="394"/>
      <c r="AW50" s="394"/>
      <c r="AX50" s="394"/>
      <c r="AY50" s="394"/>
      <c r="AZ50" s="320"/>
      <c r="BA50" s="398"/>
      <c r="BB50" s="398"/>
      <c r="BC50" s="398"/>
      <c r="BD50" s="399"/>
      <c r="BE50" s="394"/>
      <c r="BF50" s="394"/>
      <c r="BG50" s="394"/>
      <c r="BH50" s="394"/>
      <c r="BI50" s="457"/>
      <c r="BJ50" s="453"/>
      <c r="BK50" s="458"/>
      <c r="BL50" s="231"/>
      <c r="BM50" s="400" t="s">
        <v>258</v>
      </c>
      <c r="BN50" s="351" t="s">
        <v>259</v>
      </c>
      <c r="BO50" s="230"/>
      <c r="BP50" s="230"/>
      <c r="BQ50" s="230"/>
    </row>
    <row r="51" spans="1:69" ht="18" customHeight="1">
      <c r="B51" s="227" t="s">
        <v>246</v>
      </c>
      <c r="C51" s="279" t="s">
        <v>157</v>
      </c>
      <c r="D51" s="248"/>
      <c r="E51" s="249"/>
      <c r="F51" s="252"/>
      <c r="G51" s="253"/>
      <c r="H51" s="402"/>
      <c r="I51" s="401"/>
      <c r="J51" s="401"/>
      <c r="K51" s="401"/>
      <c r="L51" s="401"/>
      <c r="M51" s="402"/>
      <c r="N51" s="401"/>
      <c r="O51" s="401"/>
      <c r="P51" s="403"/>
      <c r="Q51" s="401"/>
      <c r="R51" s="401"/>
      <c r="S51" s="401"/>
      <c r="T51" s="401"/>
      <c r="U51" s="401"/>
      <c r="V51" s="402"/>
      <c r="W51" s="401"/>
      <c r="X51" s="401"/>
      <c r="Y51" s="403"/>
      <c r="Z51" s="401"/>
      <c r="AA51" s="401"/>
      <c r="AB51" s="401"/>
      <c r="AC51" s="401"/>
      <c r="AD51" s="401"/>
      <c r="AE51" s="402"/>
      <c r="AF51" s="401"/>
      <c r="AG51" s="401"/>
      <c r="AH51" s="403"/>
      <c r="AI51" s="401"/>
      <c r="AJ51" s="401"/>
      <c r="AK51" s="401"/>
      <c r="AL51" s="401"/>
      <c r="AM51" s="402"/>
      <c r="AN51" s="401"/>
      <c r="AO51" s="401"/>
      <c r="AP51" s="401"/>
      <c r="AQ51" s="403"/>
      <c r="AR51" s="401"/>
      <c r="AS51" s="401"/>
      <c r="AT51" s="401"/>
      <c r="AU51" s="401"/>
      <c r="AV51" s="402"/>
      <c r="AW51" s="401"/>
      <c r="AX51" s="401"/>
      <c r="AY51" s="403"/>
      <c r="AZ51" s="401"/>
      <c r="BA51" s="401"/>
      <c r="BB51" s="401"/>
      <c r="BC51" s="401"/>
      <c r="BD51" s="401"/>
      <c r="BE51" s="402"/>
      <c r="BF51" s="401"/>
      <c r="BG51" s="401"/>
      <c r="BH51" s="403"/>
      <c r="BI51" s="210"/>
      <c r="BJ51" s="212"/>
      <c r="BK51" s="290"/>
      <c r="BM51" s="349"/>
      <c r="BN51" s="344"/>
    </row>
    <row r="52" spans="1:69" ht="18" customHeight="1">
      <c r="B52" s="227" t="s">
        <v>246</v>
      </c>
      <c r="C52" s="279" t="s">
        <v>157</v>
      </c>
      <c r="D52" s="262"/>
      <c r="E52" s="263"/>
      <c r="F52" s="252"/>
      <c r="G52" s="262"/>
      <c r="H52" s="226"/>
      <c r="I52" s="210"/>
      <c r="J52" s="210"/>
      <c r="K52" s="210"/>
      <c r="L52" s="210"/>
      <c r="M52" s="226"/>
      <c r="N52" s="210"/>
      <c r="O52" s="210"/>
      <c r="P52" s="211"/>
      <c r="Q52" s="210"/>
      <c r="R52" s="210"/>
      <c r="S52" s="210"/>
      <c r="T52" s="210"/>
      <c r="U52" s="210"/>
      <c r="V52" s="226"/>
      <c r="W52" s="210"/>
      <c r="X52" s="210"/>
      <c r="Y52" s="211"/>
      <c r="Z52" s="210"/>
      <c r="AA52" s="210"/>
      <c r="AB52" s="210"/>
      <c r="AC52" s="210"/>
      <c r="AD52" s="210"/>
      <c r="AE52" s="226"/>
      <c r="AF52" s="210"/>
      <c r="AG52" s="210"/>
      <c r="AH52" s="211"/>
      <c r="AI52" s="210"/>
      <c r="AJ52" s="210"/>
      <c r="AK52" s="210"/>
      <c r="AL52" s="210"/>
      <c r="AM52" s="226"/>
      <c r="AN52" s="210"/>
      <c r="AO52" s="210"/>
      <c r="AP52" s="210"/>
      <c r="AQ52" s="211"/>
      <c r="AR52" s="210"/>
      <c r="AS52" s="210"/>
      <c r="AT52" s="210"/>
      <c r="AU52" s="210"/>
      <c r="AV52" s="226"/>
      <c r="AW52" s="210"/>
      <c r="AX52" s="210"/>
      <c r="AY52" s="211"/>
      <c r="AZ52" s="210"/>
      <c r="BA52" s="210"/>
      <c r="BB52" s="210"/>
      <c r="BC52" s="210"/>
      <c r="BD52" s="210"/>
      <c r="BE52" s="226"/>
      <c r="BF52" s="210"/>
      <c r="BG52" s="210"/>
      <c r="BH52" s="211"/>
      <c r="BI52" s="210"/>
      <c r="BJ52" s="284"/>
      <c r="BK52" s="290"/>
      <c r="BM52" s="345"/>
      <c r="BN52" s="346"/>
    </row>
    <row r="53" spans="1:69" ht="18" customHeight="1">
      <c r="B53" s="227" t="s">
        <v>246</v>
      </c>
      <c r="C53" s="279" t="s">
        <v>157</v>
      </c>
      <c r="D53" s="262"/>
      <c r="E53" s="263"/>
      <c r="F53" s="252"/>
      <c r="G53" s="262"/>
      <c r="H53" s="226"/>
      <c r="I53" s="210"/>
      <c r="J53" s="210"/>
      <c r="K53" s="210"/>
      <c r="L53" s="210"/>
      <c r="M53" s="226"/>
      <c r="N53" s="210"/>
      <c r="O53" s="210"/>
      <c r="P53" s="211"/>
      <c r="Q53" s="210"/>
      <c r="R53" s="210"/>
      <c r="S53" s="210"/>
      <c r="T53" s="210"/>
      <c r="U53" s="210"/>
      <c r="V53" s="226"/>
      <c r="W53" s="210"/>
      <c r="X53" s="210"/>
      <c r="Y53" s="211"/>
      <c r="Z53" s="210"/>
      <c r="AA53" s="210"/>
      <c r="AB53" s="210"/>
      <c r="AC53" s="210"/>
      <c r="AD53" s="210"/>
      <c r="AE53" s="226"/>
      <c r="AF53" s="210"/>
      <c r="AG53" s="210"/>
      <c r="AH53" s="211"/>
      <c r="AI53" s="210"/>
      <c r="AJ53" s="210"/>
      <c r="AK53" s="210"/>
      <c r="AL53" s="210"/>
      <c r="AM53" s="226"/>
      <c r="AN53" s="210"/>
      <c r="AO53" s="210"/>
      <c r="AP53" s="210"/>
      <c r="AQ53" s="211"/>
      <c r="AR53" s="210"/>
      <c r="AS53" s="210"/>
      <c r="AT53" s="210"/>
      <c r="AU53" s="210"/>
      <c r="AV53" s="226"/>
      <c r="AW53" s="210"/>
      <c r="AX53" s="210"/>
      <c r="AY53" s="211"/>
      <c r="AZ53" s="210"/>
      <c r="BA53" s="210"/>
      <c r="BB53" s="210"/>
      <c r="BC53" s="210"/>
      <c r="BD53" s="210"/>
      <c r="BE53" s="226"/>
      <c r="BF53" s="210"/>
      <c r="BG53" s="210"/>
      <c r="BH53" s="211"/>
      <c r="BI53" s="210"/>
      <c r="BJ53" s="284"/>
      <c r="BK53" s="290"/>
      <c r="BM53" s="345"/>
      <c r="BN53" s="346"/>
    </row>
    <row r="54" spans="1:69" ht="18" customHeight="1">
      <c r="B54" s="227" t="s">
        <v>246</v>
      </c>
      <c r="C54" s="279" t="s">
        <v>157</v>
      </c>
      <c r="D54" s="248"/>
      <c r="E54" s="251"/>
      <c r="F54" s="252"/>
      <c r="G54" s="248"/>
      <c r="H54" s="232"/>
      <c r="I54" s="210"/>
      <c r="J54" s="210"/>
      <c r="K54" s="210"/>
      <c r="L54" s="210"/>
      <c r="M54" s="232"/>
      <c r="N54" s="210"/>
      <c r="O54" s="210"/>
      <c r="P54" s="211"/>
      <c r="Q54" s="210"/>
      <c r="R54" s="210"/>
      <c r="S54" s="210"/>
      <c r="T54" s="210"/>
      <c r="U54" s="210"/>
      <c r="V54" s="232"/>
      <c r="W54" s="210"/>
      <c r="X54" s="210"/>
      <c r="Y54" s="211"/>
      <c r="Z54" s="210"/>
      <c r="AA54" s="210"/>
      <c r="AB54" s="210"/>
      <c r="AC54" s="210"/>
      <c r="AD54" s="210"/>
      <c r="AE54" s="232"/>
      <c r="AF54" s="210"/>
      <c r="AG54" s="210"/>
      <c r="AH54" s="211"/>
      <c r="AI54" s="210"/>
      <c r="AJ54" s="210"/>
      <c r="AK54" s="210"/>
      <c r="AL54" s="210"/>
      <c r="AM54" s="232"/>
      <c r="AN54" s="210"/>
      <c r="AO54" s="210"/>
      <c r="AP54" s="210"/>
      <c r="AQ54" s="211"/>
      <c r="AR54" s="210"/>
      <c r="AS54" s="210"/>
      <c r="AT54" s="210"/>
      <c r="AU54" s="210"/>
      <c r="AV54" s="232"/>
      <c r="AW54" s="210"/>
      <c r="AX54" s="210"/>
      <c r="AY54" s="211"/>
      <c r="AZ54" s="210"/>
      <c r="BA54" s="210"/>
      <c r="BB54" s="210"/>
      <c r="BC54" s="210"/>
      <c r="BD54" s="210"/>
      <c r="BE54" s="232"/>
      <c r="BF54" s="210"/>
      <c r="BG54" s="210"/>
      <c r="BH54" s="211"/>
      <c r="BI54" s="210"/>
      <c r="BJ54" s="233"/>
      <c r="BK54" s="290"/>
      <c r="BM54" s="345"/>
      <c r="BN54" s="346"/>
    </row>
    <row r="55" spans="1:69" s="230" customFormat="1" ht="18" customHeight="1" thickBot="1">
      <c r="A55" s="227"/>
      <c r="B55" s="227" t="s">
        <v>246</v>
      </c>
      <c r="C55" s="279" t="s">
        <v>157</v>
      </c>
      <c r="D55" s="248"/>
      <c r="E55" s="251"/>
      <c r="F55" s="252"/>
      <c r="G55" s="248"/>
      <c r="H55" s="232"/>
      <c r="I55" s="210"/>
      <c r="J55" s="210"/>
      <c r="K55" s="210"/>
      <c r="L55" s="210"/>
      <c r="M55" s="232"/>
      <c r="N55" s="210"/>
      <c r="O55" s="210"/>
      <c r="P55" s="211"/>
      <c r="Q55" s="210"/>
      <c r="R55" s="210"/>
      <c r="S55" s="210"/>
      <c r="T55" s="210"/>
      <c r="U55" s="210"/>
      <c r="V55" s="232"/>
      <c r="W55" s="210"/>
      <c r="X55" s="210"/>
      <c r="Y55" s="211"/>
      <c r="Z55" s="210"/>
      <c r="AA55" s="210"/>
      <c r="AB55" s="210"/>
      <c r="AC55" s="210"/>
      <c r="AD55" s="210"/>
      <c r="AE55" s="232"/>
      <c r="AF55" s="210"/>
      <c r="AG55" s="210"/>
      <c r="AH55" s="211"/>
      <c r="AI55" s="210"/>
      <c r="AJ55" s="210"/>
      <c r="AK55" s="210"/>
      <c r="AL55" s="210"/>
      <c r="AM55" s="232"/>
      <c r="AN55" s="210"/>
      <c r="AO55" s="210"/>
      <c r="AP55" s="210"/>
      <c r="AQ55" s="211"/>
      <c r="AR55" s="210"/>
      <c r="AS55" s="210"/>
      <c r="AT55" s="210"/>
      <c r="AU55" s="210"/>
      <c r="AV55" s="232"/>
      <c r="AW55" s="210"/>
      <c r="AX55" s="210"/>
      <c r="AY55" s="211"/>
      <c r="AZ55" s="210"/>
      <c r="BA55" s="210"/>
      <c r="BB55" s="210"/>
      <c r="BC55" s="210"/>
      <c r="BD55" s="210"/>
      <c r="BE55" s="232"/>
      <c r="BF55" s="210"/>
      <c r="BG55" s="210"/>
      <c r="BH55" s="211"/>
      <c r="BI55" s="210"/>
      <c r="BJ55" s="233"/>
      <c r="BK55" s="290"/>
      <c r="BL55" s="229"/>
      <c r="BM55" s="347"/>
      <c r="BN55" s="348"/>
      <c r="BO55" s="227"/>
      <c r="BP55" s="227"/>
      <c r="BQ55" s="227"/>
    </row>
    <row r="56" spans="1:69" ht="18" customHeight="1" thickBot="1">
      <c r="C56" s="279"/>
      <c r="D56" s="390"/>
      <c r="E56" s="391"/>
      <c r="F56" s="391"/>
      <c r="G56" s="392"/>
      <c r="H56" s="449"/>
      <c r="I56" s="450"/>
      <c r="J56" s="450"/>
      <c r="K56" s="450"/>
      <c r="L56" s="451"/>
      <c r="M56" s="449"/>
      <c r="N56" s="450"/>
      <c r="O56" s="450"/>
      <c r="P56" s="451"/>
      <c r="Q56" s="449"/>
      <c r="R56" s="450"/>
      <c r="S56" s="450"/>
      <c r="T56" s="450"/>
      <c r="U56" s="451"/>
      <c r="V56" s="449"/>
      <c r="W56" s="450"/>
      <c r="X56" s="450"/>
      <c r="Y56" s="451"/>
      <c r="Z56" s="390"/>
      <c r="AA56" s="391"/>
      <c r="AB56" s="391"/>
      <c r="AC56" s="391"/>
      <c r="AD56" s="392"/>
      <c r="AE56" s="390"/>
      <c r="AF56" s="391"/>
      <c r="AG56" s="391"/>
      <c r="AH56" s="392"/>
      <c r="AI56" s="390"/>
      <c r="AJ56" s="391"/>
      <c r="AK56" s="391"/>
      <c r="AL56" s="392"/>
      <c r="AM56" s="390"/>
      <c r="AN56" s="391"/>
      <c r="AO56" s="391"/>
      <c r="AP56" s="391"/>
      <c r="AQ56" s="392"/>
      <c r="AR56" s="390"/>
      <c r="AS56" s="391"/>
      <c r="AT56" s="391"/>
      <c r="AU56" s="392"/>
      <c r="AV56" s="390"/>
      <c r="AW56" s="391"/>
      <c r="AX56" s="391"/>
      <c r="AY56" s="392"/>
      <c r="AZ56" s="390"/>
      <c r="BA56" s="391"/>
      <c r="BB56" s="391"/>
      <c r="BC56" s="391"/>
      <c r="BD56" s="392"/>
      <c r="BE56" s="390"/>
      <c r="BF56" s="391"/>
      <c r="BG56" s="391"/>
      <c r="BH56" s="392"/>
      <c r="BI56" s="392"/>
      <c r="BJ56" s="376"/>
      <c r="BK56" s="378">
        <f>SUM(BK51:BK55)</f>
        <v>0</v>
      </c>
      <c r="BL56" s="247">
        <v>0</v>
      </c>
      <c r="BM56" s="447"/>
      <c r="BN56" s="448"/>
    </row>
    <row r="57" spans="1:69" ht="18" customHeight="1" thickBot="1">
      <c r="C57" s="279"/>
      <c r="D57" s="481" t="s">
        <v>46</v>
      </c>
      <c r="E57" s="482"/>
      <c r="F57" s="483"/>
      <c r="G57" s="482"/>
      <c r="H57" s="320"/>
      <c r="I57" s="398"/>
      <c r="J57" s="398"/>
      <c r="K57" s="398"/>
      <c r="L57" s="399"/>
      <c r="M57" s="396"/>
      <c r="N57" s="394"/>
      <c r="O57" s="394"/>
      <c r="P57" s="325"/>
      <c r="Q57" s="320"/>
      <c r="R57" s="398"/>
      <c r="S57" s="398"/>
      <c r="T57" s="398"/>
      <c r="U57" s="399"/>
      <c r="V57" s="394"/>
      <c r="W57" s="394"/>
      <c r="X57" s="394"/>
      <c r="Y57" s="394"/>
      <c r="Z57" s="396"/>
      <c r="AA57" s="398"/>
      <c r="AB57" s="398"/>
      <c r="AC57" s="398"/>
      <c r="AD57" s="399"/>
      <c r="AE57" s="394"/>
      <c r="AF57" s="394"/>
      <c r="AG57" s="394"/>
      <c r="AH57" s="394"/>
      <c r="AI57" s="396"/>
      <c r="AJ57" s="398"/>
      <c r="AK57" s="398"/>
      <c r="AL57" s="399"/>
      <c r="AM57" s="398"/>
      <c r="AN57" s="394"/>
      <c r="AO57" s="394"/>
      <c r="AP57" s="394"/>
      <c r="AQ57" s="394"/>
      <c r="AR57" s="396"/>
      <c r="AS57" s="398"/>
      <c r="AT57" s="398"/>
      <c r="AU57" s="399"/>
      <c r="AV57" s="394"/>
      <c r="AW57" s="394"/>
      <c r="AX57" s="394"/>
      <c r="AY57" s="394"/>
      <c r="AZ57" s="320"/>
      <c r="BA57" s="398"/>
      <c r="BB57" s="398"/>
      <c r="BC57" s="398"/>
      <c r="BD57" s="399"/>
      <c r="BE57" s="394"/>
      <c r="BF57" s="394"/>
      <c r="BG57" s="394"/>
      <c r="BH57" s="394"/>
      <c r="BI57" s="457"/>
      <c r="BJ57" s="453"/>
      <c r="BK57" s="458"/>
      <c r="BL57" s="231"/>
      <c r="BM57" s="400" t="s">
        <v>258</v>
      </c>
      <c r="BN57" s="351" t="s">
        <v>259</v>
      </c>
      <c r="BO57" s="230"/>
      <c r="BP57" s="230"/>
      <c r="BQ57" s="230"/>
    </row>
    <row r="58" spans="1:69" ht="18" customHeight="1">
      <c r="B58" s="227" t="s">
        <v>246</v>
      </c>
      <c r="C58" s="279" t="s">
        <v>157</v>
      </c>
      <c r="D58" s="248"/>
      <c r="E58" s="249"/>
      <c r="F58" s="252"/>
      <c r="G58" s="253"/>
      <c r="H58" s="402"/>
      <c r="I58" s="401"/>
      <c r="J58" s="401"/>
      <c r="K58" s="401"/>
      <c r="L58" s="401"/>
      <c r="M58" s="402"/>
      <c r="N58" s="401"/>
      <c r="O58" s="401"/>
      <c r="P58" s="403"/>
      <c r="Q58" s="401"/>
      <c r="R58" s="401"/>
      <c r="S58" s="401"/>
      <c r="T58" s="401"/>
      <c r="U58" s="401"/>
      <c r="V58" s="402"/>
      <c r="W58" s="401"/>
      <c r="X58" s="401"/>
      <c r="Y58" s="403"/>
      <c r="Z58" s="401"/>
      <c r="AA58" s="401"/>
      <c r="AB58" s="401"/>
      <c r="AC58" s="401"/>
      <c r="AD58" s="401"/>
      <c r="AE58" s="402"/>
      <c r="AF58" s="401"/>
      <c r="AG58" s="401"/>
      <c r="AH58" s="403"/>
      <c r="AI58" s="401"/>
      <c r="AJ58" s="401"/>
      <c r="AK58" s="401"/>
      <c r="AL58" s="401"/>
      <c r="AM58" s="402"/>
      <c r="AN58" s="401"/>
      <c r="AO58" s="401"/>
      <c r="AP58" s="401"/>
      <c r="AQ58" s="403"/>
      <c r="AR58" s="401"/>
      <c r="AS58" s="401"/>
      <c r="AT58" s="401"/>
      <c r="AU58" s="401"/>
      <c r="AV58" s="402"/>
      <c r="AW58" s="401"/>
      <c r="AX58" s="401"/>
      <c r="AY58" s="403"/>
      <c r="AZ58" s="401"/>
      <c r="BA58" s="401"/>
      <c r="BB58" s="401"/>
      <c r="BC58" s="401"/>
      <c r="BD58" s="401"/>
      <c r="BE58" s="402"/>
      <c r="BF58" s="401"/>
      <c r="BG58" s="401"/>
      <c r="BH58" s="403"/>
      <c r="BI58" s="210"/>
      <c r="BJ58" s="212"/>
      <c r="BK58" s="290"/>
      <c r="BM58" s="349"/>
      <c r="BN58" s="344"/>
    </row>
    <row r="59" spans="1:69" ht="18" customHeight="1">
      <c r="B59" s="227" t="s">
        <v>246</v>
      </c>
      <c r="C59" s="279" t="s">
        <v>157</v>
      </c>
      <c r="D59" s="262"/>
      <c r="E59" s="263"/>
      <c r="F59" s="252"/>
      <c r="G59" s="262"/>
      <c r="H59" s="226"/>
      <c r="I59" s="210"/>
      <c r="J59" s="210"/>
      <c r="K59" s="210"/>
      <c r="L59" s="210"/>
      <c r="M59" s="226"/>
      <c r="N59" s="210"/>
      <c r="O59" s="210"/>
      <c r="P59" s="211"/>
      <c r="Q59" s="210"/>
      <c r="R59" s="210"/>
      <c r="S59" s="210"/>
      <c r="T59" s="210"/>
      <c r="U59" s="210"/>
      <c r="V59" s="226"/>
      <c r="W59" s="210"/>
      <c r="X59" s="210"/>
      <c r="Y59" s="211"/>
      <c r="Z59" s="210"/>
      <c r="AA59" s="210"/>
      <c r="AB59" s="210"/>
      <c r="AC59" s="210"/>
      <c r="AD59" s="210"/>
      <c r="AE59" s="226"/>
      <c r="AF59" s="210"/>
      <c r="AG59" s="210"/>
      <c r="AH59" s="211"/>
      <c r="AI59" s="210"/>
      <c r="AJ59" s="210"/>
      <c r="AK59" s="210"/>
      <c r="AL59" s="210"/>
      <c r="AM59" s="226"/>
      <c r="AN59" s="210"/>
      <c r="AO59" s="210"/>
      <c r="AP59" s="210"/>
      <c r="AQ59" s="211"/>
      <c r="AR59" s="210"/>
      <c r="AS59" s="210"/>
      <c r="AT59" s="210"/>
      <c r="AU59" s="210"/>
      <c r="AV59" s="226"/>
      <c r="AW59" s="210"/>
      <c r="AX59" s="210"/>
      <c r="AY59" s="211"/>
      <c r="AZ59" s="210"/>
      <c r="BA59" s="210"/>
      <c r="BB59" s="210"/>
      <c r="BC59" s="210"/>
      <c r="BD59" s="210"/>
      <c r="BE59" s="226"/>
      <c r="BF59" s="210"/>
      <c r="BG59" s="210"/>
      <c r="BH59" s="211"/>
      <c r="BI59" s="210"/>
      <c r="BJ59" s="284"/>
      <c r="BK59" s="290"/>
      <c r="BM59" s="345"/>
      <c r="BN59" s="346"/>
    </row>
    <row r="60" spans="1:69" ht="18" customHeight="1">
      <c r="B60" s="227" t="s">
        <v>246</v>
      </c>
      <c r="C60" s="279" t="s">
        <v>157</v>
      </c>
      <c r="D60" s="262"/>
      <c r="E60" s="263"/>
      <c r="F60" s="252"/>
      <c r="G60" s="262"/>
      <c r="H60" s="226"/>
      <c r="I60" s="210"/>
      <c r="J60" s="210"/>
      <c r="K60" s="210"/>
      <c r="L60" s="210"/>
      <c r="M60" s="226"/>
      <c r="N60" s="210"/>
      <c r="O60" s="210"/>
      <c r="P60" s="211"/>
      <c r="Q60" s="210"/>
      <c r="R60" s="210"/>
      <c r="S60" s="210"/>
      <c r="T60" s="210"/>
      <c r="U60" s="210"/>
      <c r="V60" s="226"/>
      <c r="W60" s="210"/>
      <c r="X60" s="210"/>
      <c r="Y60" s="211"/>
      <c r="Z60" s="210"/>
      <c r="AA60" s="210"/>
      <c r="AB60" s="210"/>
      <c r="AC60" s="210"/>
      <c r="AD60" s="210"/>
      <c r="AE60" s="226"/>
      <c r="AF60" s="210"/>
      <c r="AG60" s="210"/>
      <c r="AH60" s="211"/>
      <c r="AI60" s="210"/>
      <c r="AJ60" s="210"/>
      <c r="AK60" s="210"/>
      <c r="AL60" s="210"/>
      <c r="AM60" s="226"/>
      <c r="AN60" s="210"/>
      <c r="AO60" s="210"/>
      <c r="AP60" s="210"/>
      <c r="AQ60" s="211"/>
      <c r="AR60" s="210"/>
      <c r="AS60" s="210"/>
      <c r="AT60" s="210"/>
      <c r="AU60" s="210"/>
      <c r="AV60" s="226"/>
      <c r="AW60" s="210"/>
      <c r="AX60" s="210"/>
      <c r="AY60" s="211"/>
      <c r="AZ60" s="210"/>
      <c r="BA60" s="210"/>
      <c r="BB60" s="210"/>
      <c r="BC60" s="210"/>
      <c r="BD60" s="210"/>
      <c r="BE60" s="226"/>
      <c r="BF60" s="210"/>
      <c r="BG60" s="210"/>
      <c r="BH60" s="211"/>
      <c r="BI60" s="210"/>
      <c r="BJ60" s="284"/>
      <c r="BK60" s="290"/>
      <c r="BM60" s="345"/>
      <c r="BN60" s="346"/>
    </row>
    <row r="61" spans="1:69" ht="18" customHeight="1">
      <c r="B61" s="227" t="s">
        <v>246</v>
      </c>
      <c r="C61" s="279" t="s">
        <v>157</v>
      </c>
      <c r="D61" s="248"/>
      <c r="E61" s="251"/>
      <c r="F61" s="252"/>
      <c r="G61" s="248"/>
      <c r="H61" s="232"/>
      <c r="I61" s="210"/>
      <c r="J61" s="210"/>
      <c r="K61" s="210"/>
      <c r="L61" s="210"/>
      <c r="M61" s="232"/>
      <c r="N61" s="210"/>
      <c r="O61" s="210"/>
      <c r="P61" s="211"/>
      <c r="Q61" s="210"/>
      <c r="R61" s="210"/>
      <c r="S61" s="210"/>
      <c r="T61" s="210"/>
      <c r="U61" s="210"/>
      <c r="V61" s="232"/>
      <c r="W61" s="210"/>
      <c r="X61" s="210"/>
      <c r="Y61" s="211"/>
      <c r="Z61" s="210"/>
      <c r="AA61" s="210"/>
      <c r="AB61" s="210"/>
      <c r="AC61" s="210"/>
      <c r="AD61" s="210"/>
      <c r="AE61" s="232"/>
      <c r="AF61" s="210"/>
      <c r="AG61" s="210"/>
      <c r="AH61" s="211"/>
      <c r="AI61" s="210"/>
      <c r="AJ61" s="210"/>
      <c r="AK61" s="210"/>
      <c r="AL61" s="210"/>
      <c r="AM61" s="232"/>
      <c r="AN61" s="210"/>
      <c r="AO61" s="210"/>
      <c r="AP61" s="210"/>
      <c r="AQ61" s="211"/>
      <c r="AR61" s="210"/>
      <c r="AS61" s="210"/>
      <c r="AT61" s="210"/>
      <c r="AU61" s="210"/>
      <c r="AV61" s="232"/>
      <c r="AW61" s="210"/>
      <c r="AX61" s="210"/>
      <c r="AY61" s="211"/>
      <c r="AZ61" s="210"/>
      <c r="BA61" s="210"/>
      <c r="BB61" s="210"/>
      <c r="BC61" s="210"/>
      <c r="BD61" s="210"/>
      <c r="BE61" s="232"/>
      <c r="BF61" s="210"/>
      <c r="BG61" s="210"/>
      <c r="BH61" s="211"/>
      <c r="BI61" s="210"/>
      <c r="BJ61" s="233"/>
      <c r="BK61" s="290"/>
      <c r="BM61" s="345"/>
      <c r="BN61" s="346"/>
    </row>
    <row r="62" spans="1:69" s="230" customFormat="1" ht="18" customHeight="1" thickBot="1">
      <c r="A62" s="227"/>
      <c r="B62" s="227" t="s">
        <v>246</v>
      </c>
      <c r="C62" s="279" t="s">
        <v>157</v>
      </c>
      <c r="D62" s="248"/>
      <c r="E62" s="251"/>
      <c r="F62" s="252"/>
      <c r="G62" s="248"/>
      <c r="H62" s="232"/>
      <c r="I62" s="210"/>
      <c r="J62" s="210"/>
      <c r="K62" s="210"/>
      <c r="L62" s="210"/>
      <c r="M62" s="232"/>
      <c r="N62" s="210"/>
      <c r="O62" s="210"/>
      <c r="P62" s="211"/>
      <c r="Q62" s="210"/>
      <c r="R62" s="210"/>
      <c r="S62" s="210"/>
      <c r="T62" s="210"/>
      <c r="U62" s="210"/>
      <c r="V62" s="232"/>
      <c r="W62" s="210"/>
      <c r="X62" s="210"/>
      <c r="Y62" s="211"/>
      <c r="Z62" s="210"/>
      <c r="AA62" s="210"/>
      <c r="AB62" s="210"/>
      <c r="AC62" s="210"/>
      <c r="AD62" s="210"/>
      <c r="AE62" s="232"/>
      <c r="AF62" s="210"/>
      <c r="AG62" s="210"/>
      <c r="AH62" s="211"/>
      <c r="AI62" s="210"/>
      <c r="AJ62" s="210"/>
      <c r="AK62" s="210"/>
      <c r="AL62" s="210"/>
      <c r="AM62" s="232"/>
      <c r="AN62" s="210"/>
      <c r="AO62" s="210"/>
      <c r="AP62" s="210"/>
      <c r="AQ62" s="211"/>
      <c r="AR62" s="210"/>
      <c r="AS62" s="210"/>
      <c r="AT62" s="210"/>
      <c r="AU62" s="210"/>
      <c r="AV62" s="232"/>
      <c r="AW62" s="210"/>
      <c r="AX62" s="210"/>
      <c r="AY62" s="211"/>
      <c r="AZ62" s="210"/>
      <c r="BA62" s="210"/>
      <c r="BB62" s="210"/>
      <c r="BC62" s="210"/>
      <c r="BD62" s="210"/>
      <c r="BE62" s="232"/>
      <c r="BF62" s="210"/>
      <c r="BG62" s="210"/>
      <c r="BH62" s="211"/>
      <c r="BI62" s="210"/>
      <c r="BJ62" s="233"/>
      <c r="BK62" s="290"/>
      <c r="BL62" s="229"/>
      <c r="BM62" s="347"/>
      <c r="BN62" s="348"/>
      <c r="BO62" s="227"/>
      <c r="BP62" s="227"/>
      <c r="BQ62" s="227"/>
    </row>
    <row r="63" spans="1:69" ht="18" customHeight="1" thickBot="1">
      <c r="C63" s="279"/>
      <c r="D63" s="390"/>
      <c r="E63" s="391"/>
      <c r="F63" s="391"/>
      <c r="G63" s="392"/>
      <c r="H63" s="449"/>
      <c r="I63" s="450"/>
      <c r="J63" s="450"/>
      <c r="K63" s="450"/>
      <c r="L63" s="451"/>
      <c r="M63" s="449"/>
      <c r="N63" s="450"/>
      <c r="O63" s="450"/>
      <c r="P63" s="451"/>
      <c r="Q63" s="449"/>
      <c r="R63" s="450"/>
      <c r="S63" s="450"/>
      <c r="T63" s="450"/>
      <c r="U63" s="451"/>
      <c r="V63" s="449"/>
      <c r="W63" s="450"/>
      <c r="X63" s="450"/>
      <c r="Y63" s="451"/>
      <c r="Z63" s="390"/>
      <c r="AA63" s="391"/>
      <c r="AB63" s="391"/>
      <c r="AC63" s="391"/>
      <c r="AD63" s="392"/>
      <c r="AE63" s="390"/>
      <c r="AF63" s="391"/>
      <c r="AG63" s="391"/>
      <c r="AH63" s="392"/>
      <c r="AI63" s="390"/>
      <c r="AJ63" s="391"/>
      <c r="AK63" s="391"/>
      <c r="AL63" s="392"/>
      <c r="AM63" s="390"/>
      <c r="AN63" s="391"/>
      <c r="AO63" s="391"/>
      <c r="AP63" s="391"/>
      <c r="AQ63" s="392"/>
      <c r="AR63" s="390"/>
      <c r="AS63" s="391"/>
      <c r="AT63" s="391"/>
      <c r="AU63" s="392"/>
      <c r="AV63" s="390"/>
      <c r="AW63" s="391"/>
      <c r="AX63" s="391"/>
      <c r="AY63" s="392"/>
      <c r="AZ63" s="390"/>
      <c r="BA63" s="391"/>
      <c r="BB63" s="391"/>
      <c r="BC63" s="391"/>
      <c r="BD63" s="392"/>
      <c r="BE63" s="390"/>
      <c r="BF63" s="391"/>
      <c r="BG63" s="391"/>
      <c r="BH63" s="392"/>
      <c r="BI63" s="392"/>
      <c r="BJ63" s="376"/>
      <c r="BK63" s="378">
        <f>SUM(BK58:BK62)</f>
        <v>0</v>
      </c>
      <c r="BL63" s="247">
        <v>0</v>
      </c>
      <c r="BM63" s="447"/>
      <c r="BN63" s="448"/>
    </row>
    <row r="64" spans="1:69" ht="18" customHeight="1" thickBot="1">
      <c r="C64" s="279"/>
      <c r="D64" s="481" t="s">
        <v>134</v>
      </c>
      <c r="E64" s="482"/>
      <c r="F64" s="483"/>
      <c r="G64" s="482"/>
      <c r="H64" s="320"/>
      <c r="I64" s="398"/>
      <c r="J64" s="398"/>
      <c r="K64" s="398"/>
      <c r="L64" s="399"/>
      <c r="M64" s="396"/>
      <c r="N64" s="394"/>
      <c r="O64" s="394"/>
      <c r="P64" s="325"/>
      <c r="Q64" s="320"/>
      <c r="R64" s="398"/>
      <c r="S64" s="398"/>
      <c r="T64" s="398"/>
      <c r="U64" s="399"/>
      <c r="V64" s="394"/>
      <c r="W64" s="394"/>
      <c r="X64" s="394"/>
      <c r="Y64" s="394"/>
      <c r="Z64" s="396"/>
      <c r="AA64" s="398"/>
      <c r="AB64" s="398"/>
      <c r="AC64" s="398"/>
      <c r="AD64" s="399"/>
      <c r="AE64" s="394"/>
      <c r="AF64" s="394"/>
      <c r="AG64" s="394"/>
      <c r="AH64" s="394"/>
      <c r="AI64" s="396"/>
      <c r="AJ64" s="398"/>
      <c r="AK64" s="398"/>
      <c r="AL64" s="399"/>
      <c r="AM64" s="398"/>
      <c r="AN64" s="394"/>
      <c r="AO64" s="394"/>
      <c r="AP64" s="394"/>
      <c r="AQ64" s="394"/>
      <c r="AR64" s="396"/>
      <c r="AS64" s="398"/>
      <c r="AT64" s="398"/>
      <c r="AU64" s="399"/>
      <c r="AV64" s="394"/>
      <c r="AW64" s="394"/>
      <c r="AX64" s="394"/>
      <c r="AY64" s="394"/>
      <c r="AZ64" s="320"/>
      <c r="BA64" s="398"/>
      <c r="BB64" s="398"/>
      <c r="BC64" s="398"/>
      <c r="BD64" s="399"/>
      <c r="BE64" s="394"/>
      <c r="BF64" s="394"/>
      <c r="BG64" s="394"/>
      <c r="BH64" s="394"/>
      <c r="BI64" s="457"/>
      <c r="BJ64" s="453"/>
      <c r="BK64" s="458"/>
      <c r="BL64" s="231"/>
      <c r="BM64" s="400" t="s">
        <v>258</v>
      </c>
      <c r="BN64" s="351" t="s">
        <v>259</v>
      </c>
      <c r="BO64" s="230"/>
      <c r="BP64" s="230"/>
      <c r="BQ64" s="230"/>
    </row>
    <row r="65" spans="1:69" ht="18" customHeight="1">
      <c r="B65" s="227" t="s">
        <v>246</v>
      </c>
      <c r="C65" s="279" t="s">
        <v>157</v>
      </c>
      <c r="D65" s="248"/>
      <c r="E65" s="249"/>
      <c r="F65" s="252"/>
      <c r="G65" s="253"/>
      <c r="H65" s="402"/>
      <c r="I65" s="401"/>
      <c r="J65" s="401"/>
      <c r="K65" s="401"/>
      <c r="L65" s="401"/>
      <c r="M65" s="402"/>
      <c r="N65" s="401"/>
      <c r="O65" s="401"/>
      <c r="P65" s="403"/>
      <c r="Q65" s="401"/>
      <c r="R65" s="401"/>
      <c r="S65" s="401"/>
      <c r="T65" s="401"/>
      <c r="U65" s="401"/>
      <c r="V65" s="402"/>
      <c r="W65" s="401"/>
      <c r="X65" s="401"/>
      <c r="Y65" s="403"/>
      <c r="Z65" s="401"/>
      <c r="AA65" s="401"/>
      <c r="AB65" s="401"/>
      <c r="AC65" s="401"/>
      <c r="AD65" s="401"/>
      <c r="AE65" s="402"/>
      <c r="AF65" s="401"/>
      <c r="AG65" s="401"/>
      <c r="AH65" s="403"/>
      <c r="AI65" s="401"/>
      <c r="AJ65" s="401"/>
      <c r="AK65" s="401"/>
      <c r="AL65" s="401"/>
      <c r="AM65" s="402"/>
      <c r="AN65" s="401"/>
      <c r="AO65" s="401"/>
      <c r="AP65" s="401"/>
      <c r="AQ65" s="403"/>
      <c r="AR65" s="401"/>
      <c r="AS65" s="401"/>
      <c r="AT65" s="401"/>
      <c r="AU65" s="401"/>
      <c r="AV65" s="402"/>
      <c r="AW65" s="401"/>
      <c r="AX65" s="401"/>
      <c r="AY65" s="403"/>
      <c r="AZ65" s="401"/>
      <c r="BA65" s="401"/>
      <c r="BB65" s="401"/>
      <c r="BC65" s="401"/>
      <c r="BD65" s="401"/>
      <c r="BE65" s="402"/>
      <c r="BF65" s="401"/>
      <c r="BG65" s="401"/>
      <c r="BH65" s="403"/>
      <c r="BI65" s="210"/>
      <c r="BJ65" s="212"/>
      <c r="BK65" s="290"/>
      <c r="BM65" s="349"/>
      <c r="BN65" s="344"/>
    </row>
    <row r="66" spans="1:69" ht="18" customHeight="1">
      <c r="B66" s="227" t="s">
        <v>246</v>
      </c>
      <c r="C66" s="279" t="s">
        <v>157</v>
      </c>
      <c r="D66" s="262"/>
      <c r="E66" s="263"/>
      <c r="F66" s="252"/>
      <c r="G66" s="262"/>
      <c r="H66" s="226"/>
      <c r="I66" s="210"/>
      <c r="J66" s="210"/>
      <c r="K66" s="210"/>
      <c r="L66" s="210"/>
      <c r="M66" s="226"/>
      <c r="N66" s="210"/>
      <c r="O66" s="210"/>
      <c r="P66" s="211"/>
      <c r="Q66" s="210"/>
      <c r="R66" s="210"/>
      <c r="S66" s="210"/>
      <c r="T66" s="210"/>
      <c r="U66" s="210"/>
      <c r="V66" s="226"/>
      <c r="W66" s="210"/>
      <c r="X66" s="210"/>
      <c r="Y66" s="211"/>
      <c r="Z66" s="210"/>
      <c r="AA66" s="210"/>
      <c r="AB66" s="210"/>
      <c r="AC66" s="210"/>
      <c r="AD66" s="210"/>
      <c r="AE66" s="226"/>
      <c r="AF66" s="210"/>
      <c r="AG66" s="210"/>
      <c r="AH66" s="211"/>
      <c r="AI66" s="210"/>
      <c r="AJ66" s="210"/>
      <c r="AK66" s="210"/>
      <c r="AL66" s="210"/>
      <c r="AM66" s="226"/>
      <c r="AN66" s="210"/>
      <c r="AO66" s="210"/>
      <c r="AP66" s="210"/>
      <c r="AQ66" s="211"/>
      <c r="AR66" s="210"/>
      <c r="AS66" s="210"/>
      <c r="AT66" s="210"/>
      <c r="AU66" s="210"/>
      <c r="AV66" s="226"/>
      <c r="AW66" s="210"/>
      <c r="AX66" s="210"/>
      <c r="AY66" s="211"/>
      <c r="AZ66" s="210"/>
      <c r="BA66" s="210"/>
      <c r="BB66" s="210"/>
      <c r="BC66" s="210"/>
      <c r="BD66" s="210"/>
      <c r="BE66" s="226"/>
      <c r="BF66" s="210"/>
      <c r="BG66" s="210"/>
      <c r="BH66" s="211"/>
      <c r="BI66" s="210"/>
      <c r="BJ66" s="284"/>
      <c r="BK66" s="290"/>
      <c r="BM66" s="345"/>
      <c r="BN66" s="346"/>
    </row>
    <row r="67" spans="1:69" ht="18" customHeight="1">
      <c r="B67" s="227" t="s">
        <v>246</v>
      </c>
      <c r="C67" s="279" t="s">
        <v>157</v>
      </c>
      <c r="D67" s="262"/>
      <c r="E67" s="263"/>
      <c r="F67" s="252"/>
      <c r="G67" s="262"/>
      <c r="H67" s="226"/>
      <c r="I67" s="210"/>
      <c r="J67" s="210"/>
      <c r="K67" s="210"/>
      <c r="L67" s="210"/>
      <c r="M67" s="226"/>
      <c r="N67" s="210"/>
      <c r="O67" s="210"/>
      <c r="P67" s="211"/>
      <c r="Q67" s="210"/>
      <c r="R67" s="210"/>
      <c r="S67" s="210"/>
      <c r="T67" s="210"/>
      <c r="U67" s="210"/>
      <c r="V67" s="226"/>
      <c r="W67" s="210"/>
      <c r="X67" s="210"/>
      <c r="Y67" s="211"/>
      <c r="Z67" s="210"/>
      <c r="AA67" s="210"/>
      <c r="AB67" s="210"/>
      <c r="AC67" s="210"/>
      <c r="AD67" s="210"/>
      <c r="AE67" s="226"/>
      <c r="AF67" s="210"/>
      <c r="AG67" s="210"/>
      <c r="AH67" s="211"/>
      <c r="AI67" s="210"/>
      <c r="AJ67" s="210"/>
      <c r="AK67" s="210"/>
      <c r="AL67" s="210"/>
      <c r="AM67" s="226"/>
      <c r="AN67" s="210"/>
      <c r="AO67" s="210"/>
      <c r="AP67" s="210"/>
      <c r="AQ67" s="211"/>
      <c r="AR67" s="210"/>
      <c r="AS67" s="210"/>
      <c r="AT67" s="210"/>
      <c r="AU67" s="210"/>
      <c r="AV67" s="226"/>
      <c r="AW67" s="210"/>
      <c r="AX67" s="210"/>
      <c r="AY67" s="211"/>
      <c r="AZ67" s="210"/>
      <c r="BA67" s="210"/>
      <c r="BB67" s="210"/>
      <c r="BC67" s="210"/>
      <c r="BD67" s="210"/>
      <c r="BE67" s="226"/>
      <c r="BF67" s="210"/>
      <c r="BG67" s="210"/>
      <c r="BH67" s="211"/>
      <c r="BI67" s="210"/>
      <c r="BJ67" s="284"/>
      <c r="BK67" s="290"/>
      <c r="BM67" s="345"/>
      <c r="BN67" s="346"/>
    </row>
    <row r="68" spans="1:69" ht="18" customHeight="1">
      <c r="B68" s="227" t="s">
        <v>246</v>
      </c>
      <c r="C68" s="279" t="s">
        <v>157</v>
      </c>
      <c r="D68" s="248"/>
      <c r="E68" s="251"/>
      <c r="F68" s="252"/>
      <c r="G68" s="248"/>
      <c r="H68" s="232"/>
      <c r="I68" s="210"/>
      <c r="J68" s="210"/>
      <c r="K68" s="210"/>
      <c r="L68" s="210"/>
      <c r="M68" s="232"/>
      <c r="N68" s="210"/>
      <c r="O68" s="210"/>
      <c r="P68" s="211"/>
      <c r="Q68" s="210"/>
      <c r="R68" s="210"/>
      <c r="S68" s="210"/>
      <c r="T68" s="210"/>
      <c r="U68" s="210"/>
      <c r="V68" s="232"/>
      <c r="W68" s="210"/>
      <c r="X68" s="210"/>
      <c r="Y68" s="211"/>
      <c r="Z68" s="210"/>
      <c r="AA68" s="210"/>
      <c r="AB68" s="210"/>
      <c r="AC68" s="210"/>
      <c r="AD68" s="210"/>
      <c r="AE68" s="232"/>
      <c r="AF68" s="210"/>
      <c r="AG68" s="210"/>
      <c r="AH68" s="211"/>
      <c r="AI68" s="210"/>
      <c r="AJ68" s="210"/>
      <c r="AK68" s="210"/>
      <c r="AL68" s="210"/>
      <c r="AM68" s="232"/>
      <c r="AN68" s="210"/>
      <c r="AO68" s="210"/>
      <c r="AP68" s="210"/>
      <c r="AQ68" s="211"/>
      <c r="AR68" s="210"/>
      <c r="AS68" s="210"/>
      <c r="AT68" s="210"/>
      <c r="AU68" s="210"/>
      <c r="AV68" s="232"/>
      <c r="AW68" s="210"/>
      <c r="AX68" s="210"/>
      <c r="AY68" s="211"/>
      <c r="AZ68" s="210"/>
      <c r="BA68" s="210"/>
      <c r="BB68" s="210"/>
      <c r="BC68" s="210"/>
      <c r="BD68" s="210"/>
      <c r="BE68" s="232"/>
      <c r="BF68" s="210"/>
      <c r="BG68" s="210"/>
      <c r="BH68" s="211"/>
      <c r="BI68" s="210"/>
      <c r="BJ68" s="233"/>
      <c r="BK68" s="290"/>
      <c r="BM68" s="345"/>
      <c r="BN68" s="346"/>
    </row>
    <row r="69" spans="1:69" s="230" customFormat="1" ht="18" customHeight="1" thickBot="1">
      <c r="A69" s="227"/>
      <c r="B69" s="227" t="s">
        <v>246</v>
      </c>
      <c r="C69" s="279" t="s">
        <v>157</v>
      </c>
      <c r="D69" s="248"/>
      <c r="E69" s="251"/>
      <c r="F69" s="252"/>
      <c r="G69" s="248"/>
      <c r="H69" s="232"/>
      <c r="I69" s="210"/>
      <c r="J69" s="210"/>
      <c r="K69" s="210"/>
      <c r="L69" s="210"/>
      <c r="M69" s="232"/>
      <c r="N69" s="210"/>
      <c r="O69" s="210"/>
      <c r="P69" s="211"/>
      <c r="Q69" s="210"/>
      <c r="R69" s="210"/>
      <c r="S69" s="210"/>
      <c r="T69" s="210"/>
      <c r="U69" s="210"/>
      <c r="V69" s="232"/>
      <c r="W69" s="210"/>
      <c r="X69" s="210"/>
      <c r="Y69" s="211"/>
      <c r="Z69" s="210"/>
      <c r="AA69" s="210"/>
      <c r="AB69" s="210"/>
      <c r="AC69" s="210"/>
      <c r="AD69" s="210"/>
      <c r="AE69" s="232"/>
      <c r="AF69" s="210"/>
      <c r="AG69" s="210"/>
      <c r="AH69" s="211"/>
      <c r="AI69" s="210"/>
      <c r="AJ69" s="210"/>
      <c r="AK69" s="210"/>
      <c r="AL69" s="210"/>
      <c r="AM69" s="232"/>
      <c r="AN69" s="210"/>
      <c r="AO69" s="210"/>
      <c r="AP69" s="210"/>
      <c r="AQ69" s="211"/>
      <c r="AR69" s="210"/>
      <c r="AS69" s="210"/>
      <c r="AT69" s="210"/>
      <c r="AU69" s="210"/>
      <c r="AV69" s="232"/>
      <c r="AW69" s="210"/>
      <c r="AX69" s="210"/>
      <c r="AY69" s="211"/>
      <c r="AZ69" s="210"/>
      <c r="BA69" s="210"/>
      <c r="BB69" s="210"/>
      <c r="BC69" s="210"/>
      <c r="BD69" s="210"/>
      <c r="BE69" s="232"/>
      <c r="BF69" s="210"/>
      <c r="BG69" s="210"/>
      <c r="BH69" s="211"/>
      <c r="BI69" s="210"/>
      <c r="BJ69" s="233"/>
      <c r="BK69" s="290"/>
      <c r="BL69" s="229"/>
      <c r="BM69" s="347"/>
      <c r="BN69" s="348"/>
      <c r="BO69" s="227"/>
      <c r="BP69" s="227"/>
      <c r="BQ69" s="227"/>
    </row>
    <row r="70" spans="1:69" ht="18" customHeight="1" thickBot="1">
      <c r="C70" s="279"/>
      <c r="D70" s="390"/>
      <c r="E70" s="391"/>
      <c r="F70" s="391"/>
      <c r="G70" s="392"/>
      <c r="H70" s="449"/>
      <c r="I70" s="450"/>
      <c r="J70" s="450"/>
      <c r="K70" s="450"/>
      <c r="L70" s="451"/>
      <c r="M70" s="449"/>
      <c r="N70" s="450"/>
      <c r="O70" s="450"/>
      <c r="P70" s="451"/>
      <c r="Q70" s="449"/>
      <c r="R70" s="450"/>
      <c r="S70" s="450"/>
      <c r="T70" s="450"/>
      <c r="U70" s="451"/>
      <c r="V70" s="449"/>
      <c r="W70" s="450"/>
      <c r="X70" s="450"/>
      <c r="Y70" s="451"/>
      <c r="Z70" s="390"/>
      <c r="AA70" s="391"/>
      <c r="AB70" s="391"/>
      <c r="AC70" s="391"/>
      <c r="AD70" s="392"/>
      <c r="AE70" s="390"/>
      <c r="AF70" s="391"/>
      <c r="AG70" s="391"/>
      <c r="AH70" s="392"/>
      <c r="AI70" s="390"/>
      <c r="AJ70" s="391"/>
      <c r="AK70" s="391"/>
      <c r="AL70" s="392"/>
      <c r="AM70" s="390"/>
      <c r="AN70" s="391"/>
      <c r="AO70" s="391"/>
      <c r="AP70" s="391"/>
      <c r="AQ70" s="392"/>
      <c r="AR70" s="390"/>
      <c r="AS70" s="391"/>
      <c r="AT70" s="391"/>
      <c r="AU70" s="392"/>
      <c r="AV70" s="390"/>
      <c r="AW70" s="391"/>
      <c r="AX70" s="391"/>
      <c r="AY70" s="392"/>
      <c r="AZ70" s="390"/>
      <c r="BA70" s="391"/>
      <c r="BB70" s="391"/>
      <c r="BC70" s="391"/>
      <c r="BD70" s="392"/>
      <c r="BE70" s="390"/>
      <c r="BF70" s="391"/>
      <c r="BG70" s="391"/>
      <c r="BH70" s="392"/>
      <c r="BI70" s="392"/>
      <c r="BJ70" s="376"/>
      <c r="BK70" s="378">
        <f>SUM(BK65:BK69)</f>
        <v>0</v>
      </c>
      <c r="BL70" s="247">
        <v>0</v>
      </c>
      <c r="BM70" s="447"/>
      <c r="BN70" s="448"/>
    </row>
    <row r="71" spans="1:69" ht="18" customHeight="1" thickBot="1">
      <c r="C71" s="279"/>
      <c r="D71" s="481" t="s">
        <v>140</v>
      </c>
      <c r="E71" s="482"/>
      <c r="F71" s="483"/>
      <c r="G71" s="482"/>
      <c r="H71" s="320"/>
      <c r="I71" s="398"/>
      <c r="J71" s="398"/>
      <c r="K71" s="398"/>
      <c r="L71" s="399"/>
      <c r="M71" s="396"/>
      <c r="N71" s="394"/>
      <c r="O71" s="394"/>
      <c r="P71" s="325"/>
      <c r="Q71" s="320"/>
      <c r="R71" s="398"/>
      <c r="S71" s="398"/>
      <c r="T71" s="398"/>
      <c r="U71" s="399"/>
      <c r="V71" s="394"/>
      <c r="W71" s="394"/>
      <c r="X71" s="394"/>
      <c r="Y71" s="394"/>
      <c r="Z71" s="396"/>
      <c r="AA71" s="398"/>
      <c r="AB71" s="398"/>
      <c r="AC71" s="398"/>
      <c r="AD71" s="399"/>
      <c r="AE71" s="394"/>
      <c r="AF71" s="394"/>
      <c r="AG71" s="394"/>
      <c r="AH71" s="394"/>
      <c r="AI71" s="396"/>
      <c r="AJ71" s="398"/>
      <c r="AK71" s="398"/>
      <c r="AL71" s="399"/>
      <c r="AM71" s="398"/>
      <c r="AN71" s="394"/>
      <c r="AO71" s="394"/>
      <c r="AP71" s="394"/>
      <c r="AQ71" s="394"/>
      <c r="AR71" s="396"/>
      <c r="AS71" s="398"/>
      <c r="AT71" s="398"/>
      <c r="AU71" s="399"/>
      <c r="AV71" s="394"/>
      <c r="AW71" s="394"/>
      <c r="AX71" s="394"/>
      <c r="AY71" s="394"/>
      <c r="AZ71" s="320"/>
      <c r="BA71" s="398"/>
      <c r="BB71" s="398"/>
      <c r="BC71" s="398"/>
      <c r="BD71" s="399"/>
      <c r="BE71" s="394"/>
      <c r="BF71" s="394"/>
      <c r="BG71" s="394"/>
      <c r="BH71" s="394"/>
      <c r="BI71" s="457"/>
      <c r="BJ71" s="453"/>
      <c r="BK71" s="458"/>
      <c r="BL71" s="231"/>
      <c r="BM71" s="400" t="s">
        <v>258</v>
      </c>
      <c r="BN71" s="351" t="s">
        <v>259</v>
      </c>
      <c r="BO71" s="230"/>
      <c r="BP71" s="230"/>
      <c r="BQ71" s="230"/>
    </row>
    <row r="72" spans="1:69" ht="18" customHeight="1">
      <c r="B72" s="227" t="s">
        <v>246</v>
      </c>
      <c r="C72" s="279" t="s">
        <v>157</v>
      </c>
      <c r="D72" s="248"/>
      <c r="E72" s="249"/>
      <c r="F72" s="252"/>
      <c r="G72" s="253"/>
      <c r="H72" s="402"/>
      <c r="I72" s="401"/>
      <c r="J72" s="401"/>
      <c r="K72" s="401"/>
      <c r="L72" s="401"/>
      <c r="M72" s="402"/>
      <c r="N72" s="401"/>
      <c r="O72" s="401"/>
      <c r="P72" s="403"/>
      <c r="Q72" s="401"/>
      <c r="R72" s="401"/>
      <c r="S72" s="401"/>
      <c r="T72" s="401"/>
      <c r="U72" s="401"/>
      <c r="V72" s="402"/>
      <c r="W72" s="401"/>
      <c r="X72" s="401"/>
      <c r="Y72" s="403"/>
      <c r="Z72" s="401"/>
      <c r="AA72" s="401"/>
      <c r="AB72" s="401"/>
      <c r="AC72" s="401"/>
      <c r="AD72" s="401"/>
      <c r="AE72" s="402"/>
      <c r="AF72" s="401"/>
      <c r="AG72" s="401"/>
      <c r="AH72" s="403"/>
      <c r="AI72" s="401"/>
      <c r="AJ72" s="401"/>
      <c r="AK72" s="401"/>
      <c r="AL72" s="401"/>
      <c r="AM72" s="402"/>
      <c r="AN72" s="401"/>
      <c r="AO72" s="401"/>
      <c r="AP72" s="401"/>
      <c r="AQ72" s="403"/>
      <c r="AR72" s="401"/>
      <c r="AS72" s="401"/>
      <c r="AT72" s="401"/>
      <c r="AU72" s="401"/>
      <c r="AV72" s="402"/>
      <c r="AW72" s="401"/>
      <c r="AX72" s="401"/>
      <c r="AY72" s="403"/>
      <c r="AZ72" s="401"/>
      <c r="BA72" s="401"/>
      <c r="BB72" s="401"/>
      <c r="BC72" s="401"/>
      <c r="BD72" s="401"/>
      <c r="BE72" s="402"/>
      <c r="BF72" s="401"/>
      <c r="BG72" s="401"/>
      <c r="BH72" s="403"/>
      <c r="BI72" s="210"/>
      <c r="BJ72" s="212"/>
      <c r="BK72" s="290"/>
      <c r="BM72" s="349"/>
      <c r="BN72" s="344"/>
    </row>
    <row r="73" spans="1:69" ht="18" customHeight="1">
      <c r="B73" s="227" t="s">
        <v>246</v>
      </c>
      <c r="C73" s="279" t="s">
        <v>157</v>
      </c>
      <c r="D73" s="262"/>
      <c r="E73" s="263"/>
      <c r="F73" s="252"/>
      <c r="G73" s="262"/>
      <c r="H73" s="226"/>
      <c r="I73" s="210"/>
      <c r="J73" s="210"/>
      <c r="K73" s="210"/>
      <c r="L73" s="210"/>
      <c r="M73" s="226"/>
      <c r="N73" s="210"/>
      <c r="O73" s="210"/>
      <c r="P73" s="211"/>
      <c r="Q73" s="210"/>
      <c r="R73" s="210"/>
      <c r="S73" s="210"/>
      <c r="T73" s="210"/>
      <c r="U73" s="210"/>
      <c r="V73" s="226"/>
      <c r="W73" s="210"/>
      <c r="X73" s="210"/>
      <c r="Y73" s="211"/>
      <c r="Z73" s="210"/>
      <c r="AA73" s="210"/>
      <c r="AB73" s="210"/>
      <c r="AC73" s="210"/>
      <c r="AD73" s="210"/>
      <c r="AE73" s="226"/>
      <c r="AF73" s="210"/>
      <c r="AG73" s="210"/>
      <c r="AH73" s="211"/>
      <c r="AI73" s="210"/>
      <c r="AJ73" s="210"/>
      <c r="AK73" s="210"/>
      <c r="AL73" s="210"/>
      <c r="AM73" s="226"/>
      <c r="AN73" s="210"/>
      <c r="AO73" s="210"/>
      <c r="AP73" s="210"/>
      <c r="AQ73" s="211"/>
      <c r="AR73" s="210"/>
      <c r="AS73" s="210"/>
      <c r="AT73" s="210"/>
      <c r="AU73" s="210"/>
      <c r="AV73" s="226"/>
      <c r="AW73" s="210"/>
      <c r="AX73" s="210"/>
      <c r="AY73" s="211"/>
      <c r="AZ73" s="210"/>
      <c r="BA73" s="210"/>
      <c r="BB73" s="210"/>
      <c r="BC73" s="210"/>
      <c r="BD73" s="210"/>
      <c r="BE73" s="226"/>
      <c r="BF73" s="210"/>
      <c r="BG73" s="210"/>
      <c r="BH73" s="211"/>
      <c r="BI73" s="210"/>
      <c r="BJ73" s="284"/>
      <c r="BK73" s="290"/>
      <c r="BM73" s="345"/>
      <c r="BN73" s="346"/>
    </row>
    <row r="74" spans="1:69" ht="18" customHeight="1">
      <c r="B74" s="227" t="s">
        <v>246</v>
      </c>
      <c r="C74" s="279" t="s">
        <v>157</v>
      </c>
      <c r="D74" s="248"/>
      <c r="E74" s="251"/>
      <c r="F74" s="252"/>
      <c r="G74" s="248"/>
      <c r="H74" s="232"/>
      <c r="I74" s="210"/>
      <c r="J74" s="210"/>
      <c r="K74" s="210"/>
      <c r="L74" s="210"/>
      <c r="M74" s="232"/>
      <c r="N74" s="210"/>
      <c r="O74" s="210"/>
      <c r="P74" s="211"/>
      <c r="Q74" s="210"/>
      <c r="R74" s="210"/>
      <c r="S74" s="210"/>
      <c r="T74" s="210"/>
      <c r="U74" s="210"/>
      <c r="V74" s="232"/>
      <c r="W74" s="210"/>
      <c r="X74" s="210"/>
      <c r="Y74" s="211"/>
      <c r="Z74" s="210"/>
      <c r="AA74" s="210"/>
      <c r="AB74" s="210"/>
      <c r="AC74" s="210"/>
      <c r="AD74" s="210"/>
      <c r="AE74" s="232"/>
      <c r="AF74" s="210"/>
      <c r="AG74" s="210"/>
      <c r="AH74" s="211"/>
      <c r="AI74" s="210"/>
      <c r="AJ74" s="210"/>
      <c r="AK74" s="210"/>
      <c r="AL74" s="210"/>
      <c r="AM74" s="232"/>
      <c r="AN74" s="210"/>
      <c r="AO74" s="210"/>
      <c r="AP74" s="210"/>
      <c r="AQ74" s="211"/>
      <c r="AR74" s="210"/>
      <c r="AS74" s="210"/>
      <c r="AT74" s="210"/>
      <c r="AU74" s="210"/>
      <c r="AV74" s="232"/>
      <c r="AW74" s="210"/>
      <c r="AX74" s="210"/>
      <c r="AY74" s="211"/>
      <c r="AZ74" s="210"/>
      <c r="BA74" s="210"/>
      <c r="BB74" s="210"/>
      <c r="BC74" s="210"/>
      <c r="BD74" s="210"/>
      <c r="BE74" s="232"/>
      <c r="BF74" s="210"/>
      <c r="BG74" s="210"/>
      <c r="BH74" s="211"/>
      <c r="BI74" s="210"/>
      <c r="BJ74" s="233"/>
      <c r="BK74" s="290"/>
      <c r="BM74" s="345"/>
      <c r="BN74" s="346"/>
    </row>
    <row r="75" spans="1:69" ht="18" customHeight="1">
      <c r="B75" s="227" t="s">
        <v>246</v>
      </c>
      <c r="C75" s="279" t="s">
        <v>157</v>
      </c>
      <c r="D75" s="262"/>
      <c r="E75" s="263"/>
      <c r="F75" s="252"/>
      <c r="G75" s="262"/>
      <c r="H75" s="226"/>
      <c r="I75" s="210"/>
      <c r="J75" s="210"/>
      <c r="K75" s="210"/>
      <c r="L75" s="210"/>
      <c r="M75" s="226"/>
      <c r="N75" s="210"/>
      <c r="O75" s="210"/>
      <c r="P75" s="211"/>
      <c r="Q75" s="210"/>
      <c r="R75" s="210"/>
      <c r="S75" s="210"/>
      <c r="T75" s="210"/>
      <c r="U75" s="210"/>
      <c r="V75" s="226"/>
      <c r="W75" s="210"/>
      <c r="X75" s="210"/>
      <c r="Y75" s="211"/>
      <c r="Z75" s="210"/>
      <c r="AA75" s="210"/>
      <c r="AB75" s="210"/>
      <c r="AC75" s="210"/>
      <c r="AD75" s="210"/>
      <c r="AE75" s="226"/>
      <c r="AF75" s="210"/>
      <c r="AG75" s="210"/>
      <c r="AH75" s="211"/>
      <c r="AI75" s="210"/>
      <c r="AJ75" s="210"/>
      <c r="AK75" s="210"/>
      <c r="AL75" s="210"/>
      <c r="AM75" s="226"/>
      <c r="AN75" s="210"/>
      <c r="AO75" s="210"/>
      <c r="AP75" s="210"/>
      <c r="AQ75" s="211"/>
      <c r="AR75" s="210"/>
      <c r="AS75" s="210"/>
      <c r="AT75" s="210"/>
      <c r="AU75" s="210"/>
      <c r="AV75" s="226"/>
      <c r="AW75" s="210"/>
      <c r="AX75" s="210"/>
      <c r="AY75" s="211"/>
      <c r="AZ75" s="210"/>
      <c r="BA75" s="210"/>
      <c r="BB75" s="210"/>
      <c r="BC75" s="210"/>
      <c r="BD75" s="210"/>
      <c r="BE75" s="226"/>
      <c r="BF75" s="210"/>
      <c r="BG75" s="210"/>
      <c r="BH75" s="211"/>
      <c r="BI75" s="210"/>
      <c r="BJ75" s="284"/>
      <c r="BK75" s="290"/>
      <c r="BM75" s="345"/>
      <c r="BN75" s="346"/>
    </row>
    <row r="76" spans="1:69" s="230" customFormat="1" ht="18" customHeight="1" thickBot="1">
      <c r="A76" s="227"/>
      <c r="B76" s="227" t="s">
        <v>246</v>
      </c>
      <c r="C76" s="279" t="s">
        <v>157</v>
      </c>
      <c r="D76" s="248"/>
      <c r="E76" s="251"/>
      <c r="F76" s="252"/>
      <c r="G76" s="248"/>
      <c r="H76" s="232"/>
      <c r="I76" s="210"/>
      <c r="J76" s="210"/>
      <c r="K76" s="210"/>
      <c r="L76" s="210"/>
      <c r="M76" s="232"/>
      <c r="N76" s="210"/>
      <c r="O76" s="210"/>
      <c r="P76" s="211"/>
      <c r="Q76" s="210"/>
      <c r="R76" s="210"/>
      <c r="S76" s="210"/>
      <c r="T76" s="210"/>
      <c r="U76" s="210"/>
      <c r="V76" s="232"/>
      <c r="W76" s="210"/>
      <c r="X76" s="210"/>
      <c r="Y76" s="211"/>
      <c r="Z76" s="210"/>
      <c r="AA76" s="210"/>
      <c r="AB76" s="210"/>
      <c r="AC76" s="210"/>
      <c r="AD76" s="210"/>
      <c r="AE76" s="232"/>
      <c r="AF76" s="210"/>
      <c r="AG76" s="210"/>
      <c r="AH76" s="211"/>
      <c r="AI76" s="210"/>
      <c r="AJ76" s="210"/>
      <c r="AK76" s="210"/>
      <c r="AL76" s="210"/>
      <c r="AM76" s="232"/>
      <c r="AN76" s="210"/>
      <c r="AO76" s="210"/>
      <c r="AP76" s="210"/>
      <c r="AQ76" s="211"/>
      <c r="AR76" s="210"/>
      <c r="AS76" s="210"/>
      <c r="AT76" s="210"/>
      <c r="AU76" s="210"/>
      <c r="AV76" s="232"/>
      <c r="AW76" s="210"/>
      <c r="AX76" s="210"/>
      <c r="AY76" s="211"/>
      <c r="AZ76" s="210"/>
      <c r="BA76" s="210"/>
      <c r="BB76" s="210"/>
      <c r="BC76" s="210"/>
      <c r="BD76" s="210"/>
      <c r="BE76" s="232"/>
      <c r="BF76" s="210"/>
      <c r="BG76" s="210"/>
      <c r="BH76" s="211"/>
      <c r="BI76" s="210"/>
      <c r="BJ76" s="233"/>
      <c r="BK76" s="290"/>
      <c r="BL76" s="229"/>
      <c r="BM76" s="347"/>
      <c r="BN76" s="348"/>
      <c r="BO76" s="227"/>
      <c r="BP76" s="227"/>
      <c r="BQ76" s="227"/>
    </row>
    <row r="77" spans="1:69" ht="18" customHeight="1" thickBot="1">
      <c r="C77" s="279"/>
      <c r="D77" s="390"/>
      <c r="E77" s="391"/>
      <c r="F77" s="391"/>
      <c r="G77" s="392"/>
      <c r="H77" s="449"/>
      <c r="I77" s="450"/>
      <c r="J77" s="450"/>
      <c r="K77" s="450"/>
      <c r="L77" s="451"/>
      <c r="M77" s="449"/>
      <c r="N77" s="450"/>
      <c r="O77" s="450"/>
      <c r="P77" s="451"/>
      <c r="Q77" s="449"/>
      <c r="R77" s="450"/>
      <c r="S77" s="450"/>
      <c r="T77" s="450"/>
      <c r="U77" s="451"/>
      <c r="V77" s="449"/>
      <c r="W77" s="450"/>
      <c r="X77" s="450"/>
      <c r="Y77" s="451"/>
      <c r="Z77" s="390"/>
      <c r="AA77" s="391"/>
      <c r="AB77" s="391"/>
      <c r="AC77" s="391"/>
      <c r="AD77" s="392"/>
      <c r="AE77" s="390"/>
      <c r="AF77" s="391"/>
      <c r="AG77" s="391"/>
      <c r="AH77" s="392"/>
      <c r="AI77" s="390"/>
      <c r="AJ77" s="391"/>
      <c r="AK77" s="391"/>
      <c r="AL77" s="392"/>
      <c r="AM77" s="390"/>
      <c r="AN77" s="391"/>
      <c r="AO77" s="391"/>
      <c r="AP77" s="391"/>
      <c r="AQ77" s="392"/>
      <c r="AR77" s="390"/>
      <c r="AS77" s="391"/>
      <c r="AT77" s="391"/>
      <c r="AU77" s="392"/>
      <c r="AV77" s="390"/>
      <c r="AW77" s="391"/>
      <c r="AX77" s="391"/>
      <c r="AY77" s="392"/>
      <c r="AZ77" s="390"/>
      <c r="BA77" s="391"/>
      <c r="BB77" s="391"/>
      <c r="BC77" s="391"/>
      <c r="BD77" s="392"/>
      <c r="BE77" s="390"/>
      <c r="BF77" s="391"/>
      <c r="BG77" s="391"/>
      <c r="BH77" s="392"/>
      <c r="BI77" s="392"/>
      <c r="BJ77" s="376"/>
      <c r="BK77" s="378">
        <f>SUM(BK72:BK76)</f>
        <v>0</v>
      </c>
      <c r="BL77" s="247">
        <v>0</v>
      </c>
      <c r="BM77" s="447"/>
      <c r="BN77" s="448"/>
    </row>
    <row r="78" spans="1:69" ht="18" customHeight="1" thickBot="1">
      <c r="C78" s="279"/>
      <c r="D78" s="481" t="s">
        <v>135</v>
      </c>
      <c r="E78" s="482"/>
      <c r="F78" s="483"/>
      <c r="G78" s="482"/>
      <c r="H78" s="320"/>
      <c r="I78" s="398"/>
      <c r="J78" s="398"/>
      <c r="K78" s="398"/>
      <c r="L78" s="399"/>
      <c r="M78" s="396"/>
      <c r="N78" s="394"/>
      <c r="O78" s="394"/>
      <c r="P78" s="325"/>
      <c r="Q78" s="320"/>
      <c r="R78" s="398"/>
      <c r="S78" s="398"/>
      <c r="T78" s="398"/>
      <c r="U78" s="399"/>
      <c r="V78" s="394"/>
      <c r="W78" s="394"/>
      <c r="X78" s="394"/>
      <c r="Y78" s="394"/>
      <c r="Z78" s="396"/>
      <c r="AA78" s="398"/>
      <c r="AB78" s="398"/>
      <c r="AC78" s="398"/>
      <c r="AD78" s="399"/>
      <c r="AE78" s="394"/>
      <c r="AF78" s="394"/>
      <c r="AG78" s="394"/>
      <c r="AH78" s="394"/>
      <c r="AI78" s="396"/>
      <c r="AJ78" s="398"/>
      <c r="AK78" s="398"/>
      <c r="AL78" s="399"/>
      <c r="AM78" s="398"/>
      <c r="AN78" s="394"/>
      <c r="AO78" s="394"/>
      <c r="AP78" s="394"/>
      <c r="AQ78" s="394"/>
      <c r="AR78" s="396"/>
      <c r="AS78" s="398"/>
      <c r="AT78" s="398"/>
      <c r="AU78" s="399"/>
      <c r="AV78" s="394"/>
      <c r="AW78" s="394"/>
      <c r="AX78" s="394"/>
      <c r="AY78" s="394"/>
      <c r="AZ78" s="320"/>
      <c r="BA78" s="398"/>
      <c r="BB78" s="398"/>
      <c r="BC78" s="398"/>
      <c r="BD78" s="399"/>
      <c r="BE78" s="394"/>
      <c r="BF78" s="394"/>
      <c r="BG78" s="394"/>
      <c r="BH78" s="394"/>
      <c r="BI78" s="457"/>
      <c r="BJ78" s="453"/>
      <c r="BK78" s="458"/>
      <c r="BL78" s="231"/>
      <c r="BM78" s="400" t="s">
        <v>258</v>
      </c>
      <c r="BN78" s="351" t="s">
        <v>259</v>
      </c>
      <c r="BO78" s="230"/>
      <c r="BP78" s="230"/>
      <c r="BQ78" s="230"/>
    </row>
    <row r="79" spans="1:69" ht="18" customHeight="1">
      <c r="B79" s="227" t="s">
        <v>246</v>
      </c>
      <c r="C79" s="279" t="s">
        <v>157</v>
      </c>
      <c r="D79" s="248"/>
      <c r="E79" s="249"/>
      <c r="F79" s="252"/>
      <c r="G79" s="253"/>
      <c r="H79" s="402"/>
      <c r="I79" s="401"/>
      <c r="J79" s="401"/>
      <c r="K79" s="401"/>
      <c r="L79" s="401"/>
      <c r="M79" s="402"/>
      <c r="N79" s="401"/>
      <c r="O79" s="401"/>
      <c r="P79" s="403"/>
      <c r="Q79" s="401"/>
      <c r="R79" s="401"/>
      <c r="S79" s="401"/>
      <c r="T79" s="401"/>
      <c r="U79" s="401"/>
      <c r="V79" s="402"/>
      <c r="W79" s="401"/>
      <c r="X79" s="401"/>
      <c r="Y79" s="403"/>
      <c r="Z79" s="401"/>
      <c r="AA79" s="401"/>
      <c r="AB79" s="401"/>
      <c r="AC79" s="401"/>
      <c r="AD79" s="401"/>
      <c r="AE79" s="402"/>
      <c r="AF79" s="401"/>
      <c r="AG79" s="401"/>
      <c r="AH79" s="403"/>
      <c r="AI79" s="401"/>
      <c r="AJ79" s="401"/>
      <c r="AK79" s="401"/>
      <c r="AL79" s="401"/>
      <c r="AM79" s="402"/>
      <c r="AN79" s="401"/>
      <c r="AO79" s="401"/>
      <c r="AP79" s="401"/>
      <c r="AQ79" s="403"/>
      <c r="AR79" s="401"/>
      <c r="AS79" s="401"/>
      <c r="AT79" s="401"/>
      <c r="AU79" s="401"/>
      <c r="AV79" s="402"/>
      <c r="AW79" s="401"/>
      <c r="AX79" s="401"/>
      <c r="AY79" s="403"/>
      <c r="AZ79" s="401"/>
      <c r="BA79" s="401"/>
      <c r="BB79" s="401"/>
      <c r="BC79" s="401"/>
      <c r="BD79" s="401"/>
      <c r="BE79" s="402"/>
      <c r="BF79" s="401"/>
      <c r="BG79" s="401"/>
      <c r="BH79" s="403"/>
      <c r="BI79" s="210"/>
      <c r="BJ79" s="212"/>
      <c r="BK79" s="290"/>
      <c r="BM79" s="349"/>
      <c r="BN79" s="344"/>
    </row>
    <row r="80" spans="1:69" ht="18" customHeight="1">
      <c r="B80" s="227" t="s">
        <v>246</v>
      </c>
      <c r="C80" s="279" t="s">
        <v>157</v>
      </c>
      <c r="D80" s="262"/>
      <c r="E80" s="263"/>
      <c r="F80" s="252"/>
      <c r="G80" s="262"/>
      <c r="H80" s="226"/>
      <c r="I80" s="210"/>
      <c r="J80" s="210"/>
      <c r="K80" s="210"/>
      <c r="L80" s="210"/>
      <c r="M80" s="226"/>
      <c r="N80" s="210"/>
      <c r="O80" s="210"/>
      <c r="P80" s="211"/>
      <c r="Q80" s="210"/>
      <c r="R80" s="210"/>
      <c r="S80" s="210"/>
      <c r="T80" s="210"/>
      <c r="U80" s="210"/>
      <c r="V80" s="226"/>
      <c r="W80" s="210"/>
      <c r="X80" s="210"/>
      <c r="Y80" s="211"/>
      <c r="Z80" s="210"/>
      <c r="AA80" s="210"/>
      <c r="AB80" s="210"/>
      <c r="AC80" s="210"/>
      <c r="AD80" s="210"/>
      <c r="AE80" s="226"/>
      <c r="AF80" s="210"/>
      <c r="AG80" s="210"/>
      <c r="AH80" s="211"/>
      <c r="AI80" s="210"/>
      <c r="AJ80" s="210"/>
      <c r="AK80" s="210"/>
      <c r="AL80" s="210"/>
      <c r="AM80" s="226"/>
      <c r="AN80" s="210"/>
      <c r="AO80" s="210"/>
      <c r="AP80" s="210"/>
      <c r="AQ80" s="211"/>
      <c r="AR80" s="210"/>
      <c r="AS80" s="210"/>
      <c r="AT80" s="210"/>
      <c r="AU80" s="210"/>
      <c r="AV80" s="226"/>
      <c r="AW80" s="210"/>
      <c r="AX80" s="210"/>
      <c r="AY80" s="211"/>
      <c r="AZ80" s="210"/>
      <c r="BA80" s="210"/>
      <c r="BB80" s="210"/>
      <c r="BC80" s="210"/>
      <c r="BD80" s="210"/>
      <c r="BE80" s="226"/>
      <c r="BF80" s="210"/>
      <c r="BG80" s="210"/>
      <c r="BH80" s="211"/>
      <c r="BI80" s="210"/>
      <c r="BJ80" s="284"/>
      <c r="BK80" s="290"/>
      <c r="BM80" s="345"/>
      <c r="BN80" s="346"/>
    </row>
    <row r="81" spans="1:69" ht="18" customHeight="1">
      <c r="B81" s="227" t="s">
        <v>246</v>
      </c>
      <c r="C81" s="279" t="s">
        <v>157</v>
      </c>
      <c r="D81" s="262"/>
      <c r="E81" s="263"/>
      <c r="F81" s="252"/>
      <c r="G81" s="262"/>
      <c r="H81" s="226"/>
      <c r="I81" s="210"/>
      <c r="J81" s="210"/>
      <c r="K81" s="210"/>
      <c r="L81" s="210"/>
      <c r="M81" s="226"/>
      <c r="N81" s="210"/>
      <c r="O81" s="210"/>
      <c r="P81" s="211"/>
      <c r="Q81" s="210"/>
      <c r="R81" s="210"/>
      <c r="S81" s="210"/>
      <c r="T81" s="210"/>
      <c r="U81" s="210"/>
      <c r="V81" s="226"/>
      <c r="W81" s="210"/>
      <c r="X81" s="210"/>
      <c r="Y81" s="211"/>
      <c r="Z81" s="210"/>
      <c r="AA81" s="210"/>
      <c r="AB81" s="210"/>
      <c r="AC81" s="210"/>
      <c r="AD81" s="210"/>
      <c r="AE81" s="226"/>
      <c r="AF81" s="210"/>
      <c r="AG81" s="210"/>
      <c r="AH81" s="211"/>
      <c r="AI81" s="210"/>
      <c r="AJ81" s="210"/>
      <c r="AK81" s="210"/>
      <c r="AL81" s="210"/>
      <c r="AM81" s="226"/>
      <c r="AN81" s="210"/>
      <c r="AO81" s="210"/>
      <c r="AP81" s="210"/>
      <c r="AQ81" s="211"/>
      <c r="AR81" s="210"/>
      <c r="AS81" s="210"/>
      <c r="AT81" s="210"/>
      <c r="AU81" s="210"/>
      <c r="AV81" s="226"/>
      <c r="AW81" s="210"/>
      <c r="AX81" s="210"/>
      <c r="AY81" s="211"/>
      <c r="AZ81" s="210"/>
      <c r="BA81" s="210"/>
      <c r="BB81" s="210"/>
      <c r="BC81" s="210"/>
      <c r="BD81" s="210"/>
      <c r="BE81" s="226"/>
      <c r="BF81" s="210"/>
      <c r="BG81" s="210"/>
      <c r="BH81" s="211"/>
      <c r="BI81" s="210"/>
      <c r="BJ81" s="284"/>
      <c r="BK81" s="290"/>
      <c r="BM81" s="345"/>
      <c r="BN81" s="346"/>
    </row>
    <row r="82" spans="1:69" ht="18" customHeight="1">
      <c r="B82" s="227" t="s">
        <v>246</v>
      </c>
      <c r="C82" s="279" t="s">
        <v>157</v>
      </c>
      <c r="D82" s="248"/>
      <c r="E82" s="251"/>
      <c r="F82" s="252"/>
      <c r="G82" s="248"/>
      <c r="H82" s="232"/>
      <c r="I82" s="210"/>
      <c r="J82" s="210"/>
      <c r="K82" s="210"/>
      <c r="L82" s="210"/>
      <c r="M82" s="232"/>
      <c r="N82" s="210"/>
      <c r="O82" s="210"/>
      <c r="P82" s="211"/>
      <c r="Q82" s="210"/>
      <c r="R82" s="210"/>
      <c r="S82" s="210"/>
      <c r="T82" s="210"/>
      <c r="U82" s="210"/>
      <c r="V82" s="232"/>
      <c r="W82" s="210"/>
      <c r="X82" s="210"/>
      <c r="Y82" s="211"/>
      <c r="Z82" s="210"/>
      <c r="AA82" s="210"/>
      <c r="AB82" s="210"/>
      <c r="AC82" s="210"/>
      <c r="AD82" s="210"/>
      <c r="AE82" s="232"/>
      <c r="AF82" s="210"/>
      <c r="AG82" s="210"/>
      <c r="AH82" s="211"/>
      <c r="AI82" s="210"/>
      <c r="AJ82" s="210"/>
      <c r="AK82" s="210"/>
      <c r="AL82" s="210"/>
      <c r="AM82" s="232"/>
      <c r="AN82" s="210"/>
      <c r="AO82" s="210"/>
      <c r="AP82" s="210"/>
      <c r="AQ82" s="211"/>
      <c r="AR82" s="210"/>
      <c r="AS82" s="210"/>
      <c r="AT82" s="210"/>
      <c r="AU82" s="210"/>
      <c r="AV82" s="232"/>
      <c r="AW82" s="210"/>
      <c r="AX82" s="210"/>
      <c r="AY82" s="211"/>
      <c r="AZ82" s="210"/>
      <c r="BA82" s="210"/>
      <c r="BB82" s="210"/>
      <c r="BC82" s="210"/>
      <c r="BD82" s="210"/>
      <c r="BE82" s="232"/>
      <c r="BF82" s="210"/>
      <c r="BG82" s="210"/>
      <c r="BH82" s="211"/>
      <c r="BI82" s="210"/>
      <c r="BJ82" s="233"/>
      <c r="BK82" s="290"/>
      <c r="BM82" s="345"/>
      <c r="BN82" s="346"/>
    </row>
    <row r="83" spans="1:69" s="230" customFormat="1" ht="18" customHeight="1" thickBot="1">
      <c r="A83" s="227"/>
      <c r="B83" s="227" t="s">
        <v>246</v>
      </c>
      <c r="C83" s="279" t="s">
        <v>157</v>
      </c>
      <c r="D83" s="248"/>
      <c r="E83" s="251"/>
      <c r="F83" s="252"/>
      <c r="G83" s="248"/>
      <c r="H83" s="232"/>
      <c r="I83" s="210"/>
      <c r="J83" s="210"/>
      <c r="K83" s="210"/>
      <c r="L83" s="210"/>
      <c r="M83" s="232"/>
      <c r="N83" s="210"/>
      <c r="O83" s="210"/>
      <c r="P83" s="211"/>
      <c r="Q83" s="210"/>
      <c r="R83" s="210"/>
      <c r="S83" s="210"/>
      <c r="T83" s="210"/>
      <c r="U83" s="210"/>
      <c r="V83" s="232"/>
      <c r="W83" s="210"/>
      <c r="X83" s="210"/>
      <c r="Y83" s="211"/>
      <c r="Z83" s="210"/>
      <c r="AA83" s="210"/>
      <c r="AB83" s="210"/>
      <c r="AC83" s="210"/>
      <c r="AD83" s="210"/>
      <c r="AE83" s="232"/>
      <c r="AF83" s="210"/>
      <c r="AG83" s="210"/>
      <c r="AH83" s="211"/>
      <c r="AI83" s="210"/>
      <c r="AJ83" s="210"/>
      <c r="AK83" s="210"/>
      <c r="AL83" s="210"/>
      <c r="AM83" s="232"/>
      <c r="AN83" s="210"/>
      <c r="AO83" s="210"/>
      <c r="AP83" s="210"/>
      <c r="AQ83" s="211"/>
      <c r="AR83" s="210"/>
      <c r="AS83" s="210"/>
      <c r="AT83" s="210"/>
      <c r="AU83" s="210"/>
      <c r="AV83" s="232"/>
      <c r="AW83" s="210"/>
      <c r="AX83" s="210"/>
      <c r="AY83" s="211"/>
      <c r="AZ83" s="210"/>
      <c r="BA83" s="210"/>
      <c r="BB83" s="210"/>
      <c r="BC83" s="210"/>
      <c r="BD83" s="210"/>
      <c r="BE83" s="232"/>
      <c r="BF83" s="210"/>
      <c r="BG83" s="210"/>
      <c r="BH83" s="211"/>
      <c r="BI83" s="210"/>
      <c r="BJ83" s="233"/>
      <c r="BK83" s="290"/>
      <c r="BL83" s="229"/>
      <c r="BM83" s="347"/>
      <c r="BN83" s="348"/>
      <c r="BO83" s="227"/>
      <c r="BP83" s="227"/>
      <c r="BQ83" s="227"/>
    </row>
    <row r="84" spans="1:69" ht="18" customHeight="1" thickBot="1">
      <c r="C84" s="279"/>
      <c r="D84" s="390"/>
      <c r="E84" s="391"/>
      <c r="F84" s="391"/>
      <c r="G84" s="392"/>
      <c r="H84" s="449"/>
      <c r="I84" s="450"/>
      <c r="J84" s="450"/>
      <c r="K84" s="450"/>
      <c r="L84" s="451"/>
      <c r="M84" s="449"/>
      <c r="N84" s="450"/>
      <c r="O84" s="450"/>
      <c r="P84" s="451"/>
      <c r="Q84" s="449"/>
      <c r="R84" s="450"/>
      <c r="S84" s="450"/>
      <c r="T84" s="450"/>
      <c r="U84" s="451"/>
      <c r="V84" s="449"/>
      <c r="W84" s="450"/>
      <c r="X84" s="450"/>
      <c r="Y84" s="451"/>
      <c r="Z84" s="390"/>
      <c r="AA84" s="391"/>
      <c r="AB84" s="391"/>
      <c r="AC84" s="391"/>
      <c r="AD84" s="392"/>
      <c r="AE84" s="390"/>
      <c r="AF84" s="391"/>
      <c r="AG84" s="391"/>
      <c r="AH84" s="392"/>
      <c r="AI84" s="390"/>
      <c r="AJ84" s="391"/>
      <c r="AK84" s="391"/>
      <c r="AL84" s="392"/>
      <c r="AM84" s="390"/>
      <c r="AN84" s="391"/>
      <c r="AO84" s="391"/>
      <c r="AP84" s="391"/>
      <c r="AQ84" s="392"/>
      <c r="AR84" s="390"/>
      <c r="AS84" s="391"/>
      <c r="AT84" s="391"/>
      <c r="AU84" s="392"/>
      <c r="AV84" s="390"/>
      <c r="AW84" s="391"/>
      <c r="AX84" s="391"/>
      <c r="AY84" s="392"/>
      <c r="AZ84" s="390"/>
      <c r="BA84" s="391"/>
      <c r="BB84" s="391"/>
      <c r="BC84" s="391"/>
      <c r="BD84" s="392"/>
      <c r="BE84" s="390"/>
      <c r="BF84" s="391"/>
      <c r="BG84" s="391"/>
      <c r="BH84" s="392"/>
      <c r="BI84" s="392"/>
      <c r="BJ84" s="376"/>
      <c r="BK84" s="378">
        <f>SUM(BK79:BK83)</f>
        <v>0</v>
      </c>
      <c r="BL84" s="331">
        <v>0</v>
      </c>
      <c r="BM84" s="447"/>
      <c r="BN84" s="448"/>
    </row>
    <row r="85" spans="1:69" ht="18" customHeight="1" thickBot="1">
      <c r="D85" s="481" t="s">
        <v>151</v>
      </c>
      <c r="E85" s="482"/>
      <c r="F85" s="483"/>
      <c r="G85" s="482"/>
      <c r="H85" s="320"/>
      <c r="I85" s="398"/>
      <c r="J85" s="398"/>
      <c r="K85" s="398"/>
      <c r="L85" s="399"/>
      <c r="M85" s="396"/>
      <c r="N85" s="394"/>
      <c r="O85" s="394"/>
      <c r="P85" s="325"/>
      <c r="Q85" s="320"/>
      <c r="R85" s="398"/>
      <c r="S85" s="398"/>
      <c r="T85" s="398"/>
      <c r="U85" s="399"/>
      <c r="V85" s="394"/>
      <c r="W85" s="394"/>
      <c r="X85" s="394"/>
      <c r="Y85" s="394"/>
      <c r="Z85" s="396"/>
      <c r="AA85" s="398"/>
      <c r="AB85" s="398"/>
      <c r="AC85" s="398"/>
      <c r="AD85" s="399"/>
      <c r="AE85" s="394"/>
      <c r="AF85" s="394"/>
      <c r="AG85" s="394"/>
      <c r="AH85" s="394"/>
      <c r="AI85" s="396"/>
      <c r="AJ85" s="398"/>
      <c r="AK85" s="398"/>
      <c r="AL85" s="399"/>
      <c r="AM85" s="398"/>
      <c r="AN85" s="394"/>
      <c r="AO85" s="394"/>
      <c r="AP85" s="394"/>
      <c r="AQ85" s="394"/>
      <c r="AR85" s="396"/>
      <c r="AS85" s="398"/>
      <c r="AT85" s="398"/>
      <c r="AU85" s="399"/>
      <c r="AV85" s="394"/>
      <c r="AW85" s="394"/>
      <c r="AX85" s="394"/>
      <c r="AY85" s="394"/>
      <c r="AZ85" s="320"/>
      <c r="BA85" s="398"/>
      <c r="BB85" s="398"/>
      <c r="BC85" s="398"/>
      <c r="BD85" s="399"/>
      <c r="BE85" s="394"/>
      <c r="BF85" s="394"/>
      <c r="BG85" s="394"/>
      <c r="BH85" s="394"/>
      <c r="BI85" s="457"/>
      <c r="BJ85" s="453"/>
      <c r="BK85" s="458"/>
      <c r="BL85" s="231"/>
      <c r="BM85" s="329" t="s">
        <v>258</v>
      </c>
      <c r="BN85" s="330" t="s">
        <v>259</v>
      </c>
      <c r="BO85" s="230"/>
      <c r="BP85" s="230"/>
      <c r="BQ85" s="230"/>
    </row>
    <row r="86" spans="1:69" ht="18" customHeight="1">
      <c r="B86" s="227" t="s">
        <v>246</v>
      </c>
      <c r="C86" s="279" t="s">
        <v>250</v>
      </c>
      <c r="D86" s="248"/>
      <c r="E86" s="249"/>
      <c r="F86" s="252"/>
      <c r="G86" s="253"/>
      <c r="H86" s="402"/>
      <c r="I86" s="401"/>
      <c r="J86" s="401"/>
      <c r="K86" s="401"/>
      <c r="L86" s="401"/>
      <c r="M86" s="402"/>
      <c r="N86" s="401"/>
      <c r="O86" s="401"/>
      <c r="P86" s="403"/>
      <c r="Q86" s="401"/>
      <c r="R86" s="401"/>
      <c r="S86" s="401"/>
      <c r="T86" s="401"/>
      <c r="U86" s="401"/>
      <c r="V86" s="402"/>
      <c r="W86" s="401"/>
      <c r="X86" s="401"/>
      <c r="Y86" s="403"/>
      <c r="Z86" s="401"/>
      <c r="AA86" s="401"/>
      <c r="AB86" s="401"/>
      <c r="AC86" s="401"/>
      <c r="AD86" s="401"/>
      <c r="AE86" s="402"/>
      <c r="AF86" s="401"/>
      <c r="AG86" s="401"/>
      <c r="AH86" s="403"/>
      <c r="AI86" s="401"/>
      <c r="AJ86" s="401"/>
      <c r="AK86" s="401"/>
      <c r="AL86" s="401"/>
      <c r="AM86" s="402"/>
      <c r="AN86" s="401"/>
      <c r="AO86" s="401"/>
      <c r="AP86" s="401"/>
      <c r="AQ86" s="403"/>
      <c r="AR86" s="401"/>
      <c r="AS86" s="401"/>
      <c r="AT86" s="401"/>
      <c r="AU86" s="401"/>
      <c r="AV86" s="402"/>
      <c r="AW86" s="401"/>
      <c r="AX86" s="401"/>
      <c r="AY86" s="403"/>
      <c r="AZ86" s="401"/>
      <c r="BA86" s="401"/>
      <c r="BB86" s="401"/>
      <c r="BC86" s="401"/>
      <c r="BD86" s="401"/>
      <c r="BE86" s="402"/>
      <c r="BF86" s="401"/>
      <c r="BG86" s="401"/>
      <c r="BH86" s="403"/>
      <c r="BI86" s="210"/>
      <c r="BJ86" s="212"/>
      <c r="BK86" s="290"/>
      <c r="BM86" s="343"/>
      <c r="BN86" s="344"/>
    </row>
    <row r="87" spans="1:69" ht="18" customHeight="1">
      <c r="B87" s="227" t="s">
        <v>246</v>
      </c>
      <c r="C87" s="279" t="s">
        <v>250</v>
      </c>
      <c r="D87" s="262"/>
      <c r="E87" s="263"/>
      <c r="F87" s="252"/>
      <c r="G87" s="262"/>
      <c r="H87" s="226"/>
      <c r="I87" s="210"/>
      <c r="J87" s="210"/>
      <c r="K87" s="210"/>
      <c r="L87" s="210"/>
      <c r="M87" s="226"/>
      <c r="N87" s="210"/>
      <c r="O87" s="210"/>
      <c r="P87" s="211"/>
      <c r="Q87" s="210"/>
      <c r="R87" s="210"/>
      <c r="S87" s="210"/>
      <c r="T87" s="210"/>
      <c r="U87" s="210"/>
      <c r="V87" s="226"/>
      <c r="W87" s="210"/>
      <c r="X87" s="210"/>
      <c r="Y87" s="211"/>
      <c r="Z87" s="210"/>
      <c r="AA87" s="210"/>
      <c r="AB87" s="210"/>
      <c r="AC87" s="210"/>
      <c r="AD87" s="210"/>
      <c r="AE87" s="226"/>
      <c r="AF87" s="210"/>
      <c r="AG87" s="210"/>
      <c r="AH87" s="211"/>
      <c r="AI87" s="210"/>
      <c r="AJ87" s="210"/>
      <c r="AK87" s="210"/>
      <c r="AL87" s="210"/>
      <c r="AM87" s="226"/>
      <c r="AN87" s="210"/>
      <c r="AO87" s="210"/>
      <c r="AP87" s="210"/>
      <c r="AQ87" s="211"/>
      <c r="AR87" s="210"/>
      <c r="AS87" s="210"/>
      <c r="AT87" s="210"/>
      <c r="AU87" s="210"/>
      <c r="AV87" s="226"/>
      <c r="AW87" s="210"/>
      <c r="AX87" s="210"/>
      <c r="AY87" s="211"/>
      <c r="AZ87" s="210"/>
      <c r="BA87" s="210"/>
      <c r="BB87" s="210"/>
      <c r="BC87" s="210"/>
      <c r="BD87" s="210"/>
      <c r="BE87" s="226"/>
      <c r="BF87" s="210"/>
      <c r="BG87" s="210"/>
      <c r="BH87" s="211"/>
      <c r="BI87" s="210"/>
      <c r="BJ87" s="284"/>
      <c r="BK87" s="290"/>
      <c r="BM87" s="345"/>
      <c r="BN87" s="346"/>
    </row>
    <row r="88" spans="1:69" ht="18" customHeight="1">
      <c r="B88" s="227" t="s">
        <v>246</v>
      </c>
      <c r="C88" s="279" t="s">
        <v>250</v>
      </c>
      <c r="D88" s="262"/>
      <c r="E88" s="263"/>
      <c r="F88" s="252"/>
      <c r="G88" s="262"/>
      <c r="H88" s="226"/>
      <c r="I88" s="210"/>
      <c r="J88" s="210"/>
      <c r="K88" s="210"/>
      <c r="L88" s="210"/>
      <c r="M88" s="226"/>
      <c r="N88" s="210"/>
      <c r="O88" s="210"/>
      <c r="P88" s="211"/>
      <c r="Q88" s="210"/>
      <c r="R88" s="210"/>
      <c r="S88" s="210"/>
      <c r="T88" s="210"/>
      <c r="U88" s="210"/>
      <c r="V88" s="226"/>
      <c r="W88" s="210"/>
      <c r="X88" s="210"/>
      <c r="Y88" s="211"/>
      <c r="Z88" s="210"/>
      <c r="AA88" s="210"/>
      <c r="AB88" s="210"/>
      <c r="AC88" s="210"/>
      <c r="AD88" s="210"/>
      <c r="AE88" s="226"/>
      <c r="AF88" s="210"/>
      <c r="AG88" s="210"/>
      <c r="AH88" s="211"/>
      <c r="AI88" s="210"/>
      <c r="AJ88" s="210"/>
      <c r="AK88" s="210"/>
      <c r="AL88" s="210"/>
      <c r="AM88" s="226"/>
      <c r="AN88" s="210"/>
      <c r="AO88" s="210"/>
      <c r="AP88" s="210"/>
      <c r="AQ88" s="211"/>
      <c r="AR88" s="210"/>
      <c r="AS88" s="210"/>
      <c r="AT88" s="210"/>
      <c r="AU88" s="210"/>
      <c r="AV88" s="226"/>
      <c r="AW88" s="210"/>
      <c r="AX88" s="210"/>
      <c r="AY88" s="211"/>
      <c r="AZ88" s="210"/>
      <c r="BA88" s="210"/>
      <c r="BB88" s="210"/>
      <c r="BC88" s="210"/>
      <c r="BD88" s="210"/>
      <c r="BE88" s="226"/>
      <c r="BF88" s="210"/>
      <c r="BG88" s="210"/>
      <c r="BH88" s="211"/>
      <c r="BI88" s="210"/>
      <c r="BJ88" s="284"/>
      <c r="BK88" s="290"/>
      <c r="BM88" s="345"/>
      <c r="BN88" s="346"/>
    </row>
    <row r="89" spans="1:69" ht="18" customHeight="1">
      <c r="B89" s="227" t="s">
        <v>246</v>
      </c>
      <c r="C89" s="279" t="s">
        <v>250</v>
      </c>
      <c r="D89" s="248"/>
      <c r="E89" s="251"/>
      <c r="F89" s="252"/>
      <c r="G89" s="248"/>
      <c r="H89" s="232"/>
      <c r="I89" s="210"/>
      <c r="J89" s="210"/>
      <c r="K89" s="210"/>
      <c r="L89" s="210"/>
      <c r="M89" s="232"/>
      <c r="N89" s="210"/>
      <c r="O89" s="210"/>
      <c r="P89" s="211"/>
      <c r="Q89" s="210"/>
      <c r="R89" s="210"/>
      <c r="S89" s="210"/>
      <c r="T89" s="210"/>
      <c r="U89" s="210"/>
      <c r="V89" s="232"/>
      <c r="W89" s="210"/>
      <c r="X89" s="210"/>
      <c r="Y89" s="211"/>
      <c r="Z89" s="210"/>
      <c r="AA89" s="210"/>
      <c r="AB89" s="210"/>
      <c r="AC89" s="210"/>
      <c r="AD89" s="210"/>
      <c r="AE89" s="232"/>
      <c r="AF89" s="210"/>
      <c r="AG89" s="210"/>
      <c r="AH89" s="211"/>
      <c r="AI89" s="210"/>
      <c r="AJ89" s="210"/>
      <c r="AK89" s="210"/>
      <c r="AL89" s="210"/>
      <c r="AM89" s="232"/>
      <c r="AN89" s="210"/>
      <c r="AO89" s="210"/>
      <c r="AP89" s="210"/>
      <c r="AQ89" s="211"/>
      <c r="AR89" s="210"/>
      <c r="AS89" s="210"/>
      <c r="AT89" s="210"/>
      <c r="AU89" s="210"/>
      <c r="AV89" s="232"/>
      <c r="AW89" s="210"/>
      <c r="AX89" s="210"/>
      <c r="AY89" s="211"/>
      <c r="AZ89" s="210"/>
      <c r="BA89" s="210"/>
      <c r="BB89" s="210"/>
      <c r="BC89" s="210"/>
      <c r="BD89" s="210"/>
      <c r="BE89" s="232"/>
      <c r="BF89" s="210"/>
      <c r="BG89" s="210"/>
      <c r="BH89" s="211"/>
      <c r="BI89" s="210"/>
      <c r="BJ89" s="233"/>
      <c r="BK89" s="290"/>
      <c r="BM89" s="345"/>
      <c r="BN89" s="346"/>
    </row>
    <row r="90" spans="1:69" s="230" customFormat="1" ht="18" customHeight="1" thickBot="1">
      <c r="A90" s="227"/>
      <c r="B90" s="227" t="s">
        <v>246</v>
      </c>
      <c r="C90" s="279" t="s">
        <v>250</v>
      </c>
      <c r="D90" s="248"/>
      <c r="E90" s="251"/>
      <c r="F90" s="252"/>
      <c r="G90" s="248"/>
      <c r="H90" s="232"/>
      <c r="I90" s="210"/>
      <c r="J90" s="210"/>
      <c r="K90" s="210"/>
      <c r="L90" s="210"/>
      <c r="M90" s="232"/>
      <c r="N90" s="210"/>
      <c r="O90" s="210"/>
      <c r="P90" s="211"/>
      <c r="Q90" s="210"/>
      <c r="R90" s="210"/>
      <c r="S90" s="210"/>
      <c r="T90" s="210"/>
      <c r="U90" s="210"/>
      <c r="V90" s="232"/>
      <c r="W90" s="210"/>
      <c r="X90" s="210"/>
      <c r="Y90" s="211"/>
      <c r="Z90" s="210"/>
      <c r="AA90" s="210"/>
      <c r="AB90" s="210"/>
      <c r="AC90" s="210"/>
      <c r="AD90" s="210"/>
      <c r="AE90" s="232"/>
      <c r="AF90" s="210"/>
      <c r="AG90" s="210"/>
      <c r="AH90" s="211"/>
      <c r="AI90" s="210"/>
      <c r="AJ90" s="210"/>
      <c r="AK90" s="210"/>
      <c r="AL90" s="210"/>
      <c r="AM90" s="232"/>
      <c r="AN90" s="210"/>
      <c r="AO90" s="210"/>
      <c r="AP90" s="210"/>
      <c r="AQ90" s="211"/>
      <c r="AR90" s="210"/>
      <c r="AS90" s="210"/>
      <c r="AT90" s="210"/>
      <c r="AU90" s="210"/>
      <c r="AV90" s="232"/>
      <c r="AW90" s="210"/>
      <c r="AX90" s="210"/>
      <c r="AY90" s="211"/>
      <c r="AZ90" s="210"/>
      <c r="BA90" s="210"/>
      <c r="BB90" s="210"/>
      <c r="BC90" s="210"/>
      <c r="BD90" s="210"/>
      <c r="BE90" s="232"/>
      <c r="BF90" s="210"/>
      <c r="BG90" s="210"/>
      <c r="BH90" s="211"/>
      <c r="BI90" s="210"/>
      <c r="BJ90" s="233"/>
      <c r="BK90" s="290"/>
      <c r="BL90" s="229"/>
      <c r="BM90" s="347"/>
      <c r="BN90" s="348"/>
      <c r="BO90" s="227"/>
      <c r="BP90" s="227"/>
      <c r="BQ90" s="227"/>
    </row>
    <row r="91" spans="1:69" ht="18" customHeight="1" thickBot="1">
      <c r="C91" s="279"/>
      <c r="D91" s="390"/>
      <c r="E91" s="391"/>
      <c r="F91" s="391"/>
      <c r="G91" s="392"/>
      <c r="H91" s="449"/>
      <c r="I91" s="450"/>
      <c r="J91" s="450"/>
      <c r="K91" s="450"/>
      <c r="L91" s="451"/>
      <c r="M91" s="449"/>
      <c r="N91" s="450"/>
      <c r="O91" s="450"/>
      <c r="P91" s="451"/>
      <c r="Q91" s="449"/>
      <c r="R91" s="450"/>
      <c r="S91" s="450"/>
      <c r="T91" s="450"/>
      <c r="U91" s="451"/>
      <c r="V91" s="449"/>
      <c r="W91" s="450"/>
      <c r="X91" s="450"/>
      <c r="Y91" s="451"/>
      <c r="Z91" s="390"/>
      <c r="AA91" s="391"/>
      <c r="AB91" s="391"/>
      <c r="AC91" s="391"/>
      <c r="AD91" s="392"/>
      <c r="AE91" s="390"/>
      <c r="AF91" s="391"/>
      <c r="AG91" s="391"/>
      <c r="AH91" s="392"/>
      <c r="AI91" s="390"/>
      <c r="AJ91" s="391"/>
      <c r="AK91" s="391"/>
      <c r="AL91" s="392"/>
      <c r="AM91" s="390"/>
      <c r="AN91" s="391"/>
      <c r="AO91" s="391"/>
      <c r="AP91" s="391"/>
      <c r="AQ91" s="392"/>
      <c r="AR91" s="390"/>
      <c r="AS91" s="391"/>
      <c r="AT91" s="391"/>
      <c r="AU91" s="392"/>
      <c r="AV91" s="390"/>
      <c r="AW91" s="391"/>
      <c r="AX91" s="391"/>
      <c r="AY91" s="392"/>
      <c r="AZ91" s="390"/>
      <c r="BA91" s="391"/>
      <c r="BB91" s="391"/>
      <c r="BC91" s="391"/>
      <c r="BD91" s="392"/>
      <c r="BE91" s="390"/>
      <c r="BF91" s="391"/>
      <c r="BG91" s="391"/>
      <c r="BH91" s="392"/>
      <c r="BI91" s="392"/>
      <c r="BJ91" s="376"/>
      <c r="BK91" s="378">
        <f>SUM(BK86:BK90)</f>
        <v>0</v>
      </c>
      <c r="BL91" s="331">
        <v>0</v>
      </c>
      <c r="BM91" s="355"/>
      <c r="BN91" s="355"/>
    </row>
    <row r="92" spans="1:69" ht="18" customHeight="1" thickBot="1">
      <c r="D92" s="481" t="s">
        <v>129</v>
      </c>
      <c r="E92" s="482"/>
      <c r="F92" s="483"/>
      <c r="G92" s="482"/>
      <c r="H92" s="320"/>
      <c r="I92" s="398"/>
      <c r="J92" s="398"/>
      <c r="K92" s="398"/>
      <c r="L92" s="399"/>
      <c r="M92" s="396"/>
      <c r="N92" s="394"/>
      <c r="O92" s="394"/>
      <c r="P92" s="325"/>
      <c r="Q92" s="320"/>
      <c r="R92" s="398"/>
      <c r="S92" s="398"/>
      <c r="T92" s="398"/>
      <c r="U92" s="399"/>
      <c r="V92" s="394"/>
      <c r="W92" s="394"/>
      <c r="X92" s="394"/>
      <c r="Y92" s="394"/>
      <c r="Z92" s="396"/>
      <c r="AA92" s="398"/>
      <c r="AB92" s="398"/>
      <c r="AC92" s="398"/>
      <c r="AD92" s="399"/>
      <c r="AE92" s="394"/>
      <c r="AF92" s="394"/>
      <c r="AG92" s="394"/>
      <c r="AH92" s="394"/>
      <c r="AI92" s="396"/>
      <c r="AJ92" s="398"/>
      <c r="AK92" s="398"/>
      <c r="AL92" s="399"/>
      <c r="AM92" s="398"/>
      <c r="AN92" s="394"/>
      <c r="AO92" s="394"/>
      <c r="AP92" s="394"/>
      <c r="AQ92" s="394"/>
      <c r="AR92" s="396"/>
      <c r="AS92" s="398"/>
      <c r="AT92" s="398"/>
      <c r="AU92" s="399"/>
      <c r="AV92" s="394"/>
      <c r="AW92" s="394"/>
      <c r="AX92" s="394"/>
      <c r="AY92" s="394"/>
      <c r="AZ92" s="320"/>
      <c r="BA92" s="398"/>
      <c r="BB92" s="398"/>
      <c r="BC92" s="398"/>
      <c r="BD92" s="399"/>
      <c r="BE92" s="394"/>
      <c r="BF92" s="394"/>
      <c r="BG92" s="394"/>
      <c r="BH92" s="394"/>
      <c r="BI92" s="457"/>
      <c r="BJ92" s="453"/>
      <c r="BK92" s="458"/>
      <c r="BL92" s="231"/>
      <c r="BM92" s="353"/>
      <c r="BN92" s="353"/>
      <c r="BO92" s="230"/>
      <c r="BP92" s="230"/>
      <c r="BQ92" s="230"/>
    </row>
    <row r="93" spans="1:69" ht="18" customHeight="1">
      <c r="C93" s="279" t="s">
        <v>250</v>
      </c>
      <c r="D93" s="248"/>
      <c r="E93" s="249"/>
      <c r="F93" s="252"/>
      <c r="G93" s="253"/>
      <c r="H93" s="402"/>
      <c r="I93" s="401"/>
      <c r="J93" s="401"/>
      <c r="K93" s="401"/>
      <c r="L93" s="401"/>
      <c r="M93" s="402"/>
      <c r="N93" s="401"/>
      <c r="O93" s="401"/>
      <c r="P93" s="403"/>
      <c r="Q93" s="401"/>
      <c r="R93" s="401"/>
      <c r="S93" s="401"/>
      <c r="T93" s="401"/>
      <c r="U93" s="401"/>
      <c r="V93" s="402"/>
      <c r="W93" s="401"/>
      <c r="X93" s="401"/>
      <c r="Y93" s="403"/>
      <c r="Z93" s="401"/>
      <c r="AA93" s="401"/>
      <c r="AB93" s="401"/>
      <c r="AC93" s="401"/>
      <c r="AD93" s="401"/>
      <c r="AE93" s="402"/>
      <c r="AF93" s="401"/>
      <c r="AG93" s="401"/>
      <c r="AH93" s="403"/>
      <c r="AI93" s="401"/>
      <c r="AJ93" s="401"/>
      <c r="AK93" s="401"/>
      <c r="AL93" s="401"/>
      <c r="AM93" s="402"/>
      <c r="AN93" s="401"/>
      <c r="AO93" s="401"/>
      <c r="AP93" s="401"/>
      <c r="AQ93" s="403"/>
      <c r="AR93" s="401"/>
      <c r="AS93" s="401"/>
      <c r="AT93" s="401"/>
      <c r="AU93" s="401"/>
      <c r="AV93" s="402"/>
      <c r="AW93" s="401"/>
      <c r="AX93" s="401"/>
      <c r="AY93" s="403"/>
      <c r="AZ93" s="401"/>
      <c r="BA93" s="401"/>
      <c r="BB93" s="401"/>
      <c r="BC93" s="401"/>
      <c r="BD93" s="401"/>
      <c r="BE93" s="402"/>
      <c r="BF93" s="401"/>
      <c r="BG93" s="401"/>
      <c r="BH93" s="403"/>
      <c r="BI93" s="210"/>
      <c r="BJ93" s="212"/>
      <c r="BK93" s="290"/>
      <c r="BM93" s="354"/>
      <c r="BN93" s="354"/>
    </row>
    <row r="94" spans="1:69" ht="18" customHeight="1">
      <c r="C94" s="279" t="s">
        <v>250</v>
      </c>
      <c r="D94" s="262"/>
      <c r="E94" s="263"/>
      <c r="F94" s="252"/>
      <c r="G94" s="262"/>
      <c r="H94" s="226"/>
      <c r="I94" s="210"/>
      <c r="J94" s="210"/>
      <c r="K94" s="210"/>
      <c r="L94" s="210"/>
      <c r="M94" s="226"/>
      <c r="N94" s="210"/>
      <c r="O94" s="210"/>
      <c r="P94" s="211"/>
      <c r="Q94" s="210"/>
      <c r="R94" s="210"/>
      <c r="S94" s="210"/>
      <c r="T94" s="210"/>
      <c r="U94" s="210"/>
      <c r="V94" s="226"/>
      <c r="W94" s="210"/>
      <c r="X94" s="210"/>
      <c r="Y94" s="211"/>
      <c r="Z94" s="210"/>
      <c r="AA94" s="210"/>
      <c r="AB94" s="210"/>
      <c r="AC94" s="210"/>
      <c r="AD94" s="210"/>
      <c r="AE94" s="226"/>
      <c r="AF94" s="210"/>
      <c r="AG94" s="210"/>
      <c r="AH94" s="211"/>
      <c r="AI94" s="210"/>
      <c r="AJ94" s="210"/>
      <c r="AK94" s="210"/>
      <c r="AL94" s="210"/>
      <c r="AM94" s="226"/>
      <c r="AN94" s="210"/>
      <c r="AO94" s="210"/>
      <c r="AP94" s="210"/>
      <c r="AQ94" s="211"/>
      <c r="AR94" s="210"/>
      <c r="AS94" s="210"/>
      <c r="AT94" s="210"/>
      <c r="AU94" s="210"/>
      <c r="AV94" s="226"/>
      <c r="AW94" s="210"/>
      <c r="AX94" s="210"/>
      <c r="AY94" s="211"/>
      <c r="AZ94" s="210"/>
      <c r="BA94" s="210"/>
      <c r="BB94" s="210"/>
      <c r="BC94" s="210"/>
      <c r="BD94" s="210"/>
      <c r="BE94" s="226"/>
      <c r="BF94" s="210"/>
      <c r="BG94" s="210"/>
      <c r="BH94" s="211"/>
      <c r="BI94" s="210"/>
      <c r="BJ94" s="284"/>
      <c r="BK94" s="290"/>
      <c r="BM94" s="354"/>
      <c r="BN94" s="354"/>
    </row>
    <row r="95" spans="1:69" ht="18" customHeight="1">
      <c r="C95" s="279" t="s">
        <v>250</v>
      </c>
      <c r="D95" s="262"/>
      <c r="E95" s="263"/>
      <c r="F95" s="252"/>
      <c r="G95" s="262"/>
      <c r="H95" s="226"/>
      <c r="I95" s="210"/>
      <c r="J95" s="210"/>
      <c r="K95" s="210"/>
      <c r="L95" s="210"/>
      <c r="M95" s="226"/>
      <c r="N95" s="210"/>
      <c r="O95" s="210"/>
      <c r="P95" s="211"/>
      <c r="Q95" s="210"/>
      <c r="R95" s="210"/>
      <c r="S95" s="210"/>
      <c r="T95" s="210"/>
      <c r="U95" s="210"/>
      <c r="V95" s="226"/>
      <c r="W95" s="210"/>
      <c r="X95" s="210"/>
      <c r="Y95" s="211"/>
      <c r="Z95" s="210"/>
      <c r="AA95" s="210"/>
      <c r="AB95" s="210"/>
      <c r="AC95" s="210"/>
      <c r="AD95" s="210"/>
      <c r="AE95" s="226"/>
      <c r="AF95" s="210"/>
      <c r="AG95" s="210"/>
      <c r="AH95" s="211"/>
      <c r="AI95" s="210"/>
      <c r="AJ95" s="210"/>
      <c r="AK95" s="210"/>
      <c r="AL95" s="210"/>
      <c r="AM95" s="226"/>
      <c r="AN95" s="210"/>
      <c r="AO95" s="210"/>
      <c r="AP95" s="210"/>
      <c r="AQ95" s="211"/>
      <c r="AR95" s="210"/>
      <c r="AS95" s="210"/>
      <c r="AT95" s="210"/>
      <c r="AU95" s="210"/>
      <c r="AV95" s="226"/>
      <c r="AW95" s="210"/>
      <c r="AX95" s="210"/>
      <c r="AY95" s="211"/>
      <c r="AZ95" s="210"/>
      <c r="BA95" s="210"/>
      <c r="BB95" s="210"/>
      <c r="BC95" s="210"/>
      <c r="BD95" s="210"/>
      <c r="BE95" s="226"/>
      <c r="BF95" s="210"/>
      <c r="BG95" s="210"/>
      <c r="BH95" s="211"/>
      <c r="BI95" s="210"/>
      <c r="BJ95" s="284"/>
      <c r="BK95" s="290"/>
      <c r="BM95" s="354"/>
      <c r="BN95" s="354"/>
    </row>
    <row r="96" spans="1:69" ht="18" customHeight="1">
      <c r="C96" s="279" t="s">
        <v>250</v>
      </c>
      <c r="D96" s="248"/>
      <c r="E96" s="251"/>
      <c r="F96" s="252"/>
      <c r="G96" s="248"/>
      <c r="H96" s="232"/>
      <c r="I96" s="210"/>
      <c r="J96" s="210"/>
      <c r="K96" s="210"/>
      <c r="L96" s="210"/>
      <c r="M96" s="232"/>
      <c r="N96" s="210"/>
      <c r="O96" s="210"/>
      <c r="P96" s="211"/>
      <c r="Q96" s="210"/>
      <c r="R96" s="210"/>
      <c r="S96" s="210"/>
      <c r="T96" s="210"/>
      <c r="U96" s="210"/>
      <c r="V96" s="232"/>
      <c r="W96" s="210"/>
      <c r="X96" s="210"/>
      <c r="Y96" s="211"/>
      <c r="Z96" s="210"/>
      <c r="AA96" s="210"/>
      <c r="AB96" s="210"/>
      <c r="AC96" s="210"/>
      <c r="AD96" s="210"/>
      <c r="AE96" s="232"/>
      <c r="AF96" s="210"/>
      <c r="AG96" s="210"/>
      <c r="AH96" s="211"/>
      <c r="AI96" s="210"/>
      <c r="AJ96" s="210"/>
      <c r="AK96" s="210"/>
      <c r="AL96" s="210"/>
      <c r="AM96" s="232"/>
      <c r="AN96" s="210"/>
      <c r="AO96" s="210"/>
      <c r="AP96" s="210"/>
      <c r="AQ96" s="211"/>
      <c r="AR96" s="210"/>
      <c r="AS96" s="210"/>
      <c r="AT96" s="210"/>
      <c r="AU96" s="210"/>
      <c r="AV96" s="232"/>
      <c r="AW96" s="210"/>
      <c r="AX96" s="210"/>
      <c r="AY96" s="211"/>
      <c r="AZ96" s="210"/>
      <c r="BA96" s="210"/>
      <c r="BB96" s="210"/>
      <c r="BC96" s="210"/>
      <c r="BD96" s="210"/>
      <c r="BE96" s="232"/>
      <c r="BF96" s="210"/>
      <c r="BG96" s="210"/>
      <c r="BH96" s="211"/>
      <c r="BI96" s="210"/>
      <c r="BJ96" s="233"/>
      <c r="BK96" s="290"/>
      <c r="BM96" s="354"/>
      <c r="BN96" s="354"/>
    </row>
    <row r="97" spans="1:79" s="230" customFormat="1" ht="18" customHeight="1" thickBot="1">
      <c r="A97" s="227"/>
      <c r="B97" s="227"/>
      <c r="C97" s="279" t="s">
        <v>250</v>
      </c>
      <c r="D97" s="248"/>
      <c r="E97" s="251"/>
      <c r="F97" s="252"/>
      <c r="G97" s="248"/>
      <c r="H97" s="232"/>
      <c r="I97" s="210"/>
      <c r="J97" s="210"/>
      <c r="K97" s="210"/>
      <c r="L97" s="210"/>
      <c r="M97" s="232"/>
      <c r="N97" s="210"/>
      <c r="O97" s="210"/>
      <c r="P97" s="211"/>
      <c r="Q97" s="210"/>
      <c r="R97" s="210"/>
      <c r="S97" s="210"/>
      <c r="T97" s="210"/>
      <c r="U97" s="210"/>
      <c r="V97" s="232"/>
      <c r="W97" s="210"/>
      <c r="X97" s="210"/>
      <c r="Y97" s="211"/>
      <c r="Z97" s="210"/>
      <c r="AA97" s="210"/>
      <c r="AB97" s="210"/>
      <c r="AC97" s="210"/>
      <c r="AD97" s="210"/>
      <c r="AE97" s="232"/>
      <c r="AF97" s="210"/>
      <c r="AG97" s="210"/>
      <c r="AH97" s="211"/>
      <c r="AI97" s="210"/>
      <c r="AJ97" s="210"/>
      <c r="AK97" s="210"/>
      <c r="AL97" s="210"/>
      <c r="AM97" s="232"/>
      <c r="AN97" s="210"/>
      <c r="AO97" s="210"/>
      <c r="AP97" s="210"/>
      <c r="AQ97" s="211"/>
      <c r="AR97" s="210"/>
      <c r="AS97" s="210"/>
      <c r="AT97" s="210"/>
      <c r="AU97" s="210"/>
      <c r="AV97" s="232"/>
      <c r="AW97" s="210"/>
      <c r="AX97" s="210"/>
      <c r="AY97" s="211"/>
      <c r="AZ97" s="210"/>
      <c r="BA97" s="210"/>
      <c r="BB97" s="210"/>
      <c r="BC97" s="210"/>
      <c r="BD97" s="210"/>
      <c r="BE97" s="232"/>
      <c r="BF97" s="210"/>
      <c r="BG97" s="210"/>
      <c r="BH97" s="211"/>
      <c r="BI97" s="210"/>
      <c r="BJ97" s="233"/>
      <c r="BK97" s="290"/>
      <c r="BL97" s="229"/>
      <c r="BM97" s="354"/>
      <c r="BN97" s="354"/>
      <c r="BO97" s="227"/>
      <c r="BP97" s="227"/>
      <c r="BQ97" s="227"/>
    </row>
    <row r="98" spans="1:79" ht="18" customHeight="1" thickBot="1">
      <c r="C98" s="279"/>
      <c r="D98" s="390"/>
      <c r="E98" s="391"/>
      <c r="F98" s="391"/>
      <c r="G98" s="392"/>
      <c r="H98" s="449"/>
      <c r="I98" s="450"/>
      <c r="J98" s="450"/>
      <c r="K98" s="450"/>
      <c r="L98" s="451"/>
      <c r="M98" s="449"/>
      <c r="N98" s="450"/>
      <c r="O98" s="450"/>
      <c r="P98" s="451"/>
      <c r="Q98" s="449"/>
      <c r="R98" s="450"/>
      <c r="S98" s="450"/>
      <c r="T98" s="450"/>
      <c r="U98" s="451"/>
      <c r="V98" s="449"/>
      <c r="W98" s="450"/>
      <c r="X98" s="450"/>
      <c r="Y98" s="451"/>
      <c r="Z98" s="390"/>
      <c r="AA98" s="391"/>
      <c r="AB98" s="391"/>
      <c r="AC98" s="391"/>
      <c r="AD98" s="392"/>
      <c r="AE98" s="390"/>
      <c r="AF98" s="391"/>
      <c r="AG98" s="391"/>
      <c r="AH98" s="392"/>
      <c r="AI98" s="390"/>
      <c r="AJ98" s="391"/>
      <c r="AK98" s="391"/>
      <c r="AL98" s="392"/>
      <c r="AM98" s="390"/>
      <c r="AN98" s="391"/>
      <c r="AO98" s="391"/>
      <c r="AP98" s="391"/>
      <c r="AQ98" s="392"/>
      <c r="AR98" s="390"/>
      <c r="AS98" s="391"/>
      <c r="AT98" s="391"/>
      <c r="AU98" s="392"/>
      <c r="AV98" s="390"/>
      <c r="AW98" s="391"/>
      <c r="AX98" s="391"/>
      <c r="AY98" s="392"/>
      <c r="AZ98" s="390"/>
      <c r="BA98" s="391"/>
      <c r="BB98" s="391"/>
      <c r="BC98" s="391"/>
      <c r="BD98" s="392"/>
      <c r="BE98" s="390"/>
      <c r="BF98" s="391"/>
      <c r="BG98" s="391"/>
      <c r="BH98" s="392"/>
      <c r="BI98" s="392"/>
      <c r="BJ98" s="376"/>
      <c r="BK98" s="378">
        <f>SUM(BK93:BK97)</f>
        <v>0</v>
      </c>
      <c r="BL98" s="247">
        <v>0</v>
      </c>
      <c r="BM98" s="447"/>
      <c r="BN98" s="448"/>
    </row>
    <row r="99" spans="1:79" ht="18" customHeight="1" thickBot="1">
      <c r="D99" s="481" t="s">
        <v>136</v>
      </c>
      <c r="E99" s="482"/>
      <c r="F99" s="483"/>
      <c r="G99" s="482"/>
      <c r="H99" s="320"/>
      <c r="I99" s="398"/>
      <c r="J99" s="398"/>
      <c r="K99" s="398"/>
      <c r="L99" s="399"/>
      <c r="M99" s="396"/>
      <c r="N99" s="394"/>
      <c r="O99" s="394"/>
      <c r="P99" s="325"/>
      <c r="Q99" s="320"/>
      <c r="R99" s="398"/>
      <c r="S99" s="398"/>
      <c r="T99" s="398"/>
      <c r="U99" s="399"/>
      <c r="V99" s="394"/>
      <c r="W99" s="394"/>
      <c r="X99" s="394"/>
      <c r="Y99" s="394"/>
      <c r="Z99" s="396"/>
      <c r="AA99" s="398"/>
      <c r="AB99" s="398"/>
      <c r="AC99" s="398"/>
      <c r="AD99" s="399"/>
      <c r="AE99" s="394"/>
      <c r="AF99" s="394"/>
      <c r="AG99" s="394"/>
      <c r="AH99" s="394"/>
      <c r="AI99" s="396"/>
      <c r="AJ99" s="398"/>
      <c r="AK99" s="398"/>
      <c r="AL99" s="399"/>
      <c r="AM99" s="398"/>
      <c r="AN99" s="394"/>
      <c r="AO99" s="394"/>
      <c r="AP99" s="394"/>
      <c r="AQ99" s="394"/>
      <c r="AR99" s="396"/>
      <c r="AS99" s="398"/>
      <c r="AT99" s="398"/>
      <c r="AU99" s="399"/>
      <c r="AV99" s="394"/>
      <c r="AW99" s="394"/>
      <c r="AX99" s="394"/>
      <c r="AY99" s="394"/>
      <c r="AZ99" s="320"/>
      <c r="BA99" s="398"/>
      <c r="BB99" s="398"/>
      <c r="BC99" s="398"/>
      <c r="BD99" s="399"/>
      <c r="BE99" s="394"/>
      <c r="BF99" s="394"/>
      <c r="BG99" s="394"/>
      <c r="BH99" s="394"/>
      <c r="BI99" s="457"/>
      <c r="BJ99" s="453"/>
      <c r="BK99" s="458"/>
      <c r="BL99" s="231"/>
      <c r="BM99" s="329" t="s">
        <v>258</v>
      </c>
      <c r="BN99" s="330" t="s">
        <v>259</v>
      </c>
      <c r="BO99" s="230"/>
      <c r="BP99" s="230"/>
      <c r="BQ99" s="230"/>
    </row>
    <row r="100" spans="1:79" ht="18" customHeight="1">
      <c r="B100" s="227" t="s">
        <v>246</v>
      </c>
      <c r="C100" s="279" t="s">
        <v>250</v>
      </c>
      <c r="D100" s="254"/>
      <c r="E100" s="255"/>
      <c r="F100" s="256"/>
      <c r="G100" s="257"/>
      <c r="H100" s="402"/>
      <c r="I100" s="401"/>
      <c r="J100" s="401"/>
      <c r="K100" s="401"/>
      <c r="L100" s="401"/>
      <c r="M100" s="402"/>
      <c r="N100" s="401"/>
      <c r="O100" s="401"/>
      <c r="P100" s="403"/>
      <c r="Q100" s="401"/>
      <c r="R100" s="401"/>
      <c r="S100" s="401"/>
      <c r="T100" s="401"/>
      <c r="U100" s="401"/>
      <c r="V100" s="402"/>
      <c r="W100" s="401"/>
      <c r="X100" s="401"/>
      <c r="Y100" s="403"/>
      <c r="Z100" s="401"/>
      <c r="AA100" s="401"/>
      <c r="AB100" s="401"/>
      <c r="AC100" s="401"/>
      <c r="AD100" s="401"/>
      <c r="AE100" s="402"/>
      <c r="AF100" s="401"/>
      <c r="AG100" s="401"/>
      <c r="AH100" s="403"/>
      <c r="AI100" s="401"/>
      <c r="AJ100" s="401"/>
      <c r="AK100" s="401"/>
      <c r="AL100" s="401"/>
      <c r="AM100" s="402"/>
      <c r="AN100" s="401"/>
      <c r="AO100" s="401"/>
      <c r="AP100" s="401"/>
      <c r="AQ100" s="403"/>
      <c r="AR100" s="401"/>
      <c r="AS100" s="401"/>
      <c r="AT100" s="401"/>
      <c r="AU100" s="401"/>
      <c r="AV100" s="402"/>
      <c r="AW100" s="401"/>
      <c r="AX100" s="401"/>
      <c r="AY100" s="403"/>
      <c r="AZ100" s="401"/>
      <c r="BA100" s="401"/>
      <c r="BB100" s="401"/>
      <c r="BC100" s="401"/>
      <c r="BD100" s="401"/>
      <c r="BE100" s="402"/>
      <c r="BF100" s="401"/>
      <c r="BG100" s="401"/>
      <c r="BH100" s="403"/>
      <c r="BI100" s="235"/>
      <c r="BJ100" s="234"/>
      <c r="BK100" s="236"/>
      <c r="BM100" s="343"/>
      <c r="BN100" s="344"/>
    </row>
    <row r="101" spans="1:79" ht="18" customHeight="1">
      <c r="B101" s="227" t="s">
        <v>246</v>
      </c>
      <c r="C101" s="279" t="s">
        <v>250</v>
      </c>
      <c r="D101" s="254"/>
      <c r="E101" s="258"/>
      <c r="F101" s="256"/>
      <c r="G101" s="254"/>
      <c r="H101" s="232"/>
      <c r="I101" s="210"/>
      <c r="J101" s="210"/>
      <c r="K101" s="210"/>
      <c r="L101" s="210"/>
      <c r="M101" s="232"/>
      <c r="N101" s="210"/>
      <c r="O101" s="210"/>
      <c r="P101" s="211"/>
      <c r="Q101" s="210"/>
      <c r="R101" s="210"/>
      <c r="S101" s="210"/>
      <c r="T101" s="210"/>
      <c r="U101" s="210"/>
      <c r="V101" s="232"/>
      <c r="W101" s="210"/>
      <c r="X101" s="210"/>
      <c r="Y101" s="211"/>
      <c r="Z101" s="210"/>
      <c r="AA101" s="210"/>
      <c r="AB101" s="210"/>
      <c r="AC101" s="210"/>
      <c r="AD101" s="210"/>
      <c r="AE101" s="232"/>
      <c r="AF101" s="210"/>
      <c r="AG101" s="210"/>
      <c r="AH101" s="211"/>
      <c r="AI101" s="210"/>
      <c r="AJ101" s="210"/>
      <c r="AK101" s="210"/>
      <c r="AL101" s="210"/>
      <c r="AM101" s="232"/>
      <c r="AN101" s="210"/>
      <c r="AO101" s="210"/>
      <c r="AP101" s="210"/>
      <c r="AQ101" s="211"/>
      <c r="AR101" s="210"/>
      <c r="AS101" s="210"/>
      <c r="AT101" s="210"/>
      <c r="AU101" s="210"/>
      <c r="AV101" s="232"/>
      <c r="AW101" s="210"/>
      <c r="AX101" s="210"/>
      <c r="AY101" s="211"/>
      <c r="AZ101" s="210"/>
      <c r="BA101" s="210"/>
      <c r="BB101" s="210"/>
      <c r="BC101" s="210"/>
      <c r="BD101" s="210"/>
      <c r="BE101" s="232"/>
      <c r="BF101" s="210"/>
      <c r="BG101" s="210"/>
      <c r="BH101" s="211"/>
      <c r="BI101" s="235"/>
      <c r="BJ101" s="237"/>
      <c r="BK101" s="236"/>
      <c r="BM101" s="345"/>
      <c r="BN101" s="346"/>
    </row>
    <row r="102" spans="1:79" ht="18" customHeight="1">
      <c r="B102" s="227" t="s">
        <v>246</v>
      </c>
      <c r="C102" s="279" t="s">
        <v>250</v>
      </c>
      <c r="D102" s="254"/>
      <c r="E102" s="258"/>
      <c r="F102" s="256"/>
      <c r="G102" s="254"/>
      <c r="H102" s="232"/>
      <c r="I102" s="210"/>
      <c r="J102" s="210"/>
      <c r="K102" s="210"/>
      <c r="L102" s="210"/>
      <c r="M102" s="232"/>
      <c r="N102" s="210"/>
      <c r="O102" s="210"/>
      <c r="P102" s="211"/>
      <c r="Q102" s="210"/>
      <c r="R102" s="210"/>
      <c r="S102" s="210"/>
      <c r="T102" s="210"/>
      <c r="U102" s="210"/>
      <c r="V102" s="232"/>
      <c r="W102" s="210"/>
      <c r="X102" s="210"/>
      <c r="Y102" s="211"/>
      <c r="Z102" s="210"/>
      <c r="AA102" s="210"/>
      <c r="AB102" s="210"/>
      <c r="AC102" s="210"/>
      <c r="AD102" s="210"/>
      <c r="AE102" s="232"/>
      <c r="AF102" s="210"/>
      <c r="AG102" s="210"/>
      <c r="AH102" s="211"/>
      <c r="AI102" s="210"/>
      <c r="AJ102" s="210"/>
      <c r="AK102" s="210"/>
      <c r="AL102" s="210"/>
      <c r="AM102" s="232"/>
      <c r="AN102" s="210"/>
      <c r="AO102" s="210"/>
      <c r="AP102" s="210"/>
      <c r="AQ102" s="211"/>
      <c r="AR102" s="210"/>
      <c r="AS102" s="210"/>
      <c r="AT102" s="210"/>
      <c r="AU102" s="210"/>
      <c r="AV102" s="232"/>
      <c r="AW102" s="210"/>
      <c r="AX102" s="210"/>
      <c r="AY102" s="211"/>
      <c r="AZ102" s="210"/>
      <c r="BA102" s="210"/>
      <c r="BB102" s="210"/>
      <c r="BC102" s="210"/>
      <c r="BD102" s="210"/>
      <c r="BE102" s="232"/>
      <c r="BF102" s="210"/>
      <c r="BG102" s="210"/>
      <c r="BH102" s="211"/>
      <c r="BI102" s="235"/>
      <c r="BJ102" s="237"/>
      <c r="BK102" s="236"/>
      <c r="BM102" s="345"/>
      <c r="BN102" s="346"/>
    </row>
    <row r="103" spans="1:79" ht="18" customHeight="1">
      <c r="B103" s="227" t="s">
        <v>246</v>
      </c>
      <c r="C103" s="279" t="s">
        <v>250</v>
      </c>
      <c r="D103" s="254"/>
      <c r="E103" s="258"/>
      <c r="F103" s="256"/>
      <c r="G103" s="254"/>
      <c r="H103" s="232"/>
      <c r="I103" s="210"/>
      <c r="J103" s="210"/>
      <c r="K103" s="210"/>
      <c r="L103" s="210"/>
      <c r="M103" s="232"/>
      <c r="N103" s="210"/>
      <c r="O103" s="210"/>
      <c r="P103" s="211"/>
      <c r="Q103" s="210"/>
      <c r="R103" s="210"/>
      <c r="S103" s="210"/>
      <c r="T103" s="210"/>
      <c r="U103" s="210"/>
      <c r="V103" s="232"/>
      <c r="W103" s="210"/>
      <c r="X103" s="210"/>
      <c r="Y103" s="211"/>
      <c r="Z103" s="210"/>
      <c r="AA103" s="210"/>
      <c r="AB103" s="210"/>
      <c r="AC103" s="210"/>
      <c r="AD103" s="210"/>
      <c r="AE103" s="232"/>
      <c r="AF103" s="210"/>
      <c r="AG103" s="210"/>
      <c r="AH103" s="211"/>
      <c r="AI103" s="210"/>
      <c r="AJ103" s="210"/>
      <c r="AK103" s="210"/>
      <c r="AL103" s="210"/>
      <c r="AM103" s="232"/>
      <c r="AN103" s="210"/>
      <c r="AO103" s="210"/>
      <c r="AP103" s="210"/>
      <c r="AQ103" s="211"/>
      <c r="AR103" s="210"/>
      <c r="AS103" s="210"/>
      <c r="AT103" s="210"/>
      <c r="AU103" s="210"/>
      <c r="AV103" s="232"/>
      <c r="AW103" s="210"/>
      <c r="AX103" s="210"/>
      <c r="AY103" s="211"/>
      <c r="AZ103" s="210"/>
      <c r="BA103" s="210"/>
      <c r="BB103" s="210"/>
      <c r="BC103" s="210"/>
      <c r="BD103" s="210"/>
      <c r="BE103" s="232"/>
      <c r="BF103" s="210"/>
      <c r="BG103" s="210"/>
      <c r="BH103" s="211"/>
      <c r="BI103" s="235"/>
      <c r="BJ103" s="237"/>
      <c r="BK103" s="236"/>
      <c r="BM103" s="345"/>
      <c r="BN103" s="346"/>
    </row>
    <row r="104" spans="1:79" ht="18" customHeight="1">
      <c r="B104" s="227" t="s">
        <v>246</v>
      </c>
      <c r="C104" s="279" t="s">
        <v>250</v>
      </c>
      <c r="D104" s="254"/>
      <c r="E104" s="258"/>
      <c r="F104" s="256"/>
      <c r="G104" s="254"/>
      <c r="H104" s="232"/>
      <c r="I104" s="210"/>
      <c r="J104" s="210"/>
      <c r="K104" s="210"/>
      <c r="L104" s="210"/>
      <c r="M104" s="232"/>
      <c r="N104" s="210"/>
      <c r="O104" s="210"/>
      <c r="P104" s="211"/>
      <c r="Q104" s="210"/>
      <c r="R104" s="210"/>
      <c r="S104" s="210"/>
      <c r="T104" s="210"/>
      <c r="U104" s="210"/>
      <c r="V104" s="232"/>
      <c r="W104" s="210"/>
      <c r="X104" s="210"/>
      <c r="Y104" s="211"/>
      <c r="Z104" s="210"/>
      <c r="AA104" s="210"/>
      <c r="AB104" s="210"/>
      <c r="AC104" s="210"/>
      <c r="AD104" s="210"/>
      <c r="AE104" s="232"/>
      <c r="AF104" s="210"/>
      <c r="AG104" s="210"/>
      <c r="AH104" s="211"/>
      <c r="AI104" s="210"/>
      <c r="AJ104" s="210"/>
      <c r="AK104" s="210"/>
      <c r="AL104" s="210"/>
      <c r="AM104" s="232"/>
      <c r="AN104" s="210"/>
      <c r="AO104" s="210"/>
      <c r="AP104" s="210"/>
      <c r="AQ104" s="211"/>
      <c r="AR104" s="210"/>
      <c r="AS104" s="210"/>
      <c r="AT104" s="210"/>
      <c r="AU104" s="210"/>
      <c r="AV104" s="232"/>
      <c r="AW104" s="210"/>
      <c r="AX104" s="210"/>
      <c r="AY104" s="211"/>
      <c r="AZ104" s="210"/>
      <c r="BA104" s="210"/>
      <c r="BB104" s="210"/>
      <c r="BC104" s="210"/>
      <c r="BD104" s="210"/>
      <c r="BE104" s="232"/>
      <c r="BF104" s="210"/>
      <c r="BG104" s="210"/>
      <c r="BH104" s="211"/>
      <c r="BI104" s="235"/>
      <c r="BJ104" s="237"/>
      <c r="BK104" s="236"/>
      <c r="BM104" s="345"/>
      <c r="BN104" s="346"/>
    </row>
    <row r="105" spans="1:79" ht="18" customHeight="1">
      <c r="B105" s="227" t="s">
        <v>246</v>
      </c>
      <c r="C105" s="279" t="s">
        <v>250</v>
      </c>
      <c r="D105" s="254"/>
      <c r="E105" s="258"/>
      <c r="F105" s="256"/>
      <c r="G105" s="254"/>
      <c r="H105" s="232"/>
      <c r="I105" s="210"/>
      <c r="J105" s="210"/>
      <c r="K105" s="210"/>
      <c r="L105" s="210"/>
      <c r="M105" s="232"/>
      <c r="N105" s="210"/>
      <c r="O105" s="210"/>
      <c r="P105" s="211"/>
      <c r="Q105" s="210"/>
      <c r="R105" s="210"/>
      <c r="S105" s="210"/>
      <c r="T105" s="210"/>
      <c r="U105" s="210"/>
      <c r="V105" s="232"/>
      <c r="W105" s="210"/>
      <c r="X105" s="210"/>
      <c r="Y105" s="211"/>
      <c r="Z105" s="210"/>
      <c r="AA105" s="210"/>
      <c r="AB105" s="210"/>
      <c r="AC105" s="210"/>
      <c r="AD105" s="210"/>
      <c r="AE105" s="232"/>
      <c r="AF105" s="210"/>
      <c r="AG105" s="210"/>
      <c r="AH105" s="211"/>
      <c r="AI105" s="210"/>
      <c r="AJ105" s="210"/>
      <c r="AK105" s="210"/>
      <c r="AL105" s="210"/>
      <c r="AM105" s="232"/>
      <c r="AN105" s="210"/>
      <c r="AO105" s="210"/>
      <c r="AP105" s="210"/>
      <c r="AQ105" s="211"/>
      <c r="AR105" s="210"/>
      <c r="AS105" s="210"/>
      <c r="AT105" s="210"/>
      <c r="AU105" s="210"/>
      <c r="AV105" s="232"/>
      <c r="AW105" s="210"/>
      <c r="AX105" s="210"/>
      <c r="AY105" s="211"/>
      <c r="AZ105" s="210"/>
      <c r="BA105" s="210"/>
      <c r="BB105" s="210"/>
      <c r="BC105" s="210"/>
      <c r="BD105" s="210"/>
      <c r="BE105" s="232"/>
      <c r="BF105" s="210"/>
      <c r="BG105" s="210"/>
      <c r="BH105" s="211"/>
      <c r="BI105" s="235"/>
      <c r="BJ105" s="237"/>
      <c r="BK105" s="236"/>
      <c r="BM105" s="345"/>
      <c r="BN105" s="346"/>
    </row>
    <row r="106" spans="1:79" ht="18" customHeight="1" thickBot="1">
      <c r="B106" s="227" t="s">
        <v>246</v>
      </c>
      <c r="C106" s="279" t="s">
        <v>250</v>
      </c>
      <c r="D106" s="254"/>
      <c r="E106" s="258"/>
      <c r="F106" s="256"/>
      <c r="G106" s="254"/>
      <c r="H106" s="232"/>
      <c r="I106" s="210"/>
      <c r="J106" s="210"/>
      <c r="K106" s="210"/>
      <c r="L106" s="210"/>
      <c r="M106" s="232"/>
      <c r="N106" s="210"/>
      <c r="O106" s="210"/>
      <c r="P106" s="211"/>
      <c r="Q106" s="210"/>
      <c r="R106" s="210"/>
      <c r="S106" s="210"/>
      <c r="T106" s="210"/>
      <c r="U106" s="210"/>
      <c r="V106" s="232"/>
      <c r="W106" s="210"/>
      <c r="X106" s="210"/>
      <c r="Y106" s="211"/>
      <c r="Z106" s="210"/>
      <c r="AA106" s="210"/>
      <c r="AB106" s="210"/>
      <c r="AC106" s="210"/>
      <c r="AD106" s="210"/>
      <c r="AE106" s="232"/>
      <c r="AF106" s="210"/>
      <c r="AG106" s="210"/>
      <c r="AH106" s="211"/>
      <c r="AI106" s="210"/>
      <c r="AJ106" s="210"/>
      <c r="AK106" s="210"/>
      <c r="AL106" s="210"/>
      <c r="AM106" s="232"/>
      <c r="AN106" s="210"/>
      <c r="AO106" s="210"/>
      <c r="AP106" s="210"/>
      <c r="AQ106" s="211"/>
      <c r="AR106" s="210"/>
      <c r="AS106" s="210"/>
      <c r="AT106" s="210"/>
      <c r="AU106" s="210"/>
      <c r="AV106" s="232"/>
      <c r="AW106" s="210"/>
      <c r="AX106" s="210"/>
      <c r="AY106" s="211"/>
      <c r="AZ106" s="210"/>
      <c r="BA106" s="210"/>
      <c r="BB106" s="210"/>
      <c r="BC106" s="210"/>
      <c r="BD106" s="210"/>
      <c r="BE106" s="232"/>
      <c r="BF106" s="210"/>
      <c r="BG106" s="210"/>
      <c r="BH106" s="211"/>
      <c r="BI106" s="235"/>
      <c r="BJ106" s="237"/>
      <c r="BK106" s="236"/>
      <c r="BM106" s="347"/>
      <c r="BN106" s="348"/>
    </row>
    <row r="107" spans="1:79" ht="18" customHeight="1" thickBot="1">
      <c r="D107" s="390"/>
      <c r="E107" s="391"/>
      <c r="F107" s="391"/>
      <c r="G107" s="392"/>
      <c r="H107" s="449"/>
      <c r="I107" s="450"/>
      <c r="J107" s="450"/>
      <c r="K107" s="450"/>
      <c r="L107" s="451"/>
      <c r="M107" s="449"/>
      <c r="N107" s="450"/>
      <c r="O107" s="450"/>
      <c r="P107" s="451"/>
      <c r="Q107" s="449"/>
      <c r="R107" s="450"/>
      <c r="S107" s="450"/>
      <c r="T107" s="450"/>
      <c r="U107" s="451"/>
      <c r="V107" s="449"/>
      <c r="W107" s="450"/>
      <c r="X107" s="450"/>
      <c r="Y107" s="451"/>
      <c r="Z107" s="390"/>
      <c r="AA107" s="391"/>
      <c r="AB107" s="391"/>
      <c r="AC107" s="391"/>
      <c r="AD107" s="392"/>
      <c r="AE107" s="390"/>
      <c r="AF107" s="391"/>
      <c r="AG107" s="391"/>
      <c r="AH107" s="392"/>
      <c r="AI107" s="390"/>
      <c r="AJ107" s="391"/>
      <c r="AK107" s="391"/>
      <c r="AL107" s="392"/>
      <c r="AM107" s="390"/>
      <c r="AN107" s="391"/>
      <c r="AO107" s="391"/>
      <c r="AP107" s="391"/>
      <c r="AQ107" s="392"/>
      <c r="AR107" s="390"/>
      <c r="AS107" s="391"/>
      <c r="AT107" s="391"/>
      <c r="AU107" s="392"/>
      <c r="AV107" s="390"/>
      <c r="AW107" s="391"/>
      <c r="AX107" s="391"/>
      <c r="AY107" s="392"/>
      <c r="AZ107" s="390"/>
      <c r="BA107" s="391"/>
      <c r="BB107" s="391"/>
      <c r="BC107" s="391"/>
      <c r="BD107" s="392"/>
      <c r="BE107" s="390"/>
      <c r="BF107" s="391"/>
      <c r="BG107" s="391"/>
      <c r="BH107" s="392"/>
      <c r="BI107" s="392"/>
      <c r="BJ107" s="376"/>
      <c r="BK107" s="378">
        <f>SUM(BK100:BK106)</f>
        <v>0</v>
      </c>
      <c r="BL107" s="247">
        <v>0</v>
      </c>
    </row>
    <row r="108" spans="1:79" ht="18" customHeight="1" thickBot="1">
      <c r="BJ108" s="238" t="s">
        <v>242</v>
      </c>
      <c r="BK108" s="239">
        <f>SUM(OTROS,MEDIOS_REGIONALES,COMPARTIDOS,DIGITAL,CINE,VIA_PUBLICA,PRENSA,SUPLEMENTOS,REVISTAS,RADIO,TV)</f>
        <v>138662843</v>
      </c>
    </row>
    <row r="109" spans="1:79" ht="18.75" customHeight="1" thickBot="1">
      <c r="BK109" s="240"/>
    </row>
    <row r="110" spans="1:79" ht="18" customHeight="1" thickBot="1">
      <c r="BJ110" s="241" t="s">
        <v>235</v>
      </c>
      <c r="BK110" s="242">
        <v>2357268.3310000002</v>
      </c>
    </row>
    <row r="111" spans="1:79" ht="18" customHeight="1" thickBot="1">
      <c r="BJ111" s="243" t="s">
        <v>243</v>
      </c>
      <c r="BK111" s="244">
        <v>150000000</v>
      </c>
    </row>
    <row r="112" spans="1:79" s="229" customFormat="1" ht="18" customHeight="1" thickBot="1">
      <c r="A112" s="227"/>
      <c r="B112" s="227"/>
      <c r="C112" s="227"/>
      <c r="D112" s="227"/>
      <c r="E112" s="227"/>
      <c r="F112" s="227"/>
      <c r="G112" s="227"/>
      <c r="H112" s="227"/>
      <c r="I112" s="227"/>
      <c r="J112" s="227"/>
      <c r="K112" s="227"/>
      <c r="L112" s="227"/>
      <c r="M112" s="227"/>
      <c r="N112" s="227"/>
      <c r="O112" s="227"/>
      <c r="P112" s="227"/>
      <c r="Q112" s="227"/>
      <c r="R112" s="227"/>
      <c r="S112" s="227"/>
      <c r="T112" s="227"/>
      <c r="U112" s="227"/>
      <c r="V112" s="227"/>
      <c r="W112" s="227"/>
      <c r="X112" s="227"/>
      <c r="Y112" s="227"/>
      <c r="Z112" s="227"/>
      <c r="AA112" s="227"/>
      <c r="AB112" s="227"/>
      <c r="AC112" s="227"/>
      <c r="AD112" s="227"/>
      <c r="AE112" s="227"/>
      <c r="AF112" s="227"/>
      <c r="AG112" s="227"/>
      <c r="AH112" s="227"/>
      <c r="AI112" s="227"/>
      <c r="AJ112" s="227"/>
      <c r="AK112" s="227"/>
      <c r="AL112" s="227"/>
      <c r="AM112" s="227"/>
      <c r="AN112" s="227"/>
      <c r="AO112" s="227"/>
      <c r="AP112" s="227"/>
      <c r="AQ112" s="227"/>
      <c r="AR112" s="227"/>
      <c r="AS112" s="227"/>
      <c r="AT112" s="227"/>
      <c r="AU112" s="227"/>
      <c r="AV112" s="227"/>
      <c r="AW112" s="227"/>
      <c r="AX112" s="227"/>
      <c r="AY112" s="227"/>
      <c r="AZ112" s="227"/>
      <c r="BA112" s="227"/>
      <c r="BB112" s="227"/>
      <c r="BC112" s="227"/>
      <c r="BD112" s="227"/>
      <c r="BE112" s="227"/>
      <c r="BF112" s="227"/>
      <c r="BG112" s="227"/>
      <c r="BH112" s="227"/>
      <c r="BI112" s="227"/>
      <c r="BJ112" s="245" t="s">
        <v>4</v>
      </c>
      <c r="BK112" s="246">
        <f>+presupuesto-Total-comision</f>
        <v>8979888.6689999998</v>
      </c>
      <c r="BM112" s="227"/>
      <c r="BN112" s="227"/>
      <c r="BO112" s="227"/>
      <c r="BP112" s="227"/>
      <c r="BQ112" s="227"/>
      <c r="BR112" s="227"/>
      <c r="BS112" s="227"/>
      <c r="BT112" s="227"/>
      <c r="BU112" s="227"/>
      <c r="BV112" s="227"/>
      <c r="BW112" s="227"/>
      <c r="BX112" s="227"/>
      <c r="BY112" s="227"/>
      <c r="BZ112" s="227"/>
      <c r="CA112" s="227"/>
    </row>
    <row r="113" spans="1:79" s="229" customFormat="1" ht="18" customHeight="1">
      <c r="A113" s="227"/>
      <c r="B113" s="227"/>
      <c r="C113" s="227"/>
      <c r="D113" s="227"/>
      <c r="E113" s="227"/>
      <c r="F113" s="227"/>
      <c r="G113" s="227"/>
      <c r="H113" s="227"/>
      <c r="I113" s="227"/>
      <c r="J113" s="227"/>
      <c r="K113" s="227"/>
      <c r="L113" s="227"/>
      <c r="M113" s="227"/>
      <c r="N113" s="227"/>
      <c r="O113" s="227"/>
      <c r="P113" s="227"/>
      <c r="Q113" s="227"/>
      <c r="R113" s="227"/>
      <c r="S113" s="227"/>
      <c r="T113" s="227"/>
      <c r="U113" s="227"/>
      <c r="V113" s="227"/>
      <c r="W113" s="227"/>
      <c r="X113" s="227"/>
      <c r="Y113" s="227"/>
      <c r="Z113" s="227"/>
      <c r="AA113" s="227"/>
      <c r="AB113" s="227"/>
      <c r="AC113" s="227"/>
      <c r="AD113" s="227"/>
      <c r="AE113" s="227"/>
      <c r="AF113" s="227"/>
      <c r="AG113" s="227"/>
      <c r="AH113" s="227"/>
      <c r="AI113" s="227"/>
      <c r="AJ113" s="227"/>
      <c r="AK113" s="227"/>
      <c r="AL113" s="227"/>
      <c r="AM113" s="227"/>
      <c r="AN113" s="227"/>
      <c r="AO113" s="227"/>
      <c r="AP113" s="227"/>
      <c r="AQ113" s="227"/>
      <c r="AR113" s="227"/>
      <c r="AS113" s="227"/>
      <c r="AT113" s="227"/>
      <c r="AU113" s="227"/>
      <c r="AV113" s="227"/>
      <c r="AW113" s="227"/>
      <c r="AX113" s="227"/>
      <c r="AY113" s="227"/>
      <c r="AZ113" s="227"/>
      <c r="BA113" s="227"/>
      <c r="BB113" s="227"/>
      <c r="BC113" s="227"/>
      <c r="BD113" s="227"/>
      <c r="BE113" s="227"/>
      <c r="BF113" s="227"/>
      <c r="BG113" s="227"/>
      <c r="BH113" s="227"/>
      <c r="BI113" s="227"/>
      <c r="BJ113" s="227"/>
      <c r="BK113" s="227"/>
      <c r="BM113" s="227"/>
      <c r="BN113" s="227"/>
      <c r="BO113" s="227"/>
      <c r="BP113" s="227"/>
      <c r="BQ113" s="227"/>
      <c r="BR113" s="227"/>
      <c r="BS113" s="227"/>
      <c r="BT113" s="227"/>
      <c r="BU113" s="227"/>
      <c r="BV113" s="227"/>
      <c r="BW113" s="227"/>
      <c r="BX113" s="227"/>
      <c r="BY113" s="227"/>
      <c r="BZ113" s="227"/>
      <c r="CA113" s="227"/>
    </row>
    <row r="114" spans="1:79" s="229" customFormat="1" ht="18" customHeight="1">
      <c r="A114" s="227"/>
      <c r="B114" s="227"/>
      <c r="C114" s="227"/>
      <c r="D114" s="227"/>
      <c r="E114" s="227"/>
      <c r="F114" s="227"/>
      <c r="G114" s="227"/>
      <c r="H114" s="227"/>
      <c r="I114" s="227"/>
      <c r="J114" s="227"/>
      <c r="K114" s="227"/>
      <c r="L114" s="227"/>
      <c r="M114" s="227"/>
      <c r="N114" s="227"/>
      <c r="O114" s="227"/>
      <c r="P114" s="227"/>
      <c r="Q114" s="227"/>
      <c r="R114" s="227"/>
      <c r="S114" s="227"/>
      <c r="T114" s="227"/>
      <c r="U114" s="227"/>
      <c r="V114" s="227"/>
      <c r="W114" s="227"/>
      <c r="X114" s="227"/>
      <c r="Y114" s="227"/>
      <c r="Z114" s="227"/>
      <c r="AA114" s="227"/>
      <c r="AB114" s="227"/>
      <c r="AC114" s="227"/>
      <c r="AD114" s="227"/>
      <c r="AE114" s="227"/>
      <c r="AF114" s="227"/>
      <c r="AG114" s="227"/>
      <c r="AH114" s="227"/>
      <c r="AI114" s="227"/>
      <c r="AJ114" s="227"/>
      <c r="AK114" s="227"/>
      <c r="AL114" s="227"/>
      <c r="AM114" s="227"/>
      <c r="AN114" s="227"/>
      <c r="AO114" s="227"/>
      <c r="AP114" s="227"/>
      <c r="AQ114" s="227"/>
      <c r="AR114" s="227"/>
      <c r="AS114" s="227"/>
      <c r="AT114" s="227"/>
      <c r="AU114" s="227"/>
      <c r="AV114" s="227"/>
      <c r="AW114" s="227"/>
      <c r="AX114" s="227"/>
      <c r="AY114" s="227"/>
      <c r="AZ114" s="227"/>
      <c r="BA114" s="227"/>
      <c r="BB114" s="227"/>
      <c r="BC114" s="227"/>
      <c r="BD114" s="227"/>
      <c r="BE114" s="227"/>
      <c r="BF114" s="227"/>
      <c r="BG114" s="227"/>
      <c r="BH114" s="227"/>
      <c r="BI114" s="227"/>
      <c r="BJ114" s="227"/>
      <c r="BK114" s="227"/>
      <c r="BM114" s="227"/>
      <c r="BN114" s="227"/>
      <c r="BO114" s="227"/>
      <c r="BP114" s="227"/>
      <c r="BQ114" s="227"/>
      <c r="BR114" s="227"/>
      <c r="BS114" s="227"/>
      <c r="BT114" s="227"/>
      <c r="BU114" s="227"/>
      <c r="BV114" s="227"/>
      <c r="BW114" s="227"/>
      <c r="BX114" s="227"/>
      <c r="BY114" s="227"/>
      <c r="BZ114" s="227"/>
      <c r="CA114" s="227"/>
    </row>
    <row r="115" spans="1:79" s="229" customFormat="1" ht="18" customHeight="1">
      <c r="A115" s="227"/>
      <c r="B115" s="227"/>
      <c r="C115" s="227"/>
      <c r="D115" s="227"/>
      <c r="E115" s="227"/>
      <c r="F115" s="227"/>
      <c r="G115" s="227"/>
      <c r="H115" s="227"/>
      <c r="I115" s="227"/>
      <c r="J115" s="227"/>
      <c r="K115" s="227"/>
      <c r="L115" s="227"/>
      <c r="M115" s="227"/>
      <c r="N115" s="227"/>
      <c r="O115" s="227"/>
      <c r="P115" s="227"/>
      <c r="Q115" s="227"/>
      <c r="R115" s="227"/>
      <c r="S115" s="227"/>
      <c r="T115" s="227"/>
      <c r="U115" s="227"/>
      <c r="V115" s="227"/>
      <c r="W115" s="227"/>
      <c r="X115" s="227"/>
      <c r="Y115" s="227"/>
      <c r="Z115" s="227"/>
      <c r="AA115" s="227"/>
      <c r="AB115" s="227"/>
      <c r="AC115" s="227"/>
      <c r="AD115" s="227"/>
      <c r="AE115" s="227"/>
      <c r="AF115" s="227"/>
      <c r="AG115" s="227"/>
      <c r="AH115" s="227"/>
      <c r="AI115" s="227"/>
      <c r="AJ115" s="227"/>
      <c r="AK115" s="227"/>
      <c r="AL115" s="227"/>
      <c r="AM115" s="227"/>
      <c r="AN115" s="227"/>
      <c r="AO115" s="227"/>
      <c r="AP115" s="227"/>
      <c r="AQ115" s="227"/>
      <c r="AR115" s="227"/>
      <c r="AS115" s="227"/>
      <c r="AT115" s="227"/>
      <c r="AU115" s="227"/>
      <c r="AV115" s="227"/>
      <c r="AW115" s="227"/>
      <c r="AX115" s="227"/>
      <c r="AY115" s="227"/>
      <c r="AZ115" s="227"/>
      <c r="BA115" s="227"/>
      <c r="BB115" s="227"/>
      <c r="BC115" s="227"/>
      <c r="BD115" s="227"/>
      <c r="BE115" s="227"/>
      <c r="BF115" s="227"/>
      <c r="BG115" s="227"/>
      <c r="BH115" s="227"/>
      <c r="BI115" s="227"/>
      <c r="BJ115" s="227"/>
      <c r="BK115" s="227"/>
      <c r="BM115" s="227"/>
      <c r="BN115" s="227"/>
      <c r="BO115" s="227"/>
      <c r="BP115" s="227"/>
      <c r="BQ115" s="227"/>
      <c r="BR115" s="227"/>
      <c r="BS115" s="227"/>
      <c r="BT115" s="227"/>
      <c r="BU115" s="227"/>
      <c r="BV115" s="227"/>
      <c r="BW115" s="227"/>
      <c r="BX115" s="227"/>
      <c r="BY115" s="227"/>
      <c r="BZ115" s="227"/>
      <c r="CA115" s="227"/>
    </row>
    <row r="116" spans="1:79" s="229" customFormat="1" ht="18" customHeight="1">
      <c r="A116" s="227"/>
      <c r="B116" s="227"/>
      <c r="C116" s="227"/>
      <c r="D116" s="227"/>
      <c r="E116" s="227"/>
      <c r="F116" s="227"/>
      <c r="G116" s="227"/>
      <c r="H116" s="227"/>
      <c r="I116" s="227"/>
      <c r="J116" s="227"/>
      <c r="K116" s="227"/>
      <c r="L116" s="227"/>
      <c r="M116" s="227"/>
      <c r="N116" s="227"/>
      <c r="O116" s="227"/>
      <c r="P116" s="227"/>
      <c r="Q116" s="227"/>
      <c r="R116" s="227"/>
      <c r="S116" s="227"/>
      <c r="T116" s="227"/>
      <c r="U116" s="227"/>
      <c r="V116" s="227"/>
      <c r="W116" s="227"/>
      <c r="X116" s="227"/>
      <c r="Y116" s="227"/>
      <c r="Z116" s="227"/>
      <c r="AA116" s="227"/>
      <c r="AB116" s="227"/>
      <c r="AC116" s="227"/>
      <c r="AD116" s="227"/>
      <c r="AE116" s="227"/>
      <c r="AF116" s="227"/>
      <c r="AG116" s="227"/>
      <c r="AH116" s="227"/>
      <c r="AI116" s="227"/>
      <c r="AJ116" s="227"/>
      <c r="AK116" s="227"/>
      <c r="AL116" s="227"/>
      <c r="AM116" s="227"/>
      <c r="AN116" s="227"/>
      <c r="AO116" s="227"/>
      <c r="AP116" s="227"/>
      <c r="AQ116" s="227"/>
      <c r="AR116" s="227"/>
      <c r="AS116" s="227"/>
      <c r="AT116" s="227"/>
      <c r="AU116" s="227"/>
      <c r="AV116" s="227"/>
      <c r="AW116" s="227"/>
      <c r="AX116" s="227"/>
      <c r="AY116" s="227"/>
      <c r="AZ116" s="227"/>
      <c r="BA116" s="227"/>
      <c r="BB116" s="227"/>
      <c r="BC116" s="227"/>
      <c r="BD116" s="227"/>
      <c r="BE116" s="227"/>
      <c r="BF116" s="227"/>
      <c r="BG116" s="227"/>
      <c r="BH116" s="227"/>
      <c r="BI116" s="227"/>
      <c r="BJ116" s="227"/>
      <c r="BK116" s="227"/>
      <c r="BM116" s="227"/>
      <c r="BN116" s="227"/>
      <c r="BO116" s="227"/>
      <c r="BP116" s="227"/>
      <c r="BQ116" s="227"/>
      <c r="BR116" s="227"/>
      <c r="BS116" s="227"/>
      <c r="BT116" s="227"/>
      <c r="BU116" s="227"/>
      <c r="BV116" s="227"/>
      <c r="BW116" s="227"/>
      <c r="BX116" s="227"/>
      <c r="BY116" s="227"/>
      <c r="BZ116" s="227"/>
      <c r="CA116" s="227"/>
    </row>
    <row r="117" spans="1:79" s="229" customFormat="1" ht="18" customHeight="1">
      <c r="A117" s="227"/>
      <c r="B117" s="227"/>
      <c r="C117" s="227"/>
      <c r="D117" s="227"/>
      <c r="E117" s="227"/>
      <c r="F117" s="227"/>
      <c r="G117" s="227"/>
      <c r="H117" s="227"/>
      <c r="I117" s="227"/>
      <c r="J117" s="227"/>
      <c r="K117" s="227"/>
      <c r="L117" s="227"/>
      <c r="M117" s="227"/>
      <c r="N117" s="227"/>
      <c r="O117" s="227"/>
      <c r="P117" s="227"/>
      <c r="Q117" s="227"/>
      <c r="R117" s="227"/>
      <c r="S117" s="227"/>
      <c r="T117" s="227"/>
      <c r="U117" s="227"/>
      <c r="V117" s="227"/>
      <c r="W117" s="227"/>
      <c r="X117" s="227"/>
      <c r="Y117" s="227"/>
      <c r="Z117" s="227"/>
      <c r="AA117" s="227"/>
      <c r="AB117" s="227"/>
      <c r="AC117" s="227"/>
      <c r="AD117" s="227"/>
      <c r="AE117" s="227"/>
      <c r="AF117" s="227"/>
      <c r="AG117" s="227"/>
      <c r="AH117" s="227"/>
      <c r="AI117" s="227"/>
      <c r="AJ117" s="227"/>
      <c r="AK117" s="227"/>
      <c r="AL117" s="227"/>
      <c r="AM117" s="227"/>
      <c r="AN117" s="227"/>
      <c r="AO117" s="227"/>
      <c r="AP117" s="227"/>
      <c r="AQ117" s="227"/>
      <c r="AR117" s="227"/>
      <c r="AS117" s="227"/>
      <c r="AT117" s="227"/>
      <c r="AU117" s="227"/>
      <c r="AV117" s="227"/>
      <c r="AW117" s="227"/>
      <c r="AX117" s="227"/>
      <c r="AY117" s="227"/>
      <c r="AZ117" s="227"/>
      <c r="BA117" s="227"/>
      <c r="BB117" s="227"/>
      <c r="BC117" s="227"/>
      <c r="BD117" s="227"/>
      <c r="BE117" s="227"/>
      <c r="BF117" s="227"/>
      <c r="BG117" s="227"/>
      <c r="BH117" s="227"/>
      <c r="BI117" s="227"/>
      <c r="BJ117" s="227"/>
      <c r="BK117" s="227"/>
      <c r="BM117" s="227"/>
      <c r="BN117" s="227"/>
      <c r="BO117" s="227"/>
      <c r="BP117" s="227"/>
      <c r="BQ117" s="227"/>
      <c r="BR117" s="227"/>
      <c r="BS117" s="227"/>
      <c r="BT117" s="227"/>
      <c r="BU117" s="227"/>
      <c r="BV117" s="227"/>
      <c r="BW117" s="227"/>
      <c r="BX117" s="227"/>
      <c r="BY117" s="227"/>
      <c r="BZ117" s="227"/>
      <c r="CA117" s="227"/>
    </row>
    <row r="118" spans="1:79" s="229" customFormat="1" ht="18" customHeight="1">
      <c r="A118" s="227"/>
      <c r="B118" s="227"/>
      <c r="C118" s="227"/>
      <c r="D118" s="227"/>
      <c r="E118" s="227"/>
      <c r="F118" s="227"/>
      <c r="G118" s="227"/>
      <c r="H118" s="227"/>
      <c r="I118" s="227"/>
      <c r="J118" s="227"/>
      <c r="K118" s="227"/>
      <c r="L118" s="227"/>
      <c r="M118" s="227"/>
      <c r="N118" s="227"/>
      <c r="O118" s="227"/>
      <c r="P118" s="227"/>
      <c r="Q118" s="227"/>
      <c r="R118" s="227"/>
      <c r="S118" s="227"/>
      <c r="T118" s="227"/>
      <c r="U118" s="227"/>
      <c r="V118" s="227"/>
      <c r="W118" s="227"/>
      <c r="X118" s="227"/>
      <c r="Y118" s="227"/>
      <c r="Z118" s="227"/>
      <c r="AA118" s="227"/>
      <c r="AB118" s="227"/>
      <c r="AC118" s="227"/>
      <c r="AD118" s="227"/>
      <c r="AE118" s="227"/>
      <c r="AF118" s="227"/>
      <c r="AG118" s="227"/>
      <c r="AH118" s="227"/>
      <c r="AI118" s="227"/>
      <c r="AJ118" s="227"/>
      <c r="AK118" s="227"/>
      <c r="AL118" s="227"/>
      <c r="AM118" s="227"/>
      <c r="AN118" s="227"/>
      <c r="AO118" s="227"/>
      <c r="AP118" s="227"/>
      <c r="AQ118" s="227"/>
      <c r="AR118" s="227"/>
      <c r="AS118" s="227"/>
      <c r="AT118" s="227"/>
      <c r="AU118" s="227"/>
      <c r="AV118" s="227"/>
      <c r="AW118" s="227"/>
      <c r="AX118" s="227"/>
      <c r="AY118" s="227"/>
      <c r="AZ118" s="227"/>
      <c r="BA118" s="227"/>
      <c r="BB118" s="227"/>
      <c r="BC118" s="227"/>
      <c r="BD118" s="227"/>
      <c r="BE118" s="227"/>
      <c r="BF118" s="227"/>
      <c r="BG118" s="227"/>
      <c r="BH118" s="227"/>
      <c r="BI118" s="227"/>
      <c r="BJ118" s="227"/>
      <c r="BK118" s="227"/>
      <c r="BM118" s="227"/>
      <c r="BN118" s="227"/>
      <c r="BO118" s="227"/>
      <c r="BP118" s="227"/>
      <c r="BQ118" s="227"/>
      <c r="BR118" s="227"/>
      <c r="BS118" s="227"/>
      <c r="BT118" s="227"/>
      <c r="BU118" s="227"/>
      <c r="BV118" s="227"/>
      <c r="BW118" s="227"/>
      <c r="BX118" s="227"/>
      <c r="BY118" s="227"/>
      <c r="BZ118" s="227"/>
      <c r="CA118" s="227"/>
    </row>
    <row r="119" spans="1:79" s="229" customFormat="1" ht="18" customHeight="1">
      <c r="A119" s="227"/>
      <c r="B119" s="227"/>
      <c r="C119" s="227"/>
      <c r="D119" s="227"/>
      <c r="E119" s="227"/>
      <c r="F119" s="227"/>
      <c r="G119" s="227"/>
      <c r="H119" s="227"/>
      <c r="I119" s="227"/>
      <c r="J119" s="227"/>
      <c r="K119" s="227"/>
      <c r="L119" s="227"/>
      <c r="M119" s="227"/>
      <c r="N119" s="227"/>
      <c r="O119" s="227"/>
      <c r="P119" s="227"/>
      <c r="Q119" s="227"/>
      <c r="R119" s="227"/>
      <c r="S119" s="227"/>
      <c r="T119" s="227"/>
      <c r="U119" s="227"/>
      <c r="V119" s="227"/>
      <c r="W119" s="227"/>
      <c r="X119" s="227"/>
      <c r="Y119" s="227"/>
      <c r="Z119" s="227"/>
      <c r="AA119" s="227"/>
      <c r="AB119" s="227"/>
      <c r="AC119" s="227"/>
      <c r="AD119" s="227"/>
      <c r="AE119" s="227"/>
      <c r="AF119" s="227"/>
      <c r="AG119" s="227"/>
      <c r="AH119" s="227"/>
      <c r="AI119" s="227"/>
      <c r="AJ119" s="227"/>
      <c r="AK119" s="227"/>
      <c r="AL119" s="227"/>
      <c r="AM119" s="227"/>
      <c r="AN119" s="227"/>
      <c r="AO119" s="227"/>
      <c r="AP119" s="227"/>
      <c r="AQ119" s="227"/>
      <c r="AR119" s="227"/>
      <c r="AS119" s="227"/>
      <c r="AT119" s="227"/>
      <c r="AU119" s="227"/>
      <c r="AV119" s="227"/>
      <c r="AW119" s="227"/>
      <c r="AX119" s="227"/>
      <c r="AY119" s="227"/>
      <c r="AZ119" s="227"/>
      <c r="BA119" s="227"/>
      <c r="BB119" s="227"/>
      <c r="BC119" s="227"/>
      <c r="BD119" s="227"/>
      <c r="BE119" s="227"/>
      <c r="BF119" s="227"/>
      <c r="BG119" s="227"/>
      <c r="BH119" s="227"/>
      <c r="BI119" s="227"/>
      <c r="BJ119" s="227"/>
      <c r="BK119" s="227"/>
      <c r="BM119" s="227"/>
      <c r="BN119" s="227"/>
      <c r="BO119" s="227"/>
      <c r="BP119" s="227"/>
      <c r="BQ119" s="227"/>
      <c r="BR119" s="227"/>
      <c r="BS119" s="227"/>
      <c r="BT119" s="227"/>
      <c r="BU119" s="227"/>
      <c r="BV119" s="227"/>
      <c r="BW119" s="227"/>
      <c r="BX119" s="227"/>
      <c r="BY119" s="227"/>
      <c r="BZ119" s="227"/>
      <c r="CA119" s="227"/>
    </row>
  </sheetData>
  <mergeCells count="110">
    <mergeCell ref="H9:BH9"/>
    <mergeCell ref="D10:G11"/>
    <mergeCell ref="H10:L11"/>
    <mergeCell ref="M10:P11"/>
    <mergeCell ref="Q10:U11"/>
    <mergeCell ref="V10:Y11"/>
    <mergeCell ref="Z10:AD11"/>
    <mergeCell ref="AE10:AH11"/>
    <mergeCell ref="AI10:AL11"/>
    <mergeCell ref="AM10:AQ11"/>
    <mergeCell ref="AR10:AU11"/>
    <mergeCell ref="AV10:AY11"/>
    <mergeCell ref="AZ10:BD11"/>
    <mergeCell ref="BE10:BH11"/>
    <mergeCell ref="BI10:BK11"/>
    <mergeCell ref="D12:D13"/>
    <mergeCell ref="E12:E13"/>
    <mergeCell ref="F12:F13"/>
    <mergeCell ref="G12:G13"/>
    <mergeCell ref="BI12:BI13"/>
    <mergeCell ref="BJ12:BJ13"/>
    <mergeCell ref="BK12:BK13"/>
    <mergeCell ref="BM13:BN13"/>
    <mergeCell ref="D14:G14"/>
    <mergeCell ref="BI14:BK14"/>
    <mergeCell ref="H35:L35"/>
    <mergeCell ref="M35:P35"/>
    <mergeCell ref="Q35:U35"/>
    <mergeCell ref="V35:Y35"/>
    <mergeCell ref="BM35:BN35"/>
    <mergeCell ref="BM42:BN42"/>
    <mergeCell ref="D43:G43"/>
    <mergeCell ref="BI43:BK43"/>
    <mergeCell ref="H49:L49"/>
    <mergeCell ref="M49:P49"/>
    <mergeCell ref="Q49:U49"/>
    <mergeCell ref="V49:Y49"/>
    <mergeCell ref="BM49:BN49"/>
    <mergeCell ref="D36:G36"/>
    <mergeCell ref="BI36:BK36"/>
    <mergeCell ref="H42:L42"/>
    <mergeCell ref="M42:P42"/>
    <mergeCell ref="Q42:U42"/>
    <mergeCell ref="V42:Y42"/>
    <mergeCell ref="BM56:BN56"/>
    <mergeCell ref="D57:G57"/>
    <mergeCell ref="BI57:BK57"/>
    <mergeCell ref="H63:L63"/>
    <mergeCell ref="M63:P63"/>
    <mergeCell ref="Q63:U63"/>
    <mergeCell ref="V63:Y63"/>
    <mergeCell ref="BM63:BN63"/>
    <mergeCell ref="D50:G50"/>
    <mergeCell ref="BI50:BK50"/>
    <mergeCell ref="H56:L56"/>
    <mergeCell ref="M56:P56"/>
    <mergeCell ref="Q56:U56"/>
    <mergeCell ref="V56:Y56"/>
    <mergeCell ref="BM70:BN70"/>
    <mergeCell ref="D71:G71"/>
    <mergeCell ref="BI71:BK71"/>
    <mergeCell ref="H77:L77"/>
    <mergeCell ref="M77:P77"/>
    <mergeCell ref="Q77:U77"/>
    <mergeCell ref="V77:Y77"/>
    <mergeCell ref="BM77:BN77"/>
    <mergeCell ref="D64:G64"/>
    <mergeCell ref="BI64:BK64"/>
    <mergeCell ref="H70:L70"/>
    <mergeCell ref="M70:P70"/>
    <mergeCell ref="Q70:U70"/>
    <mergeCell ref="V70:Y70"/>
    <mergeCell ref="BM84:BN84"/>
    <mergeCell ref="D85:G85"/>
    <mergeCell ref="BI85:BK85"/>
    <mergeCell ref="H91:L91"/>
    <mergeCell ref="M91:P91"/>
    <mergeCell ref="Q91:U91"/>
    <mergeCell ref="V91:Y91"/>
    <mergeCell ref="D78:G78"/>
    <mergeCell ref="BI78:BK78"/>
    <mergeCell ref="H84:L84"/>
    <mergeCell ref="M84:P84"/>
    <mergeCell ref="Q84:U84"/>
    <mergeCell ref="V84:Y84"/>
    <mergeCell ref="BM98:BN98"/>
    <mergeCell ref="D99:G99"/>
    <mergeCell ref="BI99:BK99"/>
    <mergeCell ref="H107:L107"/>
    <mergeCell ref="M107:P107"/>
    <mergeCell ref="Q107:U107"/>
    <mergeCell ref="V107:Y107"/>
    <mergeCell ref="D92:G92"/>
    <mergeCell ref="BI92:BK92"/>
    <mergeCell ref="H98:L98"/>
    <mergeCell ref="M98:P98"/>
    <mergeCell ref="Q98:U98"/>
    <mergeCell ref="V98:Y98"/>
    <mergeCell ref="W22:AA22"/>
    <mergeCell ref="X23:Z23"/>
    <mergeCell ref="X24:Z24"/>
    <mergeCell ref="X25:Z25"/>
    <mergeCell ref="X26:Z26"/>
    <mergeCell ref="W30:Z30"/>
    <mergeCell ref="W15:Z15"/>
    <mergeCell ref="X17:Z17"/>
    <mergeCell ref="X18:Z18"/>
    <mergeCell ref="X19:Z19"/>
    <mergeCell ref="W20:AA20"/>
    <mergeCell ref="W21:AA21"/>
  </mergeCells>
  <conditionalFormatting sqref="W15:Z16 W17:X19 W20:W30">
    <cfRule type="containsText" dxfId="15" priority="16" operator="containsText" text="al">
      <formula>NOT(ISERROR(SEARCH("al",W15)))</formula>
    </cfRule>
  </conditionalFormatting>
  <conditionalFormatting sqref="W15:Z15">
    <cfRule type="containsText" dxfId="14" priority="15" operator="containsText" text="al">
      <formula>NOT(ISERROR(SEARCH("al",W15)))</formula>
    </cfRule>
  </conditionalFormatting>
  <conditionalFormatting sqref="X17:Z17 X18:X19">
    <cfRule type="containsText" dxfId="13" priority="14" operator="containsText" text="al">
      <formula>NOT(ISERROR(SEARCH("al",X17)))</formula>
    </cfRule>
  </conditionalFormatting>
  <conditionalFormatting sqref="X18:Z18 X19">
    <cfRule type="containsText" dxfId="12" priority="13" operator="containsText" text="al">
      <formula>NOT(ISERROR(SEARCH("al",X18)))</formula>
    </cfRule>
  </conditionalFormatting>
  <conditionalFormatting sqref="X19:Z19">
    <cfRule type="containsText" dxfId="11" priority="12" operator="containsText" text="al">
      <formula>NOT(ISERROR(SEARCH("al",X19)))</formula>
    </cfRule>
  </conditionalFormatting>
  <conditionalFormatting sqref="W20:AA20 W21:W30">
    <cfRule type="containsText" dxfId="10" priority="11" operator="containsText" text="al">
      <formula>NOT(ISERROR(SEARCH("al",W20)))</formula>
    </cfRule>
  </conditionalFormatting>
  <conditionalFormatting sqref="W21:AA21 W22:W30">
    <cfRule type="containsText" dxfId="9" priority="10" operator="containsText" text="al">
      <formula>NOT(ISERROR(SEARCH("al",W21)))</formula>
    </cfRule>
  </conditionalFormatting>
  <conditionalFormatting sqref="W22:AA22 W23:X29 AA23:AA30 W30">
    <cfRule type="containsText" dxfId="8" priority="9" operator="containsText" text="al">
      <formula>NOT(ISERROR(SEARCH("al",W22)))</formula>
    </cfRule>
  </conditionalFormatting>
  <conditionalFormatting sqref="X23:Z23 X24:X29">
    <cfRule type="containsText" dxfId="7" priority="8" operator="containsText" text="al">
      <formula>NOT(ISERROR(SEARCH("al",X23)))</formula>
    </cfRule>
  </conditionalFormatting>
  <conditionalFormatting sqref="X24:Z24 X25:X29">
    <cfRule type="containsText" dxfId="6" priority="7" operator="containsText" text="al">
      <formula>NOT(ISERROR(SEARCH("al",X24)))</formula>
    </cfRule>
  </conditionalFormatting>
  <conditionalFormatting sqref="X25:Z25 X26:X29">
    <cfRule type="containsText" dxfId="5" priority="6" operator="containsText" text="al">
      <formula>NOT(ISERROR(SEARCH("al",X25)))</formula>
    </cfRule>
  </conditionalFormatting>
  <conditionalFormatting sqref="X26:Z29">
    <cfRule type="containsText" dxfId="4" priority="5" operator="containsText" text="al">
      <formula>NOT(ISERROR(SEARCH("al",X26)))</formula>
    </cfRule>
  </conditionalFormatting>
  <conditionalFormatting sqref="X27:X29">
    <cfRule type="containsText" dxfId="3" priority="4" operator="containsText" text="al">
      <formula>NOT(ISERROR(SEARCH("al",X27)))</formula>
    </cfRule>
  </conditionalFormatting>
  <conditionalFormatting sqref="X27">
    <cfRule type="containsText" dxfId="2" priority="3" operator="containsText" text="al">
      <formula>NOT(ISERROR(SEARCH("al",X27)))</formula>
    </cfRule>
  </conditionalFormatting>
  <conditionalFormatting sqref="X27">
    <cfRule type="containsText" dxfId="1" priority="2" operator="containsText" text="al">
      <formula>NOT(ISERROR(SEARCH("al",X27)))</formula>
    </cfRule>
  </conditionalFormatting>
  <conditionalFormatting sqref="W30:Z30">
    <cfRule type="containsText" dxfId="0" priority="1" operator="containsText" text="al">
      <formula>NOT(ISERROR(SEARCH("al",W30)))</formula>
    </cfRule>
  </conditionalFormatting>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calular_comision">
                <anchor moveWithCells="1">
                  <from>
                    <xdr:col>63</xdr:col>
                    <xdr:colOff>200025</xdr:colOff>
                    <xdr:row>108</xdr:row>
                    <xdr:rowOff>228600</xdr:rowOff>
                  </from>
                  <to>
                    <xdr:col>64</xdr:col>
                    <xdr:colOff>1028700</xdr:colOff>
                    <xdr:row>111</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'1 lista'!$D$6:$D$8</xm:f>
          </x14:formula1>
          <xm:sqref>C86:C91 C93:C98 C100:C106 C15:C84</xm:sqref>
        </x14:dataValidation>
        <x14:dataValidation type="list" allowBlank="1" showInputMessage="1" showErrorMessage="1">
          <x14:formula1>
            <xm:f>'1 lista'!$D$2:$D$3</xm:f>
          </x14:formula1>
          <xm:sqref>B100:B106 B86:B91 B15:B84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106</vt:i4>
      </vt:variant>
    </vt:vector>
  </HeadingPairs>
  <TitlesOfParts>
    <vt:vector size="122" baseType="lpstr">
      <vt:lpstr>Tapa</vt:lpstr>
      <vt:lpstr>1 Texto Legal</vt:lpstr>
      <vt:lpstr>1 Negociaciones Revistas</vt:lpstr>
      <vt:lpstr>1 Reservas Fijas</vt:lpstr>
      <vt:lpstr>1 Resumen Revistas</vt:lpstr>
      <vt:lpstr>1 Panel</vt:lpstr>
      <vt:lpstr>1 auxiliar 3</vt:lpstr>
      <vt:lpstr>1 auxiliar 2</vt:lpstr>
      <vt:lpstr>1 YTD 2017</vt:lpstr>
      <vt:lpstr>1 Distribucion de Presupuestos</vt:lpstr>
      <vt:lpstr>1 BASE2</vt:lpstr>
      <vt:lpstr>1 BASE</vt:lpstr>
      <vt:lpstr>1 lista</vt:lpstr>
      <vt:lpstr>1 auxiliar</vt:lpstr>
      <vt:lpstr>Colors</vt:lpstr>
      <vt:lpstr>Good Girl</vt:lpstr>
      <vt:lpstr>Colors!CINE</vt:lpstr>
      <vt:lpstr>'Good Girl'!CINE</vt:lpstr>
      <vt:lpstr>CINE</vt:lpstr>
      <vt:lpstr>Colors!comision</vt:lpstr>
      <vt:lpstr>'Good Girl'!comision</vt:lpstr>
      <vt:lpstr>comision</vt:lpstr>
      <vt:lpstr>Colors!COMPARTIDOS</vt:lpstr>
      <vt:lpstr>'Good Girl'!COMPARTIDOS</vt:lpstr>
      <vt:lpstr>COMPARTIDOS</vt:lpstr>
      <vt:lpstr>Colors!diferencia</vt:lpstr>
      <vt:lpstr>'Good Girl'!diferencia</vt:lpstr>
      <vt:lpstr>diferencia</vt:lpstr>
      <vt:lpstr>Colors!DIGITAL</vt:lpstr>
      <vt:lpstr>'Good Girl'!DIGITAL</vt:lpstr>
      <vt:lpstr>DIGITAL</vt:lpstr>
      <vt:lpstr>'1 BASE'!Extract</vt:lpstr>
      <vt:lpstr>'1 YTD 2017'!fi</vt:lpstr>
      <vt:lpstr>fi</vt:lpstr>
      <vt:lpstr>Colors!fin</vt:lpstr>
      <vt:lpstr>'Good Girl'!fin</vt:lpstr>
      <vt:lpstr>fin</vt:lpstr>
      <vt:lpstr>Colors!fin_otro</vt:lpstr>
      <vt:lpstr>'Good Girl'!fin_otro</vt:lpstr>
      <vt:lpstr>fin_otro</vt:lpstr>
      <vt:lpstr>Colors!fina</vt:lpstr>
      <vt:lpstr>'Good Girl'!fina</vt:lpstr>
      <vt:lpstr>fina</vt:lpstr>
      <vt:lpstr>Colors!final</vt:lpstr>
      <vt:lpstr>'Good Girl'!final</vt:lpstr>
      <vt:lpstr>final</vt:lpstr>
      <vt:lpstr>'1 Distribucion de Presupuestos'!Final_distri</vt:lpstr>
      <vt:lpstr>Final_distri</vt:lpstr>
      <vt:lpstr>Colors!ini_ci</vt:lpstr>
      <vt:lpstr>'Good Girl'!ini_ci</vt:lpstr>
      <vt:lpstr>ini_ci</vt:lpstr>
      <vt:lpstr>Colors!ini_com</vt:lpstr>
      <vt:lpstr>'Good Girl'!ini_com</vt:lpstr>
      <vt:lpstr>ini_com</vt:lpstr>
      <vt:lpstr>Colors!ini_dig</vt:lpstr>
      <vt:lpstr>'Good Girl'!ini_dig</vt:lpstr>
      <vt:lpstr>ini_dig</vt:lpstr>
      <vt:lpstr>Colors!ini_otro</vt:lpstr>
      <vt:lpstr>'Good Girl'!ini_otro</vt:lpstr>
      <vt:lpstr>ini_otro</vt:lpstr>
      <vt:lpstr>Colors!ini_pre</vt:lpstr>
      <vt:lpstr>'Good Girl'!ini_pre</vt:lpstr>
      <vt:lpstr>ini_pre</vt:lpstr>
      <vt:lpstr>Colors!ini_ra</vt:lpstr>
      <vt:lpstr>'Good Girl'!ini_ra</vt:lpstr>
      <vt:lpstr>ini_ra</vt:lpstr>
      <vt:lpstr>Colors!ini_reg</vt:lpstr>
      <vt:lpstr>'Good Girl'!ini_reg</vt:lpstr>
      <vt:lpstr>ini_reg</vt:lpstr>
      <vt:lpstr>Colors!ini_rev</vt:lpstr>
      <vt:lpstr>'Good Girl'!ini_rev</vt:lpstr>
      <vt:lpstr>ini_rev</vt:lpstr>
      <vt:lpstr>Colors!ini_sup</vt:lpstr>
      <vt:lpstr>'Good Girl'!ini_sup</vt:lpstr>
      <vt:lpstr>ini_sup</vt:lpstr>
      <vt:lpstr>Colors!ini_tv</vt:lpstr>
      <vt:lpstr>'Good Girl'!ini_tv</vt:lpstr>
      <vt:lpstr>ini_tv</vt:lpstr>
      <vt:lpstr>Colors!ini_vp</vt:lpstr>
      <vt:lpstr>'Good Girl'!ini_vp</vt:lpstr>
      <vt:lpstr>ini_vp</vt:lpstr>
      <vt:lpstr>Colors!inicio</vt:lpstr>
      <vt:lpstr>'Good Girl'!inicio</vt:lpstr>
      <vt:lpstr>inicio</vt:lpstr>
      <vt:lpstr>Colors!MEDIOS_REGIONALES</vt:lpstr>
      <vt:lpstr>'Good Girl'!MEDIOS_REGIONALES</vt:lpstr>
      <vt:lpstr>MEDIOS_REGIONALES</vt:lpstr>
      <vt:lpstr>Colors!OTROS</vt:lpstr>
      <vt:lpstr>'Good Girl'!OTROS</vt:lpstr>
      <vt:lpstr>OTROS</vt:lpstr>
      <vt:lpstr>Otros_Lista</vt:lpstr>
      <vt:lpstr>Otros_Lsita</vt:lpstr>
      <vt:lpstr>Colors!PRENSA</vt:lpstr>
      <vt:lpstr>'Good Girl'!PRENSA</vt:lpstr>
      <vt:lpstr>PRENSA</vt:lpstr>
      <vt:lpstr>Colors!presupuesto</vt:lpstr>
      <vt:lpstr>'Good Girl'!presupuesto</vt:lpstr>
      <vt:lpstr>presupuesto</vt:lpstr>
      <vt:lpstr>'1 Negociaciones Revistas'!Print_Area</vt:lpstr>
      <vt:lpstr>'1 Texto Legal'!Print_Area</vt:lpstr>
      <vt:lpstr>Tapa!Print_Area</vt:lpstr>
      <vt:lpstr>Colors!RADIO</vt:lpstr>
      <vt:lpstr>'Good Girl'!RADIO</vt:lpstr>
      <vt:lpstr>RADIO</vt:lpstr>
      <vt:lpstr>Colors!REGIONALES</vt:lpstr>
      <vt:lpstr>'Good Girl'!REGIONALES</vt:lpstr>
      <vt:lpstr>REGIONALES</vt:lpstr>
      <vt:lpstr>Colors!REVISTAS</vt:lpstr>
      <vt:lpstr>'Good Girl'!REVISTAS</vt:lpstr>
      <vt:lpstr>REVISTAS</vt:lpstr>
      <vt:lpstr>Colors!SUPLEMENTOS</vt:lpstr>
      <vt:lpstr>'Good Girl'!SUPLEMENTOS</vt:lpstr>
      <vt:lpstr>SUPLEMENTOS</vt:lpstr>
      <vt:lpstr>Colors!Total</vt:lpstr>
      <vt:lpstr>'Good Girl'!Total</vt:lpstr>
      <vt:lpstr>Total</vt:lpstr>
      <vt:lpstr>Colors!TV</vt:lpstr>
      <vt:lpstr>'Good Girl'!TV</vt:lpstr>
      <vt:lpstr>TV</vt:lpstr>
      <vt:lpstr>Colors!VIA_PUBLICA</vt:lpstr>
      <vt:lpstr>'Good Girl'!VIA_PUBLICA</vt:lpstr>
      <vt:lpstr>VIA_PUBLICA</vt:lpstr>
    </vt:vector>
  </TitlesOfParts>
  <Company>MPG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MPG</dc:creator>
  <cp:lastModifiedBy>Gabo</cp:lastModifiedBy>
  <cp:lastPrinted>2017-01-05T11:47:38Z</cp:lastPrinted>
  <dcterms:created xsi:type="dcterms:W3CDTF">2005-11-18T14:16:34Z</dcterms:created>
  <dcterms:modified xsi:type="dcterms:W3CDTF">2017-04-14T23:43:50Z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NXTAG2">
    <vt:lpwstr>000800ae0d0000000000010242200207f6000400038000</vt:lpwstr>
  </property>
</Properties>
</file>